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785" documentId="13_ncr:1_{52745E9B-3AA1-4770-AAD3-E6166BFC13AE}" xr6:coauthVersionLast="47" xr6:coauthVersionMax="47" xr10:uidLastSave="{606FF842-FD24-4369-8E06-4039A9844BEE}"/>
  <bookViews>
    <workbookView xWindow="-28920" yWindow="-105" windowWidth="29040" windowHeight="15720" tabRatio="500" firstSheet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4" l="1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AG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<sst xmlns="http://schemas.openxmlformats.org/spreadsheetml/2006/main" count="2200" uniqueCount="262">
  <si>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</si>
  <si>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</si>
  <si>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</si>
  <si>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</si>
  <si>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</si>
  <si>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</si>
  <si>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</si>
  <si>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</si>
  <si>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</si>
  <si>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</si>
  <si>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</si>
  <si>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</si>
  <si>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</si>
  <si>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</si>
  <si>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</si>
  <si>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</si>
  <si>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</si>
  <si>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</si>
  <si>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</si>
  <si>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</si>
  <si>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</si>
  <si>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</si>
  <si>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</si>
  <si>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</si>
  <si>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</si>
  <si>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</si>
  <si>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</si>
  <si>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</si>
  <si>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</si>
  <si>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</si>
  <si>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</si>
  <si>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</si>
  <si>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</si>
  <si>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</si>
  <si>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</si>
  <si>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</si>
  <si>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</si>
  <si>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</si>
  <si>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</si>
  <si>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</si>
  <si>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</si>
  <si>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</si>
  <si>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</si>
  <si>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</si>
  <si>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</si>
  <si>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</si>
  <si>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</si>
  <si>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</si>
  <si>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</si>
  <si>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</si>
  <si>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</si>
  <si>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</si>
  <si>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</si>
  <si>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</si>
  <si>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</si>
  <si>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</si>
  <si>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</si>
  <si>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</si>
  <si>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</si>
  <si>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</si>
  <si>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</si>
  <si>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</si>
  <si>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</si>
  <si>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</si>
  <si>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</si>
  <si>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</si>
  <si>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</si>
  <si>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</si>
  <si>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</si>
  <si>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</si>
  <si>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</si>
  <si>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</si>
  <si>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</si>
  <si>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</si>
  <si>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</si>
  <si>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</si>
  <si>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</si>
  <si>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</si>
  <si>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</si>
  <si>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</si>
  <si>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</si>
  <si>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</si>
  <si>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</si>
  <si>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</si>
  <si>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</si>
  <si>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</si>
  <si>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</si>
  <si>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</si>
  <si>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</si>
  <si>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</si>
  <si>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</si>
  <si>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</si>
  <si>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</si>
  <si>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</si>
  <si>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</si>
  <si>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</si>
  <si>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</si>
  <si>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</si>
  <si>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</si>
  <si>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</si>
  <si>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</si>
  <si>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</si>
  <si>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</si>
  <si>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</si>
  <si>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</si>
  <si>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</si>
  <si>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</si>
  <si>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</si>
  <si>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</si>
  <si>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</si>
  <si>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</si>
  <si>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</si>
  <si>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</si>
  <si>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</si>
  <si>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QA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</si>
  <si>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</si>
  <si>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</si>
  <si>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</si>
  <si>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</si>
  <si>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</si>
  <si>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</si>
  <si>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</si>
  <si>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</si>
  <si>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</si>
  <si>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DB Dev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</si>
  <si>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</si>
  <si>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</si>
  <si>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</si>
  <si>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Yes – other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</si>
  <si>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</si>
  <si>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</si>
  <si>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PBI Dev</t>
  </si>
  <si>
    <t>Bardia</t>
  </si>
  <si>
    <t>Available for PBI with one know issue will be presenting to business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</si>
  <si>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</si>
  <si>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</si>
  <si>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</si>
  <si>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</si>
  <si>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</si>
  <si>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</si>
  <si>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</si>
  <si>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</si>
  <si>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</si>
  <si>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</si>
  <si>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</si>
  <si>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</si>
  <si>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RPT_02_GRO Control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</si>
  <si>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</si>
  <si>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</si>
  <si>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</si>
  <si>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</si>
  <si>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</si>
  <si>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</si>
  <si>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</si>
  <si>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</si>
  <si>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</si>
  <si>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</si>
  <si>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</si>
  <si>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</si>
  <si>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</si>
  <si>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</si>
  <si>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</si>
  <si>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</si>
  <si>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</si>
  <si>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</si>
  <si>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</si>
  <si>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</si>
  <si>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NOT STARTED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</si>
  <si>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</si>
  <si>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</si>
  <si>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</si>
  <si>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</si>
  <si>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</si>
  <si>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PI2, S5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</si>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</sst>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6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0" fontId="13" fillId="0" borderId="0" xfId="0" applyFont="1" applyAlignment="1">
      <alignment vertical="center" wrapText="1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>
    <filterColumn colId="0">
      <filters>
        <filter val="CMS"/>
      </filters>
    </filterColumn>
    <filterColumn colId="8">
      <filters>
        <filter val="July"/>
      </filters>
    </filterColumn>
  </autoFilter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Normal="100" workbookViewId="0">
      <pane xSplit="2" ySplit="28" topLeftCell="C29" activePane="bottomRight" state="frozen"/>
      <selection pane="bottomRight" activeCell="F74" sqref="F74"/>
      <selection pane="bottomLeft" activeCell="A29" sqref="A29"/>
      <selection pane="topRight" activeCell="C1" sqref="C1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57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36"/>
      <c r="S29" s="70"/>
      <c r="T29" s="55" t="s">
        <v>115</v>
      </c>
      <c r="U29" s="60">
        <v>46227</v>
      </c>
      <c r="V29" s="36">
        <v>46247</v>
      </c>
      <c r="W29" s="36"/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>Open rework row - mark Blocked? or close it</v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114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>
        <v>46248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120</v>
      </c>
    </row>
    <row r="31" spans="1:34" ht="14.45">
      <c r="A31" s="33" t="s">
        <v>112</v>
      </c>
      <c r="B31" s="33" t="s">
        <v>121</v>
      </c>
      <c r="C31" s="33" t="s">
        <v>114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46247</v>
      </c>
      <c r="S31" s="70"/>
      <c r="T31" s="55" t="s">
        <v>115</v>
      </c>
      <c r="U31" s="60">
        <v>46227</v>
      </c>
      <c r="V31" s="36">
        <v>46248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122</v>
      </c>
    </row>
    <row r="32" spans="1:34" ht="14.45">
      <c r="A32" s="33" t="s">
        <v>112</v>
      </c>
      <c r="B32" s="33" t="s">
        <v>123</v>
      </c>
      <c r="C32" s="33" t="s">
        <v>124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/>
      <c r="N32" s="36" t="s">
        <v>117</v>
      </c>
      <c r="O32" s="66" t="s">
        <v>39</v>
      </c>
      <c r="P32" s="4">
        <v>46220</v>
      </c>
      <c r="Q32" s="36">
        <v>46247</v>
      </c>
      <c r="R32" s="36"/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125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126</v>
      </c>
    </row>
    <row r="33" spans="1:34" ht="14.45">
      <c r="A33" s="33" t="s">
        <v>112</v>
      </c>
      <c r="B33" s="33" t="s">
        <v>127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other - unclaimed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46245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46248</v>
      </c>
      <c r="W33" s="36"/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128</v>
      </c>
      <c r="AG33" s="74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fix",M33&lt;&gt;"",SUMPRODUCT(MAX((('Rework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fix",R33&lt;&gt;"",SUMPRODUCT(MAX((('Rework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Log'!$A$3:$A$500,$B33)&gt;0,"",IF(AND(U33&lt;&gt;"",K33&lt;&gt;"",U33&lt;K33),"QA target is before DB Dev target",IF(AND(U33&lt;&gt;"",P33&lt;&gt;"",U33&lt;P33),"QA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129</v>
      </c>
    </row>
    <row r="34" spans="1:34" ht="14.45">
      <c r="A34" s="33" t="s">
        <v>112</v>
      </c>
      <c r="B34" s="33" t="s">
        <v>130</v>
      </c>
      <c r="C34" s="33" t="s">
        <v>131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33">
        <v>6</v>
      </c>
      <c r="F34" s="34" t="s">
        <v>132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/>
      <c r="S34" s="70"/>
      <c r="T34" s="55" t="s">
        <v>132</v>
      </c>
      <c r="U34" s="60">
        <v>46227</v>
      </c>
      <c r="V34" s="36">
        <v>46225</v>
      </c>
      <c r="W34" s="36"/>
      <c r="X34" s="36"/>
      <c r="Y34" s="53">
        <v>46232</v>
      </c>
      <c r="Z34" s="36">
        <v>46266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>Open rework row - mark Blocked? or close it</v>
      </c>
      <c r="AH34" s="41" t="s">
        <v>133</v>
      </c>
    </row>
    <row r="35" spans="1:34" ht="14.45">
      <c r="A35" s="33" t="s">
        <v>112</v>
      </c>
      <c r="B35" s="33" t="s">
        <v>134</v>
      </c>
      <c r="C35" s="33" t="s">
        <v>124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DB Dev to fix</v>
      </c>
      <c r="E35" s="33">
        <v>7</v>
      </c>
      <c r="F35" s="34" t="s">
        <v>132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/>
      <c r="N35" s="36" t="s">
        <v>117</v>
      </c>
      <c r="O35" s="66" t="s">
        <v>39</v>
      </c>
      <c r="P35" s="4">
        <v>46220</v>
      </c>
      <c r="Q35" s="36">
        <v>46245</v>
      </c>
      <c r="R35" s="36">
        <v>46247</v>
      </c>
      <c r="S35" s="70"/>
      <c r="T35" s="55" t="s">
        <v>132</v>
      </c>
      <c r="U35" s="60">
        <v>46227</v>
      </c>
      <c r="V35" s="36">
        <v>46248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125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1" t="s">
        <v>135</v>
      </c>
    </row>
    <row r="36" spans="1:34" ht="14.45">
      <c r="A36" s="33" t="s">
        <v>112</v>
      </c>
      <c r="B36" s="33" t="s">
        <v>136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132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132</v>
      </c>
      <c r="U36" s="60">
        <v>46227</v>
      </c>
      <c r="V36" s="36">
        <v>46248</v>
      </c>
      <c r="W36" s="36"/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120</v>
      </c>
    </row>
    <row r="37" spans="1:34" ht="14.45">
      <c r="A37" s="33" t="s">
        <v>112</v>
      </c>
      <c r="B37" s="33" t="s">
        <v>137</v>
      </c>
      <c r="C37" s="33" t="s">
        <v>131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132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46247</v>
      </c>
      <c r="R37" s="36"/>
      <c r="S37" s="70"/>
      <c r="T37" s="55" t="s">
        <v>132</v>
      </c>
      <c r="U37" s="60">
        <v>46227</v>
      </c>
      <c r="V37" s="36">
        <v>46252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138</v>
      </c>
    </row>
    <row r="38" spans="1:34" ht="14.45">
      <c r="A38" s="33" t="s">
        <v>112</v>
      </c>
      <c r="B38" s="33" t="s">
        <v>139</v>
      </c>
      <c r="C38" s="33" t="s">
        <v>131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Overdue</v>
      </c>
      <c r="E38" s="33" t="s">
        <v>140</v>
      </c>
      <c r="F38" s="34" t="s">
        <v>132</v>
      </c>
      <c r="G38" s="33"/>
      <c r="H38" s="50">
        <v>46234</v>
      </c>
      <c r="I38" s="62" t="s">
        <v>116</v>
      </c>
      <c r="J38" s="33" t="s">
        <v>141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46247</v>
      </c>
      <c r="R38" s="36"/>
      <c r="S38" s="70"/>
      <c r="T38" s="55" t="s">
        <v>132</v>
      </c>
      <c r="U38" s="60">
        <v>46227</v>
      </c>
      <c r="V38" s="36">
        <v>46247</v>
      </c>
      <c r="W38" s="36"/>
      <c r="X38" s="36"/>
      <c r="Y38" s="53">
        <v>46232</v>
      </c>
      <c r="Z38" s="36">
        <v>46258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>Open rework row - mark Blocked? or close it</v>
      </c>
      <c r="AH38" s="41"/>
    </row>
    <row r="39" spans="1:34" ht="14.45">
      <c r="A39" s="33" t="s">
        <v>112</v>
      </c>
      <c r="B39" s="33" t="s">
        <v>142</v>
      </c>
      <c r="C39" s="33" t="s">
        <v>114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33">
        <v>11</v>
      </c>
      <c r="F39" s="34" t="s">
        <v>132</v>
      </c>
      <c r="G39" s="33"/>
      <c r="H39" s="50">
        <v>46234</v>
      </c>
      <c r="I39" s="62" t="s">
        <v>116</v>
      </c>
      <c r="J39" s="33" t="s">
        <v>141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46246</v>
      </c>
      <c r="S39" s="70"/>
      <c r="T39" s="55" t="s">
        <v>40</v>
      </c>
      <c r="U39" s="60">
        <v>46227</v>
      </c>
      <c r="V39" s="36">
        <v>46247</v>
      </c>
      <c r="W39" s="36"/>
      <c r="X39" s="36"/>
      <c r="Y39" s="53">
        <v>46232</v>
      </c>
      <c r="Z39" s="36">
        <v>46258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143</v>
      </c>
    </row>
    <row r="40" spans="1:34" ht="14.45">
      <c r="A40" s="33" t="s">
        <v>112</v>
      </c>
      <c r="B40" s="33" t="s">
        <v>144</v>
      </c>
      <c r="C40" s="33" t="s">
        <v>124</v>
      </c>
      <c r="D40" s="3" t="s">
        <v>145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46249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/>
      <c r="S40" s="70"/>
      <c r="T40" s="55" t="s">
        <v>40</v>
      </c>
      <c r="U40" s="60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125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146</v>
      </c>
      <c r="C41" s="33" t="s">
        <v>124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Blocked - needs DB Dev to fix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/>
      <c r="N41" s="36" t="s">
        <v>117</v>
      </c>
      <c r="O41" s="66" t="s">
        <v>52</v>
      </c>
      <c r="P41" s="4">
        <v>46220</v>
      </c>
      <c r="Q41" s="36">
        <v>46246</v>
      </c>
      <c r="R41" s="36"/>
      <c r="S41" s="70"/>
      <c r="T41" s="55" t="s">
        <v>40</v>
      </c>
      <c r="U41" s="60">
        <v>46227</v>
      </c>
      <c r="V41" s="36">
        <v>46253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125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>Blocked - log it on Rework Log</v>
      </c>
      <c r="AH41" s="41"/>
    </row>
    <row r="42" spans="1:34" ht="14.45">
      <c r="A42" s="33" t="s">
        <v>112</v>
      </c>
      <c r="B42" s="33" t="s">
        <v>147</v>
      </c>
      <c r="C42" s="33" t="s">
        <v>131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132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148</v>
      </c>
      <c r="O42" s="66" t="s">
        <v>39</v>
      </c>
      <c r="P42" s="4">
        <v>46220</v>
      </c>
      <c r="Q42" s="36">
        <v>46251</v>
      </c>
      <c r="R42" s="36"/>
      <c r="S42" s="70"/>
      <c r="T42" s="55" t="s">
        <v>40</v>
      </c>
      <c r="U42" s="60">
        <v>46227</v>
      </c>
      <c r="V42" s="36">
        <v>46258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 hidden="1">
      <c r="A43" s="33" t="s">
        <v>112</v>
      </c>
      <c r="B43" s="33" t="s">
        <v>149</v>
      </c>
      <c r="C43" s="33" t="s">
        <v>124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150</v>
      </c>
      <c r="F43" s="34"/>
      <c r="G43" s="33"/>
      <c r="H43" s="50">
        <v>46265</v>
      </c>
      <c r="I43" s="62" t="s">
        <v>151</v>
      </c>
      <c r="J43" s="33" t="s">
        <v>94</v>
      </c>
      <c r="K43" s="4">
        <v>46234</v>
      </c>
      <c r="L43" s="36">
        <v>46251</v>
      </c>
      <c r="M43" s="36"/>
      <c r="N43" s="36" t="s">
        <v>152</v>
      </c>
      <c r="O43" s="66" t="s">
        <v>52</v>
      </c>
      <c r="P43" s="4">
        <v>46241</v>
      </c>
      <c r="Q43" s="36"/>
      <c r="R43" s="36"/>
      <c r="S43" s="70"/>
      <c r="T43" s="55"/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 hidden="1">
      <c r="A44" s="33" t="s">
        <v>112</v>
      </c>
      <c r="B44" s="33" t="s">
        <v>153</v>
      </c>
      <c r="C44" s="33" t="s">
        <v>124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/>
      <c r="G44" s="33"/>
      <c r="H44" s="50">
        <v>46265</v>
      </c>
      <c r="I44" s="62" t="s">
        <v>151</v>
      </c>
      <c r="J44" s="33" t="s">
        <v>51</v>
      </c>
      <c r="K44" s="4">
        <v>46234</v>
      </c>
      <c r="L44" s="36">
        <v>46255</v>
      </c>
      <c r="M44" s="36"/>
      <c r="N44" s="36" t="s">
        <v>152</v>
      </c>
      <c r="O44" s="66" t="s">
        <v>39</v>
      </c>
      <c r="P44" s="4">
        <v>46241</v>
      </c>
      <c r="Q44" s="36"/>
      <c r="R44" s="36"/>
      <c r="S44" s="70"/>
      <c r="T44" s="55"/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 hidden="1">
      <c r="A45" s="33" t="s">
        <v>112</v>
      </c>
      <c r="B45" s="33" t="s">
        <v>154</v>
      </c>
      <c r="C45" s="33" t="s">
        <v>114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/>
      <c r="H45" s="50">
        <v>46265</v>
      </c>
      <c r="I45" s="62" t="s">
        <v>151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152</v>
      </c>
      <c r="O45" s="66" t="s">
        <v>69</v>
      </c>
      <c r="P45" s="4">
        <v>46241</v>
      </c>
      <c r="Q45" s="36"/>
      <c r="R45" s="36"/>
      <c r="S45" s="70"/>
      <c r="T45" s="55"/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 hidden="1">
      <c r="A46" s="33" t="s">
        <v>112</v>
      </c>
      <c r="B46" s="33" t="s">
        <v>155</v>
      </c>
      <c r="C46" s="33" t="s">
        <v>131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/>
      <c r="G46" s="33"/>
      <c r="H46" s="50">
        <v>46265</v>
      </c>
      <c r="I46" s="62" t="s">
        <v>151</v>
      </c>
      <c r="J46" s="33" t="s">
        <v>76</v>
      </c>
      <c r="K46" s="4">
        <v>46234</v>
      </c>
      <c r="L46" s="36">
        <v>46213</v>
      </c>
      <c r="M46" s="36">
        <v>46213</v>
      </c>
      <c r="N46" s="36" t="s">
        <v>156</v>
      </c>
      <c r="O46" s="66" t="s">
        <v>52</v>
      </c>
      <c r="P46" s="4">
        <v>46241</v>
      </c>
      <c r="Q46" s="36"/>
      <c r="R46" s="36"/>
      <c r="S46" s="70"/>
      <c r="T46" s="55"/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 hidden="1">
      <c r="A47" s="33" t="s">
        <v>112</v>
      </c>
      <c r="B47" s="33" t="s">
        <v>157</v>
      </c>
      <c r="C47" s="33" t="s">
        <v>131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/>
      <c r="G47" s="33"/>
      <c r="H47" s="50">
        <v>46265</v>
      </c>
      <c r="I47" s="62" t="s">
        <v>151</v>
      </c>
      <c r="J47" s="33" t="s">
        <v>141</v>
      </c>
      <c r="K47" s="4">
        <v>46234</v>
      </c>
      <c r="L47" s="36">
        <v>46246</v>
      </c>
      <c r="M47" s="36">
        <v>46246</v>
      </c>
      <c r="N47" s="36" t="s">
        <v>158</v>
      </c>
      <c r="O47" s="66" t="s">
        <v>69</v>
      </c>
      <c r="P47" s="4">
        <v>46241</v>
      </c>
      <c r="Q47" s="36"/>
      <c r="R47" s="36"/>
      <c r="S47" s="70"/>
      <c r="T47" s="55"/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 hidden="1">
      <c r="A48" s="33" t="s">
        <v>112</v>
      </c>
      <c r="B48" s="33" t="s">
        <v>159</v>
      </c>
      <c r="C48" s="33" t="s">
        <v>124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Overdue</v>
      </c>
      <c r="E48" s="33">
        <v>22</v>
      </c>
      <c r="F48" s="34"/>
      <c r="G48" s="33"/>
      <c r="H48" s="50">
        <v>46265</v>
      </c>
      <c r="I48" s="62" t="s">
        <v>151</v>
      </c>
      <c r="J48" s="33" t="s">
        <v>51</v>
      </c>
      <c r="K48" s="4">
        <v>46234</v>
      </c>
      <c r="L48" s="36">
        <v>46259</v>
      </c>
      <c r="M48" s="36"/>
      <c r="N48" s="36" t="s">
        <v>158</v>
      </c>
      <c r="O48" s="66" t="s">
        <v>39</v>
      </c>
      <c r="P48" s="4">
        <v>46241</v>
      </c>
      <c r="Q48" s="36"/>
      <c r="R48" s="36"/>
      <c r="S48" s="70"/>
      <c r="T48" s="55"/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 hidden="1">
      <c r="A49" s="33" t="s">
        <v>112</v>
      </c>
      <c r="B49" s="33" t="s">
        <v>160</v>
      </c>
      <c r="C49" s="33" t="s">
        <v>124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Overdue</v>
      </c>
      <c r="E49" s="33">
        <v>23</v>
      </c>
      <c r="F49" s="34"/>
      <c r="G49" s="33"/>
      <c r="H49" s="50">
        <v>46265</v>
      </c>
      <c r="I49" s="62" t="s">
        <v>151</v>
      </c>
      <c r="J49" s="33" t="s">
        <v>141</v>
      </c>
      <c r="K49" s="4">
        <v>46234</v>
      </c>
      <c r="L49" s="36">
        <v>46253</v>
      </c>
      <c r="M49" s="36"/>
      <c r="N49" s="36" t="s">
        <v>117</v>
      </c>
      <c r="O49" s="66" t="s">
        <v>39</v>
      </c>
      <c r="P49" s="4">
        <v>46241</v>
      </c>
      <c r="Q49" s="36"/>
      <c r="R49" s="36"/>
      <c r="S49" s="70"/>
      <c r="T49" s="55"/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 hidden="1">
      <c r="A50" s="33" t="s">
        <v>112</v>
      </c>
      <c r="B50" s="33" t="s">
        <v>161</v>
      </c>
      <c r="C50" s="33" t="s">
        <v>114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/>
      <c r="H50" s="50">
        <v>46265</v>
      </c>
      <c r="I50" s="62" t="s">
        <v>151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158</v>
      </c>
      <c r="O50" s="66" t="s">
        <v>52</v>
      </c>
      <c r="P50" s="4">
        <v>46241</v>
      </c>
      <c r="Q50" s="36"/>
      <c r="R50" s="36"/>
      <c r="S50" s="70"/>
      <c r="T50" s="55"/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 hidden="1">
      <c r="A51" s="33" t="s">
        <v>112</v>
      </c>
      <c r="B51" s="33" t="s">
        <v>162</v>
      </c>
      <c r="C51" s="33" t="s">
        <v>114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/>
      <c r="H51" s="50">
        <v>46265</v>
      </c>
      <c r="I51" s="62" t="s">
        <v>151</v>
      </c>
      <c r="J51" s="33" t="s">
        <v>76</v>
      </c>
      <c r="K51" s="4">
        <v>46234</v>
      </c>
      <c r="L51" s="36">
        <v>46255</v>
      </c>
      <c r="M51" s="36">
        <v>46255</v>
      </c>
      <c r="N51" s="36" t="s">
        <v>158</v>
      </c>
      <c r="O51" s="66" t="s">
        <v>69</v>
      </c>
      <c r="P51" s="4">
        <v>46241</v>
      </c>
      <c r="Q51" s="36"/>
      <c r="R51" s="36"/>
      <c r="S51" s="70"/>
      <c r="T51" s="55"/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 hidden="1">
      <c r="A52" s="33" t="s">
        <v>112</v>
      </c>
      <c r="B52" s="33" t="s">
        <v>163</v>
      </c>
      <c r="C52" s="33" t="s">
        <v>124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Overdue</v>
      </c>
      <c r="E52" s="33">
        <v>27</v>
      </c>
      <c r="F52" s="34"/>
      <c r="G52" s="33"/>
      <c r="H52" s="50">
        <v>46265</v>
      </c>
      <c r="I52" s="62" t="s">
        <v>151</v>
      </c>
      <c r="J52" s="33" t="s">
        <v>105</v>
      </c>
      <c r="K52" s="4">
        <v>46234</v>
      </c>
      <c r="L52" s="36">
        <v>46253</v>
      </c>
      <c r="M52" s="36"/>
      <c r="N52" s="36" t="s">
        <v>158</v>
      </c>
      <c r="O52" s="66" t="s">
        <v>39</v>
      </c>
      <c r="P52" s="4">
        <v>46241</v>
      </c>
      <c r="Q52" s="36"/>
      <c r="R52" s="36"/>
      <c r="S52" s="70"/>
      <c r="T52" s="55"/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 hidden="1">
      <c r="A53" s="33" t="s">
        <v>112</v>
      </c>
      <c r="B53" s="33" t="s">
        <v>164</v>
      </c>
      <c r="C53" s="33" t="s">
        <v>124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/>
      <c r="G53" s="33"/>
      <c r="H53" s="50">
        <v>46265</v>
      </c>
      <c r="I53" s="62" t="s">
        <v>151</v>
      </c>
      <c r="J53" s="33" t="s">
        <v>68</v>
      </c>
      <c r="K53" s="4">
        <v>46234</v>
      </c>
      <c r="L53" s="36"/>
      <c r="M53" s="36"/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/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 hidden="1">
      <c r="A54" s="33" t="s">
        <v>112</v>
      </c>
      <c r="B54" s="33" t="s">
        <v>165</v>
      </c>
      <c r="C54" s="33" t="s">
        <v>124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Overdue</v>
      </c>
      <c r="E54" s="33">
        <v>30</v>
      </c>
      <c r="F54" s="34"/>
      <c r="G54" s="33"/>
      <c r="H54" s="50">
        <v>46265</v>
      </c>
      <c r="I54" s="62" t="s">
        <v>151</v>
      </c>
      <c r="J54" s="33"/>
      <c r="K54" s="4">
        <v>46234</v>
      </c>
      <c r="L54" s="36"/>
      <c r="M54" s="36"/>
      <c r="N54" s="36"/>
      <c r="O54" s="66" t="s">
        <v>52</v>
      </c>
      <c r="P54" s="4">
        <v>46241</v>
      </c>
      <c r="Q54" s="36"/>
      <c r="R54" s="36"/>
      <c r="S54" s="70"/>
      <c r="T54" s="55"/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 hidden="1">
      <c r="A55" s="33" t="s">
        <v>112</v>
      </c>
      <c r="B55" s="33" t="s">
        <v>166</v>
      </c>
      <c r="C55" s="33" t="s">
        <v>167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168</v>
      </c>
      <c r="J55" s="33"/>
      <c r="K55" s="4">
        <v>46262</v>
      </c>
      <c r="L55" s="36"/>
      <c r="M55" s="36"/>
      <c r="N55" s="36"/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 hidden="1">
      <c r="A56" s="33" t="s">
        <v>112</v>
      </c>
      <c r="B56" s="33" t="s">
        <v>169</v>
      </c>
      <c r="C56" s="33" t="s">
        <v>167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168</v>
      </c>
      <c r="J56" s="33"/>
      <c r="K56" s="4">
        <v>46262</v>
      </c>
      <c r="L56" s="36"/>
      <c r="M56" s="36"/>
      <c r="N56" s="36"/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 hidden="1">
      <c r="A57" s="33" t="s">
        <v>112</v>
      </c>
      <c r="B57" s="33" t="s">
        <v>170</v>
      </c>
      <c r="C57" s="33" t="s">
        <v>167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168</v>
      </c>
      <c r="J57" s="33"/>
      <c r="K57" s="4">
        <v>46262</v>
      </c>
      <c r="L57" s="36"/>
      <c r="M57" s="36"/>
      <c r="N57" s="36"/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 hidden="1">
      <c r="A58" s="33" t="s">
        <v>112</v>
      </c>
      <c r="B58" s="33" t="s">
        <v>171</v>
      </c>
      <c r="C58" s="33" t="s">
        <v>167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168</v>
      </c>
      <c r="J58" s="33"/>
      <c r="K58" s="4">
        <v>46262</v>
      </c>
      <c r="L58" s="36"/>
      <c r="M58" s="36"/>
      <c r="N58" s="36"/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 hidden="1">
      <c r="A59" s="33" t="s">
        <v>112</v>
      </c>
      <c r="B59" s="33" t="s">
        <v>172</v>
      </c>
      <c r="C59" s="33" t="s">
        <v>167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168</v>
      </c>
      <c r="J59" s="33" t="s">
        <v>38</v>
      </c>
      <c r="K59" s="4">
        <v>46262</v>
      </c>
      <c r="L59" s="36"/>
      <c r="M59" s="36"/>
      <c r="N59" s="36" t="s">
        <v>173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 hidden="1">
      <c r="A60" s="33" t="s">
        <v>112</v>
      </c>
      <c r="B60" s="33" t="s">
        <v>174</v>
      </c>
      <c r="C60" s="33" t="s">
        <v>167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168</v>
      </c>
      <c r="J60" s="33"/>
      <c r="K60" s="4">
        <v>46262</v>
      </c>
      <c r="L60" s="36"/>
      <c r="M60" s="36"/>
      <c r="N60" s="36"/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 hidden="1">
      <c r="A61" s="33" t="s">
        <v>112</v>
      </c>
      <c r="B61" s="33" t="s">
        <v>175</v>
      </c>
      <c r="C61" s="33" t="s">
        <v>167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168</v>
      </c>
      <c r="J61" s="33" t="s">
        <v>38</v>
      </c>
      <c r="K61" s="4">
        <v>46262</v>
      </c>
      <c r="L61" s="36"/>
      <c r="M61" s="36"/>
      <c r="N61" s="36" t="s">
        <v>173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 hidden="1">
      <c r="A62" s="33" t="s">
        <v>112</v>
      </c>
      <c r="B62" s="33" t="s">
        <v>176</v>
      </c>
      <c r="C62" s="33" t="s">
        <v>167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168</v>
      </c>
      <c r="J62" s="33"/>
      <c r="K62" s="4">
        <v>46262</v>
      </c>
      <c r="L62" s="36"/>
      <c r="M62" s="36"/>
      <c r="N62" s="36"/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 hidden="1">
      <c r="A63" s="33" t="s">
        <v>112</v>
      </c>
      <c r="B63" s="33" t="s">
        <v>177</v>
      </c>
      <c r="C63" s="33" t="s">
        <v>167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168</v>
      </c>
      <c r="J63" s="33"/>
      <c r="K63" s="4">
        <v>46276</v>
      </c>
      <c r="L63" s="36"/>
      <c r="M63" s="36"/>
      <c r="N63" s="36"/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 hidden="1">
      <c r="A64" s="33" t="s">
        <v>112</v>
      </c>
      <c r="B64" s="33" t="s">
        <v>178</v>
      </c>
      <c r="C64" s="33" t="s">
        <v>167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168</v>
      </c>
      <c r="J64" s="33"/>
      <c r="K64" s="4">
        <v>46276</v>
      </c>
      <c r="L64" s="36"/>
      <c r="M64" s="36"/>
      <c r="N64" s="36"/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 hidden="1">
      <c r="A65" s="33" t="s">
        <v>112</v>
      </c>
      <c r="B65" s="33" t="s">
        <v>179</v>
      </c>
      <c r="C65" s="33" t="s">
        <v>167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168</v>
      </c>
      <c r="J65" s="33"/>
      <c r="K65" s="4">
        <v>46276</v>
      </c>
      <c r="L65" s="36"/>
      <c r="M65" s="36"/>
      <c r="N65" s="36"/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 hidden="1">
      <c r="A66" s="33" t="s">
        <v>112</v>
      </c>
      <c r="B66" s="33" t="s">
        <v>180</v>
      </c>
      <c r="C66" s="33" t="s">
        <v>167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168</v>
      </c>
      <c r="J66" s="33"/>
      <c r="K66" s="4">
        <v>46276</v>
      </c>
      <c r="L66" s="36"/>
      <c r="M66" s="36"/>
      <c r="N66" s="36"/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 hidden="1">
      <c r="A67" s="33" t="s">
        <v>112</v>
      </c>
      <c r="B67" s="33" t="s">
        <v>181</v>
      </c>
      <c r="C67" s="33" t="s">
        <v>167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168</v>
      </c>
      <c r="J67" s="33"/>
      <c r="K67" s="4">
        <v>46276</v>
      </c>
      <c r="L67" s="36"/>
      <c r="M67" s="36"/>
      <c r="N67" s="36"/>
      <c r="O67" s="64"/>
      <c r="P67" s="4">
        <v>46286</v>
      </c>
      <c r="Q67" s="36"/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 hidden="1">
      <c r="A68" s="33" t="s">
        <v>112</v>
      </c>
      <c r="B68" s="33" t="s">
        <v>182</v>
      </c>
      <c r="C68" s="33" t="s">
        <v>167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168</v>
      </c>
      <c r="J68" s="33"/>
      <c r="K68" s="4">
        <v>46276</v>
      </c>
      <c r="L68" s="36"/>
      <c r="M68" s="36"/>
      <c r="N68" s="36"/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 hidden="1">
      <c r="A69" s="33" t="s">
        <v>112</v>
      </c>
      <c r="B69" s="33" t="s">
        <v>183</v>
      </c>
      <c r="C69" s="33" t="s">
        <v>167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168</v>
      </c>
      <c r="J69" s="33"/>
      <c r="K69" s="4">
        <v>46276</v>
      </c>
      <c r="L69" s="36"/>
      <c r="M69" s="36"/>
      <c r="N69" s="36"/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 hidden="1">
      <c r="A70" s="33" t="s">
        <v>112</v>
      </c>
      <c r="B70" s="33" t="s">
        <v>184</v>
      </c>
      <c r="C70" s="33" t="s">
        <v>167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168</v>
      </c>
      <c r="J70" s="33"/>
      <c r="K70" s="4">
        <v>46276</v>
      </c>
      <c r="L70" s="36"/>
      <c r="M70" s="36"/>
      <c r="N70" s="36"/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 hidden="1">
      <c r="A71" s="33" t="s">
        <v>112</v>
      </c>
      <c r="B71" s="33" t="s">
        <v>185</v>
      </c>
      <c r="C71" s="33" t="s">
        <v>167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168</v>
      </c>
      <c r="J71" s="33"/>
      <c r="K71" s="4">
        <v>46276</v>
      </c>
      <c r="L71" s="36"/>
      <c r="M71" s="36"/>
      <c r="N71" s="36"/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 hidden="1">
      <c r="A72" s="33" t="s">
        <v>112</v>
      </c>
      <c r="B72" s="33" t="s">
        <v>186</v>
      </c>
      <c r="C72" s="33" t="s">
        <v>167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168</v>
      </c>
      <c r="J72" s="33"/>
      <c r="K72" s="4">
        <v>46276</v>
      </c>
      <c r="L72" s="36"/>
      <c r="M72" s="36"/>
      <c r="N72" s="36"/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 hidden="1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7"/>
      <c r="Q74" s="31"/>
      <c r="R74" s="31"/>
      <c r="S74" s="72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7"/>
      <c r="Q75" s="31"/>
      <c r="R75" s="31"/>
      <c r="S75" s="72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7"/>
      <c r="Q76" s="31"/>
      <c r="R76" s="31"/>
      <c r="S76" s="72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7"/>
      <c r="Q77" s="31"/>
      <c r="R77" s="31"/>
      <c r="S77" s="72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7"/>
      <c r="Q78" s="31"/>
      <c r="R78" s="31"/>
      <c r="S78" s="72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7"/>
      <c r="Q79" s="31"/>
      <c r="R79" s="31"/>
      <c r="S79" s="72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7"/>
      <c r="Q80" s="31"/>
      <c r="R80" s="31"/>
      <c r="S80" s="72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7"/>
      <c r="Q81" s="31"/>
      <c r="R81" s="31"/>
      <c r="S81" s="72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7"/>
      <c r="Q82" s="31"/>
      <c r="R82" s="31"/>
      <c r="S82" s="72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7"/>
      <c r="Q83" s="31"/>
      <c r="R83" s="31"/>
      <c r="S83" s="72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7"/>
      <c r="Q84" s="31"/>
      <c r="R84" s="31"/>
      <c r="S84" s="72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7"/>
      <c r="Q85" s="31"/>
      <c r="R85" s="31"/>
      <c r="S85" s="72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7"/>
      <c r="Q86" s="31"/>
      <c r="R86" s="31"/>
      <c r="S86" s="72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7"/>
      <c r="Q87" s="31"/>
      <c r="R87" s="31"/>
      <c r="S87" s="72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7"/>
      <c r="Q88" s="31"/>
      <c r="R88" s="31"/>
      <c r="S88" s="72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7"/>
      <c r="Q89" s="31"/>
      <c r="R89" s="31"/>
      <c r="S89" s="72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7"/>
      <c r="Q90" s="31"/>
      <c r="R90" s="31"/>
      <c r="S90" s="72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7"/>
      <c r="Q91" s="31"/>
      <c r="R91" s="31"/>
      <c r="S91" s="72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7"/>
      <c r="Q92" s="31"/>
      <c r="R92" s="31"/>
      <c r="S92" s="72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7"/>
      <c r="Q93" s="31"/>
      <c r="R93" s="31"/>
      <c r="S93" s="72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7"/>
      <c r="Q94" s="31"/>
      <c r="R94" s="31"/>
      <c r="S94" s="72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7"/>
      <c r="Q95" s="31"/>
      <c r="R95" s="31"/>
      <c r="S95" s="72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7"/>
      <c r="Q96" s="31"/>
      <c r="R96" s="31"/>
      <c r="S96" s="72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7"/>
      <c r="Q97" s="31"/>
      <c r="R97" s="31"/>
      <c r="S97" s="72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7"/>
      <c r="Q98" s="31"/>
      <c r="R98" s="31"/>
      <c r="S98" s="72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7"/>
      <c r="Q99" s="31"/>
      <c r="R99" s="31"/>
      <c r="S99" s="72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7"/>
      <c r="Q100" s="31"/>
      <c r="R100" s="31"/>
      <c r="S100" s="72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7"/>
      <c r="Q101" s="31"/>
      <c r="R101" s="31"/>
      <c r="S101" s="72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7"/>
      <c r="Q102" s="31"/>
      <c r="R102" s="31"/>
      <c r="S102" s="72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7"/>
      <c r="Q103" s="31"/>
      <c r="R103" s="31"/>
      <c r="S103" s="72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7"/>
      <c r="Q104" s="31"/>
      <c r="R104" s="31"/>
      <c r="S104" s="72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7"/>
      <c r="Q105" s="31"/>
      <c r="R105" s="31"/>
      <c r="S105" s="72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7"/>
      <c r="Q106" s="31"/>
      <c r="R106" s="31"/>
      <c r="S106" s="72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7"/>
      <c r="Q107" s="31"/>
      <c r="R107" s="31"/>
      <c r="S107" s="72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7"/>
      <c r="Q108" s="31"/>
      <c r="R108" s="31"/>
      <c r="S108" s="72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7"/>
      <c r="Q109" s="31"/>
      <c r="R109" s="31"/>
      <c r="S109" s="72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7"/>
      <c r="Q110" s="31"/>
      <c r="R110" s="31"/>
      <c r="S110" s="72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7"/>
      <c r="Q111" s="31"/>
      <c r="R111" s="31"/>
      <c r="S111" s="72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7"/>
      <c r="Q112" s="31"/>
      <c r="R112" s="31"/>
      <c r="S112" s="72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7"/>
      <c r="Q113" s="31"/>
      <c r="R113" s="31"/>
      <c r="S113" s="72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7"/>
      <c r="Q114" s="31"/>
      <c r="R114" s="31"/>
      <c r="S114" s="72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7"/>
      <c r="Q115" s="31"/>
      <c r="R115" s="31"/>
      <c r="S115" s="72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Z3:AH3 A2:F499 G41:J42 V74:AA499 V2:AH2 V4:AH72 V73:AD73 V3:X3 L41:U42 G43:U499 G2:U40">
    <cfRule type="expression" dxfId="95" priority="34">
      <formula>AND($B2&lt;&gt;"",MOD(ROW(),2)=0)</formula>
    </cfRule>
  </conditionalFormatting>
  <conditionalFormatting sqref="D2:D499"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0">
      <formula>ISNUMBER(SEARCH("no target",$D2))</formula>
    </cfRule>
    <cfRule type="expression" dxfId="91" priority="21">
      <formula>ISNUMBER(SEARCH("Review",$D2))</formula>
    </cfRule>
    <cfRule type="expression" dxfId="90" priority="22">
      <formula>OR($D2="On track",$D2="Delivered")</formula>
    </cfRule>
  </conditionalFormatting>
  <conditionalFormatting sqref="J32:J33 J29 T10:U19 M29:O29 M32:O33 M40:O41">
    <cfRule type="expression" dxfId="89" priority="17">
      <formula>$AF10="Yes – needs PBI Dev to fix"</formula>
    </cfRule>
  </conditionalFormatting>
  <conditionalFormatting sqref="K40:K41">
    <cfRule type="expression" dxfId="88" priority="8">
      <formula>$AF40="Yes – needs PBI Dev to fix"</formula>
    </cfRule>
  </conditionalFormatting>
  <conditionalFormatting sqref="K73:L73">
    <cfRule type="expression" dxfId="87" priority="93">
      <formula>$AB73="Yes – needs DB Dev to fix"</formula>
    </cfRule>
  </conditionalFormatting>
  <conditionalFormatting sqref="K74:L499">
    <cfRule type="expression" dxfId="86" priority="27">
      <formula>$Y74="Yes – needs DB Dev to fix"</formula>
    </cfRule>
  </conditionalFormatting>
  <conditionalFormatting sqref="J2:N164">
    <cfRule type="expression" dxfId="85" priority="1">
      <formula>$AF2="Yes – needs DB Dev to fix"</formula>
    </cfRule>
  </conditionalFormatting>
  <conditionalFormatting sqref="P73">
    <cfRule type="expression" dxfId="84" priority="97">
      <formula>$AB73="Yes – needs PBI Dev to fix"</formula>
    </cfRule>
  </conditionalFormatting>
  <conditionalFormatting sqref="P74:Q499">
    <cfRule type="expression" dxfId="83" priority="29">
      <formula>$Y74="Yes – needs QA to fix"</formula>
    </cfRule>
  </conditionalFormatting>
  <conditionalFormatting sqref="P2:T73">
    <cfRule type="expression" dxfId="82" priority="15">
      <formula>$AF2="Yes – needs PBI Dev to fix"</formula>
    </cfRule>
  </conditionalFormatting>
  <conditionalFormatting sqref="Q73:T73">
    <cfRule type="expression" dxfId="81" priority="99">
      <formula>$AB73="Yes – needs QA to fix"</formula>
    </cfRule>
  </conditionalFormatting>
  <conditionalFormatting sqref="R74:T499">
    <cfRule type="expression" dxfId="80" priority="30">
      <formula>$Y74="Yes – needs DPO Approval to fix"</formula>
    </cfRule>
  </conditionalFormatting>
  <conditionalFormatting sqref="T74:U499">
    <cfRule type="expression" dxfId="79" priority="26">
      <formula>$U74="Yes"</formula>
    </cfRule>
  </conditionalFormatting>
  <conditionalFormatting sqref="T73:V73">
    <cfRule type="expression" dxfId="78" priority="101">
      <formula>$AB73="Yes – needs DPO Approval to fix"</formula>
    </cfRule>
  </conditionalFormatting>
  <conditionalFormatting sqref="T2:X73">
    <cfRule type="expression" dxfId="77" priority="72">
      <formula>$AF2="Yes – needs QA to fix"</formula>
    </cfRule>
  </conditionalFormatting>
  <conditionalFormatting sqref="W73:X73">
    <cfRule type="expression" dxfId="76" priority="103">
      <formula>$W73="Yes"</formula>
    </cfRule>
  </conditionalFormatting>
  <conditionalFormatting sqref="Y74:Y499">
    <cfRule type="expression" dxfId="75" priority="23">
      <formula>LEFT($Y74,3)="Yes"</formula>
    </cfRule>
  </conditionalFormatting>
  <conditionalFormatting sqref="Y2:AA2 Z3:AA3 Y4:AA73">
    <cfRule type="expression" dxfId="74" priority="75">
      <formula>$AF2="Yes – needs DPO Approval to fix"</formula>
    </cfRule>
  </conditionalFormatting>
  <conditionalFormatting sqref="Z74:Z499">
    <cfRule type="expression" dxfId="73" priority="31">
      <formula>ISNUMBER(SEARCH("Move old",$Z74))</formula>
    </cfRule>
    <cfRule type="expression" dxfId="72" priority="31">
      <formula>ISNUMBER(SEARCH("Open rework",$Z74))</formula>
    </cfRule>
    <cfRule type="expression" dxfId="71" priority="31">
      <formula>ISNUMBER(SEARCH("log it",$Z74))</formula>
    </cfRule>
    <cfRule type="expression" dxfId="70" priority="32">
      <formula>ISNUMBER(SEARCH("Duplicate",$Z74))</formula>
    </cfRule>
    <cfRule type="expression" dxfId="69" priority="33">
      <formula>$Z74&lt;&gt;""</formula>
    </cfRule>
  </conditionalFormatting>
  <conditionalFormatting sqref="AB2:AB73">
    <cfRule type="expression" dxfId="68" priority="47">
      <formula>$AB2="Yes"</formula>
    </cfRule>
  </conditionalFormatting>
  <conditionalFormatting sqref="AB73">
    <cfRule type="expression" dxfId="67" priority="105">
      <formula>LEFT($AB73,3)="Yes"</formula>
    </cfRule>
  </conditionalFormatting>
  <conditionalFormatting sqref="AC73">
    <cfRule type="expression" dxfId="66" priority="111">
      <formula>ISNUMBER(SEARCH("Open rework",$AC73))</formula>
    </cfRule>
    <cfRule type="expression" dxfId="65" priority="112">
      <formula>ISNUMBER(SEARCH("Move old",$AC73))</formula>
    </cfRule>
    <cfRule type="expression" dxfId="64" priority="113">
      <formula>ISNUMBER(SEARCH("log it",$AC73))</formula>
    </cfRule>
    <cfRule type="expression" dxfId="63" priority="114">
      <formula>ISNUMBER(SEARCH("Duplicate",$AC73))</formula>
    </cfRule>
    <cfRule type="expression" dxfId="62" priority="115">
      <formula>$AC73&lt;&gt;""</formula>
    </cfRule>
  </conditionalFormatting>
  <conditionalFormatting sqref="AF2:AF73">
    <cfRule type="expression" dxfId="61" priority="49">
      <formula>LEFT($AF2,3)="Yes"</formula>
    </cfRule>
  </conditionalFormatting>
  <conditionalFormatting sqref="AG2:AG73">
    <cfRule type="expression" dxfId="60" priority="55">
      <formula>ISNUMBER(SEARCH("log it",$AG2))</formula>
    </cfRule>
    <cfRule type="expression" dxfId="59" priority="56">
      <formula>ISNUMBER(SEARCH("Open rework",$AG2))</formula>
    </cfRule>
    <cfRule type="expression" dxfId="58" priority="57">
      <formula>ISNUMBER(SEARCH("Move old",$AG2))</formula>
    </cfRule>
    <cfRule type="expression" dxfId="57" priority="58">
      <formula>ISNUMBER(SEARCH("Duplicate",$AG2))</formula>
    </cfRule>
    <cfRule type="expression" dxfId="56" priority="59">
      <formula>$AG2&lt;&gt;""</formula>
    </cfRule>
  </conditionalFormatting>
  <conditionalFormatting sqref="M73:O73">
    <cfRule type="expression" dxfId="55" priority="278">
      <formula>$AA73="Yes – needs PBI Dev to fix"</formula>
    </cfRule>
  </conditionalFormatting>
  <conditionalFormatting sqref="M74:O499">
    <cfRule type="expression" dxfId="54" priority="280">
      <formula>$Y74="Yes – needs PBI Dev to fix"</formula>
    </cfRule>
  </conditionalFormatting>
  <conditionalFormatting sqref="K41">
    <cfRule type="expression" dxfId="53" priority="284">
      <formula>AND($B41&lt;&gt;"",MOD(ROW(),2)=0)</formula>
    </cfRule>
    <cfRule type="expression" dxfId="52" priority="285">
      <formula>$AF41="Yes – needs DB Dev to fix"</formula>
    </cfRule>
  </conditionalFormatting>
  <conditionalFormatting sqref="K42">
    <cfRule type="expression" dxfId="51" priority="286">
      <formula>AND($B41&lt;&gt;"",MOD(ROW(),2)=0)</formula>
    </cfRule>
    <cfRule type="expression" dxfId="50" priority="287">
      <formula>$AF41="Yes – needs DB Dev to fix"</formula>
    </cfRule>
  </conditionalFormatting>
  <conditionalFormatting sqref="Y3">
    <cfRule type="expression" dxfId="49" priority="288">
      <formula>AND($B3&lt;&gt;"",MOD(ROW(),2)=0)</formula>
    </cfRule>
    <cfRule type="expression" dxfId="48" priority="289">
      <formula>$AF3="Yes – needs DPO Approval to fix"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AC2:AC72 H2:H499 Y2:Y73 Z2:Z72 K2:M499 P74:R499 V2:X72 P2:U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J2:J499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187</v>
      </c>
    </row>
    <row r="2" spans="1:5">
      <c r="A2" s="6" t="s">
        <v>188</v>
      </c>
    </row>
    <row r="4" spans="1:5" ht="21.95" customHeight="1">
      <c r="A4" s="5" t="s">
        <v>189</v>
      </c>
      <c r="B4" s="78"/>
      <c r="C4" s="79"/>
      <c r="D4" s="79"/>
      <c r="E4" s="79"/>
    </row>
    <row r="6" spans="1:5">
      <c r="A6" s="42" t="s">
        <v>0</v>
      </c>
      <c r="B6" s="77" t="str">
        <f>IF($B$4="","",IFERROR(INDEX('Combined Delivery Data'!$A:$A,MATCH($B$4,'Combined Delivery Data'!$B:$B,0)),""))</f>
        <v/>
      </c>
      <c r="C6" s="80"/>
      <c r="D6" s="80"/>
      <c r="E6" s="81"/>
    </row>
    <row r="7" spans="1:5">
      <c r="A7" s="42" t="s">
        <v>2</v>
      </c>
      <c r="B7" s="77" t="str">
        <f>IF($B$4="","",IFERROR(INDEX('Combined Delivery Data'!$C:$C,MATCH($B$4,'Combined Delivery Data'!$B:$B,0)),""))</f>
        <v/>
      </c>
      <c r="C7" s="80"/>
      <c r="D7" s="80"/>
      <c r="E7" s="81"/>
    </row>
    <row r="8" spans="1:5">
      <c r="A8" s="42" t="s">
        <v>3</v>
      </c>
      <c r="B8" s="77" t="str">
        <f>IF($B$4="","",IFERROR(INDEX('Combined Delivery Data'!$D:$D,MATCH($B$4,'Combined Delivery Data'!$B:$B,0)),""))</f>
        <v/>
      </c>
      <c r="C8" s="80"/>
      <c r="D8" s="80"/>
      <c r="E8" s="81"/>
    </row>
    <row r="9" spans="1:5">
      <c r="A9" s="42" t="s">
        <v>4</v>
      </c>
      <c r="B9" s="77" t="str">
        <f>IF($B$4="","",IFERROR(INDEX('Combined Delivery Data'!$E:$E,MATCH($B$4,'Combined Delivery Data'!$B:$B,0)),""))</f>
        <v/>
      </c>
      <c r="C9" s="80"/>
      <c r="D9" s="80"/>
      <c r="E9" s="81"/>
    </row>
    <row r="10" spans="1:5">
      <c r="A10" s="42" t="s">
        <v>5</v>
      </c>
      <c r="B10" s="77" t="str">
        <f>IF($B$4="","",IFERROR(INDEX('Combined Delivery Data'!$F:$F,MATCH($B$4,'Combined Delivery Data'!$B:$B,0)),""))</f>
        <v/>
      </c>
      <c r="C10" s="80"/>
      <c r="D10" s="80"/>
      <c r="E10" s="81"/>
    </row>
    <row r="11" spans="1:5">
      <c r="A11" s="42" t="s">
        <v>9</v>
      </c>
      <c r="B11" s="77" t="str">
        <f>IF($B$4="","",IFERROR(INDEX('Combined Delivery Data'!$J:$J,MATCH($B$4,'Combined Delivery Data'!$B:$B,0)),""))</f>
        <v/>
      </c>
      <c r="C11" s="80"/>
      <c r="D11" s="80"/>
      <c r="E11" s="81"/>
    </row>
    <row r="12" spans="1:5">
      <c r="A12" s="42" t="s">
        <v>14</v>
      </c>
      <c r="B12" s="77" t="str">
        <f>IF($B$4="","",IFERROR(INDEX('Combined Delivery Data'!$O:$O,MATCH($B$4,'Combined Delivery Data'!$B:$B,0)),""))</f>
        <v/>
      </c>
      <c r="C12" s="80"/>
      <c r="D12" s="80"/>
      <c r="E12" s="81"/>
    </row>
    <row r="13" spans="1:5">
      <c r="A13" s="42" t="s">
        <v>19</v>
      </c>
      <c r="B13" s="77" t="str">
        <f>IF($B$4="","",IFERROR(INDEX('Combined Delivery Data'!$T:$T,MATCH($B$4,'Combined Delivery Data'!$B:$B,0)),""))</f>
        <v/>
      </c>
      <c r="C13" s="80"/>
      <c r="D13" s="80"/>
      <c r="E13" s="81"/>
    </row>
    <row r="14" spans="1:5">
      <c r="A14" s="42" t="s">
        <v>190</v>
      </c>
      <c r="B14" s="76" t="str">
        <f>IF($B$4="","",IFERROR(INDEX('Combined Delivery Data'!$K:$K,MATCH($B$4,'Combined Delivery Data'!$B:$B,0)),""))</f>
        <v/>
      </c>
      <c r="C14" s="80"/>
      <c r="D14" s="80"/>
      <c r="E14" s="81"/>
    </row>
    <row r="15" spans="1:5">
      <c r="A15" s="42" t="s">
        <v>191</v>
      </c>
      <c r="B15" s="76" t="str">
        <f>IF($B$4="","",IFERROR(INDEX('Combined Delivery Data'!$L:$L,MATCH($B$4,'Combined Delivery Data'!$B:$B,0)),""))</f>
        <v/>
      </c>
      <c r="C15" s="80"/>
      <c r="D15" s="80"/>
      <c r="E15" s="81"/>
    </row>
    <row r="16" spans="1:5">
      <c r="A16" s="42" t="s">
        <v>192</v>
      </c>
      <c r="B16" s="76" t="str">
        <f>IF($B$4="","",IFERROR(INDEX('Combined Delivery Data'!$M:$M,MATCH($B$4,'Combined Delivery Data'!$B:$B,0)),""))</f>
        <v/>
      </c>
      <c r="C16" s="80"/>
      <c r="D16" s="80"/>
      <c r="E16" s="81"/>
    </row>
    <row r="17" spans="1:5">
      <c r="A17" s="42" t="s">
        <v>193</v>
      </c>
      <c r="B17" s="76" t="str">
        <f>IF($B$4="","",IFERROR(INDEX('Combined Delivery Data'!$N:$N,MATCH($B$4,'Combined Delivery Data'!$B:$B,0)),""))</f>
        <v/>
      </c>
      <c r="C17" s="80"/>
      <c r="D17" s="80"/>
      <c r="E17" s="81"/>
    </row>
    <row r="18" spans="1:5">
      <c r="A18" s="42" t="s">
        <v>194</v>
      </c>
      <c r="B18" s="76" t="str">
        <f>IF($B$4="","",IFERROR(INDEX('Combined Delivery Data'!$P:$P,MATCH($B$4,'Combined Delivery Data'!$B:$B,0)),""))</f>
        <v/>
      </c>
      <c r="C18" s="80"/>
      <c r="D18" s="80"/>
      <c r="E18" s="81"/>
    </row>
    <row r="19" spans="1:5">
      <c r="A19" s="42" t="s">
        <v>195</v>
      </c>
      <c r="B19" s="76" t="str">
        <f>IF($B$4="","",IFERROR(INDEX('Combined Delivery Data'!$Q:$Q,MATCH($B$4,'Combined Delivery Data'!$B:$B,0)),""))</f>
        <v/>
      </c>
      <c r="C19" s="80"/>
      <c r="D19" s="80"/>
      <c r="E19" s="81"/>
    </row>
    <row r="20" spans="1:5">
      <c r="A20" s="42" t="s">
        <v>196</v>
      </c>
      <c r="B20" s="76" t="str">
        <f>IF($B$4="","",IFERROR(INDEX('Combined Delivery Data'!$R:$R,MATCH($B$4,'Combined Delivery Data'!$B:$B,0)),""))</f>
        <v/>
      </c>
      <c r="C20" s="80"/>
      <c r="D20" s="80"/>
      <c r="E20" s="81"/>
    </row>
    <row r="21" spans="1:5">
      <c r="A21" s="42" t="s">
        <v>26</v>
      </c>
      <c r="B21" s="77" t="str">
        <f>IF($B$4="","",IFERROR(INDEX('Combined Delivery Data'!$S:$S,MATCH($B$4,'Combined Delivery Data'!$B:$B,0)),""))</f>
        <v/>
      </c>
      <c r="C21" s="80"/>
      <c r="D21" s="80"/>
      <c r="E21" s="81"/>
    </row>
    <row r="22" spans="1:5">
      <c r="A22" s="42" t="s">
        <v>27</v>
      </c>
      <c r="B22" s="77" t="str">
        <f>IF($B$4="","",IFERROR(INDEX('Combined Delivery Data'!$U:$U,MATCH($B$4,'Combined Delivery Data'!$B:$B,0)),""))</f>
        <v/>
      </c>
      <c r="C22" s="80"/>
      <c r="D22" s="80"/>
      <c r="E22" s="81"/>
    </row>
    <row r="23" spans="1:5">
      <c r="A23" s="42" t="s">
        <v>28</v>
      </c>
      <c r="B23" s="76" t="str">
        <f>IF($B$4="","",IFERROR(INDEX('Combined Delivery Data'!$V:$V,MATCH($B$4,'Combined Delivery Data'!$B:$B,0)),""))</f>
        <v/>
      </c>
      <c r="C23" s="80"/>
      <c r="D23" s="80"/>
      <c r="E23" s="81"/>
    </row>
    <row r="24" spans="1:5">
      <c r="A24" s="42" t="s">
        <v>31</v>
      </c>
      <c r="B24" s="77" t="str">
        <f>IF($B$4="","",IFERROR(INDEX('Combined Delivery Data'!$Y:$Y,MATCH($B$4,'Combined Delivery Data'!$B:$B,0)),""))</f>
        <v/>
      </c>
      <c r="C24" s="80"/>
      <c r="D24" s="80"/>
      <c r="E24" s="81"/>
    </row>
    <row r="25" spans="1:5">
      <c r="A25" s="42" t="s">
        <v>32</v>
      </c>
      <c r="B25" s="77" t="str">
        <f>IF($B$4="","",IFERROR(INDEX('Combined Delivery Data'!$Z:$Z,MATCH($B$4,'Combined Delivery Data'!$B:$B,0)),""))</f>
        <v/>
      </c>
      <c r="C25" s="80"/>
      <c r="D25" s="80"/>
      <c r="E25" s="81"/>
    </row>
    <row r="26" spans="1:5">
      <c r="A26" s="42" t="s">
        <v>197</v>
      </c>
      <c r="B26" s="77" t="str">
        <f>IF($B$4="","",IFERROR(INDEX('Rework Log'!$Q:$Q,MATCH($B$4,'Rework Log'!$P:$P,0)),""))</f>
        <v/>
      </c>
      <c r="C26" s="80"/>
      <c r="D26" s="80"/>
      <c r="E26" s="81"/>
    </row>
    <row r="27" spans="1:5">
      <c r="A27" s="42" t="s">
        <v>198</v>
      </c>
      <c r="B27" s="77" t="str">
        <f>IF($B$4="","",IFERROR(INDEX('Rework Log'!$R:$R,MATCH($B$4,'Rework Log'!$P:$P,0)),""))</f>
        <v/>
      </c>
      <c r="C27" s="80"/>
      <c r="D27" s="80"/>
      <c r="E27" s="81"/>
    </row>
    <row r="28" spans="1:5">
      <c r="A28" s="42" t="s">
        <v>199</v>
      </c>
      <c r="B28" s="77" t="str">
        <f>IF($B$4="","",IFERROR(INDEX('Rework Log'!$S:$S,MATCH($B$4,'Rework Log'!$P:$P,0)),""))</f>
        <v/>
      </c>
      <c r="C28" s="80"/>
      <c r="D28" s="80"/>
      <c r="E28" s="81"/>
    </row>
    <row r="29" spans="1:5">
      <c r="A29" s="42" t="s">
        <v>200</v>
      </c>
      <c r="B29" s="77" t="str">
        <f>IF($B$4="","",IFERROR(INDEX('Rework Log'!$T:$T,MATCH($B$4,'Rework Log'!$P:$P,0)),""))</f>
        <v/>
      </c>
      <c r="C29" s="80"/>
      <c r="D29" s="80"/>
      <c r="E29" s="81"/>
    </row>
    <row r="30" spans="1:5" ht="15.6" customHeight="1">
      <c r="A30" s="42"/>
      <c r="B30" s="77"/>
      <c r="C30" s="80"/>
      <c r="D30" s="80"/>
      <c r="E30" s="81"/>
    </row>
    <row r="31" spans="1:5" ht="15.6" customHeight="1">
      <c r="A31" s="5" t="s">
        <v>33</v>
      </c>
      <c r="B31" s="82" t="str">
        <f>IF($B$4="","",IFERROR(INDEX('Combined Delivery Data'!$AA:$AA,MATCH($B$4,'Combined Delivery Data'!$B:$B,0)),""))</f>
        <v/>
      </c>
      <c r="C31" s="79"/>
      <c r="D31" s="79"/>
      <c r="E31" s="79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L11" sqref="L11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5" t="s">
        <v>201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P1" s="83" t="s">
        <v>202</v>
      </c>
      <c r="Q1" s="79"/>
      <c r="R1" s="79"/>
      <c r="S1" s="79"/>
      <c r="T1" s="79"/>
    </row>
    <row r="2" spans="1:20" ht="30" customHeight="1">
      <c r="A2" s="17" t="s">
        <v>1</v>
      </c>
      <c r="B2" s="17" t="s">
        <v>203</v>
      </c>
      <c r="C2" s="17" t="s">
        <v>204</v>
      </c>
      <c r="D2" s="17" t="s">
        <v>205</v>
      </c>
      <c r="E2" s="17" t="s">
        <v>206</v>
      </c>
      <c r="F2" s="17" t="s">
        <v>207</v>
      </c>
      <c r="G2" s="17" t="s">
        <v>208</v>
      </c>
      <c r="H2" s="30" t="s">
        <v>209</v>
      </c>
      <c r="I2" s="30" t="s">
        <v>210</v>
      </c>
      <c r="J2" s="30" t="s">
        <v>211</v>
      </c>
      <c r="K2" s="30" t="s">
        <v>212</v>
      </c>
      <c r="L2" s="30" t="s">
        <v>213</v>
      </c>
      <c r="M2" s="21" t="s">
        <v>214</v>
      </c>
      <c r="N2" s="21" t="s">
        <v>215</v>
      </c>
      <c r="P2" s="13" t="s">
        <v>1</v>
      </c>
      <c r="Q2" s="13" t="s">
        <v>197</v>
      </c>
      <c r="R2" s="13" t="s">
        <v>198</v>
      </c>
      <c r="S2" s="13" t="s">
        <v>199</v>
      </c>
      <c r="T2" s="13" t="s">
        <v>200</v>
      </c>
    </row>
    <row r="3" spans="1:20">
      <c r="A3" s="33" t="s">
        <v>130</v>
      </c>
      <c r="B3" s="36">
        <v>46230</v>
      </c>
      <c r="C3" s="33" t="s">
        <v>114</v>
      </c>
      <c r="D3" s="33" t="s">
        <v>124</v>
      </c>
      <c r="E3" s="33" t="s">
        <v>132</v>
      </c>
      <c r="F3" s="33" t="s">
        <v>216</v>
      </c>
      <c r="G3" s="33" t="s">
        <v>45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17 d</v>
      </c>
      <c r="N3" t="s">
        <v>42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139</v>
      </c>
      <c r="B4" s="32">
        <v>46237</v>
      </c>
      <c r="C4" s="31" t="s">
        <v>114</v>
      </c>
      <c r="D4" s="31" t="s">
        <v>124</v>
      </c>
      <c r="E4" s="31" t="s">
        <v>132</v>
      </c>
      <c r="F4" s="31" t="s">
        <v>217</v>
      </c>
      <c r="G4" s="31" t="s">
        <v>45</v>
      </c>
      <c r="H4" s="32"/>
      <c r="I4" s="32"/>
      <c r="J4" s="32">
        <v>46247</v>
      </c>
      <c r="K4" s="31" t="s">
        <v>52</v>
      </c>
      <c r="L4" s="31" t="s">
        <v>218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219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>
      <c r="A5" s="55" t="s">
        <v>113</v>
      </c>
      <c r="B5" s="32">
        <v>46238</v>
      </c>
      <c r="C5" s="31" t="s">
        <v>114</v>
      </c>
      <c r="D5" s="31" t="s">
        <v>124</v>
      </c>
      <c r="E5" s="31" t="s">
        <v>115</v>
      </c>
      <c r="F5" s="31" t="s">
        <v>220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9 d</v>
      </c>
      <c r="N5" t="s">
        <v>42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>
      <c r="A6" s="55" t="s">
        <v>127</v>
      </c>
      <c r="B6" s="32">
        <v>46234</v>
      </c>
      <c r="C6" s="31" t="s">
        <v>114</v>
      </c>
      <c r="D6" s="31" t="s">
        <v>124</v>
      </c>
      <c r="E6" s="31" t="s">
        <v>115</v>
      </c>
      <c r="F6" s="31" t="s">
        <v>221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13 d</v>
      </c>
      <c r="N6" t="s">
        <v>42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>
      <c r="A7" s="55" t="s">
        <v>119</v>
      </c>
      <c r="B7" s="32">
        <v>46239</v>
      </c>
      <c r="C7" s="31" t="s">
        <v>114</v>
      </c>
      <c r="D7" s="31" t="s">
        <v>124</v>
      </c>
      <c r="E7" s="31" t="s">
        <v>115</v>
      </c>
      <c r="F7" s="31" t="s">
        <v>222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8 d</v>
      </c>
      <c r="N7" t="s">
        <v>42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>
      <c r="A8" s="31"/>
      <c r="B8" s="32"/>
      <c r="C8" s="31" t="s">
        <v>114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>
      <c r="A9" s="31"/>
      <c r="B9" s="32"/>
      <c r="C9" s="31" t="s">
        <v>114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>
      <c r="A10" s="31"/>
      <c r="B10" s="32"/>
      <c r="C10" s="31" t="s">
        <v>114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>
      <c r="A11" s="31"/>
      <c r="B11" s="32"/>
      <c r="C11" s="31" t="s">
        <v>114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>
      <c r="A12" s="31"/>
      <c r="B12" s="32"/>
      <c r="C12" s="31" t="s">
        <v>114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>
      <c r="A13" s="31"/>
      <c r="B13" s="32"/>
      <c r="C13" s="31" t="s">
        <v>114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>
      <c r="A14" s="31"/>
      <c r="B14" s="32"/>
      <c r="C14" s="31" t="s">
        <v>114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>
      <c r="A15" s="31"/>
      <c r="B15" s="32"/>
      <c r="C15" s="31" t="s">
        <v>114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>
      <c r="A16" s="31"/>
      <c r="B16" s="32"/>
      <c r="C16" s="31" t="s">
        <v>114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>
      <c r="A17" s="31"/>
      <c r="B17" s="32"/>
      <c r="C17" s="31" t="s">
        <v>114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>
      <c r="A18" s="31"/>
      <c r="B18" s="32"/>
      <c r="C18" s="31" t="s">
        <v>114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>
      <c r="A19" s="31"/>
      <c r="B19" s="32"/>
      <c r="C19" s="31" t="s">
        <v>114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>
      <c r="A20" s="31"/>
      <c r="B20" s="32"/>
      <c r="C20" s="31" t="s">
        <v>114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>
      <c r="A21" s="31"/>
      <c r="B21" s="32"/>
      <c r="C21" s="31" t="s">
        <v>114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>
      <c r="A22" s="31"/>
      <c r="B22" s="32"/>
      <c r="C22" s="31" t="s">
        <v>114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>
      <c r="A23" s="31"/>
      <c r="B23" s="32"/>
      <c r="C23" s="31" t="s">
        <v>114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>
      <c r="A24" s="31"/>
      <c r="B24" s="32"/>
      <c r="C24" s="31" t="s">
        <v>114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>
      <c r="A25" s="31"/>
      <c r="B25" s="32"/>
      <c r="C25" s="31" t="s">
        <v>114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>
      <c r="A26" s="31"/>
      <c r="B26" s="32"/>
      <c r="C26" s="31" t="s">
        <v>114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>
      <c r="A27" s="31"/>
      <c r="B27" s="32"/>
      <c r="C27" s="31" t="s">
        <v>114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>
      <c r="A28" s="31"/>
      <c r="B28" s="32"/>
      <c r="C28" s="31" t="s">
        <v>114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>
      <c r="A29" s="31"/>
      <c r="B29" s="32"/>
      <c r="C29" s="31" t="s">
        <v>114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>
      <c r="A30" s="31"/>
      <c r="B30" s="32"/>
      <c r="C30" s="31" t="s">
        <v>114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>
      <c r="A31" s="31"/>
      <c r="B31" s="32"/>
      <c r="C31" s="31" t="s">
        <v>114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1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>
      <c r="A32" s="31"/>
      <c r="B32" s="32"/>
      <c r="C32" s="31" t="s">
        <v>114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1</v>
      </c>
      <c r="R32">
        <f>IF($P32="","",SUMPRODUCT(($A$3:$A$500=$P32)*($G$3:$G$500&lt;&gt;"Yes")*($G$3:$G$500&lt;&gt;"Did not pass re-test")))</f>
        <v>1</v>
      </c>
      <c r="S32" s="28">
        <f>IF($P32="","",IF(SUMPRODUCT(MAX(($A$3:$A$500=$P32)*ROW($A$3:$A$500)))=0,"",INDEX($B:$B,SUMPRODUCT(MAX(($A$3:$A$500=$P32)*ROW($A$3:$A$500))))))</f>
        <v>46239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>
      <c r="A33" s="31"/>
      <c r="B33" s="32"/>
      <c r="C33" s="31" t="s">
        <v>114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>
      <c r="A34" s="31"/>
      <c r="B34" s="32"/>
      <c r="C34" s="31" t="s">
        <v>114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0</v>
      </c>
      <c r="R34">
        <f>IF($P34="","",SUMPRODUCT(($A$3:$A$500=$P34)*($G$3:$G$500&lt;&gt;"Yes")*($G$3:$G$500&lt;&gt;"Did not pass re-test")))</f>
        <v>0</v>
      </c>
      <c r="S34" s="28" t="str">
        <f>IF($P34="","",IF(SUMPRODUCT(MAX(($A$3:$A$500=$P34)*ROW($A$3:$A$500)))=0,"",INDEX($B:$B,SUMPRODUCT(MAX(($A$3:$A$500=$P34)*ROW($A$3:$A$500))))))</f>
        <v/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/>
      </c>
    </row>
    <row r="35" spans="1:20">
      <c r="A35" s="31"/>
      <c r="B35" s="32"/>
      <c r="C35" s="31" t="s">
        <v>114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1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>
      <c r="A36" s="31"/>
      <c r="B36" s="32"/>
      <c r="C36" s="31" t="s">
        <v>114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1</v>
      </c>
      <c r="R36">
        <f>IF($P36="","",SUMPRODUCT(($A$3:$A$500=$P36)*($G$3:$G$500&lt;&gt;"Yes")*($G$3:$G$500&lt;&gt;"Did not pass re-test")))</f>
        <v>1</v>
      </c>
      <c r="S36" s="28">
        <f>IF($P36="","",IF(SUMPRODUCT(MAX(($A$3:$A$500=$P36)*ROW($A$3:$A$500)))=0,"",INDEX($B:$B,SUMPRODUCT(MAX(($A$3:$A$500=$P36)*ROW($A$3:$A$500))))))</f>
        <v>46230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>
      <c r="A37" s="31"/>
      <c r="B37" s="32"/>
      <c r="C37" s="31" t="s">
        <v>114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0</v>
      </c>
      <c r="R37">
        <f>IF($P37="","",SUMPRODUCT(($A$3:$A$500=$P37)*($G$3:$G$500&lt;&gt;"Yes")*($G$3:$G$500&lt;&gt;"Did not pass re-test")))</f>
        <v>0</v>
      </c>
      <c r="S37" s="28" t="str">
        <f>IF($P37="","",IF(SUMPRODUCT(MAX(($A$3:$A$500=$P37)*ROW($A$3:$A$500)))=0,"",INDEX($B:$B,SUMPRODUCT(MAX(($A$3:$A$500=$P37)*ROW($A$3:$A$500))))))</f>
        <v/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/>
      </c>
    </row>
    <row r="38" spans="1:20">
      <c r="A38" s="31"/>
      <c r="B38" s="32"/>
      <c r="C38" s="31" t="s">
        <v>114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0</v>
      </c>
      <c r="R38">
        <f>IF($P38="","",SUMPRODUCT(($A$3:$A$500=$P38)*($G$3:$G$500&lt;&gt;"Yes")*($G$3:$G$500&lt;&gt;"Did not pass re-test")))</f>
        <v>0</v>
      </c>
      <c r="S38" s="28" t="str">
        <f>IF($P38="","",IF(SUMPRODUCT(MAX(($A$3:$A$500=$P38)*ROW($A$3:$A$500)))=0,"",INDEX($B:$B,SUMPRODUCT(MAX(($A$3:$A$500=$P38)*ROW($A$3:$A$500))))))</f>
        <v/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/>
      </c>
    </row>
    <row r="39" spans="1:20">
      <c r="A39" s="31"/>
      <c r="B39" s="32"/>
      <c r="C39" s="31" t="s">
        <v>114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0</v>
      </c>
      <c r="R39">
        <f>IF($P39="","",SUMPRODUCT(($A$3:$A$500=$P39)*($G$3:$G$500&lt;&gt;"Yes")*($G$3:$G$500&lt;&gt;"Did not pass re-test")))</f>
        <v>0</v>
      </c>
      <c r="S39" s="28" t="str">
        <f>IF($P39="","",IF(SUMPRODUCT(MAX(($A$3:$A$500=$P39)*ROW($A$3:$A$500)))=0,"",INDEX($B:$B,SUMPRODUCT(MAX(($A$3:$A$500=$P39)*ROW($A$3:$A$500))))))</f>
        <v/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/>
      </c>
    </row>
    <row r="40" spans="1:20">
      <c r="A40" s="31"/>
      <c r="B40" s="32"/>
      <c r="C40" s="31" t="s">
        <v>114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1</v>
      </c>
      <c r="R40">
        <f>IF($P40="","",SUMPRODUCT(($A$3:$A$500=$P40)*($G$3:$G$500&lt;&gt;"Yes")*($G$3:$G$500&lt;&gt;"Did not pass re-test")))</f>
        <v>1</v>
      </c>
      <c r="S40" s="28">
        <f>IF($P40="","",IF(SUMPRODUCT(MAX(($A$3:$A$500=$P40)*ROW($A$3:$A$500)))=0,"",INDEX($B:$B,SUMPRODUCT(MAX(($A$3:$A$500=$P40)*ROW($A$3:$A$500))))))</f>
        <v>46237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>
      <c r="A41" s="31"/>
      <c r="B41" s="32"/>
      <c r="C41" s="31" t="s">
        <v>114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0</v>
      </c>
      <c r="R41">
        <f>IF($P41="","",SUMPRODUCT(($A$3:$A$500=$P41)*($G$3:$G$500&lt;&gt;"Yes")*($G$3:$G$500&lt;&gt;"Did not pass re-test")))</f>
        <v>0</v>
      </c>
      <c r="S41" s="28" t="str">
        <f>IF($P41="","",IF(SUMPRODUCT(MAX(($A$3:$A$500=$P41)*ROW($A$3:$A$500)))=0,"",INDEX($B:$B,SUMPRODUCT(MAX(($A$3:$A$500=$P41)*ROW($A$3:$A$500))))))</f>
        <v/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/>
      </c>
    </row>
    <row r="42" spans="1:20">
      <c r="A42" s="31"/>
      <c r="B42" s="32"/>
      <c r="C42" s="31" t="s">
        <v>114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>
      <c r="A43" s="31"/>
      <c r="B43" s="32"/>
      <c r="C43" s="31" t="s">
        <v>114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>
      <c r="A44" s="31"/>
      <c r="B44" s="32"/>
      <c r="C44" s="31" t="s">
        <v>114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>
      <c r="A45" s="31"/>
      <c r="B45" s="32"/>
      <c r="C45" s="31" t="s">
        <v>114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>
      <c r="A46" s="31"/>
      <c r="B46" s="32"/>
      <c r="C46" s="31" t="s">
        <v>114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>
      <c r="A47" s="31"/>
      <c r="B47" s="32"/>
      <c r="C47" s="31" t="s">
        <v>114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>
      <c r="A48" s="31"/>
      <c r="B48" s="32"/>
      <c r="C48" s="31" t="s">
        <v>114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>
      <c r="A49" s="31"/>
      <c r="B49" s="32"/>
      <c r="C49" s="31" t="s">
        <v>114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>
      <c r="A50" s="31"/>
      <c r="B50" s="32"/>
      <c r="C50" s="31" t="s">
        <v>114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>
      <c r="A51" s="31"/>
      <c r="B51" s="32"/>
      <c r="C51" s="31" t="s">
        <v>114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>
      <c r="A52" s="31"/>
      <c r="B52" s="32"/>
      <c r="C52" s="31" t="s">
        <v>114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>
      <c r="A53" s="31"/>
      <c r="B53" s="32"/>
      <c r="C53" s="31" t="s">
        <v>114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>
      <c r="A54" s="31"/>
      <c r="B54" s="32"/>
      <c r="C54" s="31" t="s">
        <v>114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>
      <c r="A55" s="31"/>
      <c r="B55" s="32"/>
      <c r="C55" s="31" t="s">
        <v>114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>
      <c r="A56" s="31"/>
      <c r="B56" s="32"/>
      <c r="C56" s="31" t="s">
        <v>114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>
      <c r="A57" s="31"/>
      <c r="B57" s="32"/>
      <c r="C57" s="31" t="s">
        <v>114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>
      <c r="A58" s="31"/>
      <c r="B58" s="32"/>
      <c r="C58" s="31" t="s">
        <v>114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>
      <c r="A59" s="31"/>
      <c r="B59" s="32"/>
      <c r="C59" s="31" t="s">
        <v>114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>
      <c r="A60" s="31"/>
      <c r="B60" s="32"/>
      <c r="C60" s="31" t="s">
        <v>114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>
      <c r="A61" s="31"/>
      <c r="B61" s="32"/>
      <c r="C61" s="31" t="s">
        <v>114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>
      <c r="A62" s="31"/>
      <c r="B62" s="32"/>
      <c r="C62" s="31" t="s">
        <v>114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>
      <c r="A63" s="31"/>
      <c r="B63" s="32"/>
      <c r="C63" s="31" t="s">
        <v>114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>
      <c r="A64" s="31"/>
      <c r="B64" s="32"/>
      <c r="C64" s="31" t="s">
        <v>114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>
      <c r="A65" s="31"/>
      <c r="B65" s="32"/>
      <c r="C65" s="31" t="s">
        <v>114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>
      <c r="A66" s="31"/>
      <c r="B66" s="32"/>
      <c r="C66" s="31" t="s">
        <v>114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>
      <c r="A67" s="31"/>
      <c r="B67" s="32"/>
      <c r="C67" s="31" t="s">
        <v>114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114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>
      <c r="A69" s="31"/>
      <c r="B69" s="32"/>
      <c r="C69" s="31" t="s">
        <v>114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>
      <c r="A70" s="31"/>
      <c r="B70" s="32"/>
      <c r="C70" s="31" t="s">
        <v>114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>
      <c r="A71" s="31"/>
      <c r="B71" s="32"/>
      <c r="C71" s="31" t="s">
        <v>114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>
      <c r="A72" s="31"/>
      <c r="B72" s="32"/>
      <c r="C72" s="31" t="s">
        <v>114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67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>
      <c r="A73" s="31"/>
      <c r="B73" s="32"/>
      <c r="C73" s="31" t="s">
        <v>114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>
      <c r="A74" s="31"/>
      <c r="B74" s="32"/>
      <c r="C74" s="31" t="s">
        <v>114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>
      <c r="A75" s="31"/>
      <c r="B75" s="32"/>
      <c r="C75" s="31" t="s">
        <v>114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2"/>
        <v/>
      </c>
      <c r="P75">
        <f>'Combined Delivery Data'!B73</f>
        <v>0</v>
      </c>
      <c r="Q75">
        <f>IF($P75="","",COUNTIF($A$3:$A$500,$P75))</f>
        <v>0</v>
      </c>
      <c r="R75">
        <f>IF($P75="","",SUMPRODUCT(($A$3:$A$500=$P75)*($G$3:$G$500&lt;&gt;"Yes")*($G$3:$G$500&lt;&gt;"Did not pass re-test")))</f>
        <v>493</v>
      </c>
      <c r="S75" s="28">
        <f>IF($P75="","",IF(SUMPRODUCT(MAX(($A$3:$A$500=$P75)*ROW($A$3:$A$500)))=0,"",INDEX($B:$B,SUMPRODUCT(MAX(($A$3:$A$500=$P75)*ROW($A$3:$A$500))))))</f>
        <v>0</v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 xml:space="preserve"> -&gt; </v>
      </c>
    </row>
    <row r="76" spans="1:20">
      <c r="A76" s="31"/>
      <c r="B76" s="32"/>
      <c r="C76" s="31" t="s">
        <v>114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2"/>
        <v/>
      </c>
      <c r="P76">
        <f>'Combined Delivery Data'!B74</f>
        <v>0</v>
      </c>
      <c r="Q76">
        <f>IF($P76="","",COUNTIF($A$3:$A$500,$P76))</f>
        <v>0</v>
      </c>
      <c r="R76">
        <f>IF($P76="","",SUMPRODUCT(($A$3:$A$500=$P76)*($G$3:$G$500&lt;&gt;"Yes")*($G$3:$G$500&lt;&gt;"Did not pass re-test")))</f>
        <v>493</v>
      </c>
      <c r="S76" s="28">
        <f>IF($P76="","",IF(SUMPRODUCT(MAX(($A$3:$A$500=$P76)*ROW($A$3:$A$500)))=0,"",INDEX($B:$B,SUMPRODUCT(MAX(($A$3:$A$500=$P76)*ROW($A$3:$A$500))))))</f>
        <v>0</v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 xml:space="preserve"> -&gt; </v>
      </c>
    </row>
    <row r="77" spans="1:20">
      <c r="A77" s="31"/>
      <c r="B77" s="32"/>
      <c r="C77" s="31" t="s">
        <v>114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2"/>
        <v/>
      </c>
      <c r="P77">
        <f>'Combined Delivery Data'!B75</f>
        <v>0</v>
      </c>
      <c r="Q77">
        <f>IF($P77="","",COUNTIF($A$3:$A$500,$P77))</f>
        <v>0</v>
      </c>
      <c r="R77">
        <f>IF($P77="","",SUMPRODUCT(($A$3:$A$500=$P77)*($G$3:$G$500&lt;&gt;"Yes")*($G$3:$G$500&lt;&gt;"Did not pass re-test")))</f>
        <v>493</v>
      </c>
      <c r="S77" s="28">
        <f>IF($P77="","",IF(SUMPRODUCT(MAX(($A$3:$A$500=$P77)*ROW($A$3:$A$500)))=0,"",INDEX($B:$B,SUMPRODUCT(MAX(($A$3:$A$500=$P77)*ROW($A$3:$A$500))))))</f>
        <v>0</v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 xml:space="preserve"> -&gt; </v>
      </c>
    </row>
    <row r="78" spans="1:20">
      <c r="A78" s="31"/>
      <c r="B78" s="32"/>
      <c r="C78" s="31" t="s">
        <v>114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2"/>
        <v/>
      </c>
      <c r="P78">
        <f>'Combined Delivery Data'!B76</f>
        <v>0</v>
      </c>
      <c r="Q78">
        <f>IF($P78="","",COUNTIF($A$3:$A$500,$P78))</f>
        <v>0</v>
      </c>
      <c r="R78">
        <f>IF($P78="","",SUMPRODUCT(($A$3:$A$500=$P78)*($G$3:$G$500&lt;&gt;"Yes")*($G$3:$G$500&lt;&gt;"Did not pass re-test")))</f>
        <v>493</v>
      </c>
      <c r="S78" s="28">
        <f>IF($P78="","",IF(SUMPRODUCT(MAX(($A$3:$A$500=$P78)*ROW($A$3:$A$500)))=0,"",INDEX($B:$B,SUMPRODUCT(MAX(($A$3:$A$500=$P78)*ROW($A$3:$A$500))))))</f>
        <v>0</v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 xml:space="preserve"> -&gt; </v>
      </c>
    </row>
    <row r="79" spans="1:20">
      <c r="A79" s="31"/>
      <c r="B79" s="32"/>
      <c r="C79" s="31" t="s">
        <v>114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2"/>
        <v/>
      </c>
      <c r="P79">
        <f>'Combined Delivery Data'!B77</f>
        <v>0</v>
      </c>
      <c r="Q79">
        <f>IF($P79="","",COUNTIF($A$3:$A$500,$P79))</f>
        <v>0</v>
      </c>
      <c r="R79">
        <f>IF($P79="","",SUMPRODUCT(($A$3:$A$500=$P79)*($G$3:$G$500&lt;&gt;"Yes")*($G$3:$G$500&lt;&gt;"Did not pass re-test")))</f>
        <v>493</v>
      </c>
      <c r="S79" s="28">
        <f>IF($P79="","",IF(SUMPRODUCT(MAX(($A$3:$A$500=$P79)*ROW($A$3:$A$500)))=0,"",INDEX($B:$B,SUMPRODUCT(MAX(($A$3:$A$500=$P79)*ROW($A$3:$A$500))))))</f>
        <v>0</v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 xml:space="preserve"> -&gt; </v>
      </c>
    </row>
    <row r="80" spans="1:20">
      <c r="A80" s="31"/>
      <c r="B80" s="32"/>
      <c r="C80" s="31" t="s">
        <v>114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2"/>
        <v/>
      </c>
      <c r="P80">
        <f>'Combined Delivery Data'!B78</f>
        <v>0</v>
      </c>
      <c r="Q80">
        <f>IF($P80="","",COUNTIF($A$3:$A$500,$P80))</f>
        <v>0</v>
      </c>
      <c r="R80">
        <f>IF($P80="","",SUMPRODUCT(($A$3:$A$500=$P80)*($G$3:$G$500&lt;&gt;"Yes")*($G$3:$G$500&lt;&gt;"Did not pass re-test")))</f>
        <v>493</v>
      </c>
      <c r="S80" s="28">
        <f>IF($P80="","",IF(SUMPRODUCT(MAX(($A$3:$A$500=$P80)*ROW($A$3:$A$500)))=0,"",INDEX($B:$B,SUMPRODUCT(MAX(($A$3:$A$500=$P80)*ROW($A$3:$A$500))))))</f>
        <v>0</v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 xml:space="preserve"> -&gt; </v>
      </c>
    </row>
    <row r="81" spans="1:20">
      <c r="A81" s="31"/>
      <c r="B81" s="32"/>
      <c r="C81" s="31" t="s">
        <v>114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2"/>
        <v/>
      </c>
      <c r="P81">
        <f>'Combined Delivery Data'!B79</f>
        <v>0</v>
      </c>
      <c r="Q81">
        <f>IF($P81="","",COUNTIF($A$3:$A$500,$P81))</f>
        <v>0</v>
      </c>
      <c r="R81">
        <f>IF($P81="","",SUMPRODUCT(($A$3:$A$500=$P81)*($G$3:$G$500&lt;&gt;"Yes")*($G$3:$G$500&lt;&gt;"Did not pass re-test")))</f>
        <v>493</v>
      </c>
      <c r="S81" s="28">
        <f>IF($P81="","",IF(SUMPRODUCT(MAX(($A$3:$A$500=$P81)*ROW($A$3:$A$500)))=0,"",INDEX($B:$B,SUMPRODUCT(MAX(($A$3:$A$500=$P81)*ROW($A$3:$A$500))))))</f>
        <v>0</v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 xml:space="preserve"> -&gt; </v>
      </c>
    </row>
    <row r="82" spans="1:20">
      <c r="A82" s="31"/>
      <c r="B82" s="32"/>
      <c r="C82" s="31" t="s">
        <v>114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2"/>
        <v/>
      </c>
      <c r="P82">
        <f>'Combined Delivery Data'!B80</f>
        <v>0</v>
      </c>
      <c r="Q82">
        <f>IF($P82="","",COUNTIF($A$3:$A$500,$P82))</f>
        <v>0</v>
      </c>
      <c r="R82">
        <f>IF($P82="","",SUMPRODUCT(($A$3:$A$500=$P82)*($G$3:$G$500&lt;&gt;"Yes")*($G$3:$G$500&lt;&gt;"Did not pass re-test")))</f>
        <v>493</v>
      </c>
      <c r="S82" s="28">
        <f>IF($P82="","",IF(SUMPRODUCT(MAX(($A$3:$A$500=$P82)*ROW($A$3:$A$500)))=0,"",INDEX($B:$B,SUMPRODUCT(MAX(($A$3:$A$500=$P82)*ROW($A$3:$A$500))))))</f>
        <v>0</v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 xml:space="preserve"> -&gt; </v>
      </c>
    </row>
    <row r="83" spans="1:20">
      <c r="A83" s="31"/>
      <c r="B83" s="32"/>
      <c r="C83" s="31" t="s">
        <v>114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2"/>
        <v/>
      </c>
      <c r="P83">
        <f>'Combined Delivery Data'!B81</f>
        <v>0</v>
      </c>
      <c r="Q83">
        <f>IF($P83="","",COUNTIF($A$3:$A$500,$P83))</f>
        <v>0</v>
      </c>
      <c r="R83">
        <f>IF($P83="","",SUMPRODUCT(($A$3:$A$500=$P83)*($G$3:$G$500&lt;&gt;"Yes")*($G$3:$G$500&lt;&gt;"Did not pass re-test")))</f>
        <v>493</v>
      </c>
      <c r="S83" s="28">
        <f>IF($P83="","",IF(SUMPRODUCT(MAX(($A$3:$A$500=$P83)*ROW($A$3:$A$500)))=0,"",INDEX($B:$B,SUMPRODUCT(MAX(($A$3:$A$500=$P83)*ROW($A$3:$A$500))))))</f>
        <v>0</v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 xml:space="preserve"> -&gt; </v>
      </c>
    </row>
    <row r="84" spans="1:20">
      <c r="A84" s="31"/>
      <c r="B84" s="32"/>
      <c r="C84" s="31" t="s">
        <v>114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2"/>
        <v/>
      </c>
      <c r="P84">
        <f>'Combined Delivery Data'!B82</f>
        <v>0</v>
      </c>
      <c r="Q84">
        <f>IF($P84="","",COUNTIF($A$3:$A$500,$P84))</f>
        <v>0</v>
      </c>
      <c r="R84">
        <f>IF($P84="","",SUMPRODUCT(($A$3:$A$500=$P84)*($G$3:$G$500&lt;&gt;"Yes")*($G$3:$G$500&lt;&gt;"Did not pass re-test")))</f>
        <v>493</v>
      </c>
      <c r="S84" s="28">
        <f>IF($P84="","",IF(SUMPRODUCT(MAX(($A$3:$A$500=$P84)*ROW($A$3:$A$500)))=0,"",INDEX($B:$B,SUMPRODUCT(MAX(($A$3:$A$500=$P84)*ROW($A$3:$A$500))))))</f>
        <v>0</v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 xml:space="preserve"> -&gt; </v>
      </c>
    </row>
    <row r="85" spans="1:20">
      <c r="A85" s="31"/>
      <c r="B85" s="32"/>
      <c r="C85" s="31" t="s">
        <v>114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2"/>
        <v/>
      </c>
      <c r="P85">
        <f>'Combined Delivery Data'!B83</f>
        <v>0</v>
      </c>
      <c r="Q85">
        <f>IF($P85="","",COUNTIF($A$3:$A$500,$P85))</f>
        <v>0</v>
      </c>
      <c r="R85">
        <f>IF($P85="","",SUMPRODUCT(($A$3:$A$500=$P85)*($G$3:$G$500&lt;&gt;"Yes")*($G$3:$G$500&lt;&gt;"Did not pass re-test")))</f>
        <v>493</v>
      </c>
      <c r="S85" s="28">
        <f>IF($P85="","",IF(SUMPRODUCT(MAX(($A$3:$A$500=$P85)*ROW($A$3:$A$500)))=0,"",INDEX($B:$B,SUMPRODUCT(MAX(($A$3:$A$500=$P85)*ROW($A$3:$A$500))))))</f>
        <v>0</v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 xml:space="preserve"> -&gt; </v>
      </c>
    </row>
    <row r="86" spans="1:20">
      <c r="A86" s="31"/>
      <c r="B86" s="32"/>
      <c r="C86" s="31" t="s">
        <v>114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2"/>
        <v/>
      </c>
      <c r="P86">
        <f>'Combined Delivery Data'!B84</f>
        <v>0</v>
      </c>
      <c r="Q86">
        <f>IF($P86="","",COUNTIF($A$3:$A$500,$P86))</f>
        <v>0</v>
      </c>
      <c r="R86">
        <f>IF($P86="","",SUMPRODUCT(($A$3:$A$500=$P86)*($G$3:$G$500&lt;&gt;"Yes")*($G$3:$G$500&lt;&gt;"Did not pass re-test")))</f>
        <v>493</v>
      </c>
      <c r="S86" s="28">
        <f>IF($P86="","",IF(SUMPRODUCT(MAX(($A$3:$A$500=$P86)*ROW($A$3:$A$500)))=0,"",INDEX($B:$B,SUMPRODUCT(MAX(($A$3:$A$500=$P86)*ROW($A$3:$A$500))))))</f>
        <v>0</v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 xml:space="preserve"> -&gt; </v>
      </c>
    </row>
    <row r="87" spans="1:20">
      <c r="A87" s="31"/>
      <c r="B87" s="32"/>
      <c r="C87" s="31" t="s">
        <v>114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2"/>
        <v/>
      </c>
      <c r="P87">
        <f>'Combined Delivery Data'!B85</f>
        <v>0</v>
      </c>
      <c r="Q87">
        <f>IF($P87="","",COUNTIF($A$3:$A$500,$P87))</f>
        <v>0</v>
      </c>
      <c r="R87">
        <f>IF($P87="","",SUMPRODUCT(($A$3:$A$500=$P87)*($G$3:$G$500&lt;&gt;"Yes")*($G$3:$G$500&lt;&gt;"Did not pass re-test")))</f>
        <v>493</v>
      </c>
      <c r="S87" s="28">
        <f>IF($P87="","",IF(SUMPRODUCT(MAX(($A$3:$A$500=$P87)*ROW($A$3:$A$500)))=0,"",INDEX($B:$B,SUMPRODUCT(MAX(($A$3:$A$500=$P87)*ROW($A$3:$A$500))))))</f>
        <v>0</v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 xml:space="preserve"> -&gt; </v>
      </c>
    </row>
    <row r="88" spans="1:20">
      <c r="A88" s="31"/>
      <c r="B88" s="32"/>
      <c r="C88" s="31" t="s">
        <v>114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2"/>
        <v/>
      </c>
      <c r="P88">
        <f>'Combined Delivery Data'!B86</f>
        <v>0</v>
      </c>
      <c r="Q88">
        <f>IF($P88="","",COUNTIF($A$3:$A$500,$P88))</f>
        <v>0</v>
      </c>
      <c r="R88">
        <f>IF($P88="","",SUMPRODUCT(($A$3:$A$500=$P88)*($G$3:$G$500&lt;&gt;"Yes")*($G$3:$G$500&lt;&gt;"Did not pass re-test")))</f>
        <v>493</v>
      </c>
      <c r="S88" s="28">
        <f>IF($P88="","",IF(SUMPRODUCT(MAX(($A$3:$A$500=$P88)*ROW($A$3:$A$500)))=0,"",INDEX($B:$B,SUMPRODUCT(MAX(($A$3:$A$500=$P88)*ROW($A$3:$A$500))))))</f>
        <v>0</v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 xml:space="preserve"> -&gt; </v>
      </c>
    </row>
    <row r="89" spans="1:20">
      <c r="A89" s="31"/>
      <c r="B89" s="32"/>
      <c r="C89" s="31" t="s">
        <v>114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2"/>
        <v/>
      </c>
      <c r="P89">
        <f>'Combined Delivery Data'!B87</f>
        <v>0</v>
      </c>
      <c r="Q89">
        <f>IF($P89="","",COUNTIF($A$3:$A$500,$P89))</f>
        <v>0</v>
      </c>
      <c r="R89">
        <f>IF($P89="","",SUMPRODUCT(($A$3:$A$500=$P89)*($G$3:$G$500&lt;&gt;"Yes")*($G$3:$G$500&lt;&gt;"Did not pass re-test")))</f>
        <v>493</v>
      </c>
      <c r="S89" s="28">
        <f>IF($P89="","",IF(SUMPRODUCT(MAX(($A$3:$A$500=$P89)*ROW($A$3:$A$500)))=0,"",INDEX($B:$B,SUMPRODUCT(MAX(($A$3:$A$500=$P89)*ROW($A$3:$A$500))))))</f>
        <v>0</v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 xml:space="preserve"> -&gt; </v>
      </c>
    </row>
    <row r="90" spans="1:20">
      <c r="A90" s="31"/>
      <c r="B90" s="32"/>
      <c r="C90" s="31" t="s">
        <v>114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Data'!B88</f>
        <v>0</v>
      </c>
      <c r="Q90">
        <f>IF($P90="","",COUNTIF($A$3:$A$500,$P90))</f>
        <v>0</v>
      </c>
      <c r="R90">
        <f>IF($P90="","",SUMPRODUCT(($A$3:$A$500=$P90)*($G$3:$G$500&lt;&gt;"Yes")*($G$3:$G$500&lt;&gt;"Did not pass re-test")))</f>
        <v>493</v>
      </c>
      <c r="S90" s="28">
        <f>IF($P90="","",IF(SUMPRODUCT(MAX(($A$3:$A$500=$P90)*ROW($A$3:$A$500)))=0,"",INDEX($B:$B,SUMPRODUCT(MAX(($A$3:$A$500=$P90)*ROW($A$3:$A$500))))))</f>
        <v>0</v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 xml:space="preserve"> -&gt; </v>
      </c>
    </row>
    <row r="91" spans="1:20">
      <c r="A91" s="31"/>
      <c r="B91" s="32"/>
      <c r="C91" s="31" t="s">
        <v>114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Data'!B89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493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>
      <c r="A92" s="31"/>
      <c r="B92" s="32"/>
      <c r="C92" s="31" t="s">
        <v>114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Data'!B90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493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>
      <c r="A93" s="31"/>
      <c r="B93" s="32"/>
      <c r="C93" s="31" t="s">
        <v>114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Data'!B91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493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>
      <c r="A94" s="31"/>
      <c r="B94" s="32"/>
      <c r="C94" s="31" t="s">
        <v>114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Data'!B92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493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>
      <c r="A95" s="31"/>
      <c r="B95" s="32"/>
      <c r="C95" s="31" t="s">
        <v>114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Data'!B93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493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>
      <c r="A96" s="31"/>
      <c r="B96" s="32"/>
      <c r="C96" s="31" t="s">
        <v>114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Data'!B94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493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>
      <c r="A97" s="31"/>
      <c r="B97" s="32"/>
      <c r="C97" s="31" t="s">
        <v>114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Data'!B95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493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>
      <c r="A98" s="31"/>
      <c r="B98" s="32"/>
      <c r="C98" s="31" t="s">
        <v>114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Data'!B96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493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>
      <c r="A99" s="31"/>
      <c r="B99" s="32"/>
      <c r="C99" s="31" t="s">
        <v>114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Data'!B97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493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>
      <c r="A100" s="31"/>
      <c r="B100" s="32"/>
      <c r="C100" s="31" t="s">
        <v>114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Data'!B98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493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>
      <c r="A101" s="31"/>
      <c r="B101" s="32"/>
      <c r="C101" s="31" t="s">
        <v>114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Data'!B99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493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>
      <c r="A102" s="31"/>
      <c r="B102" s="32"/>
      <c r="C102" s="31" t="s">
        <v>114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Data'!B100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493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>
      <c r="A103" s="31"/>
      <c r="B103" s="32"/>
      <c r="C103" s="31" t="s">
        <v>114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Data'!B101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493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>
      <c r="A104" s="31"/>
      <c r="B104" s="32"/>
      <c r="C104" s="31" t="s">
        <v>114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Data'!B102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493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>
      <c r="A105" s="31"/>
      <c r="B105" s="32"/>
      <c r="C105" s="31" t="s">
        <v>114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Data'!B103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493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>
      <c r="A106" s="31"/>
      <c r="B106" s="32"/>
      <c r="C106" s="31" t="s">
        <v>114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Data'!B104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493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>
      <c r="A107" s="31"/>
      <c r="B107" s="32"/>
      <c r="C107" s="31" t="s">
        <v>114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Data'!B105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493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>
      <c r="A108" s="31"/>
      <c r="B108" s="32"/>
      <c r="C108" s="31" t="s">
        <v>114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Data'!B106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493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>
      <c r="A109" s="31"/>
      <c r="B109" s="32"/>
      <c r="C109" s="31" t="s">
        <v>114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Data'!B107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493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>
      <c r="A110" s="31"/>
      <c r="B110" s="32"/>
      <c r="C110" s="31" t="s">
        <v>114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Data'!B108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493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>
      <c r="A111" s="31"/>
      <c r="B111" s="32"/>
      <c r="C111" s="31" t="s">
        <v>114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Data'!B109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493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>
      <c r="A112" s="31"/>
      <c r="B112" s="32"/>
      <c r="C112" s="31" t="s">
        <v>114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Data'!B110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493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>
      <c r="A113" s="31"/>
      <c r="B113" s="32"/>
      <c r="C113" s="31" t="s">
        <v>114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Data'!B111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493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>
      <c r="A114" s="31"/>
      <c r="B114" s="32"/>
      <c r="C114" s="31" t="s">
        <v>114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Data'!B112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493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>
      <c r="A115" s="31"/>
      <c r="B115" s="32"/>
      <c r="C115" s="31" t="s">
        <v>114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Data'!B113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493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>
      <c r="A116" s="31"/>
      <c r="B116" s="32"/>
      <c r="C116" s="31" t="s">
        <v>114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Data'!B114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493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>
      <c r="A117" s="31"/>
      <c r="B117" s="32"/>
      <c r="C117" s="31" t="s">
        <v>114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Data'!B115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493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>
      <c r="A118" s="31"/>
      <c r="B118" s="32"/>
      <c r="C118" s="31" t="s">
        <v>114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Data'!B116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493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>
      <c r="A119" s="31"/>
      <c r="B119" s="32"/>
      <c r="C119" s="31" t="s">
        <v>114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Data'!B117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493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>
      <c r="A120" s="31"/>
      <c r="B120" s="32"/>
      <c r="C120" s="31" t="s">
        <v>114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Data'!B118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493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>
      <c r="A121" s="31"/>
      <c r="B121" s="32"/>
      <c r="C121" s="31" t="s">
        <v>114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Data'!B119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493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>
      <c r="A122" s="31"/>
      <c r="B122" s="32"/>
      <c r="C122" s="31" t="s">
        <v>114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Data'!B120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493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>
      <c r="A123" s="31"/>
      <c r="B123" s="32"/>
      <c r="C123" s="31" t="s">
        <v>114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Data'!B121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493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>
      <c r="A124" s="31"/>
      <c r="B124" s="32"/>
      <c r="C124" s="31" t="s">
        <v>114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Data'!B122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493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>
      <c r="A125" s="31"/>
      <c r="B125" s="32"/>
      <c r="C125" s="31" t="s">
        <v>114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Data'!B123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493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>
      <c r="A126" s="31"/>
      <c r="B126" s="32"/>
      <c r="C126" s="31" t="s">
        <v>114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Data'!B124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493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>
      <c r="A127" s="31"/>
      <c r="B127" s="32"/>
      <c r="C127" s="31" t="s">
        <v>114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Data'!B125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493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>
      <c r="A128" s="31"/>
      <c r="B128" s="32"/>
      <c r="C128" s="31" t="s">
        <v>114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Data'!B126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493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>
      <c r="A129" s="31"/>
      <c r="B129" s="32"/>
      <c r="C129" s="31" t="s">
        <v>114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Data'!B127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493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>
      <c r="A130" s="31"/>
      <c r="B130" s="32"/>
      <c r="C130" s="31" t="s">
        <v>114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Data'!B128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493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>
      <c r="A131" s="31"/>
      <c r="B131" s="32"/>
      <c r="C131" s="31" t="s">
        <v>114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493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114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Data'!B130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493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>
      <c r="A133" s="31"/>
      <c r="B133" s="32"/>
      <c r="C133" s="31" t="s">
        <v>114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Data'!B131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493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>
      <c r="A134" s="31"/>
      <c r="B134" s="32"/>
      <c r="C134" s="31" t="s">
        <v>114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Data'!B132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493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>
      <c r="A135" s="31"/>
      <c r="B135" s="32"/>
      <c r="C135" s="31" t="s">
        <v>114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Data'!B133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493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>
      <c r="A136" s="31"/>
      <c r="B136" s="32"/>
      <c r="C136" s="31" t="s">
        <v>114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Data'!B134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493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>
      <c r="A137" s="31"/>
      <c r="B137" s="32"/>
      <c r="C137" s="31" t="s">
        <v>114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Data'!B135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493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>
      <c r="A138" s="31"/>
      <c r="B138" s="32"/>
      <c r="C138" s="31" t="s">
        <v>114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Data'!B136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493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>
      <c r="A139" s="31"/>
      <c r="B139" s="32"/>
      <c r="C139" s="31" t="s">
        <v>114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Data'!B137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493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>
      <c r="A140" s="31"/>
      <c r="B140" s="32"/>
      <c r="C140" s="31" t="s">
        <v>114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Data'!B138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493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>
      <c r="A141" s="31"/>
      <c r="B141" s="32"/>
      <c r="C141" s="31" t="s">
        <v>114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Data'!B139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493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>
      <c r="A142" s="31"/>
      <c r="B142" s="32"/>
      <c r="C142" s="31" t="s">
        <v>114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Data'!B140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493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>
      <c r="A143" s="31"/>
      <c r="B143" s="32"/>
      <c r="C143" s="31" t="s">
        <v>114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Data'!B141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493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>
      <c r="A144" s="31"/>
      <c r="B144" s="32"/>
      <c r="C144" s="31" t="s">
        <v>114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Data'!B142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493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>
      <c r="A145" s="31"/>
      <c r="B145" s="32"/>
      <c r="C145" s="31" t="s">
        <v>114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Data'!B143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493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>
      <c r="A146" s="31"/>
      <c r="B146" s="32"/>
      <c r="C146" s="31" t="s">
        <v>114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Data'!B144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493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>
      <c r="A147" s="31"/>
      <c r="B147" s="32"/>
      <c r="C147" s="31" t="s">
        <v>114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Data'!B145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493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>
      <c r="A148" s="31"/>
      <c r="B148" s="32"/>
      <c r="C148" s="31" t="s">
        <v>114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Data'!B146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493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>
      <c r="A149" s="31"/>
      <c r="B149" s="32"/>
      <c r="C149" s="31" t="s">
        <v>114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Data'!B147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493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>
      <c r="A150" s="31"/>
      <c r="B150" s="32"/>
      <c r="C150" s="31" t="s">
        <v>114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Data'!B148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493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>
      <c r="A151" s="31"/>
      <c r="B151" s="32"/>
      <c r="C151" s="31" t="s">
        <v>114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Data'!B149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493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>
      <c r="A152" s="31"/>
      <c r="B152" s="32"/>
      <c r="C152" s="31" t="s">
        <v>114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Data'!B150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493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>
      <c r="A153" s="31"/>
      <c r="B153" s="32"/>
      <c r="C153" s="31" t="s">
        <v>114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Data'!B151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493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>
      <c r="A154" s="31"/>
      <c r="B154" s="32"/>
      <c r="C154" s="31" t="s">
        <v>114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Data'!B152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493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>
      <c r="A155" s="31"/>
      <c r="B155" s="32"/>
      <c r="C155" s="31" t="s">
        <v>114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Data'!B153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493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>
      <c r="A156" s="31"/>
      <c r="B156" s="32"/>
      <c r="C156" s="31" t="s">
        <v>114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Data'!B154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493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>
      <c r="A157" s="31"/>
      <c r="B157" s="32"/>
      <c r="C157" s="31" t="s">
        <v>114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Data'!B155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493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>
      <c r="A158" s="31"/>
      <c r="B158" s="32"/>
      <c r="C158" s="31" t="s">
        <v>114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Data'!B156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493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>
      <c r="A159" s="31"/>
      <c r="B159" s="32"/>
      <c r="C159" s="31" t="s">
        <v>114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Data'!B157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493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>
      <c r="A160" s="31"/>
      <c r="B160" s="32"/>
      <c r="C160" s="31" t="s">
        <v>114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Data'!B158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493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>
      <c r="A161" s="31"/>
      <c r="B161" s="32"/>
      <c r="C161" s="31" t="s">
        <v>114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Data'!B159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493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>
      <c r="A162" s="31"/>
      <c r="B162" s="32"/>
      <c r="C162" s="31" t="s">
        <v>114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Data'!B160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493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>
      <c r="A163" s="31"/>
      <c r="B163" s="32"/>
      <c r="C163" s="31" t="s">
        <v>114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Data'!B161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493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>
      <c r="A164" s="31"/>
      <c r="B164" s="32"/>
      <c r="C164" s="31" t="s">
        <v>114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Data'!B162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493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>
      <c r="A165" s="31"/>
      <c r="B165" s="32"/>
      <c r="C165" s="31" t="s">
        <v>114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Data'!B163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493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>
      <c r="A166" s="31"/>
      <c r="B166" s="32"/>
      <c r="C166" s="31" t="s">
        <v>114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Data'!B164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493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>
      <c r="A167" s="31"/>
      <c r="B167" s="32"/>
      <c r="C167" s="31" t="s">
        <v>114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Data'!B165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493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>
      <c r="A168" s="31"/>
      <c r="B168" s="32"/>
      <c r="C168" s="31" t="s">
        <v>114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Data'!B166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493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>
      <c r="A169" s="31"/>
      <c r="B169" s="32"/>
      <c r="C169" s="31" t="s">
        <v>114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Data'!B167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493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>
      <c r="A170" s="31"/>
      <c r="B170" s="32"/>
      <c r="C170" s="31" t="s">
        <v>114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Data'!B168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493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>
      <c r="A171" s="31"/>
      <c r="B171" s="32"/>
      <c r="C171" s="31" t="s">
        <v>114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Data'!B169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493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>
      <c r="A172" s="31"/>
      <c r="B172" s="32"/>
      <c r="C172" s="31" t="s">
        <v>114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Data'!B170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493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>
      <c r="A173" s="31"/>
      <c r="B173" s="32"/>
      <c r="C173" s="31" t="s">
        <v>114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Data'!B171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493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>
      <c r="A174" s="31"/>
      <c r="B174" s="32"/>
      <c r="C174" s="31" t="s">
        <v>114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Data'!B172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493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>
      <c r="A175" s="31"/>
      <c r="B175" s="32"/>
      <c r="C175" s="31" t="s">
        <v>114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Data'!B173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493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>
      <c r="A176" s="31"/>
      <c r="B176" s="32"/>
      <c r="C176" s="31" t="s">
        <v>114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Data'!B174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493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>
      <c r="A177" s="31"/>
      <c r="B177" s="32"/>
      <c r="C177" s="31" t="s">
        <v>114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Data'!B175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493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>
      <c r="A178" s="31"/>
      <c r="B178" s="32"/>
      <c r="C178" s="31" t="s">
        <v>114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Data'!B176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493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>
      <c r="A179" s="31"/>
      <c r="B179" s="32"/>
      <c r="C179" s="31" t="s">
        <v>114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Data'!B177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493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>
      <c r="A180" s="31"/>
      <c r="B180" s="32"/>
      <c r="C180" s="31" t="s">
        <v>114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Data'!B178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493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>
      <c r="A181" s="31"/>
      <c r="B181" s="32"/>
      <c r="C181" s="31" t="s">
        <v>114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Data'!B179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493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>
      <c r="A182" s="31"/>
      <c r="B182" s="32"/>
      <c r="C182" s="31" t="s">
        <v>114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Data'!B180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493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>
      <c r="A183" s="31"/>
      <c r="B183" s="32"/>
      <c r="C183" s="31" t="s">
        <v>114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Data'!B181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493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>
      <c r="A184" s="31"/>
      <c r="B184" s="32"/>
      <c r="C184" s="31" t="s">
        <v>114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Data'!B182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493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>
      <c r="A185" s="31"/>
      <c r="B185" s="32"/>
      <c r="C185" s="31" t="s">
        <v>114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Data'!B183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493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>
      <c r="A186" s="31"/>
      <c r="B186" s="32"/>
      <c r="C186" s="31" t="s">
        <v>114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Data'!B184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493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>
      <c r="A187" s="31"/>
      <c r="B187" s="32"/>
      <c r="C187" s="31" t="s">
        <v>114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Data'!B185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493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>
      <c r="A188" s="31"/>
      <c r="B188" s="32"/>
      <c r="C188" s="31" t="s">
        <v>114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Data'!B186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493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>
      <c r="A189" s="31"/>
      <c r="B189" s="32"/>
      <c r="C189" s="31" t="s">
        <v>114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Data'!B187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493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>
      <c r="A190" s="31"/>
      <c r="B190" s="32"/>
      <c r="C190" s="31" t="s">
        <v>114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Data'!B188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493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>
      <c r="A191" s="31"/>
      <c r="B191" s="32"/>
      <c r="C191" s="31" t="s">
        <v>114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Data'!B189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493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>
      <c r="A192" s="31"/>
      <c r="B192" s="32"/>
      <c r="C192" s="31" t="s">
        <v>114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Data'!B190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493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>
      <c r="A193" s="31"/>
      <c r="B193" s="32"/>
      <c r="C193" s="31" t="s">
        <v>114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Data'!B191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493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>
      <c r="A194" s="31"/>
      <c r="B194" s="32"/>
      <c r="C194" s="31" t="s">
        <v>114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Data'!B192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493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>
      <c r="A195" s="31"/>
      <c r="B195" s="32"/>
      <c r="C195" s="31" t="s">
        <v>114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493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114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Data'!B194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493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>
      <c r="A197" s="31"/>
      <c r="B197" s="32"/>
      <c r="C197" s="31" t="s">
        <v>114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Data'!B195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493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>
      <c r="A198" s="31"/>
      <c r="B198" s="32"/>
      <c r="C198" s="31" t="s">
        <v>114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Data'!B196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493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>
      <c r="A199" s="31"/>
      <c r="B199" s="32"/>
      <c r="C199" s="31" t="s">
        <v>114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Data'!B197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493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>
      <c r="A200" s="31"/>
      <c r="B200" s="32"/>
      <c r="C200" s="31" t="s">
        <v>114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Data'!B198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493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Data'!B199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493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Data'!B200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493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Data'!B201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493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Data'!B202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493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Data'!B203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493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Data'!B204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493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Data'!B205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493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Data'!B206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493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Data'!B207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493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Data'!B208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493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Data'!B209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493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Data'!B210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493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Data'!B211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493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Data'!B212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493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Data'!B213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493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Data'!B214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493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Data'!B215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493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Data'!B216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493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Data'!B217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493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Data'!B218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493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Data'!B219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493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Data'!B220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493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Data'!B221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493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Data'!B222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493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Data'!B223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493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Data'!B224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493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Data'!B225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493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Data'!B226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493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Data'!B227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493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Data'!B228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493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Data'!B229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493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Data'!B230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493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Data'!B231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493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Data'!B232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493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Data'!B233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493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Data'!B234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493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Data'!B235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493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Data'!B236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493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Data'!B237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493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Data'!B238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493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Data'!B239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493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Data'!B240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493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Data'!B241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493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Data'!B242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493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Data'!B243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493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Data'!B244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493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Data'!B245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493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Data'!B246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493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Data'!B247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493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Data'!B248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493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Data'!B249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493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Data'!B250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493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Data'!B251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493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Data'!B252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493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Data'!B253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493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Data'!B254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493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Data'!B255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493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Data'!B256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493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493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Data'!B258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493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Data'!B259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493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Data'!B260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493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Data'!B261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493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Data'!B262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493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Data'!B263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493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Data'!B264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493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Data'!B265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493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Data'!B266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493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Data'!B267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493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Data'!B268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493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Data'!B269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493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Data'!B270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493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Data'!B271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493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Data'!B272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493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Data'!B273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493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Data'!B274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493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Data'!B275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493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Data'!B276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493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Data'!B277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493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Data'!B278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493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Data'!B279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493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Data'!B280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493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Data'!B281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493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Data'!B282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493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Data'!B283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493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Data'!B284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493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Data'!B285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493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Data'!B286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493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Data'!B287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493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Data'!B288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493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Data'!B289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493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Data'!B290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493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Data'!B291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493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Data'!B292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493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Data'!B293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493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Data'!B294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493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Data'!B295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493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Data'!B296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493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Data'!B297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493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Data'!B298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493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Data'!B299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493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Data'!B300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493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Data'!B301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493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Data'!B302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493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Data'!B303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493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Data'!B304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493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Data'!B305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493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Data'!B306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493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Data'!B307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493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Data'!B308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493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Data'!B309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493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Data'!B310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493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Data'!B311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493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Data'!B312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493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Data'!B313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493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Data'!B314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493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Data'!B315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493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Data'!B316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493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Data'!B317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493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Data'!B318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493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Data'!B319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493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Data'!B320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493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493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Data'!B322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493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Data'!B323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493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Data'!B324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493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Data'!B325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493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Data'!B326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493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Data'!B327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493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Data'!B328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493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Data'!B329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493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Data'!B330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493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Data'!B331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493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Data'!B332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493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Data'!B333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493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Data'!B334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493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Data'!B335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493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Data'!B336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493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Data'!B337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493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Data'!B338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493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Data'!B339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493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Data'!B340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493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Data'!B341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493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Data'!B342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493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Data'!B343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493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Data'!B344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493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Data'!B345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493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Data'!B346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493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Data'!B347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493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Data'!B348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493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Data'!B349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493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Data'!B350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493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Data'!B351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493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Data'!B352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493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Data'!B353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493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Data'!B354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493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Data'!B355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493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Data'!B356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493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Data'!B357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493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Data'!B358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493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Data'!B359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493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Data'!B360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493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Data'!B361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493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Data'!B362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493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Data'!B363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493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Data'!B364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493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Data'!B365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493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Data'!B366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493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Data'!B367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493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Data'!B368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493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Data'!B369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493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Data'!B370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493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Data'!B371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493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Data'!B372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493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Data'!B373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493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Data'!B374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493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Data'!B375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493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Data'!B376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493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Data'!B377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493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Data'!B378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493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Data'!B379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493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Data'!B380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493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Data'!B381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493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Data'!B382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493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Data'!B383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493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Data'!B384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493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493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Data'!B386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493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Data'!B387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493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Data'!B388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493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Data'!B389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493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Data'!B390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493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Data'!B391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493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Data'!B392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493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Data'!B393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493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Data'!B394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493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Data'!B395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493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Data'!B396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493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Data'!B397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493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Data'!B398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493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Data'!B399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493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Data'!B400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493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Data'!B401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493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Data'!B402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493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Data'!B403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493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Data'!B404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493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Data'!B405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493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Data'!B406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493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Data'!B407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493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Data'!B408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493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Data'!B409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493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Data'!B410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493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Data'!B411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493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Data'!B412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493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Data'!B413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493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Data'!B414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493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Data'!B415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493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Data'!B416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493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Data'!B417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493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Data'!B418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493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Data'!B419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493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Data'!B420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493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Data'!B421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493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Data'!B422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493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Data'!B423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493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Data'!B424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493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Data'!B425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493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Data'!B426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493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Data'!B427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493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Data'!B428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493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Data'!B429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493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Data'!B430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493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Data'!B431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493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Data'!B432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493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Data'!B433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493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Data'!B434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493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Data'!B435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493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Data'!B436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493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Data'!B437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493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Data'!B438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493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Data'!B439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493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Data'!B440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493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Data'!B441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493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Data'!B442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493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Data'!B443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493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Data'!B444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493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Data'!B445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493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Data'!B446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493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Data'!B447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493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Data'!B448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493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493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Data'!B450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493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Data'!B451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493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Data'!B452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493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Data'!B453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493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Data'!B454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493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Data'!B455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493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Data'!B456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493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Data'!B457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493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Data'!B458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493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Data'!B459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493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Data'!B460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493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Data'!B461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493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Data'!B462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493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Data'!B463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493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Data'!B464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493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Data'!B465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493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Data'!B466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493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Data'!B467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493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Data'!B468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493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Data'!B469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493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Data'!B470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493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Data'!B471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493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Data'!B472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493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Data'!B473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493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Data'!B474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493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Data'!B475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493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Data'!B476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493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Data'!B477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493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Data'!B478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493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Data'!B479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493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Data'!B480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493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Data'!B481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493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Data'!B482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493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Data'!B483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493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Data'!B484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493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Data'!B485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493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Data'!B486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493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Data'!B487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493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Data'!B488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493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Data'!B489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493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Data'!B490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493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Data'!B491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493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Data'!B492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493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Data'!B493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493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Data'!B494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493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Data'!B495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493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Data'!B496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493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Data'!B497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493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Data'!B498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493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7">
    <cfRule type="expression" dxfId="12" priority="1">
      <formula>AND($B5&lt;&gt;"",MOD(ROW(),2)=0)</formula>
    </cfRule>
  </conditionalFormatting>
  <conditionalFormatting sqref="A3:H3 K3:M3 A4:M4 B5:M7 A8:M500 M4:M71">
    <cfRule type="expression" dxfId="11" priority="11">
      <formula>AND($A3&lt;&gt;"",$G3="Yes")</formula>
    </cfRule>
    <cfRule type="expression" dxfId="10" priority="12">
      <formula>AND($A3&lt;&gt;"",$J3&lt;&gt;"")</formula>
    </cfRule>
    <cfRule type="expression" dxfId="9" priority="13">
      <formula>$A3&lt;&gt;""</formula>
    </cfRule>
  </conditionalFormatting>
  <conditionalFormatting sqref="C3:C200">
    <cfRule type="expression" dxfId="8" priority="14">
      <formula>$A3=""</formula>
    </cfRule>
  </conditionalFormatting>
  <conditionalFormatting sqref="G3:G200">
    <cfRule type="expression" dxfId="7" priority="15">
      <formula>$A3=""</formula>
    </cfRule>
  </conditionalFormatting>
  <conditionalFormatting sqref="K3:M3 A4:M4 B5:M7 A8:M500 A3:H3 M4:M71">
    <cfRule type="expression" dxfId="6" priority="10">
      <formula>AND($A3&lt;&gt;"",$G3="Did not pass re-test")</formula>
    </cfRule>
  </conditionalFormatting>
  <conditionalFormatting sqref="M3:M500">
    <cfRule type="expression" dxfId="5" priority="4">
      <formula>ISNUMBER(SEARCH("Sent back again",$M3))</formula>
    </cfRule>
    <cfRule type="expression" dxfId="4" priority="5">
      <formula>ISNUMBER(SEARCH("LATE",$M3))</formula>
    </cfRule>
    <cfRule type="expression" dxfId="3" priority="6">
      <formula>ISNUMBER(SEARCH("UNCLAIMED",$M3))</formula>
    </cfRule>
    <cfRule type="expression" dxfId="2" priority="7">
      <formula>ISNUMBER(SEARCH("Missing",$M3))</formula>
    </cfRule>
    <cfRule type="expression" dxfId="1" priority="8">
      <formula>ISNUMBER(SEARCH("Fixed in",$M3))</formula>
    </cfRule>
    <cfRule type="expression" dxfId="0" priority="9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4" t="s">
        <v>223</v>
      </c>
      <c r="B1" s="79"/>
      <c r="C1" s="79"/>
      <c r="D1" s="79"/>
      <c r="E1" s="79"/>
      <c r="F1" s="79"/>
      <c r="G1" s="79"/>
      <c r="H1" s="79"/>
      <c r="I1" s="79"/>
      <c r="J1" s="79"/>
    </row>
    <row r="2" spans="1:10" ht="27" customHeight="1">
      <c r="A2" s="8" t="s">
        <v>0</v>
      </c>
      <c r="B2" s="8" t="s">
        <v>224</v>
      </c>
      <c r="C2" s="8" t="s">
        <v>1</v>
      </c>
      <c r="D2" s="8" t="s">
        <v>225</v>
      </c>
      <c r="E2" s="8" t="s">
        <v>226</v>
      </c>
      <c r="F2" s="8" t="s">
        <v>6</v>
      </c>
      <c r="G2" s="8" t="s">
        <v>5</v>
      </c>
      <c r="H2" s="8" t="s">
        <v>227</v>
      </c>
      <c r="I2" s="8" t="s">
        <v>228</v>
      </c>
      <c r="J2" s="8" t="s">
        <v>229</v>
      </c>
    </row>
    <row r="3" spans="1:10" ht="14.25" customHeight="1">
      <c r="A3" s="9" t="s">
        <v>34</v>
      </c>
      <c r="B3" s="9" t="s">
        <v>124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131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114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230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124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131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114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230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124</v>
      </c>
      <c r="C13" s="9" t="s">
        <v>231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131</v>
      </c>
      <c r="C14" s="9" t="s">
        <v>231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114</v>
      </c>
      <c r="C15" s="9" t="s">
        <v>231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230</v>
      </c>
      <c r="C16" s="9" t="s">
        <v>231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231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124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131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114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230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124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131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114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230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124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131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114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230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124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131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114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230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124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131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114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230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124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131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114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230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124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131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114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230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124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131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114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230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124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131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114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230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124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131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114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230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124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131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114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230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124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131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114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230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124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131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114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230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124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131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114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230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124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131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114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230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124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131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114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230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124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131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114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230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124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131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114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230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124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131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114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230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124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131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114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230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124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131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114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124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131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114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230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124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131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114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230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124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131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114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230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124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131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114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230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124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131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114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124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131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114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124</v>
      </c>
      <c r="C147" s="9" t="s">
        <v>121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131</v>
      </c>
      <c r="C148" s="9" t="s">
        <v>121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114</v>
      </c>
      <c r="C149" s="9" t="s">
        <v>121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124</v>
      </c>
      <c r="C150" s="9" t="s">
        <v>123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131</v>
      </c>
      <c r="C151" s="9" t="s">
        <v>123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114</v>
      </c>
      <c r="C152" s="9" t="s">
        <v>123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124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131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114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124</v>
      </c>
      <c r="C156" s="9" t="s">
        <v>130</v>
      </c>
      <c r="D156" s="9" t="s">
        <v>76</v>
      </c>
      <c r="E156" s="9" t="s">
        <v>52</v>
      </c>
      <c r="F156" s="9"/>
      <c r="G156" s="9" t="s">
        <v>132</v>
      </c>
      <c r="H156" s="9"/>
      <c r="I156" s="9"/>
      <c r="J156" s="9"/>
    </row>
    <row r="157" spans="1:10">
      <c r="A157" s="3" t="s">
        <v>112</v>
      </c>
      <c r="B157" s="3" t="s">
        <v>124</v>
      </c>
      <c r="C157" s="3" t="s">
        <v>134</v>
      </c>
      <c r="D157" s="3" t="s">
        <v>105</v>
      </c>
      <c r="E157" s="3" t="s">
        <v>39</v>
      </c>
      <c r="F157" s="3"/>
      <c r="G157" s="3" t="s">
        <v>132</v>
      </c>
      <c r="H157" s="3"/>
      <c r="I157" s="3"/>
      <c r="J157" s="3"/>
    </row>
    <row r="158" spans="1:10">
      <c r="A158" s="3" t="s">
        <v>112</v>
      </c>
      <c r="B158" s="3" t="s">
        <v>124</v>
      </c>
      <c r="C158" s="3" t="s">
        <v>136</v>
      </c>
      <c r="D158" s="3" t="s">
        <v>105</v>
      </c>
      <c r="E158" s="3" t="s">
        <v>39</v>
      </c>
      <c r="F158" s="3"/>
      <c r="G158" s="3" t="s">
        <v>132</v>
      </c>
      <c r="H158" s="3"/>
      <c r="I158" s="3"/>
      <c r="J158" s="3"/>
    </row>
    <row r="159" spans="1:10">
      <c r="A159" s="3" t="s">
        <v>112</v>
      </c>
      <c r="B159" s="3" t="s">
        <v>131</v>
      </c>
      <c r="C159" s="3" t="s">
        <v>136</v>
      </c>
      <c r="D159" s="3" t="s">
        <v>105</v>
      </c>
      <c r="E159" s="3" t="s">
        <v>39</v>
      </c>
      <c r="F159" s="3"/>
      <c r="G159" s="3" t="s">
        <v>132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114</v>
      </c>
      <c r="C160" s="3" t="s">
        <v>136</v>
      </c>
      <c r="D160" s="3" t="s">
        <v>105</v>
      </c>
      <c r="E160" s="3" t="s">
        <v>39</v>
      </c>
      <c r="F160" s="3"/>
      <c r="G160" s="3" t="s">
        <v>132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124</v>
      </c>
      <c r="C161" s="3" t="s">
        <v>137</v>
      </c>
      <c r="D161" s="3" t="s">
        <v>76</v>
      </c>
      <c r="E161" s="3" t="s">
        <v>52</v>
      </c>
      <c r="F161" s="3"/>
      <c r="G161" s="3" t="s">
        <v>132</v>
      </c>
      <c r="H161" s="3"/>
      <c r="I161" s="3"/>
      <c r="J161" s="3"/>
    </row>
    <row r="162" spans="1:10">
      <c r="A162" s="3" t="s">
        <v>112</v>
      </c>
      <c r="B162" s="3" t="s">
        <v>131</v>
      </c>
      <c r="C162" s="3" t="s">
        <v>137</v>
      </c>
      <c r="D162" s="3" t="s">
        <v>76</v>
      </c>
      <c r="E162" s="3" t="s">
        <v>52</v>
      </c>
      <c r="F162" s="3"/>
      <c r="G162" s="3" t="s">
        <v>132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114</v>
      </c>
      <c r="C163" s="3" t="s">
        <v>137</v>
      </c>
      <c r="D163" s="3" t="s">
        <v>76</v>
      </c>
      <c r="E163" s="3" t="s">
        <v>52</v>
      </c>
      <c r="F163" s="3"/>
      <c r="G163" s="3" t="s">
        <v>132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124</v>
      </c>
      <c r="C164" s="3" t="s">
        <v>139</v>
      </c>
      <c r="D164" s="3" t="s">
        <v>141</v>
      </c>
      <c r="E164" s="3" t="s">
        <v>52</v>
      </c>
      <c r="F164" s="3"/>
      <c r="G164" s="3" t="s">
        <v>132</v>
      </c>
      <c r="H164" s="3"/>
      <c r="I164" s="3"/>
      <c r="J164" s="3"/>
    </row>
    <row r="165" spans="1:10">
      <c r="A165" s="3" t="s">
        <v>112</v>
      </c>
      <c r="B165" s="3" t="s">
        <v>131</v>
      </c>
      <c r="C165" s="3" t="s">
        <v>139</v>
      </c>
      <c r="D165" s="3" t="s">
        <v>141</v>
      </c>
      <c r="E165" s="3" t="s">
        <v>52</v>
      </c>
      <c r="F165" s="3"/>
      <c r="G165" s="3" t="s">
        <v>132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114</v>
      </c>
      <c r="C166" s="3" t="s">
        <v>139</v>
      </c>
      <c r="D166" s="3" t="s">
        <v>141</v>
      </c>
      <c r="E166" s="3" t="s">
        <v>52</v>
      </c>
      <c r="F166" s="3"/>
      <c r="G166" s="3" t="s">
        <v>132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124</v>
      </c>
      <c r="C167" s="3" t="s">
        <v>142</v>
      </c>
      <c r="D167" s="3" t="s">
        <v>141</v>
      </c>
      <c r="E167" s="3" t="s">
        <v>69</v>
      </c>
      <c r="F167" s="3"/>
      <c r="G167" s="3" t="s">
        <v>132</v>
      </c>
      <c r="H167" s="3"/>
      <c r="I167" s="3"/>
      <c r="J167" s="3"/>
    </row>
    <row r="168" spans="1:10">
      <c r="A168" s="3" t="s">
        <v>112</v>
      </c>
      <c r="B168" s="3" t="s">
        <v>131</v>
      </c>
      <c r="C168" s="3" t="s">
        <v>142</v>
      </c>
      <c r="D168" s="3" t="s">
        <v>141</v>
      </c>
      <c r="E168" s="3" t="s">
        <v>69</v>
      </c>
      <c r="F168" s="3"/>
      <c r="G168" s="3" t="s">
        <v>132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114</v>
      </c>
      <c r="C169" s="3" t="s">
        <v>142</v>
      </c>
      <c r="D169" s="3" t="s">
        <v>141</v>
      </c>
      <c r="E169" s="3" t="s">
        <v>69</v>
      </c>
      <c r="F169" s="3"/>
      <c r="G169" s="3" t="s">
        <v>132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124</v>
      </c>
      <c r="C170" s="3" t="s">
        <v>144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131</v>
      </c>
      <c r="C171" s="3" t="s">
        <v>144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114</v>
      </c>
      <c r="C172" s="3" t="s">
        <v>144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124</v>
      </c>
      <c r="C173" s="3" t="s">
        <v>146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131</v>
      </c>
      <c r="C174" s="3" t="s">
        <v>146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114</v>
      </c>
      <c r="C175" s="3" t="s">
        <v>146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124</v>
      </c>
      <c r="C176" s="3" t="s">
        <v>147</v>
      </c>
      <c r="D176" s="3" t="s">
        <v>68</v>
      </c>
      <c r="E176" s="3" t="s">
        <v>69</v>
      </c>
      <c r="F176" s="3"/>
      <c r="G176" s="3" t="s">
        <v>132</v>
      </c>
      <c r="H176" s="3"/>
      <c r="I176" s="3"/>
      <c r="J176" s="3"/>
    </row>
    <row r="177" spans="1:10">
      <c r="A177" s="3" t="s">
        <v>112</v>
      </c>
      <c r="B177" s="3" t="s">
        <v>131</v>
      </c>
      <c r="C177" s="3" t="s">
        <v>147</v>
      </c>
      <c r="D177" s="3" t="s">
        <v>68</v>
      </c>
      <c r="E177" s="3" t="s">
        <v>69</v>
      </c>
      <c r="F177" s="3"/>
      <c r="G177" s="3" t="s">
        <v>132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114</v>
      </c>
      <c r="C178" s="3" t="s">
        <v>147</v>
      </c>
      <c r="D178" s="3" t="s">
        <v>68</v>
      </c>
      <c r="E178" s="3" t="s">
        <v>69</v>
      </c>
      <c r="F178" s="3"/>
      <c r="G178" s="3" t="s">
        <v>132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124</v>
      </c>
      <c r="C179" s="3" t="s">
        <v>149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131</v>
      </c>
      <c r="C180" s="3" t="s">
        <v>149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114</v>
      </c>
      <c r="C181" s="3" t="s">
        <v>149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124</v>
      </c>
      <c r="C182" s="3" t="s">
        <v>155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131</v>
      </c>
      <c r="C183" s="3" t="s">
        <v>155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114</v>
      </c>
      <c r="C184" s="3" t="s">
        <v>155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5" t="s">
        <v>232</v>
      </c>
      <c r="B1" s="79"/>
      <c r="C1" s="79"/>
    </row>
    <row r="2" spans="1:3" ht="14.25" customHeight="1">
      <c r="A2" s="8" t="s">
        <v>0</v>
      </c>
      <c r="B2" s="8" t="s">
        <v>233</v>
      </c>
      <c r="C2" s="8" t="s">
        <v>228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234</v>
      </c>
      <c r="B11" s="11">
        <v>18</v>
      </c>
      <c r="C11" s="12">
        <v>46386</v>
      </c>
    </row>
    <row r="12" spans="1:3" ht="14.25" customHeight="1">
      <c r="A12" s="11" t="s">
        <v>234</v>
      </c>
      <c r="B12" s="11">
        <v>18</v>
      </c>
      <c r="C12" s="12">
        <v>46417</v>
      </c>
    </row>
    <row r="13" spans="1:3" ht="14.25" customHeight="1">
      <c r="A13" s="11" t="s">
        <v>234</v>
      </c>
      <c r="B13" s="11">
        <v>19</v>
      </c>
      <c r="C13" s="12">
        <v>46446</v>
      </c>
    </row>
    <row r="14" spans="1:3" ht="14.25" customHeight="1">
      <c r="A14" s="11" t="s">
        <v>235</v>
      </c>
      <c r="B14" s="11">
        <v>9</v>
      </c>
      <c r="C14" s="12">
        <v>46476</v>
      </c>
    </row>
    <row r="15" spans="1:3" ht="14.25" customHeight="1">
      <c r="A15" s="11" t="s">
        <v>236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237</v>
      </c>
      <c r="F1" s="1" t="s">
        <v>2</v>
      </c>
      <c r="G1" s="5" t="s">
        <v>238</v>
      </c>
      <c r="H1" s="5" t="s">
        <v>19</v>
      </c>
      <c r="I1" t="s">
        <v>31</v>
      </c>
      <c r="J1" s="5" t="s">
        <v>239</v>
      </c>
      <c r="K1" s="5" t="s">
        <v>230</v>
      </c>
      <c r="L1" s="5" t="s">
        <v>208</v>
      </c>
      <c r="M1" s="1" t="s">
        <v>240</v>
      </c>
      <c r="N1" s="1" t="s">
        <v>241</v>
      </c>
    </row>
    <row r="2" spans="1:14" ht="13.5" customHeight="1">
      <c r="A2" s="2" t="s">
        <v>242</v>
      </c>
      <c r="B2" s="2" t="s">
        <v>243</v>
      </c>
      <c r="C2" s="2" t="s">
        <v>244</v>
      </c>
      <c r="D2" s="2" t="s">
        <v>245</v>
      </c>
      <c r="E2" s="2" t="s">
        <v>246</v>
      </c>
      <c r="F2" s="2" t="s">
        <v>247</v>
      </c>
      <c r="G2" t="s">
        <v>248</v>
      </c>
      <c r="H2" t="s">
        <v>249</v>
      </c>
      <c r="I2" t="s">
        <v>250</v>
      </c>
      <c r="J2" s="29" t="s">
        <v>251</v>
      </c>
      <c r="K2" s="29" t="s">
        <v>252</v>
      </c>
      <c r="L2" s="29" t="s">
        <v>253</v>
      </c>
      <c r="M2" t="s">
        <v>132</v>
      </c>
      <c r="N2" s="45" t="s">
        <v>254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167</v>
      </c>
      <c r="G3" t="s">
        <v>38</v>
      </c>
      <c r="H3" t="s">
        <v>40</v>
      </c>
      <c r="I3" t="s">
        <v>45</v>
      </c>
      <c r="J3" t="s">
        <v>124</v>
      </c>
      <c r="K3" t="s">
        <v>41</v>
      </c>
      <c r="L3" t="s">
        <v>45</v>
      </c>
      <c r="M3" t="s">
        <v>38</v>
      </c>
      <c r="N3" s="45" t="s">
        <v>255</v>
      </c>
    </row>
    <row r="4" spans="1:14" ht="15" customHeight="1">
      <c r="A4" t="s">
        <v>112</v>
      </c>
      <c r="B4" t="s">
        <v>51</v>
      </c>
      <c r="C4" t="s">
        <v>39</v>
      </c>
      <c r="D4" t="s">
        <v>132</v>
      </c>
      <c r="E4" t="s">
        <v>45</v>
      </c>
      <c r="F4" t="s">
        <v>124</v>
      </c>
      <c r="G4" t="s">
        <v>51</v>
      </c>
      <c r="H4" t="s">
        <v>80</v>
      </c>
      <c r="I4" t="s">
        <v>128</v>
      </c>
      <c r="J4" t="s">
        <v>131</v>
      </c>
      <c r="L4" t="s">
        <v>42</v>
      </c>
      <c r="M4" t="s">
        <v>94</v>
      </c>
      <c r="N4" s="45" t="s">
        <v>255</v>
      </c>
    </row>
    <row r="5" spans="1:14" ht="15" customHeight="1">
      <c r="A5" t="s">
        <v>234</v>
      </c>
      <c r="B5" t="s">
        <v>57</v>
      </c>
      <c r="C5" t="s">
        <v>69</v>
      </c>
      <c r="F5" t="s">
        <v>131</v>
      </c>
      <c r="G5" t="s">
        <v>57</v>
      </c>
      <c r="H5" t="s">
        <v>115</v>
      </c>
      <c r="I5" t="s">
        <v>125</v>
      </c>
      <c r="J5" t="s">
        <v>114</v>
      </c>
      <c r="L5" t="s">
        <v>256</v>
      </c>
      <c r="M5" t="s">
        <v>80</v>
      </c>
      <c r="N5" s="45" t="s">
        <v>255</v>
      </c>
    </row>
    <row r="6" spans="1:14" ht="15" customHeight="1">
      <c r="A6" t="s">
        <v>235</v>
      </c>
      <c r="B6" t="s">
        <v>76</v>
      </c>
      <c r="F6" t="s">
        <v>114</v>
      </c>
      <c r="G6" t="s">
        <v>76</v>
      </c>
      <c r="H6" t="s">
        <v>132</v>
      </c>
      <c r="I6" t="s">
        <v>257</v>
      </c>
      <c r="J6" t="s">
        <v>230</v>
      </c>
      <c r="M6" t="s">
        <v>41</v>
      </c>
      <c r="N6" s="45" t="s">
        <v>255</v>
      </c>
    </row>
    <row r="7" spans="1:14" ht="15" customHeight="1">
      <c r="A7" t="s">
        <v>236</v>
      </c>
      <c r="B7" t="s">
        <v>105</v>
      </c>
      <c r="F7" t="s">
        <v>230</v>
      </c>
      <c r="G7" t="s">
        <v>105</v>
      </c>
      <c r="I7" t="s">
        <v>258</v>
      </c>
      <c r="M7" t="s">
        <v>115</v>
      </c>
      <c r="N7" s="45" t="s">
        <v>255</v>
      </c>
    </row>
    <row r="8" spans="1:14" ht="15" customHeight="1">
      <c r="B8" t="s">
        <v>68</v>
      </c>
      <c r="F8" t="s">
        <v>36</v>
      </c>
      <c r="G8" t="s">
        <v>68</v>
      </c>
      <c r="I8" t="s">
        <v>259</v>
      </c>
      <c r="M8" t="s">
        <v>52</v>
      </c>
      <c r="N8" s="45" t="s">
        <v>255</v>
      </c>
    </row>
    <row r="9" spans="1:14" ht="15" customHeight="1">
      <c r="B9" t="s">
        <v>94</v>
      </c>
      <c r="G9" t="s">
        <v>94</v>
      </c>
      <c r="I9" t="s">
        <v>260</v>
      </c>
      <c r="M9" t="s">
        <v>141</v>
      </c>
      <c r="N9" s="45" t="s">
        <v>255</v>
      </c>
    </row>
    <row r="10" spans="1:14" ht="15" customHeight="1">
      <c r="B10" t="s">
        <v>141</v>
      </c>
      <c r="G10" t="s">
        <v>141</v>
      </c>
      <c r="M10" t="s">
        <v>40</v>
      </c>
      <c r="N10" s="45" t="s">
        <v>255</v>
      </c>
    </row>
    <row r="11" spans="1:14">
      <c r="G11" t="s">
        <v>52</v>
      </c>
      <c r="M11" t="s">
        <v>68</v>
      </c>
      <c r="N11" s="45" t="s">
        <v>255</v>
      </c>
    </row>
    <row r="12" spans="1:14">
      <c r="G12" t="s">
        <v>39</v>
      </c>
      <c r="M12" t="s">
        <v>39</v>
      </c>
      <c r="N12" s="45" t="s">
        <v>255</v>
      </c>
    </row>
    <row r="13" spans="1:14">
      <c r="G13" t="s">
        <v>69</v>
      </c>
      <c r="M13" t="s">
        <v>69</v>
      </c>
      <c r="N13" s="45" t="s">
        <v>255</v>
      </c>
    </row>
    <row r="14" spans="1:14">
      <c r="M14" t="s">
        <v>76</v>
      </c>
      <c r="N14" s="45" t="s">
        <v>261</v>
      </c>
    </row>
    <row r="15" spans="1:14">
      <c r="M15" t="s">
        <v>51</v>
      </c>
      <c r="N15" s="45" t="s">
        <v>255</v>
      </c>
    </row>
    <row r="16" spans="1:14">
      <c r="M16" t="s">
        <v>105</v>
      </c>
      <c r="N16" s="45" t="s">
        <v>255</v>
      </c>
    </row>
    <row r="17" spans="13:14">
      <c r="M17" t="s">
        <v>57</v>
      </c>
      <c r="N17" s="45" t="s">
        <v>255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2026-08-13T15:51:42Z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  <property fmtid="{D5CDD505-2E9C-101B-9397-08002B2CF9AE}" pid="13" name="MSIP_Label_8bd75a54-f2be-4ffa-b165-74c609d83991_Enabled">
    <vt:lpwstr>true</vt:lpwstr>
  </property>
  <property fmtid="{D5CDD505-2E9C-101B-9397-08002B2CF9AE}" pid="14" name="MSIP_Label_8bd75a54-f2be-4ffa-b165-74c609d83991_SetDate">
    <vt:lpwstr>2026-08-13T14:50:16Z</vt:lpwstr>
  </property>
  <property fmtid="{D5CDD505-2E9C-101B-9397-08002B2CF9AE}" pid="15" name="MSIP_Label_8bd75a54-f2be-4ffa-b165-74c609d83991_Method">
    <vt:lpwstr>Standard</vt:lpwstr>
  </property>
  <property fmtid="{D5CDD505-2E9C-101B-9397-08002B2CF9AE}" pid="16" name="MSIP_Label_8bd75a54-f2be-4ffa-b165-74c609d83991_Name">
    <vt:lpwstr>Internal use only</vt:lpwstr>
  </property>
  <property fmtid="{D5CDD505-2E9C-101B-9397-08002B2CF9AE}" pid="17" name="MSIP_Label_8bd75a54-f2be-4ffa-b165-74c609d83991_SiteId">
    <vt:lpwstr>f98a6a53-25f3-4212-901c-c7787fcd3495</vt:lpwstr>
  </property>
  <property fmtid="{D5CDD505-2E9C-101B-9397-08002B2CF9AE}" pid="18" name="MSIP_Label_8bd75a54-f2be-4ffa-b165-74c609d83991_ActionId">
    <vt:lpwstr>c5162870-5a3f-42c9-89f6-4aa8cb35f675</vt:lpwstr>
  </property>
  <property fmtid="{D5CDD505-2E9C-101B-9397-08002B2CF9AE}" pid="19" name="MSIP_Label_8bd75a54-f2be-4ffa-b165-74c609d83991_ContentBits">
    <vt:lpwstr>0</vt:lpwstr>
  </property>
  <property fmtid="{D5CDD505-2E9C-101B-9397-08002B2CF9AE}" pid="20" name="MSIP_Label_8bd75a54-f2be-4ffa-b165-74c609d83991_Tag">
    <vt:lpwstr>10, 3, 0, 2</vt:lpwstr>
  </property>
</Properties>
</file>