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4" documentId="13_ncr:1_{52745E9B-3AA1-4770-AAD3-E6166BFC13AE}" xr6:coauthVersionLast="47" xr6:coauthVersionMax="47" xr10:uidLastSave="{2450F9AC-6D9B-4EEB-942E-80474773A869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8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<sst xmlns="http://schemas.openxmlformats.org/spreadsheetml/2006/main" count="2090" uniqueCount="249">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</sst>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87"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25"/>
    <tableColumn id="14" xr3:uid="{00000000-0010-0000-0000-00000E000000}" name="DB Dev Actual Completion Date"/>
    <tableColumn id="28" xr3:uid="{EFCDFAEE-1B00-42CE-9649-7541F5DDC136}" name="Sprint DB" dataDxfId="24"/>
    <tableColumn id="15" xr3:uid="{00000000-0010-0000-0000-00000F000000}" name="PBI Dev Baseline Completion Date"/>
    <tableColumn id="31" xr3:uid="{00000000-0010-0000-0000-00001F000000}" name="PBI Dev Reforecast Completion Date" dataDxfId="23"/>
    <tableColumn id="16" xr3:uid="{00000000-0010-0000-0000-000010000000}" name="PBI Dev Actual Completion Date"/>
    <tableColumn id="29" xr3:uid="{4630D178-9B47-4360-A40B-22C7384DB9C9}" name="Sprint PBI" dataDxfId="22"/>
    <tableColumn id="17" xr3:uid="{00000000-0010-0000-0000-000011000000}" name="QA Baseline Completion Date"/>
    <tableColumn id="32" xr3:uid="{00000000-0010-0000-0000-000020000000}" name="QA Reforecast Completion Date" dataDxfId="21"/>
    <tableColumn id="18" xr3:uid="{00000000-0010-0000-0000-000012000000}" name="QA Actual Completion Date"/>
    <tableColumn id="34" xr3:uid="{70C5E8CB-08B0-4A84-9B68-89630FC3C5C7}" name="Sprint QA" dataDxfId="20"/>
    <tableColumn id="19" xr3:uid="{00000000-0010-0000-0000-000013000000}" name="DPO Approval Baseline Completion Date"/>
    <tableColumn id="33" xr3:uid="{00000000-0010-0000-0000-000021000000}" name="DPO Approval Reforecast Completion Date" dataDxfId="19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tabSelected="1" zoomScaleNormal="70" workbookViewId="0">
      <pane xSplit="2" ySplit="1" topLeftCell="K8" activePane="bottomRight" state="frozen"/>
      <selection pane="topRight"/>
      <selection pane="bottomLeft"/>
      <selection pane="bottomRight" activeCell="V22" sqref="V22:V32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8671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x14ac:dyDescent="0.3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x14ac:dyDescent="0.3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x14ac:dyDescent="0.3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x14ac:dyDescent="0.3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x14ac:dyDescent="0.3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x14ac:dyDescent="0.3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x14ac:dyDescent="0.3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x14ac:dyDescent="0.3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x14ac:dyDescent="0.3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x14ac:dyDescent="0.3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x14ac:dyDescent="0.3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x14ac:dyDescent="0.3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x14ac:dyDescent="0.3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x14ac:dyDescent="0.3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x14ac:dyDescent="0.3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x14ac:dyDescent="0.3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x14ac:dyDescent="0.3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x14ac:dyDescent="0.3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x14ac:dyDescent="0.3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x14ac:dyDescent="0.3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x14ac:dyDescent="0.3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>
        <v>46213</v>
      </c>
      <c r="O22" s="45">
        <v>46213</v>
      </c>
      <c r="P22" s="45"/>
      <c r="Q22" s="45">
        <v>46220</v>
      </c>
      <c r="R22" s="44">
        <v>46223</v>
      </c>
      <c r="S22" s="44">
        <v>46223</v>
      </c>
      <c r="T22" s="44"/>
      <c r="U22" s="46">
        <v>46227</v>
      </c>
      <c r="V22" s="44">
        <v>46227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x14ac:dyDescent="0.3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46213</v>
      </c>
      <c r="N23" s="44">
        <v>46224</v>
      </c>
      <c r="O23" s="43">
        <v>46224</v>
      </c>
      <c r="P23" s="44"/>
      <c r="Q23" s="45">
        <v>46220</v>
      </c>
      <c r="R23" s="44">
        <v>46224</v>
      </c>
      <c r="S23" s="44">
        <v>46224</v>
      </c>
      <c r="T23" s="44"/>
      <c r="U23" s="46">
        <v>46227</v>
      </c>
      <c r="V23" s="44">
        <v>46227</v>
      </c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x14ac:dyDescent="0.3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46213</v>
      </c>
      <c r="N24" s="44">
        <v>46224</v>
      </c>
      <c r="O24" s="43">
        <v>46224</v>
      </c>
      <c r="P24" s="44"/>
      <c r="Q24" s="45">
        <v>46220</v>
      </c>
      <c r="R24" s="44">
        <v>46230</v>
      </c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x14ac:dyDescent="0.3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46213</v>
      </c>
      <c r="N25" s="44">
        <v>46217</v>
      </c>
      <c r="O25" s="45">
        <v>46217</v>
      </c>
      <c r="P25" s="45"/>
      <c r="Q25" s="45">
        <v>46220</v>
      </c>
      <c r="R25" s="44">
        <v>46230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x14ac:dyDescent="0.3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46213</v>
      </c>
      <c r="N26" s="44">
        <v>46215</v>
      </c>
      <c r="O26" s="45">
        <v>46215</v>
      </c>
      <c r="P26" s="45"/>
      <c r="Q26" s="45">
        <v>46220</v>
      </c>
      <c r="R26" s="44">
        <v>46218</v>
      </c>
      <c r="S26" s="44">
        <v>46226</v>
      </c>
      <c r="T26" s="44"/>
      <c r="U26" s="46">
        <v>46225</v>
      </c>
      <c r="V26" s="44">
        <v>46225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x14ac:dyDescent="0.3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Blocked - needs PBI Dev to fix - unclaimed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46213</v>
      </c>
      <c r="N27" s="44">
        <v>46234</v>
      </c>
      <c r="O27" s="44">
        <v>46239</v>
      </c>
      <c r="P27" s="44"/>
      <c r="Q27" s="45">
        <v>46220</v>
      </c>
      <c r="R27" s="44">
        <v>46220</v>
      </c>
      <c r="S27" s="44">
        <v>46220</v>
      </c>
      <c r="T27" s="44"/>
      <c r="U27" s="46">
        <v>46225</v>
      </c>
      <c r="V27" s="44">
        <v>46225</v>
      </c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122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123</v>
      </c>
    </row>
    <row r="28" spans="1:34" x14ac:dyDescent="0.3">
      <c r="A28" s="40" t="s">
        <v>104</v>
      </c>
      <c r="B28" s="40" t="s">
        <v>124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46213</v>
      </c>
      <c r="N28" s="44">
        <v>46227</v>
      </c>
      <c r="O28" s="43">
        <v>46227</v>
      </c>
      <c r="P28" s="44"/>
      <c r="Q28" s="45">
        <v>46220</v>
      </c>
      <c r="R28" s="44">
        <v>46223</v>
      </c>
      <c r="S28" s="44">
        <v>46223</v>
      </c>
      <c r="T28" s="44"/>
      <c r="U28" s="46">
        <v>46225</v>
      </c>
      <c r="V28" s="44">
        <v>46225</v>
      </c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122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x14ac:dyDescent="0.3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46213</v>
      </c>
      <c r="N29" s="44">
        <v>46231</v>
      </c>
      <c r="O29" s="44">
        <v>46231</v>
      </c>
      <c r="P29" s="44"/>
      <c r="Q29" s="45">
        <v>46220</v>
      </c>
      <c r="R29" s="44">
        <v>46224</v>
      </c>
      <c r="S29" s="44">
        <v>46234</v>
      </c>
      <c r="T29" s="44"/>
      <c r="U29" s="46">
        <v>46240</v>
      </c>
      <c r="V29" s="44">
        <v>46240</v>
      </c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x14ac:dyDescent="0.3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46213</v>
      </c>
      <c r="N30" s="44">
        <v>46234</v>
      </c>
      <c r="O30" s="44">
        <v>46239</v>
      </c>
      <c r="P30" s="44"/>
      <c r="Q30" s="45">
        <v>46220</v>
      </c>
      <c r="R30" s="44">
        <v>46230</v>
      </c>
      <c r="S30" s="44"/>
      <c r="T30" s="44"/>
      <c r="U30" s="46">
        <v>46240</v>
      </c>
      <c r="V30" s="44">
        <v>46240</v>
      </c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x14ac:dyDescent="0.3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46213</v>
      </c>
      <c r="N31" s="44">
        <v>46227</v>
      </c>
      <c r="O31" s="43">
        <v>46227</v>
      </c>
      <c r="P31" s="44"/>
      <c r="Q31" s="45">
        <v>46220</v>
      </c>
      <c r="R31" s="44">
        <v>46230</v>
      </c>
      <c r="S31" s="44"/>
      <c r="T31" s="44"/>
      <c r="U31" s="46">
        <v>46238</v>
      </c>
      <c r="V31" s="44">
        <v>46238</v>
      </c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x14ac:dyDescent="0.3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46213</v>
      </c>
      <c r="N32" s="44">
        <v>46223</v>
      </c>
      <c r="O32" s="44">
        <v>46223</v>
      </c>
      <c r="P32" s="44"/>
      <c r="Q32" s="45">
        <v>46220</v>
      </c>
      <c r="R32" s="44">
        <v>46230</v>
      </c>
      <c r="S32" s="44">
        <v>46226</v>
      </c>
      <c r="T32" s="44"/>
      <c r="U32" s="46">
        <v>46238</v>
      </c>
      <c r="V32" s="44">
        <v>46238</v>
      </c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x14ac:dyDescent="0.3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46213</v>
      </c>
      <c r="N33" s="44">
        <v>46234</v>
      </c>
      <c r="O33" s="45">
        <v>46234</v>
      </c>
      <c r="P33" s="45"/>
      <c r="Q33" s="45">
        <v>46220</v>
      </c>
      <c r="R33" s="44">
        <v>46230</v>
      </c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x14ac:dyDescent="0.3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46213</v>
      </c>
      <c r="N34" s="43">
        <v>46226</v>
      </c>
      <c r="O34" s="45">
        <v>46233</v>
      </c>
      <c r="P34" s="45"/>
      <c r="Q34" s="45">
        <v>46220</v>
      </c>
      <c r="R34" s="44">
        <v>46230</v>
      </c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x14ac:dyDescent="0.3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46213</v>
      </c>
      <c r="N35" s="44">
        <v>46239</v>
      </c>
      <c r="O35" s="44"/>
      <c r="P35" s="44"/>
      <c r="Q35" s="45">
        <v>46220</v>
      </c>
      <c r="R35" s="44">
        <v>46230</v>
      </c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x14ac:dyDescent="0.3">
      <c r="A36" s="40" t="s">
        <v>104</v>
      </c>
      <c r="B36" s="40" t="s">
        <v>139</v>
      </c>
      <c r="C36" s="40" t="s">
        <v>120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46234</v>
      </c>
      <c r="N36" s="44">
        <v>46246</v>
      </c>
      <c r="O36" s="44"/>
      <c r="P36" s="44"/>
      <c r="Q36" s="45">
        <v>46241</v>
      </c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x14ac:dyDescent="0.3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>
        <v>46234</v>
      </c>
      <c r="N37" s="44"/>
      <c r="O37" s="44"/>
      <c r="P37" s="44"/>
      <c r="Q37" s="45">
        <v>46241</v>
      </c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x14ac:dyDescent="0.3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>
        <v>46234</v>
      </c>
      <c r="N38" s="44"/>
      <c r="O38" s="44"/>
      <c r="P38" s="44"/>
      <c r="Q38" s="45">
        <v>46241</v>
      </c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x14ac:dyDescent="0.3">
      <c r="A39" s="40" t="s">
        <v>104</v>
      </c>
      <c r="B39" s="40" t="s">
        <v>145</v>
      </c>
      <c r="C39" s="40" t="s">
        <v>120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46234</v>
      </c>
      <c r="N39" s="44">
        <v>46213</v>
      </c>
      <c r="O39" s="44">
        <v>46213</v>
      </c>
      <c r="P39" s="44"/>
      <c r="Q39" s="45">
        <v>46241</v>
      </c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x14ac:dyDescent="0.3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46234</v>
      </c>
      <c r="N40" s="44">
        <v>46239</v>
      </c>
      <c r="O40" s="44"/>
      <c r="P40" s="44"/>
      <c r="Q40" s="45">
        <v>46241</v>
      </c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x14ac:dyDescent="0.3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>
        <v>46234</v>
      </c>
      <c r="N41" s="44"/>
      <c r="O41" s="44"/>
      <c r="P41" s="44"/>
      <c r="Q41" s="45">
        <v>46241</v>
      </c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x14ac:dyDescent="0.3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46234</v>
      </c>
      <c r="N42" s="44">
        <v>46253</v>
      </c>
      <c r="O42" s="44"/>
      <c r="P42" s="44"/>
      <c r="Q42" s="45">
        <v>46241</v>
      </c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x14ac:dyDescent="0.3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>
        <v>46234</v>
      </c>
      <c r="N43" s="44"/>
      <c r="O43" s="44"/>
      <c r="P43" s="44"/>
      <c r="Q43" s="45">
        <v>46241</v>
      </c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x14ac:dyDescent="0.3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46234</v>
      </c>
      <c r="N44" s="44">
        <v>46255</v>
      </c>
      <c r="O44" s="44">
        <v>46255</v>
      </c>
      <c r="P44" s="44"/>
      <c r="Q44" s="45">
        <v>46241</v>
      </c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x14ac:dyDescent="0.3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46234</v>
      </c>
      <c r="N45" s="44">
        <v>46253</v>
      </c>
      <c r="O45" s="44"/>
      <c r="P45" s="44"/>
      <c r="Q45" s="45">
        <v>46241</v>
      </c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x14ac:dyDescent="0.3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>
        <v>46234</v>
      </c>
      <c r="N46" s="44"/>
      <c r="O46" s="44"/>
      <c r="P46" s="44"/>
      <c r="Q46" s="45">
        <v>46241</v>
      </c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x14ac:dyDescent="0.3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>
        <v>46234</v>
      </c>
      <c r="N47" s="44"/>
      <c r="O47" s="44"/>
      <c r="P47" s="44"/>
      <c r="Q47" s="45">
        <v>46241</v>
      </c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x14ac:dyDescent="0.3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>
        <v>46262</v>
      </c>
      <c r="N48" s="44"/>
      <c r="O48" s="44"/>
      <c r="P48" s="44"/>
      <c r="Q48" s="45">
        <v>46269</v>
      </c>
      <c r="R48" s="44"/>
      <c r="S48" s="44"/>
      <c r="T48" s="44"/>
      <c r="U48" s="46">
        <v>46283</v>
      </c>
      <c r="V48" s="44"/>
      <c r="W48" s="44"/>
      <c r="X48" s="44"/>
      <c r="Y48" s="47">
        <v>46290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x14ac:dyDescent="0.3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>
        <v>46262</v>
      </c>
      <c r="N49" s="44"/>
      <c r="O49" s="44"/>
      <c r="P49" s="44"/>
      <c r="Q49" s="45">
        <v>46269</v>
      </c>
      <c r="R49" s="44"/>
      <c r="S49" s="44"/>
      <c r="T49" s="44"/>
      <c r="U49" s="46">
        <v>46283</v>
      </c>
      <c r="V49" s="44"/>
      <c r="W49" s="44"/>
      <c r="X49" s="44"/>
      <c r="Y49" s="47">
        <v>46290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x14ac:dyDescent="0.3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>
        <v>46262</v>
      </c>
      <c r="N50" s="44"/>
      <c r="O50" s="44"/>
      <c r="P50" s="44"/>
      <c r="Q50" s="45">
        <v>46269</v>
      </c>
      <c r="R50" s="44"/>
      <c r="S50" s="44"/>
      <c r="T50" s="44"/>
      <c r="U50" s="46">
        <v>46283</v>
      </c>
      <c r="V50" s="44"/>
      <c r="W50" s="44"/>
      <c r="X50" s="44"/>
      <c r="Y50" s="47">
        <v>46290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x14ac:dyDescent="0.3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>
        <v>46262</v>
      </c>
      <c r="N51" s="44"/>
      <c r="O51" s="44"/>
      <c r="P51" s="44"/>
      <c r="Q51" s="45">
        <v>46269</v>
      </c>
      <c r="R51" s="44"/>
      <c r="S51" s="44"/>
      <c r="T51" s="44"/>
      <c r="U51" s="46">
        <v>46283</v>
      </c>
      <c r="V51" s="44"/>
      <c r="W51" s="44"/>
      <c r="X51" s="44"/>
      <c r="Y51" s="47">
        <v>46290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x14ac:dyDescent="0.3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>
        <v>46262</v>
      </c>
      <c r="N52" s="44"/>
      <c r="O52" s="44"/>
      <c r="P52" s="44"/>
      <c r="Q52" s="45">
        <v>46269</v>
      </c>
      <c r="R52" s="44"/>
      <c r="S52" s="44"/>
      <c r="T52" s="44"/>
      <c r="U52" s="46">
        <v>46283</v>
      </c>
      <c r="V52" s="44"/>
      <c r="W52" s="44"/>
      <c r="X52" s="44"/>
      <c r="Y52" s="47">
        <v>46290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x14ac:dyDescent="0.3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>
        <v>46262</v>
      </c>
      <c r="N53" s="44"/>
      <c r="O53" s="44"/>
      <c r="P53" s="44"/>
      <c r="Q53" s="45">
        <v>46269</v>
      </c>
      <c r="R53" s="44"/>
      <c r="S53" s="44"/>
      <c r="T53" s="44"/>
      <c r="U53" s="46">
        <v>46283</v>
      </c>
      <c r="V53" s="44"/>
      <c r="W53" s="44"/>
      <c r="X53" s="44"/>
      <c r="Y53" s="47">
        <v>46290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x14ac:dyDescent="0.3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>
        <v>46262</v>
      </c>
      <c r="N54" s="44"/>
      <c r="O54" s="44"/>
      <c r="P54" s="44"/>
      <c r="Q54" s="45">
        <v>46269</v>
      </c>
      <c r="R54" s="44"/>
      <c r="S54" s="44"/>
      <c r="T54" s="44"/>
      <c r="U54" s="46">
        <v>46283</v>
      </c>
      <c r="V54" s="44"/>
      <c r="W54" s="44"/>
      <c r="X54" s="44"/>
      <c r="Y54" s="47">
        <v>46290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x14ac:dyDescent="0.3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x14ac:dyDescent="0.3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x14ac:dyDescent="0.3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x14ac:dyDescent="0.3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x14ac:dyDescent="0.3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x14ac:dyDescent="0.3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x14ac:dyDescent="0.3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x14ac:dyDescent="0.3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x14ac:dyDescent="0.3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x14ac:dyDescent="0.3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x14ac:dyDescent="0.3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x14ac:dyDescent="0.3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 x14ac:dyDescent="0.3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 x14ac:dyDescent="0.3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 x14ac:dyDescent="0.3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 x14ac:dyDescent="0.3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 x14ac:dyDescent="0.3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 x14ac:dyDescent="0.3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 x14ac:dyDescent="0.3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 x14ac:dyDescent="0.3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 x14ac:dyDescent="0.3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 x14ac:dyDescent="0.3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 x14ac:dyDescent="0.3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 x14ac:dyDescent="0.3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 x14ac:dyDescent="0.3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 x14ac:dyDescent="0.3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 x14ac:dyDescent="0.3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 x14ac:dyDescent="0.3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 x14ac:dyDescent="0.3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 x14ac:dyDescent="0.3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 x14ac:dyDescent="0.3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 x14ac:dyDescent="0.3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 x14ac:dyDescent="0.3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 x14ac:dyDescent="0.3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 x14ac:dyDescent="0.3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 x14ac:dyDescent="0.3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 x14ac:dyDescent="0.3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 x14ac:dyDescent="0.3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 x14ac:dyDescent="0.3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 x14ac:dyDescent="0.3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 x14ac:dyDescent="0.3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 x14ac:dyDescent="0.3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 x14ac:dyDescent="0.3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 x14ac:dyDescent="0.3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 x14ac:dyDescent="0.3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 x14ac:dyDescent="0.3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 x14ac:dyDescent="0.3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 x14ac:dyDescent="0.3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 x14ac:dyDescent="0.3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 x14ac:dyDescent="0.3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 x14ac:dyDescent="0.3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 x14ac:dyDescent="0.3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 x14ac:dyDescent="0.3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 x14ac:dyDescent="0.3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 x14ac:dyDescent="0.3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 x14ac:dyDescent="0.3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 x14ac:dyDescent="0.3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 x14ac:dyDescent="0.3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 x14ac:dyDescent="0.3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 x14ac:dyDescent="0.3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 x14ac:dyDescent="0.3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 x14ac:dyDescent="0.3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 x14ac:dyDescent="0.3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 x14ac:dyDescent="0.3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 x14ac:dyDescent="0.3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 x14ac:dyDescent="0.3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 x14ac:dyDescent="0.3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 x14ac:dyDescent="0.3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 x14ac:dyDescent="0.3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 x14ac:dyDescent="0.3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 x14ac:dyDescent="0.3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 x14ac:dyDescent="0.3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 x14ac:dyDescent="0.3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 x14ac:dyDescent="0.3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 x14ac:dyDescent="0.3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 x14ac:dyDescent="0.3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 x14ac:dyDescent="0.3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 x14ac:dyDescent="0.3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 x14ac:dyDescent="0.3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 x14ac:dyDescent="0.3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 x14ac:dyDescent="0.3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 x14ac:dyDescent="0.3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 x14ac:dyDescent="0.3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 x14ac:dyDescent="0.3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 x14ac:dyDescent="0.3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 x14ac:dyDescent="0.3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 x14ac:dyDescent="0.3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 x14ac:dyDescent="0.3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 x14ac:dyDescent="0.3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 x14ac:dyDescent="0.3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 x14ac:dyDescent="0.3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 x14ac:dyDescent="0.3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 x14ac:dyDescent="0.3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 x14ac:dyDescent="0.3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 x14ac:dyDescent="0.3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 x14ac:dyDescent="0.3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 x14ac:dyDescent="0.3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 x14ac:dyDescent="0.3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 x14ac:dyDescent="0.3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 x14ac:dyDescent="0.3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 x14ac:dyDescent="0.3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 x14ac:dyDescent="0.3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 x14ac:dyDescent="0.3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 x14ac:dyDescent="0.3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 x14ac:dyDescent="0.3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 x14ac:dyDescent="0.3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 x14ac:dyDescent="0.3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 x14ac:dyDescent="0.3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 x14ac:dyDescent="0.3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 x14ac:dyDescent="0.3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 x14ac:dyDescent="0.3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 x14ac:dyDescent="0.3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 x14ac:dyDescent="0.3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 x14ac:dyDescent="0.3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 x14ac:dyDescent="0.3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 x14ac:dyDescent="0.3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 x14ac:dyDescent="0.3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 x14ac:dyDescent="0.3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 x14ac:dyDescent="0.3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 x14ac:dyDescent="0.3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 x14ac:dyDescent="0.3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 x14ac:dyDescent="0.3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 x14ac:dyDescent="0.3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 x14ac:dyDescent="0.3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 x14ac:dyDescent="0.3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 x14ac:dyDescent="0.3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 x14ac:dyDescent="0.3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 x14ac:dyDescent="0.3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 x14ac:dyDescent="0.3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 x14ac:dyDescent="0.3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 x14ac:dyDescent="0.3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 x14ac:dyDescent="0.3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 x14ac:dyDescent="0.3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 x14ac:dyDescent="0.3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 x14ac:dyDescent="0.3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 x14ac:dyDescent="0.3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 x14ac:dyDescent="0.3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 x14ac:dyDescent="0.3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 x14ac:dyDescent="0.3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 x14ac:dyDescent="0.3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 x14ac:dyDescent="0.3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 x14ac:dyDescent="0.3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 x14ac:dyDescent="0.3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 x14ac:dyDescent="0.3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 x14ac:dyDescent="0.3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 x14ac:dyDescent="0.3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 x14ac:dyDescent="0.3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 x14ac:dyDescent="0.3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 x14ac:dyDescent="0.3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 x14ac:dyDescent="0.3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 x14ac:dyDescent="0.3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 x14ac:dyDescent="0.3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 x14ac:dyDescent="0.3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 x14ac:dyDescent="0.3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 x14ac:dyDescent="0.3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 x14ac:dyDescent="0.3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 x14ac:dyDescent="0.3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 x14ac:dyDescent="0.3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 x14ac:dyDescent="0.3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 x14ac:dyDescent="0.3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 x14ac:dyDescent="0.3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 x14ac:dyDescent="0.3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 x14ac:dyDescent="0.3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 x14ac:dyDescent="0.3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 x14ac:dyDescent="0.3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 x14ac:dyDescent="0.3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 x14ac:dyDescent="0.3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 x14ac:dyDescent="0.3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 x14ac:dyDescent="0.3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 x14ac:dyDescent="0.3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 x14ac:dyDescent="0.3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 x14ac:dyDescent="0.3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 x14ac:dyDescent="0.3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 x14ac:dyDescent="0.3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 x14ac:dyDescent="0.3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 x14ac:dyDescent="0.3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 x14ac:dyDescent="0.3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 x14ac:dyDescent="0.3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 x14ac:dyDescent="0.3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 x14ac:dyDescent="0.3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 x14ac:dyDescent="0.3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 x14ac:dyDescent="0.3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 x14ac:dyDescent="0.3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 x14ac:dyDescent="0.3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 x14ac:dyDescent="0.3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 x14ac:dyDescent="0.3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 x14ac:dyDescent="0.3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 x14ac:dyDescent="0.3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 x14ac:dyDescent="0.3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 x14ac:dyDescent="0.3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 x14ac:dyDescent="0.3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 x14ac:dyDescent="0.3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 x14ac:dyDescent="0.3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 x14ac:dyDescent="0.3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 x14ac:dyDescent="0.3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 x14ac:dyDescent="0.3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 x14ac:dyDescent="0.3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 x14ac:dyDescent="0.3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 x14ac:dyDescent="0.3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 x14ac:dyDescent="0.3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 x14ac:dyDescent="0.3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 x14ac:dyDescent="0.3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 x14ac:dyDescent="0.3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 x14ac:dyDescent="0.3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 x14ac:dyDescent="0.3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 x14ac:dyDescent="0.3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 x14ac:dyDescent="0.3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 x14ac:dyDescent="0.3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 x14ac:dyDescent="0.3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 x14ac:dyDescent="0.3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 x14ac:dyDescent="0.3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 x14ac:dyDescent="0.3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 x14ac:dyDescent="0.3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 x14ac:dyDescent="0.3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 x14ac:dyDescent="0.3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 x14ac:dyDescent="0.3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 x14ac:dyDescent="0.3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 x14ac:dyDescent="0.3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 x14ac:dyDescent="0.3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 x14ac:dyDescent="0.3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 x14ac:dyDescent="0.3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 x14ac:dyDescent="0.3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 x14ac:dyDescent="0.3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 x14ac:dyDescent="0.3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 x14ac:dyDescent="0.3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 x14ac:dyDescent="0.3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 x14ac:dyDescent="0.3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 x14ac:dyDescent="0.3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 x14ac:dyDescent="0.3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 x14ac:dyDescent="0.3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 x14ac:dyDescent="0.3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 x14ac:dyDescent="0.3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 x14ac:dyDescent="0.3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 x14ac:dyDescent="0.3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 x14ac:dyDescent="0.3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 x14ac:dyDescent="0.3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 x14ac:dyDescent="0.3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 x14ac:dyDescent="0.3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 x14ac:dyDescent="0.3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 x14ac:dyDescent="0.3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 x14ac:dyDescent="0.3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 x14ac:dyDescent="0.3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 x14ac:dyDescent="0.3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 x14ac:dyDescent="0.3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 x14ac:dyDescent="0.3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 x14ac:dyDescent="0.3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 x14ac:dyDescent="0.3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 x14ac:dyDescent="0.3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 x14ac:dyDescent="0.3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 x14ac:dyDescent="0.3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 x14ac:dyDescent="0.3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 x14ac:dyDescent="0.3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 x14ac:dyDescent="0.3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 x14ac:dyDescent="0.3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 x14ac:dyDescent="0.3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 x14ac:dyDescent="0.3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 x14ac:dyDescent="0.3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 x14ac:dyDescent="0.3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 x14ac:dyDescent="0.3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 x14ac:dyDescent="0.3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 x14ac:dyDescent="0.3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 x14ac:dyDescent="0.3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 x14ac:dyDescent="0.3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 x14ac:dyDescent="0.3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 x14ac:dyDescent="0.3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 x14ac:dyDescent="0.3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 x14ac:dyDescent="0.3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 x14ac:dyDescent="0.3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 x14ac:dyDescent="0.3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 x14ac:dyDescent="0.3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 x14ac:dyDescent="0.3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 x14ac:dyDescent="0.3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 x14ac:dyDescent="0.3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 x14ac:dyDescent="0.3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 x14ac:dyDescent="0.3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 x14ac:dyDescent="0.3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 x14ac:dyDescent="0.3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 x14ac:dyDescent="0.3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 x14ac:dyDescent="0.3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 x14ac:dyDescent="0.3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 x14ac:dyDescent="0.3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 x14ac:dyDescent="0.3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 x14ac:dyDescent="0.3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 x14ac:dyDescent="0.3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 x14ac:dyDescent="0.3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 x14ac:dyDescent="0.3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 x14ac:dyDescent="0.3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 x14ac:dyDescent="0.3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 x14ac:dyDescent="0.3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 x14ac:dyDescent="0.3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 x14ac:dyDescent="0.3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 x14ac:dyDescent="0.3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 x14ac:dyDescent="0.3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 x14ac:dyDescent="0.3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 x14ac:dyDescent="0.3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 x14ac:dyDescent="0.3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 x14ac:dyDescent="0.3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 x14ac:dyDescent="0.3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 x14ac:dyDescent="0.3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 x14ac:dyDescent="0.3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 x14ac:dyDescent="0.3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 x14ac:dyDescent="0.3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 x14ac:dyDescent="0.3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 x14ac:dyDescent="0.3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 x14ac:dyDescent="0.3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 x14ac:dyDescent="0.3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 x14ac:dyDescent="0.3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 x14ac:dyDescent="0.3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 x14ac:dyDescent="0.3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 x14ac:dyDescent="0.3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 x14ac:dyDescent="0.3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 x14ac:dyDescent="0.3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 x14ac:dyDescent="0.3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 x14ac:dyDescent="0.3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 x14ac:dyDescent="0.3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 x14ac:dyDescent="0.3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 x14ac:dyDescent="0.3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 x14ac:dyDescent="0.3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 x14ac:dyDescent="0.3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 x14ac:dyDescent="0.3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 x14ac:dyDescent="0.3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 x14ac:dyDescent="0.3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 x14ac:dyDescent="0.3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 x14ac:dyDescent="0.3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 x14ac:dyDescent="0.3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 x14ac:dyDescent="0.3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 x14ac:dyDescent="0.3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 x14ac:dyDescent="0.3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 x14ac:dyDescent="0.3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 x14ac:dyDescent="0.3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 x14ac:dyDescent="0.3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 x14ac:dyDescent="0.3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 x14ac:dyDescent="0.3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 x14ac:dyDescent="0.3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 x14ac:dyDescent="0.3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 x14ac:dyDescent="0.3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 x14ac:dyDescent="0.3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 x14ac:dyDescent="0.3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 x14ac:dyDescent="0.3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 x14ac:dyDescent="0.3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 x14ac:dyDescent="0.3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 x14ac:dyDescent="0.3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 x14ac:dyDescent="0.3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 x14ac:dyDescent="0.3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 x14ac:dyDescent="0.3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 x14ac:dyDescent="0.3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 x14ac:dyDescent="0.3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 x14ac:dyDescent="0.3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 x14ac:dyDescent="0.3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 x14ac:dyDescent="0.3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 x14ac:dyDescent="0.3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 x14ac:dyDescent="0.3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 x14ac:dyDescent="0.3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 x14ac:dyDescent="0.3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 x14ac:dyDescent="0.3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 x14ac:dyDescent="0.3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 x14ac:dyDescent="0.3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 x14ac:dyDescent="0.3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 x14ac:dyDescent="0.3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 x14ac:dyDescent="0.3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 x14ac:dyDescent="0.3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 x14ac:dyDescent="0.3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 x14ac:dyDescent="0.3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 x14ac:dyDescent="0.3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 x14ac:dyDescent="0.3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 x14ac:dyDescent="0.3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 x14ac:dyDescent="0.3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 x14ac:dyDescent="0.3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 x14ac:dyDescent="0.3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 x14ac:dyDescent="0.3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 x14ac:dyDescent="0.3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 x14ac:dyDescent="0.3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 x14ac:dyDescent="0.3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 x14ac:dyDescent="0.3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 x14ac:dyDescent="0.3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 x14ac:dyDescent="0.3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 x14ac:dyDescent="0.3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 x14ac:dyDescent="0.3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 x14ac:dyDescent="0.3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 x14ac:dyDescent="0.3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 x14ac:dyDescent="0.3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 x14ac:dyDescent="0.3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 x14ac:dyDescent="0.3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 x14ac:dyDescent="0.3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 x14ac:dyDescent="0.3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 x14ac:dyDescent="0.3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 x14ac:dyDescent="0.3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 x14ac:dyDescent="0.3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 x14ac:dyDescent="0.3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 x14ac:dyDescent="0.3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 x14ac:dyDescent="0.3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 x14ac:dyDescent="0.3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 x14ac:dyDescent="0.3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 x14ac:dyDescent="0.3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 x14ac:dyDescent="0.3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 x14ac:dyDescent="0.3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 x14ac:dyDescent="0.3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 x14ac:dyDescent="0.3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 x14ac:dyDescent="0.3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 x14ac:dyDescent="0.3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 x14ac:dyDescent="0.3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 x14ac:dyDescent="0.3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 x14ac:dyDescent="0.3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 x14ac:dyDescent="0.3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 x14ac:dyDescent="0.3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 x14ac:dyDescent="0.3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 x14ac:dyDescent="0.3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 x14ac:dyDescent="0.3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 x14ac:dyDescent="0.3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 x14ac:dyDescent="0.3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 x14ac:dyDescent="0.3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 x14ac:dyDescent="0.3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 x14ac:dyDescent="0.3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 x14ac:dyDescent="0.3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 x14ac:dyDescent="0.3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 x14ac:dyDescent="0.3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 x14ac:dyDescent="0.3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 x14ac:dyDescent="0.3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 x14ac:dyDescent="0.3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 x14ac:dyDescent="0.3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 x14ac:dyDescent="0.3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 x14ac:dyDescent="0.3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 x14ac:dyDescent="0.3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 x14ac:dyDescent="0.3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 x14ac:dyDescent="0.3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 x14ac:dyDescent="0.3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 x14ac:dyDescent="0.3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 x14ac:dyDescent="0.3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 x14ac:dyDescent="0.3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 x14ac:dyDescent="0.3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 x14ac:dyDescent="0.3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 x14ac:dyDescent="0.3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 x14ac:dyDescent="0.3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 x14ac:dyDescent="0.3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 x14ac:dyDescent="0.3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 x14ac:dyDescent="0.3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 x14ac:dyDescent="0.3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 x14ac:dyDescent="0.3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phoneticPr fontId="20" type="noConversion"/>
  <conditionalFormatting sqref="A67:AA492 A2:AH33 A34:L35 A36:AH65 A66:AD66 N34:AH35">
    <cfRule type="expression" dxfId="8" priority="28">
      <formula>AND($B2&lt;&gt;"",MOD(ROW(),2)=0)</formula>
    </cfRule>
  </conditionalFormatting>
  <conditionalFormatting sqref="D2:D492">
    <cfRule type="expression" dxfId="86" priority="12">
      <formula>ISNUMBER(SEARCH("Blocked",$D2))</formula>
    </cfRule>
    <cfRule type="expression" dxfId="85" priority="13">
      <formula>ISNUMBER(SEARCH("overdue",$D2))</formula>
    </cfRule>
    <cfRule type="expression" dxfId="84" priority="14">
      <formula>ISNUMBER(SEARCH("no target",$D2))</formula>
    </cfRule>
    <cfRule type="expression" dxfId="83" priority="15">
      <formula>ISNUMBER(SEARCH("Review",$D2))</formula>
    </cfRule>
    <cfRule type="expression" dxfId="82" priority="16">
      <formula>OR($D2="On track",$D2="Delivered")</formula>
    </cfRule>
  </conditionalFormatting>
  <conditionalFormatting sqref="M22">
    <cfRule type="expression" dxfId="7" priority="9">
      <formula>$AF22="Yes – needs PBI Dev to fix"</formula>
    </cfRule>
  </conditionalFormatting>
  <conditionalFormatting sqref="M25:M26">
    <cfRule type="expression" dxfId="81" priority="11">
      <formula>$AF25="Yes – needs PBI Dev to fix"</formula>
    </cfRule>
  </conditionalFormatting>
  <conditionalFormatting sqref="M33:M34">
    <cfRule type="expression" dxfId="80" priority="2">
      <formula>$AF33="Yes – needs PBI Dev to fix"</formula>
    </cfRule>
  </conditionalFormatting>
  <conditionalFormatting sqref="M34">
    <cfRule type="expression" dxfId="4" priority="137">
      <formula>AND($B34&lt;&gt;"",MOD(ROW(),2)=0)</formula>
    </cfRule>
    <cfRule type="expression" dxfId="3" priority="138">
      <formula>$AF34="Yes – needs DB Dev to fix"</formula>
    </cfRule>
  </conditionalFormatting>
  <conditionalFormatting sqref="M35">
    <cfRule type="expression" dxfId="2" priority="140">
      <formula>$AF34="Yes – needs DB Dev to fix"</formula>
    </cfRule>
    <cfRule type="expression" dxfId="1" priority="139">
      <formula>AND($B34&lt;&gt;"",MOD(ROW(),2)=0)</formula>
    </cfRule>
  </conditionalFormatting>
  <conditionalFormatting sqref="M66:N66">
    <cfRule type="expression" dxfId="79" priority="87">
      <formula>$AB66="Yes – needs DB Dev to fix"</formula>
    </cfRule>
  </conditionalFormatting>
  <conditionalFormatting sqref="M67:N492">
    <cfRule type="expression" dxfId="78" priority="21">
      <formula>$Y67="Yes – needs DB Dev to fix"</formula>
    </cfRule>
  </conditionalFormatting>
  <conditionalFormatting sqref="M2:P33 N34:P35 M36:P65">
    <cfRule type="expression" dxfId="0" priority="60">
      <formula>$AF2="Yes – needs DB Dev to fix"</formula>
    </cfRule>
  </conditionalFormatting>
  <conditionalFormatting sqref="O22:P22">
    <cfRule type="expression" dxfId="77" priority="8">
      <formula>$AF22="Yes – needs PBI Dev to fix"</formula>
    </cfRule>
  </conditionalFormatting>
  <conditionalFormatting sqref="O25:P26">
    <cfRule type="expression" dxfId="76" priority="5">
      <formula>$AF25="Yes – needs PBI Dev to fix"</formula>
    </cfRule>
  </conditionalFormatting>
  <conditionalFormatting sqref="O33:P34">
    <cfRule type="expression" dxfId="75" priority="1">
      <formula>$AF33="Yes – needs PBI Dev to fix"</formula>
    </cfRule>
  </conditionalFormatting>
  <conditionalFormatting sqref="O66:P66">
    <cfRule type="expression" dxfId="74" priority="121">
      <formula>$AA66="Yes – needs PBI Dev to fix"</formula>
    </cfRule>
  </conditionalFormatting>
  <conditionalFormatting sqref="O67:P492">
    <cfRule type="expression" dxfId="73" priority="22">
      <formula>$Y67="Yes – needs PBI Dev to fix"</formula>
    </cfRule>
  </conditionalFormatting>
  <conditionalFormatting sqref="Q66">
    <cfRule type="expression" dxfId="72" priority="91">
      <formula>$AB66="Yes – needs PBI Dev to fix"</formula>
    </cfRule>
  </conditionalFormatting>
  <conditionalFormatting sqref="Q67:R492">
    <cfRule type="expression" dxfId="71" priority="23">
      <formula>$Y67="Yes – needs QA to fix"</formula>
    </cfRule>
  </conditionalFormatting>
  <conditionalFormatting sqref="Q2:T66">
    <cfRule type="expression" dxfId="70" priority="63">
      <formula>$AF2="Yes – needs PBI Dev to fix"</formula>
    </cfRule>
  </conditionalFormatting>
  <conditionalFormatting sqref="R66:T66">
    <cfRule type="expression" dxfId="69" priority="93">
      <formula>$AB66="Yes – needs QA to fix"</formula>
    </cfRule>
  </conditionalFormatting>
  <conditionalFormatting sqref="S67:T492">
    <cfRule type="expression" dxfId="68" priority="24">
      <formula>$Y67="Yes – needs DPO Approval to fix"</formula>
    </cfRule>
  </conditionalFormatting>
  <conditionalFormatting sqref="U67:U492">
    <cfRule type="expression" dxfId="67" priority="20">
      <formula>$U67="Yes"</formula>
    </cfRule>
  </conditionalFormatting>
  <conditionalFormatting sqref="U66:V66">
    <cfRule type="expression" dxfId="66" priority="95">
      <formula>$AB66="Yes – needs DPO Approval to fix"</formula>
    </cfRule>
  </conditionalFormatting>
  <conditionalFormatting sqref="U2:X66">
    <cfRule type="expression" dxfId="65" priority="66">
      <formula>$AF2="Yes – needs QA to fix"</formula>
    </cfRule>
  </conditionalFormatting>
  <conditionalFormatting sqref="W66:X66">
    <cfRule type="expression" dxfId="64" priority="97">
      <formula>$W66="Yes"</formula>
    </cfRule>
  </conditionalFormatting>
  <conditionalFormatting sqref="Y67:Y492">
    <cfRule type="expression" dxfId="63" priority="17">
      <formula>LEFT($Y67,3)="Yes"</formula>
    </cfRule>
  </conditionalFormatting>
  <conditionalFormatting sqref="Y2:AA66">
    <cfRule type="expression" dxfId="62" priority="69">
      <formula>$AF2="Yes – needs DPO Approval to fix"</formula>
    </cfRule>
  </conditionalFormatting>
  <conditionalFormatting sqref="Z67:Z492">
    <cfRule type="expression" dxfId="61" priority="27">
      <formula>$Z67&lt;&gt;""</formula>
    </cfRule>
    <cfRule type="expression" dxfId="60" priority="26">
      <formula>ISNUMBER(SEARCH("Duplicate",$Z67))</formula>
    </cfRule>
    <cfRule type="expression" dxfId="59" priority="25">
      <formula>ISNUMBER(SEARCH("Move old",$Z67))</formula>
    </cfRule>
    <cfRule type="expression" dxfId="58" priority="25">
      <formula>ISNUMBER(SEARCH("log it",$Z67))</formula>
    </cfRule>
    <cfRule type="expression" dxfId="57" priority="25">
      <formula>ISNUMBER(SEARCH("Open rework",$Z67))</formula>
    </cfRule>
  </conditionalFormatting>
  <conditionalFormatting sqref="AB2:AB66">
    <cfRule type="expression" dxfId="56" priority="41">
      <formula>$AB2="Yes"</formula>
    </cfRule>
  </conditionalFormatting>
  <conditionalFormatting sqref="AB66">
    <cfRule type="expression" dxfId="55" priority="99">
      <formula>LEFT($AB66,3)="Yes"</formula>
    </cfRule>
  </conditionalFormatting>
  <conditionalFormatting sqref="AC66">
    <cfRule type="expression" dxfId="54" priority="105">
      <formula>ISNUMBER(SEARCH("Open rework",$AC66))</formula>
    </cfRule>
    <cfRule type="expression" dxfId="53" priority="106">
      <formula>ISNUMBER(SEARCH("Move old",$AC66))</formula>
    </cfRule>
    <cfRule type="expression" dxfId="52" priority="107">
      <formula>ISNUMBER(SEARCH("log it",$AC66))</formula>
    </cfRule>
    <cfRule type="expression" dxfId="51" priority="109">
      <formula>$AC66&lt;&gt;""</formula>
    </cfRule>
    <cfRule type="expression" dxfId="50" priority="108">
      <formula>ISNUMBER(SEARCH("Duplicate",$AC66))</formula>
    </cfRule>
  </conditionalFormatting>
  <conditionalFormatting sqref="AF2:AF66">
    <cfRule type="expression" dxfId="49" priority="43">
      <formula>LEFT($AF2,3)="Yes"</formula>
    </cfRule>
  </conditionalFormatting>
  <conditionalFormatting sqref="AG2:AG66">
    <cfRule type="expression" dxfId="48" priority="52">
      <formula>ISNUMBER(SEARCH("Duplicate",$AG2))</formula>
    </cfRule>
    <cfRule type="expression" dxfId="47" priority="53">
      <formula>$AG2&lt;&gt;""</formula>
    </cfRule>
    <cfRule type="expression" dxfId="46" priority="49">
      <formula>ISNUMBER(SEARCH("log it",$AG2))</formula>
    </cfRule>
    <cfRule type="expression" dxfId="45" priority="50">
      <formula>ISNUMBER(SEARCH("Open rework",$AG2))</formula>
    </cfRule>
    <cfRule type="expression" dxfId="44" priority="51">
      <formula>ISNUMBER(SEARCH("Move old",$AG2))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173</v>
      </c>
    </row>
    <row r="2" spans="1:5" x14ac:dyDescent="0.3">
      <c r="A2" s="6" t="s">
        <v>174</v>
      </c>
    </row>
    <row r="4" spans="1:5" ht="21.9" customHeight="1" x14ac:dyDescent="0.3">
      <c r="A4" s="5" t="s">
        <v>175</v>
      </c>
      <c r="B4" s="58"/>
      <c r="C4" s="59"/>
      <c r="D4" s="59"/>
      <c r="E4" s="59"/>
    </row>
    <row r="6" spans="1:5" x14ac:dyDescent="0.3">
      <c r="A6" s="53" t="s">
        <v>0</v>
      </c>
      <c r="B6" s="63" t="str">
        <f>IF($B$4="","",IFERROR(INDEX('Combined Delivery Data'!$A:$A,MATCH($B$4,'Combined Delivery Data'!$B:$B,0)),""))</f>
        <v/>
      </c>
      <c r="C6" s="61"/>
      <c r="D6" s="61"/>
      <c r="E6" s="62"/>
    </row>
    <row r="7" spans="1:5" x14ac:dyDescent="0.3">
      <c r="A7" s="53" t="s">
        <v>2</v>
      </c>
      <c r="B7" s="63" t="str">
        <f>IF($B$4="","",IFERROR(INDEX('Combined Delivery Data'!$C:$C,MATCH($B$4,'Combined Delivery Data'!$B:$B,0)),""))</f>
        <v/>
      </c>
      <c r="C7" s="61"/>
      <c r="D7" s="61"/>
      <c r="E7" s="62"/>
    </row>
    <row r="8" spans="1:5" x14ac:dyDescent="0.3">
      <c r="A8" s="53" t="s">
        <v>3</v>
      </c>
      <c r="B8" s="63" t="str">
        <f>IF($B$4="","",IFERROR(INDEX('Combined Delivery Data'!$D:$D,MATCH($B$4,'Combined Delivery Data'!$B:$B,0)),""))</f>
        <v/>
      </c>
      <c r="C8" s="61"/>
      <c r="D8" s="61"/>
      <c r="E8" s="62"/>
    </row>
    <row r="9" spans="1:5" x14ac:dyDescent="0.3">
      <c r="A9" s="53" t="s">
        <v>4</v>
      </c>
      <c r="B9" s="63" t="str">
        <f>IF($B$4="","",IFERROR(INDEX('Combined Delivery Data'!$E:$E,MATCH($B$4,'Combined Delivery Data'!$B:$B,0)),""))</f>
        <v/>
      </c>
      <c r="C9" s="61"/>
      <c r="D9" s="61"/>
      <c r="E9" s="62"/>
    </row>
    <row r="10" spans="1:5" x14ac:dyDescent="0.3">
      <c r="A10" s="53" t="s">
        <v>5</v>
      </c>
      <c r="B10" s="63" t="str">
        <f>IF($B$4="","",IFERROR(INDEX('Combined Delivery Data'!$F:$F,MATCH($B$4,'Combined Delivery Data'!$B:$B,0)),""))</f>
        <v/>
      </c>
      <c r="C10" s="61"/>
      <c r="D10" s="61"/>
      <c r="E10" s="62"/>
    </row>
    <row r="11" spans="1:5" x14ac:dyDescent="0.3">
      <c r="A11" s="53" t="s">
        <v>6</v>
      </c>
      <c r="B11" s="63" t="str">
        <f>IF($B$4="","",IFERROR(INDEX('Combined Delivery Data'!$G:$G,MATCH($B$4,'Combined Delivery Data'!$B:$B,0)),""))</f>
        <v/>
      </c>
      <c r="C11" s="61"/>
      <c r="D11" s="61"/>
      <c r="E11" s="62"/>
    </row>
    <row r="12" spans="1:5" x14ac:dyDescent="0.3">
      <c r="A12" s="53" t="s">
        <v>7</v>
      </c>
      <c r="B12" s="63" t="str">
        <f>IF($B$4="","",IFERROR(INDEX('Combined Delivery Data'!$H:$H,MATCH($B$4,'Combined Delivery Data'!$B:$B,0)),""))</f>
        <v/>
      </c>
      <c r="C12" s="61"/>
      <c r="D12" s="61"/>
      <c r="E12" s="62"/>
    </row>
    <row r="13" spans="1:5" x14ac:dyDescent="0.3">
      <c r="A13" s="53" t="s">
        <v>8</v>
      </c>
      <c r="B13" s="63" t="str">
        <f>IF($B$4="","",IFERROR(INDEX('Combined Delivery Data'!$I:$I,MATCH($B$4,'Combined Delivery Data'!$B:$B,0)),""))</f>
        <v/>
      </c>
      <c r="C13" s="61"/>
      <c r="D13" s="61"/>
      <c r="E13" s="62"/>
    </row>
    <row r="14" spans="1:5" x14ac:dyDescent="0.3">
      <c r="A14" s="53" t="s">
        <v>176</v>
      </c>
      <c r="B14" s="60" t="str">
        <f>IF($B$4="","",IFERROR(INDEX('Combined Delivery Data'!$M:$M,MATCH($B$4,'Combined Delivery Data'!$B:$B,0)),""))</f>
        <v/>
      </c>
      <c r="C14" s="61"/>
      <c r="D14" s="61"/>
      <c r="E14" s="62"/>
    </row>
    <row r="15" spans="1:5" x14ac:dyDescent="0.3">
      <c r="A15" s="53" t="s">
        <v>177</v>
      </c>
      <c r="B15" s="60" t="str">
        <f>IF($B$4="","",IFERROR(INDEX('Combined Delivery Data'!$N:$N,MATCH($B$4,'Combined Delivery Data'!$B:$B,0)),""))</f>
        <v/>
      </c>
      <c r="C15" s="61"/>
      <c r="D15" s="61"/>
      <c r="E15" s="62"/>
    </row>
    <row r="16" spans="1:5" x14ac:dyDescent="0.3">
      <c r="A16" s="53" t="s">
        <v>178</v>
      </c>
      <c r="B16" s="60" t="str">
        <f>IF($B$4="","",IFERROR(INDEX('Combined Delivery Data'!$O:$O,MATCH($B$4,'Combined Delivery Data'!$B:$B,0)),""))</f>
        <v/>
      </c>
      <c r="C16" s="61"/>
      <c r="D16" s="61"/>
      <c r="E16" s="62"/>
    </row>
    <row r="17" spans="1:5" x14ac:dyDescent="0.3">
      <c r="A17" s="53" t="s">
        <v>179</v>
      </c>
      <c r="B17" s="60" t="str">
        <f>IF($B$4="","",IFERROR(INDEX('Combined Delivery Data'!$P:$P,MATCH($B$4,'Combined Delivery Data'!$B:$B,0)),""))</f>
        <v/>
      </c>
      <c r="C17" s="61"/>
      <c r="D17" s="61"/>
      <c r="E17" s="62"/>
    </row>
    <row r="18" spans="1:5" x14ac:dyDescent="0.3">
      <c r="A18" s="53" t="s">
        <v>180</v>
      </c>
      <c r="B18" s="60" t="str">
        <f>IF($B$4="","",IFERROR(INDEX('Combined Delivery Data'!$Q:$Q,MATCH($B$4,'Combined Delivery Data'!$B:$B,0)),""))</f>
        <v/>
      </c>
      <c r="C18" s="61"/>
      <c r="D18" s="61"/>
      <c r="E18" s="62"/>
    </row>
    <row r="19" spans="1:5" x14ac:dyDescent="0.3">
      <c r="A19" s="53" t="s">
        <v>181</v>
      </c>
      <c r="B19" s="60" t="str">
        <f>IF($B$4="","",IFERROR(INDEX('Combined Delivery Data'!$R:$R,MATCH($B$4,'Combined Delivery Data'!$B:$B,0)),""))</f>
        <v/>
      </c>
      <c r="C19" s="61"/>
      <c r="D19" s="61"/>
      <c r="E19" s="62"/>
    </row>
    <row r="20" spans="1:5" x14ac:dyDescent="0.3">
      <c r="A20" s="53" t="s">
        <v>182</v>
      </c>
      <c r="B20" s="60" t="str">
        <f>IF($B$4="","",IFERROR(INDEX('Combined Delivery Data'!$S:$S,MATCH($B$4,'Combined Delivery Data'!$B:$B,0)),""))</f>
        <v/>
      </c>
      <c r="C20" s="61"/>
      <c r="D20" s="61"/>
      <c r="E20" s="62"/>
    </row>
    <row r="21" spans="1:5" x14ac:dyDescent="0.3">
      <c r="A21" s="53" t="s">
        <v>26</v>
      </c>
      <c r="B21" s="63" t="str">
        <f>IF($B$4="","",IFERROR(INDEX('Combined Delivery Data'!$T:$T,MATCH($B$4,'Combined Delivery Data'!$B:$B,0)),""))</f>
        <v/>
      </c>
      <c r="C21" s="61"/>
      <c r="D21" s="61"/>
      <c r="E21" s="62"/>
    </row>
    <row r="22" spans="1:5" x14ac:dyDescent="0.3">
      <c r="A22" s="53" t="s">
        <v>27</v>
      </c>
      <c r="B22" s="63" t="str">
        <f>IF($B$4="","",IFERROR(INDEX('Combined Delivery Data'!$U:$U,MATCH($B$4,'Combined Delivery Data'!$B:$B,0)),""))</f>
        <v/>
      </c>
      <c r="C22" s="61"/>
      <c r="D22" s="61"/>
      <c r="E22" s="62"/>
    </row>
    <row r="23" spans="1:5" x14ac:dyDescent="0.3">
      <c r="A23" s="53" t="s">
        <v>28</v>
      </c>
      <c r="B23" s="60" t="str">
        <f>IF($B$4="","",IFERROR(INDEX('Combined Delivery Data'!$V:$V,MATCH($B$4,'Combined Delivery Data'!$B:$B,0)),""))</f>
        <v/>
      </c>
      <c r="C23" s="61"/>
      <c r="D23" s="61"/>
      <c r="E23" s="62"/>
    </row>
    <row r="24" spans="1:5" x14ac:dyDescent="0.3">
      <c r="A24" s="53" t="s">
        <v>31</v>
      </c>
      <c r="B24" s="63" t="str">
        <f>IF($B$4="","",IFERROR(INDEX('Combined Delivery Data'!$Y:$Y,MATCH($B$4,'Combined Delivery Data'!$B:$B,0)),""))</f>
        <v/>
      </c>
      <c r="C24" s="61"/>
      <c r="D24" s="61"/>
      <c r="E24" s="62"/>
    </row>
    <row r="25" spans="1:5" x14ac:dyDescent="0.3">
      <c r="A25" s="53" t="s">
        <v>32</v>
      </c>
      <c r="B25" s="63" t="str">
        <f>IF($B$4="","",IFERROR(INDEX('Combined Delivery Data'!$Z:$Z,MATCH($B$4,'Combined Delivery Data'!$B:$B,0)),""))</f>
        <v/>
      </c>
      <c r="C25" s="61"/>
      <c r="D25" s="61"/>
      <c r="E25" s="62"/>
    </row>
    <row r="26" spans="1:5" x14ac:dyDescent="0.3">
      <c r="A26" s="53" t="s">
        <v>183</v>
      </c>
      <c r="B26" s="63" t="str">
        <f>IF($B$4="","",IFERROR(INDEX('Rework Log'!$Q:$Q,MATCH($B$4,'Rework Log'!$P:$P,0)),""))</f>
        <v/>
      </c>
      <c r="C26" s="61"/>
      <c r="D26" s="61"/>
      <c r="E26" s="62"/>
    </row>
    <row r="27" spans="1:5" x14ac:dyDescent="0.3">
      <c r="A27" s="53" t="s">
        <v>184</v>
      </c>
      <c r="B27" s="63" t="str">
        <f>IF($B$4="","",IFERROR(INDEX('Rework Log'!$R:$R,MATCH($B$4,'Rework Log'!$P:$P,0)),""))</f>
        <v/>
      </c>
      <c r="C27" s="61"/>
      <c r="D27" s="61"/>
      <c r="E27" s="62"/>
    </row>
    <row r="28" spans="1:5" x14ac:dyDescent="0.3">
      <c r="A28" s="53" t="s">
        <v>185</v>
      </c>
      <c r="B28" s="63" t="str">
        <f>IF($B$4="","",IFERROR(INDEX('Rework Log'!$S:$S,MATCH($B$4,'Rework Log'!$P:$P,0)),""))</f>
        <v/>
      </c>
      <c r="C28" s="61"/>
      <c r="D28" s="61"/>
      <c r="E28" s="62"/>
    </row>
    <row r="29" spans="1:5" x14ac:dyDescent="0.3">
      <c r="A29" s="53" t="s">
        <v>186</v>
      </c>
      <c r="B29" s="63" t="str">
        <f>IF($B$4="","",IFERROR(INDEX('Rework Log'!$T:$T,MATCH($B$4,'Rework Log'!$P:$P,0)),""))</f>
        <v/>
      </c>
      <c r="C29" s="61"/>
      <c r="D29" s="61"/>
      <c r="E29" s="62"/>
    </row>
    <row r="30" spans="1:5" ht="15.6" customHeight="1" x14ac:dyDescent="0.3">
      <c r="A30" s="53"/>
      <c r="B30" s="63"/>
      <c r="C30" s="61"/>
      <c r="D30" s="61"/>
      <c r="E30" s="62"/>
    </row>
    <row r="31" spans="1:5" ht="15.6" customHeight="1" x14ac:dyDescent="0.3">
      <c r="A31" s="5" t="s">
        <v>33</v>
      </c>
      <c r="B31" s="64" t="str">
        <f>IF($B$4="","",IFERROR(INDEX('Combined Delivery Data'!$AA:$AA,MATCH($B$4,'Combined Delivery Data'!$B:$B,0)),""))</f>
        <v/>
      </c>
      <c r="C31" s="59"/>
      <c r="D31" s="59"/>
      <c r="E31" s="5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6640625" customWidth="1"/>
    <col min="8" max="8" width="1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5" t="s">
        <v>187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P1" s="66" t="s">
        <v>188</v>
      </c>
      <c r="Q1" s="59"/>
      <c r="R1" s="59"/>
      <c r="S1" s="59"/>
      <c r="T1" s="59"/>
    </row>
    <row r="2" spans="1:20" ht="30" customHeight="1" x14ac:dyDescent="0.3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 x14ac:dyDescent="0.3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 x14ac:dyDescent="0.3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 x14ac:dyDescent="0.3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 x14ac:dyDescent="0.3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 x14ac:dyDescent="0.3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 x14ac:dyDescent="0.3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 x14ac:dyDescent="0.3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 x14ac:dyDescent="0.3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 x14ac:dyDescent="0.3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 x14ac:dyDescent="0.3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 x14ac:dyDescent="0.3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 x14ac:dyDescent="0.3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 x14ac:dyDescent="0.3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 x14ac:dyDescent="0.3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 x14ac:dyDescent="0.3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 x14ac:dyDescent="0.3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 x14ac:dyDescent="0.3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 x14ac:dyDescent="0.3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 x14ac:dyDescent="0.3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 x14ac:dyDescent="0.3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 x14ac:dyDescent="0.3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 x14ac:dyDescent="0.3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 x14ac:dyDescent="0.3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 x14ac:dyDescent="0.3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 x14ac:dyDescent="0.3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 x14ac:dyDescent="0.3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 x14ac:dyDescent="0.3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 x14ac:dyDescent="0.3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 x14ac:dyDescent="0.3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 x14ac:dyDescent="0.3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 x14ac:dyDescent="0.3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 x14ac:dyDescent="0.3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 x14ac:dyDescent="0.3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 x14ac:dyDescent="0.3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 x14ac:dyDescent="0.3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 x14ac:dyDescent="0.3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 x14ac:dyDescent="0.3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 x14ac:dyDescent="0.3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 x14ac:dyDescent="0.3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 x14ac:dyDescent="0.3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 x14ac:dyDescent="0.3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 x14ac:dyDescent="0.3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 x14ac:dyDescent="0.3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 x14ac:dyDescent="0.3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 x14ac:dyDescent="0.3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 x14ac:dyDescent="0.3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 x14ac:dyDescent="0.3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 x14ac:dyDescent="0.3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 x14ac:dyDescent="0.3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 x14ac:dyDescent="0.3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 x14ac:dyDescent="0.3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 x14ac:dyDescent="0.3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 x14ac:dyDescent="0.3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 x14ac:dyDescent="0.3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 x14ac:dyDescent="0.3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 x14ac:dyDescent="0.3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 x14ac:dyDescent="0.3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 x14ac:dyDescent="0.3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 x14ac:dyDescent="0.3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 x14ac:dyDescent="0.3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 x14ac:dyDescent="0.3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 x14ac:dyDescent="0.3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 x14ac:dyDescent="0.3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 x14ac:dyDescent="0.3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 x14ac:dyDescent="0.3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 x14ac:dyDescent="0.3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 x14ac:dyDescent="0.3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 x14ac:dyDescent="0.3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 x14ac:dyDescent="0.3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 x14ac:dyDescent="0.3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 x14ac:dyDescent="0.3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 x14ac:dyDescent="0.3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 x14ac:dyDescent="0.3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 x14ac:dyDescent="0.3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 x14ac:dyDescent="0.3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 x14ac:dyDescent="0.3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 x14ac:dyDescent="0.3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 x14ac:dyDescent="0.3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 x14ac:dyDescent="0.3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 x14ac:dyDescent="0.3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 x14ac:dyDescent="0.3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 x14ac:dyDescent="0.3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 x14ac:dyDescent="0.3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 x14ac:dyDescent="0.3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 x14ac:dyDescent="0.3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 x14ac:dyDescent="0.3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 x14ac:dyDescent="0.3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 x14ac:dyDescent="0.3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 x14ac:dyDescent="0.3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 x14ac:dyDescent="0.3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 x14ac:dyDescent="0.3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 x14ac:dyDescent="0.3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 x14ac:dyDescent="0.3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 x14ac:dyDescent="0.3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 x14ac:dyDescent="0.3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 x14ac:dyDescent="0.3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 x14ac:dyDescent="0.3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 x14ac:dyDescent="0.3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 x14ac:dyDescent="0.3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 x14ac:dyDescent="0.3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 x14ac:dyDescent="0.3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 x14ac:dyDescent="0.3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 x14ac:dyDescent="0.3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 x14ac:dyDescent="0.3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 x14ac:dyDescent="0.3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 x14ac:dyDescent="0.3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 x14ac:dyDescent="0.3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 x14ac:dyDescent="0.3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 x14ac:dyDescent="0.3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 x14ac:dyDescent="0.3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 x14ac:dyDescent="0.3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 x14ac:dyDescent="0.3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 x14ac:dyDescent="0.3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 x14ac:dyDescent="0.3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 x14ac:dyDescent="0.3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 x14ac:dyDescent="0.3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 x14ac:dyDescent="0.3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 x14ac:dyDescent="0.3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 x14ac:dyDescent="0.3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 x14ac:dyDescent="0.3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 x14ac:dyDescent="0.3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 x14ac:dyDescent="0.3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 x14ac:dyDescent="0.3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 x14ac:dyDescent="0.3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 x14ac:dyDescent="0.3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 x14ac:dyDescent="0.3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 x14ac:dyDescent="0.3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 x14ac:dyDescent="0.3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 x14ac:dyDescent="0.3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 x14ac:dyDescent="0.3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 x14ac:dyDescent="0.3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 x14ac:dyDescent="0.3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 x14ac:dyDescent="0.3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 x14ac:dyDescent="0.3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 x14ac:dyDescent="0.3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 x14ac:dyDescent="0.3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 x14ac:dyDescent="0.3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 x14ac:dyDescent="0.3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 x14ac:dyDescent="0.3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 x14ac:dyDescent="0.3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 x14ac:dyDescent="0.3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 x14ac:dyDescent="0.3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 x14ac:dyDescent="0.3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 x14ac:dyDescent="0.3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 x14ac:dyDescent="0.3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 x14ac:dyDescent="0.3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 x14ac:dyDescent="0.3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 x14ac:dyDescent="0.3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 x14ac:dyDescent="0.3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 x14ac:dyDescent="0.3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 x14ac:dyDescent="0.3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 x14ac:dyDescent="0.3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 x14ac:dyDescent="0.3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 x14ac:dyDescent="0.3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 x14ac:dyDescent="0.3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 x14ac:dyDescent="0.3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 x14ac:dyDescent="0.3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 x14ac:dyDescent="0.3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 x14ac:dyDescent="0.3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 x14ac:dyDescent="0.3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 x14ac:dyDescent="0.3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 x14ac:dyDescent="0.3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 x14ac:dyDescent="0.3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 x14ac:dyDescent="0.3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 x14ac:dyDescent="0.3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 x14ac:dyDescent="0.3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 x14ac:dyDescent="0.3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 x14ac:dyDescent="0.3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 x14ac:dyDescent="0.3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 x14ac:dyDescent="0.3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 x14ac:dyDescent="0.3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 x14ac:dyDescent="0.3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 x14ac:dyDescent="0.3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 x14ac:dyDescent="0.3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 x14ac:dyDescent="0.3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 x14ac:dyDescent="0.3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 x14ac:dyDescent="0.3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 x14ac:dyDescent="0.3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 x14ac:dyDescent="0.3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 x14ac:dyDescent="0.3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 x14ac:dyDescent="0.3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 x14ac:dyDescent="0.3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 x14ac:dyDescent="0.3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 x14ac:dyDescent="0.3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 x14ac:dyDescent="0.3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 x14ac:dyDescent="0.3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 x14ac:dyDescent="0.3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 x14ac:dyDescent="0.3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 x14ac:dyDescent="0.3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 x14ac:dyDescent="0.3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 x14ac:dyDescent="0.3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 x14ac:dyDescent="0.3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 x14ac:dyDescent="0.3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 x14ac:dyDescent="0.3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 x14ac:dyDescent="0.3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 x14ac:dyDescent="0.3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 x14ac:dyDescent="0.3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 x14ac:dyDescent="0.3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 x14ac:dyDescent="0.3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 x14ac:dyDescent="0.3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 x14ac:dyDescent="0.3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 x14ac:dyDescent="0.3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 x14ac:dyDescent="0.3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 x14ac:dyDescent="0.3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 x14ac:dyDescent="0.3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 x14ac:dyDescent="0.3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 x14ac:dyDescent="0.3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 x14ac:dyDescent="0.3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 x14ac:dyDescent="0.3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 x14ac:dyDescent="0.3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 x14ac:dyDescent="0.3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 x14ac:dyDescent="0.3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 x14ac:dyDescent="0.3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 x14ac:dyDescent="0.3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 x14ac:dyDescent="0.3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 x14ac:dyDescent="0.3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 x14ac:dyDescent="0.3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 x14ac:dyDescent="0.3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 x14ac:dyDescent="0.3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 x14ac:dyDescent="0.3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 x14ac:dyDescent="0.3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 x14ac:dyDescent="0.3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 x14ac:dyDescent="0.3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 x14ac:dyDescent="0.3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 x14ac:dyDescent="0.3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 x14ac:dyDescent="0.3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 x14ac:dyDescent="0.3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 x14ac:dyDescent="0.3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 x14ac:dyDescent="0.3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 x14ac:dyDescent="0.3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 x14ac:dyDescent="0.3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 x14ac:dyDescent="0.3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 x14ac:dyDescent="0.3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 x14ac:dyDescent="0.3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 x14ac:dyDescent="0.3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 x14ac:dyDescent="0.3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 x14ac:dyDescent="0.3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 x14ac:dyDescent="0.3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 x14ac:dyDescent="0.3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 x14ac:dyDescent="0.3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 x14ac:dyDescent="0.3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 x14ac:dyDescent="0.3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 x14ac:dyDescent="0.3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 x14ac:dyDescent="0.3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 x14ac:dyDescent="0.3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 x14ac:dyDescent="0.3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 x14ac:dyDescent="0.3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 x14ac:dyDescent="0.3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 x14ac:dyDescent="0.3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 x14ac:dyDescent="0.3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 x14ac:dyDescent="0.3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 x14ac:dyDescent="0.3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 x14ac:dyDescent="0.3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 x14ac:dyDescent="0.3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 x14ac:dyDescent="0.3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 x14ac:dyDescent="0.3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 x14ac:dyDescent="0.3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 x14ac:dyDescent="0.3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 x14ac:dyDescent="0.3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 x14ac:dyDescent="0.3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 x14ac:dyDescent="0.3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 x14ac:dyDescent="0.3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 x14ac:dyDescent="0.3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 x14ac:dyDescent="0.3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 x14ac:dyDescent="0.3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 x14ac:dyDescent="0.3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 x14ac:dyDescent="0.3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 x14ac:dyDescent="0.3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 x14ac:dyDescent="0.3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 x14ac:dyDescent="0.3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 x14ac:dyDescent="0.3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 x14ac:dyDescent="0.3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 x14ac:dyDescent="0.3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 x14ac:dyDescent="0.3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 x14ac:dyDescent="0.3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 x14ac:dyDescent="0.3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 x14ac:dyDescent="0.3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 x14ac:dyDescent="0.3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 x14ac:dyDescent="0.3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 x14ac:dyDescent="0.3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 x14ac:dyDescent="0.3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 x14ac:dyDescent="0.3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 x14ac:dyDescent="0.3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 x14ac:dyDescent="0.3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 x14ac:dyDescent="0.3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 x14ac:dyDescent="0.3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 x14ac:dyDescent="0.3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 x14ac:dyDescent="0.3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 x14ac:dyDescent="0.3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 x14ac:dyDescent="0.3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 x14ac:dyDescent="0.3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 x14ac:dyDescent="0.3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 x14ac:dyDescent="0.3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 x14ac:dyDescent="0.3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 x14ac:dyDescent="0.3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 x14ac:dyDescent="0.3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 x14ac:dyDescent="0.3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 x14ac:dyDescent="0.3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 x14ac:dyDescent="0.3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 x14ac:dyDescent="0.3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 x14ac:dyDescent="0.3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 x14ac:dyDescent="0.3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 x14ac:dyDescent="0.3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 x14ac:dyDescent="0.3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 x14ac:dyDescent="0.3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 x14ac:dyDescent="0.3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 x14ac:dyDescent="0.3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 x14ac:dyDescent="0.3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 x14ac:dyDescent="0.3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 x14ac:dyDescent="0.3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 x14ac:dyDescent="0.3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 x14ac:dyDescent="0.3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 x14ac:dyDescent="0.3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 x14ac:dyDescent="0.3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 x14ac:dyDescent="0.3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 x14ac:dyDescent="0.3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 x14ac:dyDescent="0.3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 x14ac:dyDescent="0.3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 x14ac:dyDescent="0.3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 x14ac:dyDescent="0.3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 x14ac:dyDescent="0.3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 x14ac:dyDescent="0.3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 x14ac:dyDescent="0.3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 x14ac:dyDescent="0.3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 x14ac:dyDescent="0.3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 x14ac:dyDescent="0.3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 x14ac:dyDescent="0.3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 x14ac:dyDescent="0.3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 x14ac:dyDescent="0.3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 x14ac:dyDescent="0.3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 x14ac:dyDescent="0.3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 x14ac:dyDescent="0.3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 x14ac:dyDescent="0.3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 x14ac:dyDescent="0.3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 x14ac:dyDescent="0.3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 x14ac:dyDescent="0.3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 x14ac:dyDescent="0.3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 x14ac:dyDescent="0.3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 x14ac:dyDescent="0.3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 x14ac:dyDescent="0.3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 x14ac:dyDescent="0.3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 x14ac:dyDescent="0.3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 x14ac:dyDescent="0.3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 x14ac:dyDescent="0.3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 x14ac:dyDescent="0.3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 x14ac:dyDescent="0.3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 x14ac:dyDescent="0.3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 x14ac:dyDescent="0.3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 x14ac:dyDescent="0.3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 x14ac:dyDescent="0.3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 x14ac:dyDescent="0.3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 x14ac:dyDescent="0.3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 x14ac:dyDescent="0.3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 x14ac:dyDescent="0.3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 x14ac:dyDescent="0.3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 x14ac:dyDescent="0.3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 x14ac:dyDescent="0.3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 x14ac:dyDescent="0.3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 x14ac:dyDescent="0.3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 x14ac:dyDescent="0.3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 x14ac:dyDescent="0.3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 x14ac:dyDescent="0.3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 x14ac:dyDescent="0.3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 x14ac:dyDescent="0.3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 x14ac:dyDescent="0.3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 x14ac:dyDescent="0.3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 x14ac:dyDescent="0.3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 x14ac:dyDescent="0.3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 x14ac:dyDescent="0.3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 x14ac:dyDescent="0.3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 x14ac:dyDescent="0.3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 x14ac:dyDescent="0.3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 x14ac:dyDescent="0.3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 x14ac:dyDescent="0.3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 x14ac:dyDescent="0.3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 x14ac:dyDescent="0.3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 x14ac:dyDescent="0.3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 x14ac:dyDescent="0.3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 x14ac:dyDescent="0.3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 x14ac:dyDescent="0.3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 x14ac:dyDescent="0.3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 x14ac:dyDescent="0.3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 x14ac:dyDescent="0.3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 x14ac:dyDescent="0.3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 x14ac:dyDescent="0.3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 x14ac:dyDescent="0.3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 x14ac:dyDescent="0.3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 x14ac:dyDescent="0.3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 x14ac:dyDescent="0.3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 x14ac:dyDescent="0.3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 x14ac:dyDescent="0.3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 x14ac:dyDescent="0.3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 x14ac:dyDescent="0.3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 x14ac:dyDescent="0.3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 x14ac:dyDescent="0.3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 x14ac:dyDescent="0.3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 x14ac:dyDescent="0.3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 x14ac:dyDescent="0.3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 x14ac:dyDescent="0.3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 x14ac:dyDescent="0.3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 x14ac:dyDescent="0.3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 x14ac:dyDescent="0.3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 x14ac:dyDescent="0.3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 x14ac:dyDescent="0.3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 x14ac:dyDescent="0.3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 x14ac:dyDescent="0.3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 x14ac:dyDescent="0.3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 x14ac:dyDescent="0.3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 x14ac:dyDescent="0.3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 x14ac:dyDescent="0.3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 x14ac:dyDescent="0.3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 x14ac:dyDescent="0.3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 x14ac:dyDescent="0.3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 x14ac:dyDescent="0.3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 x14ac:dyDescent="0.3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 x14ac:dyDescent="0.3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 x14ac:dyDescent="0.3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 x14ac:dyDescent="0.3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 x14ac:dyDescent="0.3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 x14ac:dyDescent="0.3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 x14ac:dyDescent="0.3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 x14ac:dyDescent="0.3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 x14ac:dyDescent="0.3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 x14ac:dyDescent="0.3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 x14ac:dyDescent="0.3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 x14ac:dyDescent="0.3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 x14ac:dyDescent="0.3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 x14ac:dyDescent="0.3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 x14ac:dyDescent="0.3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 x14ac:dyDescent="0.3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 x14ac:dyDescent="0.3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 x14ac:dyDescent="0.3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 x14ac:dyDescent="0.3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 x14ac:dyDescent="0.3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 x14ac:dyDescent="0.3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 x14ac:dyDescent="0.3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 x14ac:dyDescent="0.3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 x14ac:dyDescent="0.3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 x14ac:dyDescent="0.3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 x14ac:dyDescent="0.3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 x14ac:dyDescent="0.3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 x14ac:dyDescent="0.3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 x14ac:dyDescent="0.3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 x14ac:dyDescent="0.3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 x14ac:dyDescent="0.3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 x14ac:dyDescent="0.3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 x14ac:dyDescent="0.3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 x14ac:dyDescent="0.3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 x14ac:dyDescent="0.3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 x14ac:dyDescent="0.3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 x14ac:dyDescent="0.3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 x14ac:dyDescent="0.3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 x14ac:dyDescent="0.3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 x14ac:dyDescent="0.3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 x14ac:dyDescent="0.3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 x14ac:dyDescent="0.3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 x14ac:dyDescent="0.3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 x14ac:dyDescent="0.3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 x14ac:dyDescent="0.3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 x14ac:dyDescent="0.3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 x14ac:dyDescent="0.3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 x14ac:dyDescent="0.3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 x14ac:dyDescent="0.3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 x14ac:dyDescent="0.3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 x14ac:dyDescent="0.3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 x14ac:dyDescent="0.3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 x14ac:dyDescent="0.3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 x14ac:dyDescent="0.3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 x14ac:dyDescent="0.3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 x14ac:dyDescent="0.3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 x14ac:dyDescent="0.3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 x14ac:dyDescent="0.3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 x14ac:dyDescent="0.3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 x14ac:dyDescent="0.3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 x14ac:dyDescent="0.3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 x14ac:dyDescent="0.3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 x14ac:dyDescent="0.3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 x14ac:dyDescent="0.3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 x14ac:dyDescent="0.3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 x14ac:dyDescent="0.3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 x14ac:dyDescent="0.3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 x14ac:dyDescent="0.3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 x14ac:dyDescent="0.3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 x14ac:dyDescent="0.3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 x14ac:dyDescent="0.3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 x14ac:dyDescent="0.3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 x14ac:dyDescent="0.3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 x14ac:dyDescent="0.3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 x14ac:dyDescent="0.3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 x14ac:dyDescent="0.3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43" priority="7">
      <formula>AND($A3&lt;&gt;"",$G3="Did not pass re-test")</formula>
    </cfRule>
    <cfRule type="expression" dxfId="42" priority="8">
      <formula>AND($A3&lt;&gt;"",$G3="Yes")</formula>
    </cfRule>
    <cfRule type="expression" dxfId="41" priority="9">
      <formula>AND($A3&lt;&gt;"",$J3&lt;&gt;"")</formula>
    </cfRule>
    <cfRule type="expression" dxfId="40" priority="10">
      <formula>$A3&lt;&gt;""</formula>
    </cfRule>
  </conditionalFormatting>
  <conditionalFormatting sqref="C3:C200">
    <cfRule type="expression" dxfId="39" priority="11">
      <formula>$A3=""</formula>
    </cfRule>
  </conditionalFormatting>
  <conditionalFormatting sqref="G3:G200">
    <cfRule type="expression" dxfId="38" priority="12">
      <formula>$A3=""</formula>
    </cfRule>
  </conditionalFormatting>
  <conditionalFormatting sqref="M3:M500">
    <cfRule type="expression" dxfId="37" priority="1">
      <formula>ISNUMBER(SEARCH("Sent back again",$M3))</formula>
    </cfRule>
    <cfRule type="expression" dxfId="36" priority="2">
      <formula>ISNUMBER(SEARCH("LATE",$M3))</formula>
    </cfRule>
    <cfRule type="expression" dxfId="35" priority="3">
      <formula>ISNUMBER(SEARCH("UNCLAIMED",$M3))</formula>
    </cfRule>
    <cfRule type="expression" dxfId="34" priority="4">
      <formula>ISNUMBER(SEARCH("Missing",$M3))</formula>
    </cfRule>
    <cfRule type="expression" dxfId="33" priority="5">
      <formula>ISNUMBER(SEARCH("Fixed in",$M3))</formula>
    </cfRule>
    <cfRule type="expression" dxfId="32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203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27" customHeight="1" x14ac:dyDescent="0.3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 x14ac:dyDescent="0.3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 x14ac:dyDescent="0.3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 x14ac:dyDescent="0.3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 x14ac:dyDescent="0.3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 x14ac:dyDescent="0.3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 x14ac:dyDescent="0.3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 x14ac:dyDescent="0.3">
      <c r="A157" s="3" t="s">
        <v>104</v>
      </c>
      <c r="B157" s="3" t="s">
        <v>120</v>
      </c>
      <c r="C157" s="3" t="s">
        <v>124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 x14ac:dyDescent="0.3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 x14ac:dyDescent="0.3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 x14ac:dyDescent="0.3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 x14ac:dyDescent="0.3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 x14ac:dyDescent="0.3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 x14ac:dyDescent="0.3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 x14ac:dyDescent="0.3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 x14ac:dyDescent="0.3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 x14ac:dyDescent="0.3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 x14ac:dyDescent="0.3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 x14ac:dyDescent="0.3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 x14ac:dyDescent="0.3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 x14ac:dyDescent="0.3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 x14ac:dyDescent="0.3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 x14ac:dyDescent="0.3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 x14ac:dyDescent="0.3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 x14ac:dyDescent="0.3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 x14ac:dyDescent="0.3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 x14ac:dyDescent="0.3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 x14ac:dyDescent="0.3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68" t="s">
        <v>219</v>
      </c>
      <c r="B1" s="59"/>
      <c r="C1" s="59"/>
    </row>
    <row r="2" spans="1:3" ht="14.25" customHeight="1" x14ac:dyDescent="0.3">
      <c r="A2" s="8" t="s">
        <v>0</v>
      </c>
      <c r="B2" s="8" t="s">
        <v>220</v>
      </c>
      <c r="C2" s="8" t="s">
        <v>208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104</v>
      </c>
      <c r="B6" s="11">
        <v>15</v>
      </c>
      <c r="C6" s="12">
        <v>46233</v>
      </c>
    </row>
    <row r="7" spans="1:3" ht="14.25" customHeight="1" x14ac:dyDescent="0.3">
      <c r="A7" s="11" t="s">
        <v>104</v>
      </c>
      <c r="B7" s="11">
        <v>15</v>
      </c>
      <c r="C7" s="12">
        <v>46264</v>
      </c>
    </row>
    <row r="8" spans="1:3" ht="14.25" customHeight="1" x14ac:dyDescent="0.3">
      <c r="A8" s="11" t="s">
        <v>104</v>
      </c>
      <c r="B8" s="11">
        <v>17</v>
      </c>
      <c r="C8" s="12">
        <v>46295</v>
      </c>
    </row>
    <row r="9" spans="1:3" ht="14.25" customHeight="1" x14ac:dyDescent="0.3">
      <c r="A9" s="11" t="s">
        <v>104</v>
      </c>
      <c r="B9" s="11">
        <v>20</v>
      </c>
      <c r="C9" s="12">
        <v>46325</v>
      </c>
    </row>
    <row r="10" spans="1:3" ht="14.25" customHeight="1" x14ac:dyDescent="0.3">
      <c r="A10" s="11" t="s">
        <v>104</v>
      </c>
      <c r="B10" s="11">
        <v>20</v>
      </c>
      <c r="C10" s="12">
        <v>46356</v>
      </c>
    </row>
    <row r="11" spans="1:3" ht="14.25" customHeight="1" x14ac:dyDescent="0.3">
      <c r="A11" s="11" t="s">
        <v>221</v>
      </c>
      <c r="B11" s="11">
        <v>18</v>
      </c>
      <c r="C11" s="12">
        <v>46386</v>
      </c>
    </row>
    <row r="12" spans="1:3" ht="14.25" customHeight="1" x14ac:dyDescent="0.3">
      <c r="A12" s="11" t="s">
        <v>221</v>
      </c>
      <c r="B12" s="11">
        <v>18</v>
      </c>
      <c r="C12" s="12">
        <v>46417</v>
      </c>
    </row>
    <row r="13" spans="1:3" ht="14.25" customHeight="1" x14ac:dyDescent="0.3">
      <c r="A13" s="11" t="s">
        <v>221</v>
      </c>
      <c r="B13" s="11">
        <v>19</v>
      </c>
      <c r="C13" s="12">
        <v>46446</v>
      </c>
    </row>
    <row r="14" spans="1:3" ht="14.25" customHeight="1" x14ac:dyDescent="0.3">
      <c r="A14" s="11" t="s">
        <v>222</v>
      </c>
      <c r="B14" s="11">
        <v>9</v>
      </c>
      <c r="C14" s="12">
        <v>46476</v>
      </c>
    </row>
    <row r="15" spans="1:3" ht="14.25" customHeight="1" x14ac:dyDescent="0.3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 x14ac:dyDescent="0.3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 x14ac:dyDescent="0.3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 x14ac:dyDescent="0.3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s="56" t="s">
        <v>242</v>
      </c>
    </row>
    <row r="5" spans="1:14" ht="15" customHeight="1" x14ac:dyDescent="0.3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245</v>
      </c>
      <c r="M5" t="s">
        <v>76</v>
      </c>
      <c r="N5" s="56" t="s">
        <v>242</v>
      </c>
    </row>
    <row r="6" spans="1:14" ht="15" customHeight="1" x14ac:dyDescent="0.3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122</v>
      </c>
      <c r="J6" t="s">
        <v>210</v>
      </c>
      <c r="M6" t="s">
        <v>41</v>
      </c>
      <c r="N6" s="56" t="s">
        <v>242</v>
      </c>
    </row>
    <row r="7" spans="1:14" ht="15" customHeight="1" x14ac:dyDescent="0.3">
      <c r="A7" t="s">
        <v>223</v>
      </c>
      <c r="B7" t="s">
        <v>97</v>
      </c>
      <c r="F7" t="s">
        <v>210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 x14ac:dyDescent="0.3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 x14ac:dyDescent="0.3">
      <c r="B9" t="s">
        <v>85</v>
      </c>
      <c r="G9" t="s">
        <v>85</v>
      </c>
      <c r="M9" t="s">
        <v>132</v>
      </c>
      <c r="N9" s="56" t="s">
        <v>242</v>
      </c>
    </row>
    <row r="10" spans="1:14" ht="15" customHeight="1" x14ac:dyDescent="0.3">
      <c r="B10" t="s">
        <v>132</v>
      </c>
      <c r="G10" t="s">
        <v>132</v>
      </c>
      <c r="M10" t="s">
        <v>39</v>
      </c>
      <c r="N10" s="56" t="s">
        <v>242</v>
      </c>
    </row>
    <row r="11" spans="1:14" x14ac:dyDescent="0.3">
      <c r="G11" t="s">
        <v>54</v>
      </c>
      <c r="M11" t="s">
        <v>63</v>
      </c>
      <c r="N11" s="56" t="s">
        <v>242</v>
      </c>
    </row>
    <row r="12" spans="1:14" x14ac:dyDescent="0.3">
      <c r="G12" t="s">
        <v>38</v>
      </c>
      <c r="M12" t="s">
        <v>38</v>
      </c>
      <c r="N12" s="56" t="s">
        <v>242</v>
      </c>
    </row>
    <row r="13" spans="1:14" x14ac:dyDescent="0.3">
      <c r="G13" t="s">
        <v>64</v>
      </c>
      <c r="M13" t="s">
        <v>64</v>
      </c>
      <c r="N13" s="56" t="s">
        <v>242</v>
      </c>
    </row>
    <row r="14" spans="1:14" x14ac:dyDescent="0.3">
      <c r="M14" t="s">
        <v>72</v>
      </c>
      <c r="N14" s="56" t="s">
        <v>248</v>
      </c>
    </row>
    <row r="15" spans="1:14" x14ac:dyDescent="0.3">
      <c r="M15" t="s">
        <v>53</v>
      </c>
      <c r="N15" s="56" t="s">
        <v>242</v>
      </c>
    </row>
    <row r="16" spans="1:14" x14ac:dyDescent="0.3">
      <c r="M16" t="s">
        <v>97</v>
      </c>
      <c r="N16" s="56" t="s">
        <v>242</v>
      </c>
    </row>
    <row r="17" spans="13:14" x14ac:dyDescent="0.3">
      <c r="M17" t="s">
        <v>51</v>
      </c>
      <c r="N17" s="56" t="s">
        <v>242</v>
      </c>
    </row>
    <row r="18" spans="13:14" x14ac:dyDescent="0.3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purl.org/dc/terms/"/>
    <ds:schemaRef ds:uri="http://purl.org/dc/elements/1.1/"/>
    <ds:schemaRef ds:uri="5b9cbbf0-fbbf-4687-be4c-62cb1159071c"/>
    <ds:schemaRef ds:uri="http://www.w3.org/XML/1998/namespace"/>
    <ds:schemaRef ds:uri="http://schemas.microsoft.com/office/2006/documentManagement/types"/>
    <ds:schemaRef ds:uri="http://purl.org/dc/dcmitype/"/>
    <ds:schemaRef ds:uri="cadce026-d35b-4a62-a2ee-1436bb44fb55"/>
    <ds:schemaRef ds:uri="http://schemas.microsoft.com/office/infopath/2007/PartnerControls"/>
    <ds:schemaRef ds:uri="http://schemas.openxmlformats.org/package/2006/metadata/core-properties"/>
    <ds:schemaRef ds:uri="6d32ee4e-79d4-4fe0-ad34-1cbae873c51e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2026-08-03T18:41:31Z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