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63" documentId="13_ncr:1_{52745E9B-3AA1-4770-AAD3-E6166BFC13AE}" xr6:coauthVersionLast="47" xr6:coauthVersionMax="47" xr10:uidLastSave="{AB1BCC2D-BDED-4CC9-B3E5-1AD07F4F2AD7}"/>
  <bookViews>
    <workbookView xWindow="-108" yWindow="-108" windowWidth="23256" windowHeight="12456" tabRatio="500" firstSheet="2" activeTab="2"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I17" i="8" l="1"/>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<sst xmlns="http://schemas.openxmlformats.org/spreadsheetml/2006/main" count="3608" uniqueCount="522">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</sst>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0" fontId="13" fillId="0" borderId="0" xfId="0" applyFont="1" applyAlignment="1">
      <alignment vertical="center" wrapTex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39"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59">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12</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L26" activePane="topRight" state="frozen"/>
      <selection pane="topRight" activeCell="B45" sqref="B45"/>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v>46298</v>
      </c>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Overdue</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223</v>
      </c>
      <c r="C67" s="33" t="s">
        <v>219</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238</v>
      </c>
      <c r="C71" s="33" t="s">
        <v>128</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242</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243</v>
      </c>
      <c r="J73" s="31" t="s">
        <v>76</v>
      </c>
      <c r="K73" s="43">
        <v>46304</v>
      </c>
      <c r="L73" s="43">
        <v>46259</v>
      </c>
      <c r="M73" s="46">
        <v>46259</v>
      </c>
      <c r="N73" s="44" t="s">
        <v>45</v>
      </c>
      <c r="O73" s="44" t="s">
        <v>193</v>
      </c>
      <c r="P73" s="65" t="s">
        <v>77</v>
      </c>
      <c r="Q73" s="43">
        <v>46313</v>
      </c>
      <c r="R73" s="43">
        <v>46289</v>
      </c>
      <c r="S73" s="43">
        <v>46289</v>
      </c>
      <c r="T73" s="69" t="s">
        <v>244</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246</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243</v>
      </c>
      <c r="J74" s="53" t="s">
        <v>228</v>
      </c>
      <c r="K74" s="43">
        <v>46304</v>
      </c>
      <c r="L74" s="43">
        <v>46269</v>
      </c>
      <c r="M74" s="44">
        <v>46269</v>
      </c>
      <c r="N74" s="44"/>
      <c r="O74" s="44" t="s">
        <v>193</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247</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193</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249</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193</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250</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243</v>
      </c>
      <c r="J77" s="133" t="s">
        <v>154</v>
      </c>
      <c r="K77" s="137">
        <v>46304</v>
      </c>
      <c r="L77" s="137"/>
      <c r="M77" s="138"/>
      <c r="N77" s="138"/>
      <c r="O77" s="138" t="s">
        <v>193</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251</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46297</v>
      </c>
      <c r="S78" s="149"/>
      <c r="T78" s="151" t="s">
        <v>244</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253</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254</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255</v>
      </c>
      <c r="O79" s="44" t="s">
        <v>193</v>
      </c>
      <c r="P79" s="74" t="s">
        <v>60</v>
      </c>
      <c r="Q79" s="43">
        <v>46313</v>
      </c>
      <c r="R79" s="43">
        <v>46297</v>
      </c>
      <c r="S79" s="44"/>
      <c r="T79" s="69" t="s">
        <v>244</v>
      </c>
      <c r="U79" s="46"/>
      <c r="V79" s="28">
        <v>46316</v>
      </c>
      <c r="W79" s="43"/>
      <c r="X79" s="31"/>
      <c r="Y79" s="31"/>
      <c r="Z79" s="36"/>
      <c r="AA79" s="28">
        <v>46325</v>
      </c>
      <c r="AB79" s="43"/>
      <c r="AC79" s="43"/>
      <c r="AD79" s="31" t="s">
        <v>256</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257</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258</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46300</v>
      </c>
      <c r="S80" s="44"/>
      <c r="T80" s="69" t="s">
        <v>244</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259</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255</v>
      </c>
      <c r="O81" s="149" t="s">
        <v>252</v>
      </c>
      <c r="P81" s="150" t="s">
        <v>60</v>
      </c>
      <c r="Q81" s="148">
        <v>46313</v>
      </c>
      <c r="R81" s="148">
        <v>46295</v>
      </c>
      <c r="S81" s="149">
        <v>46294</v>
      </c>
      <c r="T81" s="69" t="s">
        <v>244</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260</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243</v>
      </c>
      <c r="J82" s="53" t="s">
        <v>154</v>
      </c>
      <c r="K82" s="43">
        <v>46304</v>
      </c>
      <c r="L82" s="43">
        <v>46281</v>
      </c>
      <c r="M82" s="44">
        <v>46283</v>
      </c>
      <c r="N82" s="46" t="s">
        <v>146</v>
      </c>
      <c r="O82" s="44" t="s">
        <v>252</v>
      </c>
      <c r="P82" s="74" t="s">
        <v>77</v>
      </c>
      <c r="Q82" s="43">
        <v>46313</v>
      </c>
      <c r="R82" s="43">
        <v>46304</v>
      </c>
      <c r="S82" s="44"/>
      <c r="T82" s="68" t="s">
        <v>261</v>
      </c>
      <c r="U82" s="46" t="s">
        <v>47</v>
      </c>
      <c r="V82" s="28">
        <v>46316</v>
      </c>
      <c r="W82" s="43"/>
      <c r="X82" s="31"/>
      <c r="Y82" s="31"/>
      <c r="Z82" s="36"/>
      <c r="AA82" s="28">
        <v>46325</v>
      </c>
      <c r="AB82" s="43"/>
      <c r="AC82" s="43"/>
      <c r="AD82" s="31" t="s">
        <v>262</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263</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255</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264</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265</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243</v>
      </c>
      <c r="J84" s="53" t="s">
        <v>76</v>
      </c>
      <c r="K84" s="43">
        <v>46304</v>
      </c>
      <c r="L84" s="43">
        <v>46286</v>
      </c>
      <c r="M84" s="46">
        <v>46286</v>
      </c>
      <c r="N84" s="44" t="s">
        <v>255</v>
      </c>
      <c r="O84" s="44" t="s">
        <v>252</v>
      </c>
      <c r="P84" s="74" t="s">
        <v>60</v>
      </c>
      <c r="Q84" s="43">
        <v>46313</v>
      </c>
      <c r="R84" s="43">
        <v>46301</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266</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267</v>
      </c>
      <c r="F85" s="34" t="s">
        <v>207</v>
      </c>
      <c r="G85" s="31"/>
      <c r="H85" s="49">
        <v>46325</v>
      </c>
      <c r="I85" s="55" t="s">
        <v>243</v>
      </c>
      <c r="J85" s="53" t="s">
        <v>44</v>
      </c>
      <c r="K85" s="43">
        <v>46304</v>
      </c>
      <c r="L85" s="43">
        <v>46276</v>
      </c>
      <c r="M85" s="44"/>
      <c r="N85" s="44"/>
      <c r="O85" s="44" t="s">
        <v>252</v>
      </c>
      <c r="P85" s="74" t="s">
        <v>60</v>
      </c>
      <c r="Q85" s="43">
        <v>46313</v>
      </c>
      <c r="R85" s="43"/>
      <c r="S85" s="44"/>
      <c r="T85" s="68" t="s">
        <v>261</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268</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269</v>
      </c>
      <c r="J86" s="53" t="s">
        <v>84</v>
      </c>
      <c r="K86" s="49">
        <v>46332</v>
      </c>
      <c r="L86" s="43">
        <v>46332</v>
      </c>
      <c r="M86" s="44">
        <v>46290</v>
      </c>
      <c r="N86" s="44"/>
      <c r="O86" s="44" t="s">
        <v>252</v>
      </c>
      <c r="P86" s="74"/>
      <c r="Q86" s="49">
        <v>46339</v>
      </c>
      <c r="R86" s="43"/>
      <c r="S86" s="44"/>
      <c r="T86" s="68" t="s">
        <v>261</v>
      </c>
      <c r="U86" s="46"/>
      <c r="V86" s="28">
        <v>46344</v>
      </c>
      <c r="W86" s="43"/>
      <c r="X86" s="31"/>
      <c r="Y86" s="31"/>
      <c r="Z86" s="36"/>
      <c r="AA86" s="28">
        <v>46356</v>
      </c>
      <c r="AB86" s="43"/>
      <c r="AC86" s="43"/>
      <c r="AD86" s="31" t="s">
        <v>270</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271</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272</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269</v>
      </c>
      <c r="J87" s="53" t="s">
        <v>59</v>
      </c>
      <c r="K87" s="49">
        <v>46332</v>
      </c>
      <c r="L87" s="43"/>
      <c r="M87" s="44"/>
      <c r="N87" s="44"/>
      <c r="O87" s="44" t="s">
        <v>252</v>
      </c>
      <c r="P87" s="74"/>
      <c r="Q87" s="49">
        <v>46339</v>
      </c>
      <c r="R87" s="43"/>
      <c r="S87" s="44"/>
      <c r="T87" s="68" t="s">
        <v>261</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273</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269</v>
      </c>
      <c r="J88" s="53" t="s">
        <v>59</v>
      </c>
      <c r="K88" s="49">
        <v>46332</v>
      </c>
      <c r="L88" s="43"/>
      <c r="M88" s="44"/>
      <c r="N88" s="44"/>
      <c r="O88" s="44" t="s">
        <v>252</v>
      </c>
      <c r="P88" s="74"/>
      <c r="Q88" s="49">
        <v>46339</v>
      </c>
      <c r="R88" s="43"/>
      <c r="S88" s="44"/>
      <c r="T88" s="68" t="s">
        <v>274</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275</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269</v>
      </c>
      <c r="J89" s="53" t="s">
        <v>228</v>
      </c>
      <c r="K89" s="49">
        <v>46332</v>
      </c>
      <c r="L89" s="43">
        <v>46282</v>
      </c>
      <c r="M89" s="44">
        <v>46282</v>
      </c>
      <c r="N89" s="44"/>
      <c r="O89" s="44" t="s">
        <v>252</v>
      </c>
      <c r="P89" s="74"/>
      <c r="Q89" s="49">
        <v>46339</v>
      </c>
      <c r="R89" s="43"/>
      <c r="S89" s="44"/>
      <c r="T89" s="68" t="s">
        <v>274</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276</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269</v>
      </c>
      <c r="J90" s="53" t="s">
        <v>228</v>
      </c>
      <c r="K90" s="49">
        <v>46332</v>
      </c>
      <c r="L90" s="43"/>
      <c r="M90" s="44"/>
      <c r="N90" s="44"/>
      <c r="O90" s="36" t="s">
        <v>277</v>
      </c>
      <c r="P90" s="74"/>
      <c r="Q90" s="49">
        <v>46339</v>
      </c>
      <c r="R90" s="43"/>
      <c r="S90" s="44"/>
      <c r="T90" s="68" t="s">
        <v>274</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278</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269</v>
      </c>
      <c r="J91" s="53" t="s">
        <v>65</v>
      </c>
      <c r="K91" s="49">
        <v>46332</v>
      </c>
      <c r="L91" s="43">
        <v>46273</v>
      </c>
      <c r="M91" s="46">
        <v>46273</v>
      </c>
      <c r="N91" s="46" t="s">
        <v>146</v>
      </c>
      <c r="O91" s="44" t="s">
        <v>252</v>
      </c>
      <c r="P91" s="74"/>
      <c r="Q91" s="49">
        <v>46339</v>
      </c>
      <c r="R91" s="43"/>
      <c r="S91" s="44"/>
      <c r="T91" s="68" t="s">
        <v>274</v>
      </c>
      <c r="U91" s="46"/>
      <c r="V91" s="28">
        <v>46344</v>
      </c>
      <c r="W91" s="43"/>
      <c r="X91" s="31"/>
      <c r="Y91" s="31"/>
      <c r="Z91" s="36"/>
      <c r="AA91" s="28">
        <v>46356</v>
      </c>
      <c r="AB91" s="43"/>
      <c r="AC91" s="43"/>
      <c r="AD91" s="31" t="s">
        <v>279</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269</v>
      </c>
      <c r="J92" s="53" t="s">
        <v>84</v>
      </c>
      <c r="K92" s="49">
        <v>46332</v>
      </c>
      <c r="L92" s="43">
        <v>46332</v>
      </c>
      <c r="M92" s="44">
        <v>46275</v>
      </c>
      <c r="N92" s="44"/>
      <c r="O92" s="44" t="s">
        <v>252</v>
      </c>
      <c r="P92" s="74"/>
      <c r="Q92" s="49">
        <v>46339</v>
      </c>
      <c r="R92" s="43"/>
      <c r="S92" s="44"/>
      <c r="T92" s="68" t="s">
        <v>274</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282</v>
      </c>
      <c r="C93" s="31" t="s">
        <v>156</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Overdue</v>
      </c>
      <c r="E93" s="31">
        <v>74</v>
      </c>
      <c r="F93" s="31" t="s">
        <v>129</v>
      </c>
      <c r="G93" s="31"/>
      <c r="H93" s="49">
        <v>46356</v>
      </c>
      <c r="I93" s="55" t="s">
        <v>269</v>
      </c>
      <c r="J93" s="53" t="s">
        <v>154</v>
      </c>
      <c r="K93" s="49">
        <v>46332</v>
      </c>
      <c r="L93" s="43">
        <v>46297</v>
      </c>
      <c r="M93" s="44"/>
      <c r="N93" s="44"/>
      <c r="O93" s="36" t="s">
        <v>277</v>
      </c>
      <c r="P93" s="74"/>
      <c r="Q93" s="49">
        <v>46339</v>
      </c>
      <c r="R93" s="43"/>
      <c r="S93" s="44"/>
      <c r="T93" s="68" t="s">
        <v>274</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284</v>
      </c>
      <c r="C94" s="31" t="s">
        <v>156</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269</v>
      </c>
      <c r="J94" s="53" t="s">
        <v>154</v>
      </c>
      <c r="K94" s="49">
        <v>46332</v>
      </c>
      <c r="L94" s="43"/>
      <c r="M94" s="44"/>
      <c r="N94" s="44"/>
      <c r="O94" s="36" t="s">
        <v>277</v>
      </c>
      <c r="P94" s="74"/>
      <c r="Q94" s="49">
        <v>46339</v>
      </c>
      <c r="R94" s="43"/>
      <c r="S94" s="44"/>
      <c r="T94" s="68" t="s">
        <v>274</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269</v>
      </c>
      <c r="J95" s="53" t="s">
        <v>76</v>
      </c>
      <c r="K95" s="49">
        <v>46332</v>
      </c>
      <c r="L95" s="43"/>
      <c r="M95" s="44"/>
      <c r="N95" s="44"/>
      <c r="O95" s="36" t="s">
        <v>277</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269</v>
      </c>
      <c r="J96" s="53" t="s">
        <v>76</v>
      </c>
      <c r="K96" s="49">
        <v>46332</v>
      </c>
      <c r="L96" s="43"/>
      <c r="M96" s="44"/>
      <c r="N96" s="44"/>
      <c r="O96" s="36" t="s">
        <v>277</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269</v>
      </c>
      <c r="J97" s="53" t="s">
        <v>291</v>
      </c>
      <c r="K97" s="49">
        <v>46332</v>
      </c>
      <c r="L97" s="49">
        <v>46332</v>
      </c>
      <c r="M97" s="44"/>
      <c r="N97" s="44"/>
      <c r="O97" s="36" t="s">
        <v>277</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293</v>
      </c>
      <c r="C98" s="31" t="s">
        <v>156</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269</v>
      </c>
      <c r="J98" s="53" t="s">
        <v>291</v>
      </c>
      <c r="K98" s="49">
        <v>46332</v>
      </c>
      <c r="L98" s="49">
        <v>46332</v>
      </c>
      <c r="M98" s="44">
        <v>46296</v>
      </c>
      <c r="N98" s="44" t="s">
        <v>146</v>
      </c>
      <c r="O98" s="36" t="s">
        <v>277</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269</v>
      </c>
      <c r="J99" s="53" t="s">
        <v>65</v>
      </c>
      <c r="K99" s="49">
        <v>46332</v>
      </c>
      <c r="L99" s="43">
        <v>46302</v>
      </c>
      <c r="M99" s="44"/>
      <c r="N99" s="46" t="s">
        <v>146</v>
      </c>
      <c r="O99" s="44" t="s">
        <v>252</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269</v>
      </c>
      <c r="J100" s="53" t="s">
        <v>84</v>
      </c>
      <c r="K100" s="49">
        <v>46332</v>
      </c>
      <c r="L100" s="43">
        <v>46332</v>
      </c>
      <c r="M100" s="44">
        <v>46297</v>
      </c>
      <c r="N100" s="44"/>
      <c r="O100" s="36" t="s">
        <v>277</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277</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277</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277</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v>46304</v>
      </c>
      <c r="M104" s="31"/>
      <c r="N104" s="31"/>
      <c r="O104" s="36" t="s">
        <v>277</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270</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9" type="noConversion"/>
  <conditionalFormatting sqref="A117:AC528 W72:Y116 A74:V115 A116:AE116 A2:F87 G2:V40 W2:Y54 N3:N44 L41:V42 G43:V64 G65:Q65 T65:V65 G66:V73 G41:J42 Z2:AL2 Z3 Z4:AL41 Z42:AK42 Z43:AL44 Z45:AK47 Z48:AL72 W55:X55 W56:Y58 W59:X59 W60:Y70 W71 Z73:AH100 Z101:AE115 AB3:AL3 AJ30:AJ42 AJ44:AJ48 AJ116">
    <cfRule type="expression" dxfId="158" priority="61">
      <formula>AND($B2&lt;&gt;"",MOD(ROW(),2)=0)</formula>
    </cfRule>
  </conditionalFormatting>
  <conditionalFormatting sqref="C2:C116">
    <cfRule type="expression" dxfId="157" priority="622">
      <formula>LEFT($AK2,4)="Move"</formula>
    </cfRule>
  </conditionalFormatting>
  <conditionalFormatting sqref="D2:D528">
    <cfRule type="expression" dxfId="156" priority="45">
      <formula>ISNUMBER(SEARCH("Blocked",$D2))</formula>
    </cfRule>
    <cfRule type="expression" dxfId="155" priority="46">
      <formula>ISNUMBER(SEARCH("overdue",$D2))</formula>
    </cfRule>
    <cfRule type="expression" dxfId="154" priority="47">
      <formula>ISNUMBER(SEARCH("no target",$D2))</formula>
    </cfRule>
    <cfRule type="expression" dxfId="153" priority="48">
      <formula>ISNUMBER(SEARCH("Review",$D2))</formula>
    </cfRule>
    <cfRule type="expression" dxfId="152" priority="49">
      <formula>OR($D2="On track",$D2="Delivered")</formula>
    </cfRule>
  </conditionalFormatting>
  <conditionalFormatting sqref="D88">
    <cfRule type="expression" dxfId="151" priority="621">
      <formula>AND($B50&lt;&gt;"",MOD(ROW(),2)=0)</formula>
    </cfRule>
  </conditionalFormatting>
  <conditionalFormatting sqref="J2:O116">
    <cfRule type="expression" dxfId="150" priority="23">
      <formula>$AJ2="Yes – needs DB Dev to fix"</formula>
    </cfRule>
  </conditionalFormatting>
  <conditionalFormatting sqref="J117:O193">
    <cfRule type="expression" dxfId="149" priority="28">
      <formula>$AH117="Yes – needs DB Dev to fix"</formula>
    </cfRule>
  </conditionalFormatting>
  <conditionalFormatting sqref="K41">
    <cfRule type="expression" dxfId="148" priority="605">
      <formula>$AJ41="Yes – needs DB Dev to fix"</formula>
    </cfRule>
    <cfRule type="expression" dxfId="147" priority="604">
      <formula>AND($B41&lt;&gt;"",MOD(ROW(),2)=0)</formula>
    </cfRule>
  </conditionalFormatting>
  <conditionalFormatting sqref="K42">
    <cfRule type="expression" dxfId="146" priority="607">
      <formula>$AJ41="Yes – needs DB Dev to fix"</formula>
    </cfRule>
    <cfRule type="expression" dxfId="145" priority="606">
      <formula>AND($B41&lt;&gt;"",MOD(ROW(),2)=0)</formula>
    </cfRule>
  </conditionalFormatting>
  <conditionalFormatting sqref="K73:L100">
    <cfRule type="expression" dxfId="144" priority="120">
      <formula>$AF73="Yes – needs DB Dev to fix"</formula>
    </cfRule>
  </conditionalFormatting>
  <conditionalFormatting sqref="K101:L116">
    <cfRule type="expression" dxfId="143" priority="350">
      <formula>$AA101="Yes – needs DB Dev to fix"</formula>
    </cfRule>
  </conditionalFormatting>
  <conditionalFormatting sqref="K117:L528">
    <cfRule type="expression" dxfId="142" priority="577">
      <formula>$X117="Yes – needs DB Dev to fix"</formula>
    </cfRule>
  </conditionalFormatting>
  <conditionalFormatting sqref="M73">
    <cfRule type="expression" dxfId="141" priority="27">
      <formula>$AF73="Yes – needs DB Dev to fix"</formula>
    </cfRule>
  </conditionalFormatting>
  <conditionalFormatting sqref="M79:M81">
    <cfRule type="expression" dxfId="140" priority="1">
      <formula>$AF79="Yes – needs DB Dev to fix"</formula>
    </cfRule>
  </conditionalFormatting>
  <conditionalFormatting sqref="M83:M84">
    <cfRule type="expression" dxfId="139" priority="3">
      <formula>$AF83="Yes – needs DB Dev to fix"</formula>
    </cfRule>
  </conditionalFormatting>
  <conditionalFormatting sqref="M91">
    <cfRule type="expression" dxfId="138" priority="7">
      <formula>$AF91="Yes – needs DB Dev to fix"</formula>
    </cfRule>
  </conditionalFormatting>
  <conditionalFormatting sqref="M73:P100">
    <cfRule type="expression" dxfId="137" priority="305">
      <formula>$AD73="Yes – needs PBI Dev to fix"</formula>
    </cfRule>
  </conditionalFormatting>
  <conditionalFormatting sqref="M101:P116">
    <cfRule type="expression" dxfId="136" priority="352">
      <formula>$AA101="Yes – needs PBI Dev to fix"</formula>
    </cfRule>
  </conditionalFormatting>
  <conditionalFormatting sqref="M117:P528">
    <cfRule type="expression" dxfId="135" priority="578">
      <formula>$X117="Yes – needs PBI Dev to fix"</formula>
    </cfRule>
  </conditionalFormatting>
  <conditionalFormatting sqref="N58">
    <cfRule type="expression" dxfId="134" priority="8">
      <formula>$AD58="Yes – needs PBI Dev to fix"</formula>
    </cfRule>
  </conditionalFormatting>
  <conditionalFormatting sqref="N70">
    <cfRule type="expression" dxfId="133" priority="9">
      <formula>$AD70="Yes – needs PBI Dev to fix"</formula>
    </cfRule>
  </conditionalFormatting>
  <conditionalFormatting sqref="N82">
    <cfRule type="expression" dxfId="132" priority="5">
      <formula>$AD82="Yes – needs PBI Dev to fix"</formula>
    </cfRule>
  </conditionalFormatting>
  <conditionalFormatting sqref="O101:O113">
    <cfRule type="expression" dxfId="131" priority="2">
      <formula>$AD101="Yes – needs PBI Dev to fix"</formula>
    </cfRule>
  </conditionalFormatting>
  <conditionalFormatting sqref="Q73:Q100">
    <cfRule type="expression" dxfId="130" priority="22">
      <formula>$AF73="Yes – needs DB Dev to fix"</formula>
    </cfRule>
    <cfRule type="expression" dxfId="129" priority="124">
      <formula>$AF73="Yes – needs PBI Dev to fix"</formula>
    </cfRule>
    <cfRule type="expression" dxfId="128" priority="21">
      <formula>$AJ73="Yes – needs DB Dev to fix"</formula>
    </cfRule>
  </conditionalFormatting>
  <conditionalFormatting sqref="Q101:R116 V101:V116 X101:X116">
    <cfRule type="expression" dxfId="127" priority="20">
      <formula>$AA101="Yes – needs QA to fix"</formula>
    </cfRule>
  </conditionalFormatting>
  <conditionalFormatting sqref="Q117:R528">
    <cfRule type="expression" dxfId="126" priority="579">
      <formula>$X117="Yes – needs QA to fix"</formula>
    </cfRule>
  </conditionalFormatting>
  <conditionalFormatting sqref="Q2:U64 U10:V19 X10:X19 J29 M29:P29 J32:J33 M32:P33 K40:K41 M40:P41 Q65 T65:U65 Q66:U115 V101:V115 X101:X116 Q116:V116">
    <cfRule type="expression" dxfId="125" priority="35">
      <formula>$AJ2="Yes – needs PBI Dev to fix"</formula>
    </cfRule>
  </conditionalFormatting>
  <conditionalFormatting sqref="R58">
    <cfRule type="expression" dxfId="124" priority="320">
      <formula>AND($B65&lt;&gt;"",MOD(ROW(),2)=0)</formula>
    </cfRule>
    <cfRule type="expression" dxfId="123" priority="322">
      <formula>$AJ65="Yes – needs PBI Dev to fix"</formula>
    </cfRule>
  </conditionalFormatting>
  <conditionalFormatting sqref="R60">
    <cfRule type="expression" dxfId="122" priority="12">
      <formula>AND($B67&lt;&gt;"",MOD(ROW(),2)=0)</formula>
    </cfRule>
    <cfRule type="expression" dxfId="121" priority="13">
      <formula>$AJ67="Yes – needs PBI Dev to fix"</formula>
    </cfRule>
  </conditionalFormatting>
  <conditionalFormatting sqref="R60:S60">
    <cfRule type="expression" dxfId="120" priority="10">
      <formula>AND($B67&lt;&gt;"",MOD(ROW(),2)=0)</formula>
    </cfRule>
    <cfRule type="expression" dxfId="119" priority="11">
      <formula>$AJ67="Yes – needs PBI Dev to fix"</formula>
    </cfRule>
  </conditionalFormatting>
  <conditionalFormatting sqref="R73:U100 T96:T101">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ISNUMBER(SEARCH("log it",$Z117))</formula>
    </cfRule>
    <cfRule type="expression" dxfId="110" priority="58">
      <formula>ISNUMBER(SEARCH("Move old",$Z117))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AA3">
    <cfRule type="expression" dxfId="106" priority="608">
      <formula>AND($B3&lt;&gt;"",MOD(ROW(),2)=0)</formula>
    </cfRule>
    <cfRule type="expression" dxfId="105" priority="609">
      <formula>$AJ3="Yes – needs DPO Approval to fix"</formula>
    </cfRule>
  </conditionalFormatting>
  <conditionalFormatting sqref="AA101:AA115 U116:AA116 U2:Z54 U55:X55 Z55 U56:Z58 U59:X59 Z59 U60:Z70 U71:W71 Z71 U72:Z116">
    <cfRule type="expression" dxfId="104" priority="18">
      <formula>$AJ2="Yes – needs QA to fix"</formula>
    </cfRule>
  </conditionalFormatting>
  <conditionalFormatting sqref="AA101:AA116">
    <cfRule type="expression" dxfId="103" priority="15">
      <formula>$AJ101="Yes – needs PBI Dev to fix"</formula>
    </cfRule>
    <cfRule type="expression" dxfId="102" priority="16">
      <formula>$AA101="Yes – needs QA to fix"</formula>
    </cfRule>
    <cfRule type="expression" dxfId="101" priority="17">
      <formula>$V101="Yes"</formula>
    </cfRule>
    <cfRule type="expression" dxfId="100" priority="374">
      <formula>LEFT($AA101,3)="Yes"</formula>
    </cfRule>
  </conditionalFormatting>
  <conditionalFormatting sqref="AA2:AE2 AB3:AE3 AA4:AE100">
    <cfRule type="expression" dxfId="99" priority="102">
      <formula>$AJ2="Yes – needs DPO Approval to fix"</formula>
    </cfRule>
  </conditionalFormatting>
  <conditionalFormatting sqref="AB101:AC116">
    <cfRule type="expression" dxfId="98" priority="384">
      <formula>ISNUMBER(SEARCH("log it",$AB101))</formula>
    </cfRule>
    <cfRule type="expression" dxfId="97" priority="385">
      <formula>ISNUMBER(SEARCH("Duplicate",$AB101))</formula>
    </cfRule>
    <cfRule type="expression" dxfId="96" priority="386">
      <formula>$AB101&lt;&gt;""</formula>
    </cfRule>
    <cfRule type="expression" dxfId="95" priority="382">
      <formula>ISNUMBER(SEARCH("Open rework",$AB101))</formula>
    </cfRule>
    <cfRule type="expression" dxfId="94" priority="383">
      <formula>ISNUMBER(SEARCH("Move old",$AB101))</formula>
    </cfRule>
  </conditionalFormatting>
  <conditionalFormatting sqref="AF2:AF116">
    <cfRule type="expression" dxfId="93" priority="74">
      <formula>$AF2="Yes"</formula>
    </cfRule>
  </conditionalFormatting>
  <conditionalFormatting sqref="AF73:AF100">
    <cfRule type="expression" dxfId="92" priority="132">
      <formula>LEFT($AF73,3)="Yes"</formula>
    </cfRule>
  </conditionalFormatting>
  <conditionalFormatting sqref="AG73:AG100">
    <cfRule type="expression" dxfId="91" priority="142">
      <formula>$AG73&lt;&gt;""</formula>
    </cfRule>
    <cfRule type="expression" dxfId="90" priority="141">
      <formula>ISNUMBER(SEARCH("Duplicate",$AG73))</formula>
    </cfRule>
    <cfRule type="expression" dxfId="89" priority="140">
      <formula>ISNUMBER(SEARCH("log it",$AG73))</formula>
    </cfRule>
    <cfRule type="expression" dxfId="88" priority="139">
      <formula>ISNUMBER(SEARCH("Move old",$AG73))</formula>
    </cfRule>
    <cfRule type="expression" dxfId="87" priority="138">
      <formula>ISNUMBER(SEARCH("Open rework",$AG73))</formula>
    </cfRule>
  </conditionalFormatting>
  <conditionalFormatting sqref="AJ2:AJ116">
    <cfRule type="expression" dxfId="86" priority="76">
      <formula>LEFT($AJ2,3)="Yes"</formula>
    </cfRule>
  </conditionalFormatting>
  <conditionalFormatting sqref="AK2:AK116">
    <cfRule type="expression" dxfId="85" priority="85">
      <formula>ISNUMBER(SEARCH("Duplicate",$AK2))</formula>
    </cfRule>
    <cfRule type="expression" dxfId="84" priority="84">
      <formula>ISNUMBER(SEARCH("Move old",$AK2))</formula>
    </cfRule>
    <cfRule type="expression" dxfId="83" priority="83">
      <formula>ISNUMBER(SEARCH("Open rework",$AK2))</formula>
    </cfRule>
    <cfRule type="expression" dxfId="82" priority="86">
      <formula>$AK2&lt;&gt;""</formula>
    </cfRule>
    <cfRule type="expression" dxfId="81" priority="82">
      <formula>ISNUMBER(SEARCH("log it",$AK2))</formula>
    </cfRule>
  </conditionalFormatting>
  <conditionalFormatting sqref="AL45:AL47">
    <cfRule type="expression" dxfId="80" priority="25">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334</v>
      </c>
    </row>
    <row r="2" spans="1:5">
      <c r="A2" s="6" t="s">
        <v>335</v>
      </c>
    </row>
    <row r="4" spans="1:5" ht="21.95" customHeight="1">
      <c r="A4" s="5" t="s">
        <v>336</v>
      </c>
      <c r="B4" s="261"/>
      <c r="C4" s="262"/>
      <c r="D4" s="262"/>
      <c r="E4" s="262"/>
    </row>
    <row r="6" spans="1:5">
      <c r="A6" s="42" t="s">
        <v>0</v>
      </c>
      <c r="B6" s="217" t="str">
        <f>IF($B$4="","",IFERROR(INDEX('Combined Delivery Data'!$A:$A,MATCH($B$4,'Combined Delivery Data'!$B:$B,0)),""))</f>
        <v/>
      </c>
      <c r="C6" s="263"/>
      <c r="D6" s="263"/>
      <c r="E6" s="264"/>
    </row>
    <row r="7" spans="1:5">
      <c r="A7" s="42" t="s">
        <v>337</v>
      </c>
      <c r="B7" s="217" t="str">
        <f>IF($B$4="","",IFERROR(INDEX('Combined Delivery Data'!$C:$C,MATCH($B$4,'Combined Delivery Data'!$B:$B,0)),""))</f>
        <v/>
      </c>
      <c r="C7" s="263"/>
      <c r="D7" s="263"/>
      <c r="E7" s="264"/>
    </row>
    <row r="8" spans="1:5">
      <c r="A8" s="42" t="s">
        <v>3</v>
      </c>
      <c r="B8" s="217" t="str">
        <f>IF($B$4="","",IFERROR(INDEX('Combined Delivery Data'!$D:$D,MATCH($B$4,'Combined Delivery Data'!$B:$B,0)),""))</f>
        <v/>
      </c>
      <c r="C8" s="263"/>
      <c r="D8" s="263"/>
      <c r="E8" s="264"/>
    </row>
    <row r="9" spans="1:5">
      <c r="A9" s="42" t="s">
        <v>4</v>
      </c>
      <c r="B9" s="217" t="str">
        <f>IF($B$4="","",IFERROR(INDEX('Combined Delivery Data'!$E:$E,MATCH($B$4,'Combined Delivery Data'!$B:$B,0)),""))</f>
        <v/>
      </c>
      <c r="C9" s="263"/>
      <c r="D9" s="263"/>
      <c r="E9" s="264"/>
    </row>
    <row r="10" spans="1:5">
      <c r="A10" s="42" t="s">
        <v>5</v>
      </c>
      <c r="B10" s="217" t="str">
        <f>IF($B$4="","",IFERROR(INDEX('Combined Delivery Data'!$F:$F,MATCH($B$4,'Combined Delivery Data'!$B:$B,0)),""))</f>
        <v/>
      </c>
      <c r="C10" s="263"/>
      <c r="D10" s="263"/>
      <c r="E10" s="264"/>
    </row>
    <row r="11" spans="1:5">
      <c r="A11" s="42" t="s">
        <v>9</v>
      </c>
      <c r="B11" s="217" t="str">
        <f>IF($B$4="","",IFERROR(INDEX('Combined Delivery Data'!$J:$J,MATCH($B$4,'Combined Delivery Data'!$B:$B,0)),""))</f>
        <v/>
      </c>
      <c r="C11" s="263"/>
      <c r="D11" s="263"/>
      <c r="E11" s="264"/>
    </row>
    <row r="12" spans="1:5">
      <c r="A12" s="42" t="s">
        <v>15</v>
      </c>
      <c r="B12" s="217" t="str">
        <f>IF($B$4="","",IFERROR(INDEX('Combined Delivery Data'!$P:$P,MATCH($B$4,'Combined Delivery Data'!$B:$B,0)),""))</f>
        <v/>
      </c>
      <c r="C12" s="263"/>
      <c r="D12" s="263"/>
      <c r="E12" s="264"/>
    </row>
    <row r="13" spans="1:5">
      <c r="A13" s="42" t="s">
        <v>20</v>
      </c>
      <c r="B13" s="217" t="str">
        <f>IF($B$4="","",IFERROR(INDEX('Combined Delivery Data'!$U:$U,MATCH($B$4,'Combined Delivery Data'!$B:$B,0)),""))</f>
        <v/>
      </c>
      <c r="C13" s="263"/>
      <c r="D13" s="263"/>
      <c r="E13" s="264"/>
    </row>
    <row r="14" spans="1:5">
      <c r="A14" s="42" t="s">
        <v>338</v>
      </c>
      <c r="B14" s="216" t="str">
        <f>IF($B$4="","",IFERROR(INDEX('Combined Delivery Data'!$K:$K,MATCH($B$4,'Combined Delivery Data'!$B:$B,0)),""))</f>
        <v/>
      </c>
      <c r="C14" s="263"/>
      <c r="D14" s="263"/>
      <c r="E14" s="264"/>
    </row>
    <row r="15" spans="1:5">
      <c r="A15" s="42" t="s">
        <v>339</v>
      </c>
      <c r="B15" s="216" t="str">
        <f>IF($B$4="","",IFERROR(INDEX('Combined Delivery Data'!$L:$L,MATCH($B$4,'Combined Delivery Data'!$B:$B,0)),""))</f>
        <v/>
      </c>
      <c r="C15" s="263"/>
      <c r="D15" s="263"/>
      <c r="E15" s="264"/>
    </row>
    <row r="16" spans="1:5">
      <c r="A16" s="42" t="s">
        <v>340</v>
      </c>
      <c r="B16" s="216" t="str">
        <f>IF($B$4="","",IFERROR(INDEX('Combined Delivery Data'!$M:$M,MATCH($B$4,'Combined Delivery Data'!$B:$B,0)),""))</f>
        <v/>
      </c>
      <c r="C16" s="263"/>
      <c r="D16" s="263"/>
      <c r="E16" s="264"/>
    </row>
    <row r="17" spans="1:5">
      <c r="A17" s="42" t="s">
        <v>341</v>
      </c>
      <c r="B17" s="216" t="str">
        <f>IF($B$4="","",IFERROR(INDEX('Combined Delivery Data'!$O:$O,MATCH($B$4,'Combined Delivery Data'!$B:$B,0)),""))</f>
        <v/>
      </c>
      <c r="C17" s="263"/>
      <c r="D17" s="263"/>
      <c r="E17" s="264"/>
    </row>
    <row r="18" spans="1:5">
      <c r="A18" s="42" t="s">
        <v>342</v>
      </c>
      <c r="B18" s="216" t="str">
        <f>IF($B$4="","",IFERROR(INDEX('Combined Delivery Data'!$Q:$Q,MATCH($B$4,'Combined Delivery Data'!$B:$B,0)),""))</f>
        <v/>
      </c>
      <c r="C18" s="263"/>
      <c r="D18" s="263"/>
      <c r="E18" s="264"/>
    </row>
    <row r="19" spans="1:5">
      <c r="A19" s="42" t="s">
        <v>343</v>
      </c>
      <c r="B19" s="216" t="str">
        <f>IF($B$4="","",IFERROR(INDEX('Combined Delivery Data'!$R:$R,MATCH($B$4,'Combined Delivery Data'!$B:$B,0)),""))</f>
        <v/>
      </c>
      <c r="C19" s="263"/>
      <c r="D19" s="263"/>
      <c r="E19" s="264"/>
    </row>
    <row r="20" spans="1:5">
      <c r="A20" s="42" t="s">
        <v>344</v>
      </c>
      <c r="B20" s="216" t="str">
        <f>IF($B$4="","",IFERROR(INDEX('Combined Delivery Data'!$S:$S,MATCH($B$4,'Combined Delivery Data'!$B:$B,0)),""))</f>
        <v/>
      </c>
      <c r="C20" s="263"/>
      <c r="D20" s="263"/>
      <c r="E20" s="264"/>
    </row>
    <row r="21" spans="1:5">
      <c r="A21" s="42" t="s">
        <v>29</v>
      </c>
      <c r="B21" s="217" t="str">
        <f>IF($B$4="","",IFERROR(INDEX('Combined Delivery Data'!$T:$T,MATCH($B$4,'Combined Delivery Data'!$B:$B,0)),""))</f>
        <v/>
      </c>
      <c r="C21" s="263"/>
      <c r="D21" s="263"/>
      <c r="E21" s="264"/>
    </row>
    <row r="22" spans="1:5">
      <c r="A22" s="42" t="s">
        <v>31</v>
      </c>
      <c r="B22" s="217" t="str">
        <f>IF($B$4="","",IFERROR(INDEX('Combined Delivery Data'!$V:$V,MATCH($B$4,'Combined Delivery Data'!$B:$B,0)),""))</f>
        <v/>
      </c>
      <c r="C22" s="263"/>
      <c r="D22" s="263"/>
      <c r="E22" s="264"/>
    </row>
    <row r="23" spans="1:5">
      <c r="A23" s="42" t="s">
        <v>32</v>
      </c>
      <c r="B23" s="216" t="str">
        <f>IF($B$4="","",IFERROR(INDEX('Combined Delivery Data'!$W:$W,MATCH($B$4,'Combined Delivery Data'!$B:$B,0)),""))</f>
        <v/>
      </c>
      <c r="C23" s="263"/>
      <c r="D23" s="263"/>
      <c r="E23" s="264"/>
    </row>
    <row r="24" spans="1:5">
      <c r="A24" s="42" t="s">
        <v>35</v>
      </c>
      <c r="B24" s="217" t="str">
        <f>IF($B$4="","",IFERROR(INDEX('Combined Delivery Data'!$X:$X,MATCH($B$4,'Combined Delivery Data'!$B:$B,0)),""))</f>
        <v/>
      </c>
      <c r="C24" s="263"/>
      <c r="D24" s="263"/>
      <c r="E24" s="264"/>
    </row>
    <row r="25" spans="1:5">
      <c r="A25" s="42" t="s">
        <v>36</v>
      </c>
      <c r="B25" s="217" t="str">
        <f>IF($B$4="","",IFERROR(INDEX('Combined Delivery Data'!$Z:$Z,MATCH($B$4,'Combined Delivery Data'!$B:$B,0)),""))</f>
        <v/>
      </c>
      <c r="C25" s="263"/>
      <c r="D25" s="263"/>
      <c r="E25" s="264"/>
    </row>
    <row r="26" spans="1:5">
      <c r="A26" s="42" t="s">
        <v>345</v>
      </c>
      <c r="B26" s="217" t="str">
        <f>IF($B$4="","",IFERROR(INDEX('Rework Log'!$Q:$Q,MATCH($B$4,'Rework Log'!$P:$P,0)),""))</f>
        <v/>
      </c>
      <c r="C26" s="263"/>
      <c r="D26" s="263"/>
      <c r="E26" s="264"/>
    </row>
    <row r="27" spans="1:5">
      <c r="A27" s="42" t="s">
        <v>346</v>
      </c>
      <c r="B27" s="217" t="str">
        <f>IF($B$4="","",IFERROR(INDEX('Rework Log'!$R:$R,MATCH($B$4,'Rework Log'!$P:$P,0)),""))</f>
        <v/>
      </c>
      <c r="C27" s="263"/>
      <c r="D27" s="263"/>
      <c r="E27" s="264"/>
    </row>
    <row r="28" spans="1:5">
      <c r="A28" s="42" t="s">
        <v>347</v>
      </c>
      <c r="B28" s="217" t="str">
        <f>IF($B$4="","",IFERROR(INDEX('Rework Log'!$S:$S,MATCH($B$4,'Rework Log'!$P:$P,0)),""))</f>
        <v/>
      </c>
      <c r="C28" s="263"/>
      <c r="D28" s="263"/>
      <c r="E28" s="264"/>
    </row>
    <row r="29" spans="1:5">
      <c r="A29" s="42" t="s">
        <v>348</v>
      </c>
      <c r="B29" s="217" t="str">
        <f>IF($B$4="","",IFERROR(INDEX('Rework Log'!$T:$T,MATCH($B$4,'Rework Log'!$P:$P,0)),""))</f>
        <v/>
      </c>
      <c r="C29" s="263"/>
      <c r="D29" s="263"/>
      <c r="E29" s="264"/>
    </row>
    <row r="30" spans="1:5" ht="15.6" customHeight="1">
      <c r="A30" s="42"/>
      <c r="B30" s="217"/>
      <c r="C30" s="263"/>
      <c r="D30" s="263"/>
      <c r="E30" s="264"/>
    </row>
    <row r="31" spans="1:5" ht="15.6" customHeight="1">
      <c r="A31" s="5" t="s">
        <v>37</v>
      </c>
      <c r="B31" s="265" t="str">
        <f>IF($B$4="","",IFERROR(INDEX('Combined Delivery Data'!$AB:$AB,MATCH($B$4,'Combined Delivery Data'!$B:$B,0)),""))</f>
        <v/>
      </c>
      <c r="C31" s="262"/>
      <c r="D31" s="262"/>
      <c r="E31" s="262"/>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A10232" activePane="bottomLeft" state="frozen"/>
      <selection pane="bottomLeft" sqref="A1:XFD104857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customHeight="1">
      <c r="A1" s="215" t="s">
        <v>349</v>
      </c>
      <c r="B1" s="215"/>
      <c r="C1" s="215"/>
      <c r="D1" s="215"/>
      <c r="E1" s="215"/>
      <c r="F1" s="215"/>
      <c r="G1" s="215"/>
      <c r="H1" s="215"/>
      <c r="I1" s="215"/>
      <c r="J1" s="215"/>
      <c r="K1" s="215"/>
      <c r="L1" s="215"/>
      <c r="M1" s="215"/>
      <c r="P1" s="266" t="s">
        <v>350</v>
      </c>
      <c r="Q1" s="266"/>
      <c r="R1" s="266"/>
      <c r="S1" s="266"/>
      <c r="T1" s="266"/>
    </row>
    <row r="2" spans="1:20" ht="30" customHeight="1">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219</v>
      </c>
      <c r="D17" s="31" t="s">
        <v>203</v>
      </c>
      <c r="E17" s="31" t="s">
        <v>143</v>
      </c>
      <c r="F17" s="31" t="s">
        <v>379</v>
      </c>
      <c r="G17" s="31" t="s">
        <v>50</v>
      </c>
      <c r="H17" s="32" t="s">
        <v>46</v>
      </c>
      <c r="I17" s="32"/>
      <c r="J17" s="32"/>
      <c r="K17" s="31"/>
      <c r="L17" s="31"/>
      <c r="M17" s="3"/>
      <c r="S17" s="28"/>
    </row>
    <row r="18" spans="1:20">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33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201</v>
      </c>
      <c r="B41" s="32">
        <v>46281</v>
      </c>
      <c r="C41" s="31" t="s">
        <v>219</v>
      </c>
      <c r="D41" s="31" t="s">
        <v>203</v>
      </c>
      <c r="E41" s="31" t="s">
        <v>198</v>
      </c>
      <c r="F41" s="31" t="s">
        <v>407</v>
      </c>
      <c r="G41" s="31" t="s">
        <v>50</v>
      </c>
      <c r="H41" s="32" t="s">
        <v>46</v>
      </c>
      <c r="I41" s="32"/>
      <c r="J41" s="32"/>
      <c r="K41" s="31"/>
      <c r="L41" s="31"/>
      <c r="M41" s="3" t="str">
        <f t="shared" ca="1" si="4"/>
        <v>UNCLAIMED 19 d</v>
      </c>
      <c r="P41" t="str">
        <f>'Combined Delivery Data'!B41</f>
        <v>RPT_02_GRO Control</v>
      </c>
      <c r="Q41">
        <f t="shared" si="5"/>
        <v>0</v>
      </c>
      <c r="R41">
        <f t="shared" si="6"/>
        <v>0</v>
      </c>
      <c r="S41" s="28" t="str">
        <f t="shared" si="7"/>
        <v/>
      </c>
      <c r="T41" t="str">
        <f t="shared" si="8"/>
        <v/>
      </c>
    </row>
    <row r="42" spans="1:20">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219</v>
      </c>
      <c r="D43" s="31" t="s">
        <v>156</v>
      </c>
      <c r="E43" s="31" t="s">
        <v>129</v>
      </c>
      <c r="F43" s="31" t="s">
        <v>410</v>
      </c>
      <c r="G43" s="31" t="s">
        <v>50</v>
      </c>
      <c r="H43" s="32" t="s">
        <v>44</v>
      </c>
      <c r="I43" s="32"/>
      <c r="J43" s="32"/>
      <c r="K43" s="31"/>
      <c r="L43" s="31"/>
      <c r="M43" s="3" t="str">
        <f t="shared" ca="1" si="4"/>
        <v>UNCLAIMED 13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c r="A45" s="33" t="s">
        <v>223</v>
      </c>
      <c r="B45" s="32">
        <v>46295</v>
      </c>
      <c r="C45" s="31" t="s">
        <v>219</v>
      </c>
      <c r="D45" s="31" t="s">
        <v>156</v>
      </c>
      <c r="E45" s="31" t="s">
        <v>129</v>
      </c>
      <c r="F45" s="31" t="s">
        <v>413</v>
      </c>
      <c r="G45" s="31" t="s">
        <v>53</v>
      </c>
      <c r="H45" s="32"/>
      <c r="I45" s="32"/>
      <c r="J45" s="32"/>
      <c r="K45" s="31"/>
      <c r="L45" s="31"/>
      <c r="M45" s="3" t="str">
        <f t="shared" ca="1" si="4"/>
        <v>UNCLAIMED 5 d</v>
      </c>
      <c r="N45" t="s">
        <v>50</v>
      </c>
      <c r="P45" t="str">
        <f>'Combined Delivery Data'!B45</f>
        <v>RPT_02_Cut Out Orders</v>
      </c>
      <c r="Q45">
        <f t="shared" si="5"/>
        <v>1</v>
      </c>
      <c r="R45">
        <f t="shared" si="6"/>
        <v>0</v>
      </c>
      <c r="S45" s="28">
        <f t="shared" si="7"/>
        <v>46265</v>
      </c>
      <c r="T45" t="str">
        <f t="shared" si="8"/>
        <v>QA -&gt; PBI Dev</v>
      </c>
    </row>
    <row r="46" spans="1:20">
      <c r="A46" s="33" t="s">
        <v>215</v>
      </c>
      <c r="B46" s="32">
        <v>46297</v>
      </c>
      <c r="C46" s="31" t="s">
        <v>219</v>
      </c>
      <c r="D46" s="31" t="s">
        <v>156</v>
      </c>
      <c r="E46" s="31" t="s">
        <v>198</v>
      </c>
      <c r="F46" s="31" t="s">
        <v>414</v>
      </c>
      <c r="G46" s="31"/>
      <c r="H46" s="32"/>
      <c r="I46" s="32"/>
      <c r="J46" s="32"/>
      <c r="K46" s="31"/>
      <c r="L46" s="31"/>
      <c r="M46" s="3"/>
      <c r="N46" t="s">
        <v>50</v>
      </c>
      <c r="S46" s="28"/>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QA -&gt; DB Dev</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8" priority="19">
      <formula>AND($B5&lt;&gt;"",MOD(ROW(),2)=0)</formula>
    </cfRule>
  </conditionalFormatting>
  <conditionalFormatting sqref="A11:A13">
    <cfRule type="expression" dxfId="37" priority="16">
      <formula>AND($B11&lt;&gt;"",MOD(ROW(),2)=0)</formula>
    </cfRule>
  </conditionalFormatting>
  <conditionalFormatting sqref="A18">
    <cfRule type="expression" dxfId="36" priority="15">
      <formula>AND($B18&lt;&gt;"",MOD(ROW(),2)=0)</formula>
    </cfRule>
  </conditionalFormatting>
  <conditionalFormatting sqref="A22">
    <cfRule type="expression" dxfId="35" priority="13">
      <formula>AND($B22&lt;&gt;"",MOD(ROW(),2)=0)</formula>
    </cfRule>
  </conditionalFormatting>
  <conditionalFormatting sqref="A26:A27">
    <cfRule type="expression" dxfId="34" priority="11">
      <formula>AND($B26&lt;&gt;"",MOD(ROW(),2)=0)</formula>
    </cfRule>
  </conditionalFormatting>
  <conditionalFormatting sqref="A31">
    <cfRule type="expression" dxfId="33" priority="10">
      <formula>AND($B31&lt;&gt;"",MOD(ROW(),2)=0)</formula>
    </cfRule>
  </conditionalFormatting>
  <conditionalFormatting sqref="A36:A38">
    <cfRule type="expression" dxfId="32" priority="6">
      <formula>AND($B36&lt;&gt;"",MOD(ROW(),2)=0)</formula>
    </cfRule>
  </conditionalFormatting>
  <conditionalFormatting sqref="A43">
    <cfRule type="expression" dxfId="31" priority="4">
      <formula>AND($B43&lt;&gt;"",MOD(ROW(),2)=0)</formula>
    </cfRule>
  </conditionalFormatting>
  <conditionalFormatting sqref="A45:A46">
    <cfRule type="expression" dxfId="30" priority="1">
      <formula>AND($B45&lt;&gt;"",MOD(ROW(),2)=0)</formula>
    </cfRule>
  </conditionalFormatting>
  <conditionalFormatting sqref="A3:H3 K3:M3 A4:M4 M4:M11 B5:M8 A9:M10 B11:M13 A14:M17 B18:M18 A19:M21 B22:M22 A23:M25 B26:M27 A28:M28 A29:K30 M29:M30 B31:M31 A32:M35 B36:M38 A39:M42 B43:M43 A44:M44 B45:M46 A47:M498">
    <cfRule type="expression" dxfId="29" priority="29">
      <formula>AND($A3&lt;&gt;"",$G3="Yes")</formula>
    </cfRule>
    <cfRule type="expression" dxfId="28" priority="30">
      <formula>AND($A3&lt;&gt;"",$J3&lt;&gt;"")</formula>
    </cfRule>
    <cfRule type="expression" dxfId="27" priority="31">
      <formula>$A3&lt;&gt;""</formula>
    </cfRule>
  </conditionalFormatting>
  <conditionalFormatting sqref="C3:C198 G3:G198">
    <cfRule type="expression" dxfId="26" priority="32">
      <formula>$A3=""</formula>
    </cfRule>
  </conditionalFormatting>
  <conditionalFormatting sqref="K3:M3 A4:M4 M4:M11 B5:M8 A9:M10 B11:M13 A14:M17 B18:M18 A19:M21 B22:M22 A23:M25 B26:M27 A28:M28 M29:M30 B31:M31 A32:M35 B36:M38 A39:M42 B43:M43 A44:M44 B45:M46 A47:M498 A3:H3 A29:K30">
    <cfRule type="expression" dxfId="25" priority="28">
      <formula>AND($A3&lt;&gt;"",$G3="Did not pass re-test")</formula>
    </cfRule>
  </conditionalFormatting>
  <conditionalFormatting sqref="M3:M498">
    <cfRule type="expression" dxfId="24" priority="22">
      <formula>ISNUMBER(SEARCH("Sent back again",$M3))</formula>
    </cfRule>
    <cfRule type="expression" dxfId="23" priority="23">
      <formula>ISNUMBER(SEARCH("LATE",$M3))</formula>
    </cfRule>
    <cfRule type="expression" dxfId="22" priority="24">
      <formula>ISNUMBER(SEARCH("UNCLAIMED",$M3))</formula>
    </cfRule>
    <cfRule type="expression" dxfId="21" priority="25">
      <formula>ISNUMBER(SEARCH("Missing",$M3))</formula>
    </cfRule>
    <cfRule type="expression" dxfId="20" priority="26">
      <formula>ISNUMBER(SEARCH("Fixed in",$M3))</formula>
    </cfRule>
    <cfRule type="expression" dxfId="19" priority="27">
      <formula>ISNUMBER(SEARCH("Open",$M3))</formula>
    </cfRule>
  </conditionalFormatting>
  <conditionalFormatting sqref="N25">
    <cfRule type="expression" dxfId="18" priority="5">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415</v>
      </c>
      <c r="B1" s="262"/>
      <c r="C1" s="262"/>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308</v>
      </c>
      <c r="B14" s="11">
        <v>9</v>
      </c>
      <c r="C14" s="12">
        <v>46387</v>
      </c>
    </row>
    <row r="15" spans="1:8" ht="14.25" customHeight="1">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432</v>
      </c>
      <c r="B1" s="262"/>
      <c r="C1" s="262"/>
      <c r="D1" s="262"/>
      <c r="E1" s="262"/>
      <c r="F1" s="262"/>
      <c r="G1" s="262"/>
      <c r="H1" s="262"/>
      <c r="I1" s="262"/>
      <c r="J1" s="262"/>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438</v>
      </c>
      <c r="D13" s="9" t="s">
        <v>439</v>
      </c>
      <c r="E13" s="9" t="s">
        <v>46</v>
      </c>
      <c r="F13" s="9"/>
      <c r="G13" s="9"/>
      <c r="H13" s="10"/>
      <c r="I13" s="10">
        <v>46115</v>
      </c>
      <c r="J13" s="10">
        <v>46115</v>
      </c>
    </row>
    <row r="14" spans="1:10" ht="14.25" customHeight="1">
      <c r="A14" s="9" t="s">
        <v>40</v>
      </c>
      <c r="B14" s="9" t="s">
        <v>203</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181</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439</v>
      </c>
      <c r="E23" s="9" t="s">
        <v>46</v>
      </c>
      <c r="F23" s="9"/>
      <c r="G23" s="9"/>
      <c r="H23" s="10"/>
      <c r="I23" s="10">
        <v>46115</v>
      </c>
      <c r="J23" s="10">
        <v>46115</v>
      </c>
    </row>
    <row r="24" spans="1:10" ht="14.25" customHeight="1">
      <c r="A24" s="9" t="s">
        <v>40</v>
      </c>
      <c r="B24" s="9" t="s">
        <v>203</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181</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439</v>
      </c>
      <c r="E33" s="9" t="s">
        <v>60</v>
      </c>
      <c r="F33" s="9"/>
      <c r="G33" s="9"/>
      <c r="H33" s="10"/>
      <c r="I33" s="10">
        <v>46122</v>
      </c>
      <c r="J33" s="10">
        <v>46122</v>
      </c>
    </row>
    <row r="34" spans="1:10" ht="14.25" customHeight="1">
      <c r="A34" s="9" t="s">
        <v>40</v>
      </c>
      <c r="B34" s="9" t="s">
        <v>203</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181</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439</v>
      </c>
      <c r="E48" s="9" t="s">
        <v>60</v>
      </c>
      <c r="F48" s="9"/>
      <c r="G48" s="9"/>
      <c r="H48" s="10"/>
      <c r="I48" s="10"/>
      <c r="J48" s="10"/>
    </row>
    <row r="49" spans="1:10" ht="14.25" customHeight="1">
      <c r="A49" s="9" t="s">
        <v>40</v>
      </c>
      <c r="B49" s="9" t="s">
        <v>203</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181</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156</v>
      </c>
      <c r="C53" s="9" t="s">
        <v>98</v>
      </c>
      <c r="D53" s="9" t="s">
        <v>439</v>
      </c>
      <c r="E53" s="9" t="s">
        <v>60</v>
      </c>
      <c r="F53" s="9"/>
      <c r="G53" s="9"/>
      <c r="H53" s="10"/>
      <c r="I53" s="10"/>
      <c r="J53" s="10"/>
    </row>
    <row r="54" spans="1:10" ht="14.25" customHeight="1">
      <c r="A54" s="9" t="s">
        <v>40</v>
      </c>
      <c r="B54" s="9" t="s">
        <v>203</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181</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156</v>
      </c>
      <c r="C58" s="9" t="s">
        <v>99</v>
      </c>
      <c r="D58" s="9" t="s">
        <v>439</v>
      </c>
      <c r="E58" s="9" t="s">
        <v>46</v>
      </c>
      <c r="F58" s="9"/>
      <c r="G58" s="9"/>
      <c r="H58" s="9"/>
      <c r="I58" s="10"/>
      <c r="J58" s="10"/>
    </row>
    <row r="59" spans="1:10" ht="14.25" customHeight="1">
      <c r="A59" s="9" t="s">
        <v>40</v>
      </c>
      <c r="B59" s="9" t="s">
        <v>203</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181</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219</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219</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219</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219</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219</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219</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219</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219</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219</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337</v>
      </c>
      <c r="G1" s="5" t="s">
        <v>441</v>
      </c>
      <c r="H1" s="5" t="s">
        <v>20</v>
      </c>
      <c r="I1" t="s">
        <v>35</v>
      </c>
      <c r="J1" s="5" t="s">
        <v>442</v>
      </c>
      <c r="K1" s="5" t="s">
        <v>181</v>
      </c>
      <c r="L1" s="5" t="s">
        <v>356</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143</v>
      </c>
      <c r="N2" t="s">
        <v>458</v>
      </c>
      <c r="R2" t="s">
        <v>255</v>
      </c>
      <c r="T2" t="s">
        <v>49</v>
      </c>
    </row>
    <row r="3" spans="1:20" ht="15" customHeight="1">
      <c r="A3" t="s">
        <v>40</v>
      </c>
      <c r="B3" t="s">
        <v>44</v>
      </c>
      <c r="C3" t="s">
        <v>60</v>
      </c>
      <c r="D3" t="s">
        <v>129</v>
      </c>
      <c r="E3" t="s">
        <v>50</v>
      </c>
      <c r="F3" t="s">
        <v>233</v>
      </c>
      <c r="G3" t="s">
        <v>44</v>
      </c>
      <c r="H3" t="s">
        <v>47</v>
      </c>
      <c r="I3" t="s">
        <v>53</v>
      </c>
      <c r="J3" t="s">
        <v>156</v>
      </c>
      <c r="K3" t="s">
        <v>48</v>
      </c>
      <c r="L3" t="s">
        <v>53</v>
      </c>
      <c r="M3" t="s">
        <v>44</v>
      </c>
      <c r="N3" t="s">
        <v>459</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460</v>
      </c>
      <c r="R4" t="s">
        <v>461</v>
      </c>
      <c r="T4" t="s">
        <v>72</v>
      </c>
    </row>
    <row r="5" spans="1:20" ht="15" customHeight="1">
      <c r="A5" t="s">
        <v>430</v>
      </c>
      <c r="B5" t="s">
        <v>439</v>
      </c>
      <c r="C5" t="s">
        <v>77</v>
      </c>
      <c r="F5" t="s">
        <v>203</v>
      </c>
      <c r="G5" t="s">
        <v>439</v>
      </c>
      <c r="H5" t="s">
        <v>129</v>
      </c>
      <c r="I5" t="s">
        <v>217</v>
      </c>
      <c r="J5" t="s">
        <v>219</v>
      </c>
      <c r="L5" t="s">
        <v>462</v>
      </c>
      <c r="M5" t="s">
        <v>88</v>
      </c>
      <c r="N5" t="s">
        <v>463</v>
      </c>
    </row>
    <row r="6" spans="1:20" ht="15" customHeight="1">
      <c r="A6" t="s">
        <v>308</v>
      </c>
      <c r="B6" t="s">
        <v>84</v>
      </c>
      <c r="F6" t="s">
        <v>219</v>
      </c>
      <c r="G6" t="s">
        <v>84</v>
      </c>
      <c r="H6" t="s">
        <v>143</v>
      </c>
      <c r="I6" t="s">
        <v>464</v>
      </c>
      <c r="J6" t="s">
        <v>181</v>
      </c>
      <c r="M6" t="s">
        <v>48</v>
      </c>
      <c r="N6" t="s">
        <v>463</v>
      </c>
    </row>
    <row r="7" spans="1:20" ht="15" customHeight="1">
      <c r="A7" t="s">
        <v>299</v>
      </c>
      <c r="B7" t="s">
        <v>65</v>
      </c>
      <c r="F7" t="s">
        <v>181</v>
      </c>
      <c r="G7" t="s">
        <v>65</v>
      </c>
      <c r="H7" t="s">
        <v>198</v>
      </c>
      <c r="I7" t="s">
        <v>465</v>
      </c>
      <c r="M7" t="s">
        <v>129</v>
      </c>
      <c r="N7" t="s">
        <v>466</v>
      </c>
    </row>
    <row r="8" spans="1:20" ht="15" customHeight="1">
      <c r="B8" t="s">
        <v>76</v>
      </c>
      <c r="F8" t="s">
        <v>128</v>
      </c>
      <c r="G8" t="s">
        <v>76</v>
      </c>
      <c r="I8" t="s">
        <v>467</v>
      </c>
      <c r="M8" t="s">
        <v>60</v>
      </c>
      <c r="N8" t="s">
        <v>468</v>
      </c>
    </row>
    <row r="9" spans="1:20" ht="15" customHeight="1">
      <c r="B9" t="s">
        <v>103</v>
      </c>
      <c r="F9" t="s">
        <v>42</v>
      </c>
      <c r="G9" t="s">
        <v>103</v>
      </c>
      <c r="I9" t="s">
        <v>333</v>
      </c>
      <c r="M9" t="s">
        <v>154</v>
      </c>
      <c r="N9" t="s">
        <v>469</v>
      </c>
    </row>
    <row r="10" spans="1:20" ht="15" customHeight="1">
      <c r="B10" t="s">
        <v>154</v>
      </c>
      <c r="G10" t="s">
        <v>154</v>
      </c>
      <c r="I10" t="s">
        <v>470</v>
      </c>
      <c r="M10" t="s">
        <v>47</v>
      </c>
      <c r="N10" t="s">
        <v>471</v>
      </c>
    </row>
    <row r="11" spans="1:20">
      <c r="B11" t="s">
        <v>472</v>
      </c>
      <c r="G11" t="s">
        <v>60</v>
      </c>
      <c r="M11" t="s">
        <v>76</v>
      </c>
      <c r="N11" t="s">
        <v>473</v>
      </c>
    </row>
    <row r="12" spans="1:20">
      <c r="B12" t="s">
        <v>474</v>
      </c>
      <c r="G12" t="s">
        <v>46</v>
      </c>
      <c r="M12" t="s">
        <v>46</v>
      </c>
      <c r="N12" t="s">
        <v>475</v>
      </c>
    </row>
    <row r="13" spans="1:20">
      <c r="G13" t="s">
        <v>77</v>
      </c>
      <c r="M13" t="s">
        <v>77</v>
      </c>
      <c r="N13" t="s">
        <v>476</v>
      </c>
    </row>
    <row r="14" spans="1:20">
      <c r="M14" t="s">
        <v>84</v>
      </c>
      <c r="N14" t="s">
        <v>477</v>
      </c>
    </row>
    <row r="15" spans="1:20">
      <c r="M15" t="s">
        <v>59</v>
      </c>
      <c r="N15" t="s">
        <v>478</v>
      </c>
    </row>
    <row r="16" spans="1:20">
      <c r="M16" t="s">
        <v>65</v>
      </c>
      <c r="N16" t="s">
        <v>479</v>
      </c>
    </row>
    <row r="17" spans="13:14">
      <c r="M17" t="s">
        <v>439</v>
      </c>
      <c r="N17" t="s">
        <v>479</v>
      </c>
    </row>
    <row r="18" spans="13:14">
      <c r="M18" t="s">
        <v>228</v>
      </c>
      <c r="N18" t="s">
        <v>480</v>
      </c>
    </row>
    <row r="19" spans="13:14">
      <c r="M19" t="s">
        <v>198</v>
      </c>
      <c r="N19" t="s">
        <v>481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43" t="str">
        <f ca="1">"As of "&amp;TEXT(TODAY(),"d mmm yyyy")&amp;". Live from Combined Delivery Data."</f>
        <v>As of 5 Oct 2026. Live from Combined Delivery Data.</v>
      </c>
      <c r="N2" s="243"/>
      <c r="O2" s="243"/>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30 of 72</v>
      </c>
      <c r="C5" s="244" t="str">
        <f>IF(C7+E7=0,"No CMS reports are blocked.","reports are blocked. "&amp;C7&amp;" are approved and waiting for a production release, "&amp;E7&amp;" are blocked in build or QA.")</f>
        <v>reports are blocked. 26 are approved and waiting for a production release, 4 are blocked in build or QA.</v>
      </c>
      <c r="D5" s="244"/>
      <c r="E5" s="244"/>
      <c r="F5" s="244"/>
      <c r="G5" s="244"/>
      <c r="H5" s="244"/>
      <c r="I5" s="244"/>
      <c r="J5" s="244"/>
      <c r="K5" s="244"/>
      <c r="L5" s="244"/>
      <c r="M5" s="244"/>
      <c r="N5" s="244"/>
      <c r="O5" s="244"/>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45" cm="1">
        <f t="array" ref="C7">COUNTIFS(cmsDom,"CMS",cmsStatus,"Ready for Release in Prod")</f>
        <v>26</v>
      </c>
      <c r="D7" s="246"/>
      <c r="E7" s="249" cm="1">
        <f t="array" ref="E7">COUNTIFS(cmsDom,"CMS",cmsBlocked,"Yes*",cmsStatus,"&lt;&gt;Ready for Release in Prod",cmsStatus,"&lt;&gt;RELEASED IN PROD")</f>
        <v>4</v>
      </c>
      <c r="F7" s="250"/>
      <c r="G7" s="251" cm="1">
        <f t="array" ref="G7">SUM(COUNTIFS(cmsDom,"CMS",cmsBlocked,"&lt;&gt;Yes*",cmsStatus,{"DB Dev","PBI Dev","QA","DPO Approval"}))</f>
        <v>25</v>
      </c>
      <c r="H7" s="252"/>
      <c r="I7" s="253" cm="1">
        <f t="array" ref="I7">COUNTIFS(cmsDom,"CMS",cmsBlocked,"&lt;&gt;Yes*",cmsStatus,"NOT STARTED")</f>
        <v>17</v>
      </c>
      <c r="J7" s="254"/>
      <c r="K7" s="255" cm="1">
        <f t="array" ref="K7">COUNTIFS(cmsDom,"CMS",cmsStatus,"RELEASED IN PROD")</f>
        <v>0</v>
      </c>
      <c r="L7" s="256"/>
      <c r="M7" s="257" t="s">
        <v>483</v>
      </c>
      <c r="N7" s="258"/>
      <c r="O7" s="259"/>
      <c r="P7" s="171"/>
      <c r="Q7" s="171"/>
      <c r="R7" s="171"/>
      <c r="S7" s="171"/>
      <c r="T7" s="171"/>
      <c r="U7" s="171"/>
      <c r="V7" s="171"/>
      <c r="W7" s="171"/>
      <c r="X7" s="171"/>
      <c r="Y7" s="171"/>
      <c r="Z7" s="171"/>
    </row>
    <row r="8" spans="1:26" ht="30" customHeight="1">
      <c r="A8" s="171"/>
      <c r="B8" s="171"/>
      <c r="C8" s="247" t="s">
        <v>484</v>
      </c>
      <c r="D8" s="248"/>
      <c r="E8" s="247" t="s">
        <v>485</v>
      </c>
      <c r="F8" s="248"/>
      <c r="G8" s="247" t="s">
        <v>486</v>
      </c>
      <c r="H8" s="248"/>
      <c r="I8" s="247" t="s">
        <v>487</v>
      </c>
      <c r="J8" s="248"/>
      <c r="K8" s="247" t="s">
        <v>488</v>
      </c>
      <c r="L8" s="248"/>
      <c r="M8" s="24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14.</v>
      </c>
      <c r="N8" s="248"/>
      <c r="O8" s="260"/>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21" t="s">
        <v>490</v>
      </c>
      <c r="D10" s="221"/>
      <c r="E10" s="221"/>
      <c r="F10" s="221"/>
      <c r="G10" s="221"/>
      <c r="H10" s="221"/>
      <c r="I10" s="221"/>
      <c r="J10" s="221"/>
      <c r="K10" s="221"/>
      <c r="L10" s="221"/>
      <c r="M10" s="221"/>
      <c r="N10" s="221"/>
      <c r="O10" s="221"/>
      <c r="P10" s="171"/>
      <c r="Q10" s="171"/>
      <c r="R10" s="171"/>
      <c r="S10" s="171"/>
      <c r="T10" s="171"/>
      <c r="U10" s="171"/>
      <c r="V10" s="171"/>
      <c r="W10" s="171"/>
      <c r="X10" s="171"/>
      <c r="Y10" s="171"/>
      <c r="Z10" s="171"/>
    </row>
    <row r="11" spans="1:26" ht="30" customHeight="1">
      <c r="A11" s="171"/>
      <c r="B11" s="188" t="s">
        <v>491</v>
      </c>
      <c r="C11" s="185" t="s">
        <v>492</v>
      </c>
      <c r="D11" s="185" t="s">
        <v>493</v>
      </c>
      <c r="E11" s="185" t="s">
        <v>181</v>
      </c>
      <c r="F11" s="185" t="s">
        <v>219</v>
      </c>
      <c r="G11" s="185" t="s">
        <v>203</v>
      </c>
      <c r="H11" s="185" t="s">
        <v>156</v>
      </c>
      <c r="I11" s="185" t="s">
        <v>487</v>
      </c>
      <c r="J11" s="185" t="s">
        <v>494</v>
      </c>
      <c r="K11" s="185" t="s">
        <v>495</v>
      </c>
      <c r="L11" s="185" t="s">
        <v>496</v>
      </c>
      <c r="M11" s="237" t="s">
        <v>497</v>
      </c>
      <c r="N11" s="238"/>
      <c r="O11" s="239"/>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0" t="str">
        <f ca="1">IF($K12=0,"",IF($J12=$K12,"Delivered",IF($L12="","No milestone in Dim Table",IF(TODAY()&gt;$L12,TEXT(TODAY()-$L12,"0")&amp;" days past milestone, "&amp;($K12-$J12)&amp;" of "&amp;$K12&amp;" not released",TEXT($L12-TODAY(),"0")&amp;" days to milestone"&amp;IF($D12&gt;0,", "&amp;$D12&amp;" blocked","")))))</f>
        <v>26 days past milestone, 14 of 14 not released</v>
      </c>
      <c r="N12" s="241"/>
      <c r="O12" s="242"/>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1" t="str">
        <f ca="1">IF($K13=0,"",IF($J13=$K13,"Delivered",IF($L13="","No milestone in Dim Table",IF(TODAY()&gt;$L13,TEXT(TODAY()-$L13,"0")&amp;" days past milestone, "&amp;($K13-$J13)&amp;" of "&amp;$K13&amp;" not released",TEXT($L13-TODAY(),"0")&amp;" days to milestone"&amp;IF($D13&gt;0,", "&amp;$D13&amp;" blocked","")))))</f>
        <v>5 days past milestone, 12 of 12 not released</v>
      </c>
      <c r="N13" s="232"/>
      <c r="O13" s="233"/>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3</v>
      </c>
      <c r="D14" s="196" cm="1">
        <f t="array" ref="D14">COUNTIFS(cmsDom,"CMS",cmsMonth,$B14,cmsBlocked,"Yes*",cmsStatus,"&lt;&gt;Ready for Release in Prod",cmsStatus,"&lt;&gt;RELEASED IN PROD")</f>
        <v>3</v>
      </c>
      <c r="E14" s="196" cm="1">
        <f t="array" ref="E14">COUNTIFS(cmsDom,"CMS",cmsMonth,$B14,cmsBlocked,"&lt;&gt;Yes*",cmsStatus,"DPO Approval")</f>
        <v>6</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1" t="str">
        <f ca="1">IF($K14=0,"",IF($J14=$K14,"Delivered",IF($L14="","No milestone in Dim Table",IF(TODAY()&gt;$L14,TEXT(TODAY()-$L14,"0")&amp;" days past milestone, "&amp;($K14-$J14)&amp;" of "&amp;$K14&amp;" not released",TEXT($L14-TODAY(),"0")&amp;" days to milestone"&amp;IF($D14&gt;0,", "&amp;$D14&amp;" blocked","")))))</f>
        <v>25 days to milestone, 3 blocked</v>
      </c>
      <c r="N14" s="232"/>
      <c r="O14" s="233"/>
      <c r="P14" s="171"/>
      <c r="Q14" s="171"/>
      <c r="R14" s="171"/>
      <c r="S14" s="171"/>
      <c r="T14" s="171"/>
      <c r="U14" s="171"/>
      <c r="V14" s="171"/>
      <c r="W14" s="171"/>
      <c r="X14" s="171"/>
      <c r="Y14" s="171"/>
      <c r="Z14" s="171"/>
    </row>
    <row r="15" spans="1:26" ht="21.75" customHeight="1">
      <c r="A15" s="171"/>
      <c r="B15" s="195" t="s">
        <v>243</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1" t="str">
        <f ca="1">IF($K15=0,"",IF($J15=$K15,"Delivered",IF($L15="","No milestone in Dim Table",IF(TODAY()&gt;$L15,TEXT(TODAY()-$L15,"0")&amp;" days past milestone, "&amp;($K15-$J15)&amp;" of "&amp;$K15&amp;" not released",TEXT($L15-TODAY(),"0")&amp;" days to milestone"&amp;IF($D15&gt;0,", "&amp;$D15&amp;" blocked","")))))</f>
        <v>56 days to milestone, 1 blocked</v>
      </c>
      <c r="N15" s="232"/>
      <c r="O15" s="233"/>
      <c r="P15" s="171"/>
      <c r="Q15" s="171"/>
      <c r="R15" s="171"/>
      <c r="S15" s="171"/>
      <c r="T15" s="171"/>
      <c r="U15" s="171"/>
      <c r="V15" s="171"/>
      <c r="W15" s="171"/>
      <c r="X15" s="171"/>
      <c r="Y15" s="171"/>
      <c r="Z15" s="171"/>
    </row>
    <row r="16" spans="1:26" ht="21.75" customHeight="1">
      <c r="A16" s="171"/>
      <c r="B16" s="192" t="s">
        <v>269</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3</v>
      </c>
      <c r="I16" s="193" cm="1">
        <f t="array" ref="I16">COUNTIFS(cmsDom,"CMS",cmsMonth,$B16,cmsBlocked,"&lt;&gt;Yes*",cmsStatus,"NOT STARTED")</f>
        <v>12</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4" t="str">
        <f ca="1">IF($K16=0,"",IF($J16=$K16,"Delivered",IF($L16="","No milestone in Dim Table",IF(TODAY()&gt;$L16,TEXT(TODAY()-$L16,"0")&amp;" days past milestone, "&amp;($K16-$J16)&amp;" of "&amp;$K16&amp;" not released",TEXT($L16-TODAY(),"0")&amp;" days to milestone"&amp;IF($D16&gt;0,", "&amp;$D16&amp;" blocked","")))))</f>
        <v>87 days to milestone</v>
      </c>
      <c r="N16" s="235"/>
      <c r="O16" s="236"/>
      <c r="P16" s="171"/>
      <c r="Q16" s="171"/>
      <c r="R16" s="171"/>
      <c r="S16" s="171"/>
      <c r="T16" s="171"/>
      <c r="U16" s="171"/>
      <c r="V16" s="171"/>
      <c r="W16" s="171"/>
      <c r="X16" s="171"/>
      <c r="Y16" s="171"/>
      <c r="Z16" s="171"/>
    </row>
    <row r="17" spans="1:26" ht="24" customHeight="1">
      <c r="A17" s="171"/>
      <c r="B17" s="186" t="s">
        <v>498</v>
      </c>
      <c r="C17" s="198">
        <f t="shared" ref="C17:K17" si="0">SUM(C12:C16)</f>
        <v>26</v>
      </c>
      <c r="D17" s="198">
        <f t="shared" si="0"/>
        <v>4</v>
      </c>
      <c r="E17" s="198">
        <f t="shared" si="0"/>
        <v>8</v>
      </c>
      <c r="F17" s="198">
        <f t="shared" si="0"/>
        <v>4</v>
      </c>
      <c r="G17" s="198">
        <f t="shared" si="0"/>
        <v>8</v>
      </c>
      <c r="H17" s="198">
        <f t="shared" si="0"/>
        <v>5</v>
      </c>
      <c r="I17" s="198">
        <f t="shared" si="0"/>
        <v>17</v>
      </c>
      <c r="J17" s="198">
        <f t="shared" si="0"/>
        <v>0</v>
      </c>
      <c r="K17" s="198">
        <f t="shared" si="0"/>
        <v>72</v>
      </c>
      <c r="L17" s="187"/>
      <c r="M17" s="218" t="str">
        <f>IF(SUM(C17:J17)=K17,"","Counts do not add up to the report total")</f>
        <v/>
      </c>
      <c r="N17" s="219"/>
      <c r="O17" s="220"/>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21" t="s">
        <v>500</v>
      </c>
      <c r="D19" s="221"/>
      <c r="E19" s="221"/>
      <c r="F19" s="221"/>
      <c r="G19" s="221"/>
      <c r="H19" s="221"/>
      <c r="I19" s="221"/>
      <c r="J19" s="221"/>
      <c r="K19" s="221"/>
      <c r="L19" s="221"/>
      <c r="M19" s="221"/>
      <c r="N19" s="221"/>
      <c r="O19" s="221"/>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(14)</v>
      </c>
      <c r="C35" s="221" t="s">
        <v>501</v>
      </c>
      <c r="D35" s="221"/>
      <c r="E35" s="221"/>
      <c r="F35" s="221"/>
      <c r="G35" s="221"/>
      <c r="H35" s="221"/>
      <c r="I35" s="221"/>
      <c r="J35" s="221"/>
      <c r="K35" s="221"/>
      <c r="L35" s="221"/>
      <c r="M35" s="221"/>
      <c r="N35" s="221"/>
      <c r="O35" s="221"/>
      <c r="P35" s="171"/>
      <c r="Q35" s="171"/>
      <c r="R35" s="171"/>
      <c r="S35" s="171"/>
      <c r="T35" s="171"/>
      <c r="U35" s="171"/>
      <c r="V35" s="171"/>
      <c r="W35" s="171"/>
      <c r="X35" s="171"/>
      <c r="Y35" s="171"/>
      <c r="Z35" s="171"/>
    </row>
    <row r="36" spans="1:26" ht="21.75" customHeight="1">
      <c r="A36" s="171"/>
      <c r="B36" s="201" t="s">
        <v>502</v>
      </c>
      <c r="C36" s="199" t="s">
        <v>491</v>
      </c>
      <c r="D36" s="199" t="s">
        <v>503</v>
      </c>
      <c r="E36" s="199" t="s">
        <v>433</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RPT_04_Leak Recheck Times</v>
      </c>
      <c r="C41" s="202" t="str">
        <v>September</v>
      </c>
      <c r="D41" s="202" t="str">
        <v>PBI Dev</v>
      </c>
      <c r="E41" s="202" t="str">
        <v>Move status to QA</v>
      </c>
      <c r="F41" s="202" t="str">
        <v>Shraddha</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RPT_02_Emergency Time Adjustments Log</v>
      </c>
      <c r="C42" s="202" t="str">
        <v>October</v>
      </c>
      <c r="D42" s="202" t="str">
        <v>PBI Dev</v>
      </c>
      <c r="E42" s="202" t="str">
        <v>Blocked - log it on Rework Log</v>
      </c>
      <c r="F42" s="202" t="str">
        <v>Navya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RPT_02_Service Appointment Life Cycle</v>
      </c>
      <c r="C43" s="202" t="str">
        <v>October</v>
      </c>
      <c r="D43" s="202" t="str">
        <v>DB Dev</v>
      </c>
      <c r="E43" s="202" t="str">
        <v>Move status to PBI Dev</v>
      </c>
      <c r="F43" s="202" t="str">
        <v>Nick</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RPT_02_PSC Inactive Account</v>
      </c>
      <c r="C44" s="202" t="str">
        <v>October</v>
      </c>
      <c r="D44" s="202" t="str">
        <v>PBI Dev</v>
      </c>
      <c r="E44" s="202" t="str">
        <v>Move status to QA</v>
      </c>
      <c r="F44" s="202" t="str">
        <v>Shraddha</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RPT_02_Fixed Factor Mismatch</v>
      </c>
      <c r="C45" s="202" t="str">
        <v>November</v>
      </c>
      <c r="D45" s="202" t="str">
        <v>NOT STARTED</v>
      </c>
      <c r="E45" s="202" t="str">
        <v>Move status to PBI Dev</v>
      </c>
      <c r="F45" s="202" t="str">
        <v>Siddu</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RPT_02_Install Meter Orders</v>
      </c>
      <c r="C46" s="204" t="str">
        <v>November</v>
      </c>
      <c r="D46" s="204" t="str">
        <v>NOT STARTED</v>
      </c>
      <c r="E46" s="204" t="str">
        <v>Move status to PBI Dev</v>
      </c>
      <c r="F46" s="204" t="str">
        <v>Michael</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21"/>
      <c r="D48" s="221"/>
      <c r="E48" s="221"/>
      <c r="F48" s="221"/>
      <c r="G48" s="221"/>
      <c r="H48" s="221"/>
      <c r="I48" s="221"/>
      <c r="J48" s="221"/>
      <c r="K48" s="221"/>
      <c r="L48" s="221"/>
      <c r="M48" s="221"/>
      <c r="N48" s="221"/>
      <c r="O48" s="221"/>
      <c r="P48" s="171"/>
      <c r="Q48" s="171"/>
      <c r="R48" s="171"/>
      <c r="S48" s="171"/>
      <c r="T48" s="171"/>
      <c r="U48" s="171"/>
      <c r="V48" s="171"/>
      <c r="W48" s="171"/>
      <c r="X48" s="171"/>
      <c r="Y48" s="171"/>
      <c r="Z48" s="171"/>
    </row>
    <row r="49" spans="1:26" ht="15.75" customHeight="1">
      <c r="A49" s="171"/>
      <c r="B49" s="222"/>
      <c r="C49" s="224" t="s">
        <v>491</v>
      </c>
      <c r="D49" s="224"/>
      <c r="E49" s="224" t="s">
        <v>433</v>
      </c>
      <c r="F49" s="224"/>
      <c r="G49" s="224" t="s">
        <v>443</v>
      </c>
      <c r="H49" s="22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23"/>
      <c r="C50" s="225" t="s">
        <v>505</v>
      </c>
      <c r="D50" s="226"/>
      <c r="E50" s="225" t="s">
        <v>505</v>
      </c>
      <c r="F50" s="226"/>
      <c r="G50" s="225" t="s">
        <v>505</v>
      </c>
      <c r="H50" s="227"/>
      <c r="I50" s="228" t="str">
        <f>IF(ISTEXT(B53),"No reports match",IF(ROWS(_xlfn.ANCHORARRAY(B53))=1,"1 report","" &amp; ROWS(_xlfn.ANCHORARRAY(B53)) &amp; " reports"))</f>
        <v>No reports match</v>
      </c>
      <c r="J50" s="229"/>
      <c r="K50" s="229"/>
      <c r="L50" s="229"/>
      <c r="M50" s="229"/>
      <c r="N50" s="229"/>
      <c r="O50" s="23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Ready for Release in Prod</v>
      </c>
      <c r="E95" s="202" t="str">
        <v>No</v>
      </c>
      <c r="F95" s="202" t="str">
        <v>Fetwi</v>
      </c>
      <c r="G95" s="202" t="str">
        <v>Navya</v>
      </c>
      <c r="H95" s="202" t="str">
        <v>Preety</v>
      </c>
      <c r="I95" s="202" t="str">
        <v>Zishan Momin</v>
      </c>
      <c r="J95" s="213">
        <v>46259</v>
      </c>
      <c r="K95" s="213">
        <v>46281</v>
      </c>
      <c r="L95" s="213">
        <v>46293</v>
      </c>
      <c r="M95" s="213">
        <v>46297</v>
      </c>
      <c r="N95" s="214">
        <v>0</v>
      </c>
      <c r="O95" s="202" t="str">
        <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DB Dev</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DB Dev</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DB Dev</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333</v>
      </c>
      <c r="E2" t="str">
        <f t="shared" ref="E2:E33" si="0">IF(C2="Ready for Release in Prod","Blocked in Prod",IF(C2="RELEASED IN PROD","Released",IF(LEFT(D2,3)="Yes","Blocked - Build/QA",IF(C2="NOT STARTED","Not Started",C2))))</f>
        <v>Blocked in Prod</v>
      </c>
    </row>
    <row r="3" spans="1:5">
      <c r="A3" t="s">
        <v>134</v>
      </c>
      <c r="B3" t="s">
        <v>130</v>
      </c>
      <c r="C3" t="s">
        <v>128</v>
      </c>
      <c r="D3" t="s">
        <v>333</v>
      </c>
      <c r="E3" t="str">
        <f t="shared" si="0"/>
        <v>Blocked in Prod</v>
      </c>
    </row>
    <row r="4" spans="1:5">
      <c r="A4" t="s">
        <v>136</v>
      </c>
      <c r="B4" t="s">
        <v>130</v>
      </c>
      <c r="C4" t="s">
        <v>128</v>
      </c>
      <c r="D4" t="s">
        <v>333</v>
      </c>
      <c r="E4" t="str">
        <f t="shared" si="0"/>
        <v>Blocked in Prod</v>
      </c>
    </row>
    <row r="5" spans="1:5">
      <c r="A5" t="s">
        <v>138</v>
      </c>
      <c r="B5" t="s">
        <v>130</v>
      </c>
      <c r="C5" t="s">
        <v>128</v>
      </c>
      <c r="D5" t="s">
        <v>333</v>
      </c>
      <c r="E5" t="str">
        <f t="shared" si="0"/>
        <v>Blocked in Prod</v>
      </c>
    </row>
    <row r="6" spans="1:5">
      <c r="A6" t="s">
        <v>140</v>
      </c>
      <c r="B6" t="s">
        <v>130</v>
      </c>
      <c r="C6" t="s">
        <v>128</v>
      </c>
      <c r="D6" t="s">
        <v>333</v>
      </c>
      <c r="E6" t="str">
        <f t="shared" si="0"/>
        <v>Blocked in Prod</v>
      </c>
    </row>
    <row r="7" spans="1:5">
      <c r="A7" t="s">
        <v>142</v>
      </c>
      <c r="B7" t="s">
        <v>130</v>
      </c>
      <c r="C7" t="s">
        <v>128</v>
      </c>
      <c r="D7" t="s">
        <v>333</v>
      </c>
      <c r="E7" t="str">
        <f t="shared" si="0"/>
        <v>Blocked in Prod</v>
      </c>
    </row>
    <row r="8" spans="1:5">
      <c r="A8" t="s">
        <v>145</v>
      </c>
      <c r="B8" t="s">
        <v>130</v>
      </c>
      <c r="C8" t="s">
        <v>128</v>
      </c>
      <c r="D8" t="s">
        <v>333</v>
      </c>
      <c r="E8" t="str">
        <f t="shared" si="0"/>
        <v>Blocked in Prod</v>
      </c>
    </row>
    <row r="9" spans="1:5">
      <c r="A9" t="s">
        <v>148</v>
      </c>
      <c r="B9" t="s">
        <v>130</v>
      </c>
      <c r="C9" t="s">
        <v>128</v>
      </c>
      <c r="D9" t="s">
        <v>333</v>
      </c>
      <c r="E9" t="str">
        <f t="shared" si="0"/>
        <v>Blocked in Prod</v>
      </c>
    </row>
    <row r="10" spans="1:5">
      <c r="A10" t="s">
        <v>149</v>
      </c>
      <c r="B10" t="s">
        <v>130</v>
      </c>
      <c r="C10" t="s">
        <v>128</v>
      </c>
      <c r="D10" t="s">
        <v>333</v>
      </c>
      <c r="E10" t="str">
        <f t="shared" si="0"/>
        <v>Blocked in Prod</v>
      </c>
    </row>
    <row r="11" spans="1:5">
      <c r="A11" t="s">
        <v>152</v>
      </c>
      <c r="B11" t="s">
        <v>130</v>
      </c>
      <c r="C11" t="s">
        <v>128</v>
      </c>
      <c r="D11" t="s">
        <v>333</v>
      </c>
      <c r="E11" t="str">
        <f t="shared" si="0"/>
        <v>Blocked in Prod</v>
      </c>
    </row>
    <row r="12" spans="1:5">
      <c r="A12" t="s">
        <v>155</v>
      </c>
      <c r="B12" t="s">
        <v>130</v>
      </c>
      <c r="C12" t="s">
        <v>128</v>
      </c>
      <c r="D12" t="s">
        <v>333</v>
      </c>
      <c r="E12" t="str">
        <f t="shared" si="0"/>
        <v>Blocked in Prod</v>
      </c>
    </row>
    <row r="13" spans="1:5">
      <c r="A13" t="s">
        <v>157</v>
      </c>
      <c r="B13" t="s">
        <v>130</v>
      </c>
      <c r="C13" t="s">
        <v>128</v>
      </c>
      <c r="D13" t="s">
        <v>333</v>
      </c>
      <c r="E13" t="str">
        <f t="shared" si="0"/>
        <v>Blocked in Prod</v>
      </c>
    </row>
    <row r="14" spans="1:5">
      <c r="A14" t="s">
        <v>159</v>
      </c>
      <c r="B14" t="s">
        <v>130</v>
      </c>
      <c r="C14" t="s">
        <v>128</v>
      </c>
      <c r="D14" t="s">
        <v>333</v>
      </c>
      <c r="E14" t="str">
        <f t="shared" si="0"/>
        <v>Blocked in Prod</v>
      </c>
    </row>
    <row r="15" spans="1:5">
      <c r="A15" t="s">
        <v>161</v>
      </c>
      <c r="B15" t="s">
        <v>130</v>
      </c>
      <c r="C15" t="s">
        <v>128</v>
      </c>
      <c r="D15" t="s">
        <v>333</v>
      </c>
      <c r="E15" t="str">
        <f t="shared" si="0"/>
        <v>Blocked in Prod</v>
      </c>
    </row>
    <row r="16" spans="1:5">
      <c r="A16" t="s">
        <v>164</v>
      </c>
      <c r="B16" t="s">
        <v>166</v>
      </c>
      <c r="C16" t="s">
        <v>203</v>
      </c>
      <c r="D16" t="s">
        <v>464</v>
      </c>
      <c r="E16" t="str">
        <f t="shared" si="0"/>
        <v>Blocked - Build/QA</v>
      </c>
    </row>
    <row r="17" spans="1:5">
      <c r="A17" t="s">
        <v>169</v>
      </c>
      <c r="B17" t="s">
        <v>166</v>
      </c>
      <c r="C17" t="s">
        <v>128</v>
      </c>
      <c r="D17" t="s">
        <v>333</v>
      </c>
      <c r="E17" t="str">
        <f t="shared" si="0"/>
        <v>Blocked in Prod</v>
      </c>
    </row>
    <row r="18" spans="1:5">
      <c r="A18" t="s">
        <v>172</v>
      </c>
      <c r="B18" t="s">
        <v>166</v>
      </c>
      <c r="C18" t="s">
        <v>128</v>
      </c>
      <c r="D18" t="s">
        <v>333</v>
      </c>
      <c r="E18" t="str">
        <f t="shared" si="0"/>
        <v>Blocked in Prod</v>
      </c>
    </row>
    <row r="19" spans="1:5">
      <c r="A19" t="s">
        <v>174</v>
      </c>
      <c r="B19" t="s">
        <v>166</v>
      </c>
      <c r="C19" t="s">
        <v>128</v>
      </c>
      <c r="D19" t="s">
        <v>333</v>
      </c>
      <c r="E19" t="str">
        <f t="shared" si="0"/>
        <v>Blocked in Prod</v>
      </c>
    </row>
    <row r="20" spans="1:5">
      <c r="A20" t="s">
        <v>176</v>
      </c>
      <c r="B20" t="s">
        <v>166</v>
      </c>
      <c r="C20" t="s">
        <v>128</v>
      </c>
      <c r="D20" t="s">
        <v>333</v>
      </c>
      <c r="E20" t="str">
        <f t="shared" si="0"/>
        <v>Blocked in Prod</v>
      </c>
    </row>
    <row r="21" spans="1:5">
      <c r="A21" t="s">
        <v>178</v>
      </c>
      <c r="B21" t="s">
        <v>166</v>
      </c>
      <c r="C21" t="s">
        <v>128</v>
      </c>
      <c r="D21" t="s">
        <v>333</v>
      </c>
      <c r="E21" t="str">
        <f t="shared" si="0"/>
        <v>Blocked in Prod</v>
      </c>
    </row>
    <row r="22" spans="1:5">
      <c r="A22" t="s">
        <v>180</v>
      </c>
      <c r="B22" t="s">
        <v>166</v>
      </c>
      <c r="C22" t="s">
        <v>181</v>
      </c>
      <c r="D22" t="s">
        <v>53</v>
      </c>
      <c r="E22" t="str">
        <f t="shared" si="0"/>
        <v>DPO Approval</v>
      </c>
    </row>
    <row r="23" spans="1:5">
      <c r="A23" t="s">
        <v>182</v>
      </c>
      <c r="B23" t="s">
        <v>166</v>
      </c>
      <c r="C23" t="s">
        <v>128</v>
      </c>
      <c r="D23" t="s">
        <v>333</v>
      </c>
      <c r="E23" t="str">
        <f t="shared" si="0"/>
        <v>Blocked in Prod</v>
      </c>
    </row>
    <row r="24" spans="1:5">
      <c r="A24" t="s">
        <v>183</v>
      </c>
      <c r="B24" t="s">
        <v>166</v>
      </c>
      <c r="C24" t="s">
        <v>128</v>
      </c>
      <c r="D24" t="s">
        <v>333</v>
      </c>
      <c r="E24" t="str">
        <f t="shared" si="0"/>
        <v>Blocked in Prod</v>
      </c>
    </row>
    <row r="25" spans="1:5">
      <c r="A25" t="s">
        <v>185</v>
      </c>
      <c r="B25" t="s">
        <v>166</v>
      </c>
      <c r="C25" t="s">
        <v>181</v>
      </c>
      <c r="D25" t="s">
        <v>53</v>
      </c>
      <c r="E25" t="str">
        <f t="shared" si="0"/>
        <v>DPO Approval</v>
      </c>
    </row>
    <row r="26" spans="1:5">
      <c r="A26" t="s">
        <v>188</v>
      </c>
      <c r="B26" t="s">
        <v>166</v>
      </c>
      <c r="C26" t="s">
        <v>128</v>
      </c>
      <c r="D26" t="s">
        <v>333</v>
      </c>
      <c r="E26" t="str">
        <f t="shared" si="0"/>
        <v>Blocked in Prod</v>
      </c>
    </row>
    <row r="27" spans="1:5">
      <c r="A27" t="s">
        <v>189</v>
      </c>
      <c r="B27" t="s">
        <v>166</v>
      </c>
      <c r="C27" t="s">
        <v>128</v>
      </c>
      <c r="D27" t="s">
        <v>333</v>
      </c>
      <c r="E27" t="str">
        <f t="shared" si="0"/>
        <v>Blocked in Prod</v>
      </c>
    </row>
    <row r="28" spans="1:5">
      <c r="A28" t="s">
        <v>191</v>
      </c>
      <c r="B28" t="s">
        <v>192</v>
      </c>
      <c r="C28" t="s">
        <v>181</v>
      </c>
      <c r="D28" t="s">
        <v>53</v>
      </c>
      <c r="E28" t="str">
        <f t="shared" si="0"/>
        <v>DPO Approval</v>
      </c>
    </row>
    <row r="29" spans="1:5">
      <c r="A29" t="s">
        <v>197</v>
      </c>
      <c r="B29" t="s">
        <v>192</v>
      </c>
      <c r="C29" t="s">
        <v>181</v>
      </c>
      <c r="D29" t="s">
        <v>53</v>
      </c>
      <c r="E29" t="str">
        <f t="shared" si="0"/>
        <v>DPO Approval</v>
      </c>
    </row>
    <row r="30" spans="1:5">
      <c r="A30" t="s">
        <v>201</v>
      </c>
      <c r="B30" t="s">
        <v>192</v>
      </c>
      <c r="C30" t="s">
        <v>128</v>
      </c>
      <c r="D30" t="s">
        <v>333</v>
      </c>
      <c r="E30" t="str">
        <f t="shared" si="0"/>
        <v>Blocked in Prod</v>
      </c>
    </row>
    <row r="31" spans="1:5">
      <c r="A31" t="s">
        <v>202</v>
      </c>
      <c r="B31" t="s">
        <v>192</v>
      </c>
      <c r="C31" t="s">
        <v>203</v>
      </c>
      <c r="D31" t="s">
        <v>204</v>
      </c>
      <c r="E31" t="str">
        <f t="shared" si="0"/>
        <v>Blocked - Build/QA</v>
      </c>
    </row>
    <row r="32" spans="1:5">
      <c r="A32" t="s">
        <v>206</v>
      </c>
      <c r="B32" t="s">
        <v>192</v>
      </c>
      <c r="C32" t="s">
        <v>181</v>
      </c>
      <c r="D32" t="s">
        <v>53</v>
      </c>
      <c r="E32" t="str">
        <f t="shared" si="0"/>
        <v>DPO Approval</v>
      </c>
    </row>
    <row r="33" spans="1:5">
      <c r="A33" t="s">
        <v>208</v>
      </c>
      <c r="B33" t="s">
        <v>192</v>
      </c>
      <c r="C33" t="s">
        <v>128</v>
      </c>
      <c r="D33" t="s">
        <v>333</v>
      </c>
      <c r="E33" t="str">
        <f t="shared" si="0"/>
        <v>Blocked in Prod</v>
      </c>
    </row>
    <row r="34" spans="1:5">
      <c r="A34" t="s">
        <v>210</v>
      </c>
      <c r="B34" t="s">
        <v>192</v>
      </c>
      <c r="C34" t="s">
        <v>181</v>
      </c>
      <c r="D34" t="s">
        <v>217</v>
      </c>
      <c r="E34" t="str">
        <f t="shared" ref="E34:E65" si="1">IF(C34="Ready for Release in Prod","Blocked in Prod",IF(C34="RELEASED IN PROD","Released",IF(LEFT(D34,3)="Yes","Blocked - Build/QA",IF(C34="NOT STARTED","Not Started",C34))))</f>
        <v>Blocked - Build/QA</v>
      </c>
    </row>
    <row r="35" spans="1:5">
      <c r="A35" t="s">
        <v>213</v>
      </c>
      <c r="B35" t="s">
        <v>192</v>
      </c>
      <c r="C35" t="s">
        <v>181</v>
      </c>
      <c r="D35" t="s">
        <v>53</v>
      </c>
      <c r="E35" t="str">
        <f t="shared" si="1"/>
        <v>DPO Approval</v>
      </c>
    </row>
    <row r="36" spans="1:5">
      <c r="A36" t="s">
        <v>215</v>
      </c>
      <c r="B36" t="s">
        <v>192</v>
      </c>
      <c r="C36" t="s">
        <v>219</v>
      </c>
      <c r="D36" t="s">
        <v>53</v>
      </c>
      <c r="E36" t="str">
        <f t="shared" si="1"/>
        <v>QA</v>
      </c>
    </row>
    <row r="37" spans="1:5">
      <c r="A37" t="s">
        <v>218</v>
      </c>
      <c r="B37" t="s">
        <v>192</v>
      </c>
      <c r="C37" t="s">
        <v>219</v>
      </c>
      <c r="D37" t="s">
        <v>53</v>
      </c>
      <c r="E37" t="str">
        <f t="shared" si="1"/>
        <v>QA</v>
      </c>
    </row>
    <row r="38" spans="1:5">
      <c r="A38" t="s">
        <v>221</v>
      </c>
      <c r="B38" t="s">
        <v>192</v>
      </c>
      <c r="C38" t="s">
        <v>181</v>
      </c>
      <c r="D38" t="s">
        <v>53</v>
      </c>
      <c r="E38" t="str">
        <f t="shared" si="1"/>
        <v>DPO Approval</v>
      </c>
    </row>
    <row r="39" spans="1:5">
      <c r="A39" t="s">
        <v>222</v>
      </c>
      <c r="B39" t="s">
        <v>192</v>
      </c>
      <c r="C39" t="s">
        <v>203</v>
      </c>
      <c r="D39" t="s">
        <v>53</v>
      </c>
      <c r="E39" t="str">
        <f t="shared" si="1"/>
        <v>PBI Dev</v>
      </c>
    </row>
    <row r="40" spans="1:5">
      <c r="A40" t="s">
        <v>223</v>
      </c>
      <c r="B40" t="s">
        <v>192</v>
      </c>
      <c r="C40" t="s">
        <v>156</v>
      </c>
      <c r="D40" t="s">
        <v>53</v>
      </c>
      <c r="E40" t="str">
        <f t="shared" si="1"/>
        <v>DB Dev</v>
      </c>
    </row>
    <row r="41" spans="1:5">
      <c r="A41" t="s">
        <v>227</v>
      </c>
      <c r="B41" t="s">
        <v>192</v>
      </c>
      <c r="C41" t="s">
        <v>203</v>
      </c>
      <c r="D41" t="s">
        <v>53</v>
      </c>
      <c r="E41" t="str">
        <f t="shared" si="1"/>
        <v>PBI Dev</v>
      </c>
    </row>
    <row r="42" spans="1:5">
      <c r="A42" t="s">
        <v>232</v>
      </c>
      <c r="B42" t="s">
        <v>192</v>
      </c>
      <c r="C42" t="s">
        <v>233</v>
      </c>
      <c r="D42" t="s">
        <v>53</v>
      </c>
      <c r="E42" t="str">
        <f t="shared" si="1"/>
        <v>Not Started</v>
      </c>
    </row>
    <row r="43" spans="1:5">
      <c r="A43" t="s">
        <v>236</v>
      </c>
      <c r="B43" t="s">
        <v>192</v>
      </c>
      <c r="C43" t="s">
        <v>203</v>
      </c>
      <c r="D43" t="s">
        <v>204</v>
      </c>
      <c r="E43" t="str">
        <f t="shared" si="1"/>
        <v>Blocked - Build/QA</v>
      </c>
    </row>
    <row r="44" spans="1:5">
      <c r="A44" t="s">
        <v>238</v>
      </c>
      <c r="B44" t="s">
        <v>192</v>
      </c>
      <c r="C44" t="s">
        <v>181</v>
      </c>
      <c r="D44" t="s">
        <v>53</v>
      </c>
      <c r="E44" t="str">
        <f t="shared" si="1"/>
        <v>DPO Approval</v>
      </c>
    </row>
    <row r="45" spans="1:5">
      <c r="A45" t="s">
        <v>241</v>
      </c>
      <c r="B45" t="s">
        <v>192</v>
      </c>
      <c r="C45" t="s">
        <v>203</v>
      </c>
      <c r="D45" t="s">
        <v>53</v>
      </c>
      <c r="E45" t="str">
        <f t="shared" si="1"/>
        <v>PBI Dev</v>
      </c>
    </row>
    <row r="46" spans="1:5">
      <c r="A46" t="s">
        <v>242</v>
      </c>
      <c r="B46" t="s">
        <v>243</v>
      </c>
      <c r="C46" t="s">
        <v>219</v>
      </c>
      <c r="E46" t="str">
        <f t="shared" si="1"/>
        <v>QA</v>
      </c>
    </row>
    <row r="47" spans="1:5">
      <c r="A47" t="s">
        <v>246</v>
      </c>
      <c r="B47" t="s">
        <v>243</v>
      </c>
      <c r="C47" t="s">
        <v>203</v>
      </c>
      <c r="E47" t="str">
        <f t="shared" si="1"/>
        <v>PBI Dev</v>
      </c>
    </row>
    <row r="48" spans="1:5">
      <c r="A48" t="s">
        <v>247</v>
      </c>
      <c r="B48" t="s">
        <v>243</v>
      </c>
      <c r="C48" t="s">
        <v>233</v>
      </c>
      <c r="E48" t="str">
        <f t="shared" si="1"/>
        <v>Not Started</v>
      </c>
    </row>
    <row r="49" spans="1:5">
      <c r="A49" t="s">
        <v>249</v>
      </c>
      <c r="B49" t="s">
        <v>243</v>
      </c>
      <c r="C49" t="s">
        <v>233</v>
      </c>
      <c r="E49" t="str">
        <f t="shared" si="1"/>
        <v>Not Started</v>
      </c>
    </row>
    <row r="50" spans="1:5">
      <c r="A50" t="s">
        <v>250</v>
      </c>
      <c r="B50" t="s">
        <v>243</v>
      </c>
      <c r="C50" t="s">
        <v>233</v>
      </c>
      <c r="E50" t="str">
        <f t="shared" si="1"/>
        <v>Not Started</v>
      </c>
    </row>
    <row r="51" spans="1:5">
      <c r="A51" t="s">
        <v>251</v>
      </c>
      <c r="B51" t="s">
        <v>243</v>
      </c>
      <c r="C51" t="s">
        <v>203</v>
      </c>
      <c r="D51" t="s">
        <v>217</v>
      </c>
      <c r="E51" t="str">
        <f t="shared" si="1"/>
        <v>Blocked - Build/QA</v>
      </c>
    </row>
    <row r="52" spans="1:5">
      <c r="A52" t="s">
        <v>254</v>
      </c>
      <c r="B52" t="s">
        <v>243</v>
      </c>
      <c r="C52" t="s">
        <v>203</v>
      </c>
      <c r="E52" t="str">
        <f t="shared" si="1"/>
        <v>PBI Dev</v>
      </c>
    </row>
    <row r="53" spans="1:5">
      <c r="A53" t="s">
        <v>258</v>
      </c>
      <c r="B53" t="s">
        <v>243</v>
      </c>
      <c r="C53" t="s">
        <v>233</v>
      </c>
      <c r="E53" t="str">
        <f t="shared" si="1"/>
        <v>Not Started</v>
      </c>
    </row>
    <row r="54" spans="1:5">
      <c r="A54" t="s">
        <v>259</v>
      </c>
      <c r="B54" t="s">
        <v>243</v>
      </c>
      <c r="C54" t="s">
        <v>233</v>
      </c>
      <c r="E54" t="str">
        <f t="shared" si="1"/>
        <v>Not Started</v>
      </c>
    </row>
    <row r="55" spans="1:5">
      <c r="A55" t="s">
        <v>260</v>
      </c>
      <c r="B55" t="s">
        <v>243</v>
      </c>
      <c r="C55" t="s">
        <v>156</v>
      </c>
      <c r="E55" t="str">
        <f t="shared" si="1"/>
        <v>DB Dev</v>
      </c>
    </row>
    <row r="56" spans="1:5">
      <c r="A56" t="s">
        <v>263</v>
      </c>
      <c r="B56" t="s">
        <v>243</v>
      </c>
      <c r="C56" t="s">
        <v>203</v>
      </c>
      <c r="E56" t="str">
        <f t="shared" si="1"/>
        <v>PBI Dev</v>
      </c>
    </row>
    <row r="57" spans="1:5">
      <c r="A57" t="s">
        <v>265</v>
      </c>
      <c r="B57" t="s">
        <v>243</v>
      </c>
      <c r="C57" t="s">
        <v>203</v>
      </c>
      <c r="E57" t="str">
        <f t="shared" si="1"/>
        <v>PBI Dev</v>
      </c>
    </row>
    <row r="58" spans="1:5">
      <c r="A58" t="s">
        <v>266</v>
      </c>
      <c r="B58" t="s">
        <v>243</v>
      </c>
      <c r="C58" t="s">
        <v>233</v>
      </c>
      <c r="E58" t="str">
        <f t="shared" si="1"/>
        <v>Not Started</v>
      </c>
    </row>
    <row r="59" spans="1:5">
      <c r="A59" t="s">
        <v>268</v>
      </c>
      <c r="B59" t="s">
        <v>269</v>
      </c>
      <c r="C59" t="s">
        <v>233</v>
      </c>
      <c r="E59" t="str">
        <f t="shared" si="1"/>
        <v>Not Started</v>
      </c>
    </row>
    <row r="60" spans="1:5">
      <c r="A60" t="s">
        <v>272</v>
      </c>
      <c r="B60" t="s">
        <v>269</v>
      </c>
      <c r="C60" t="s">
        <v>233</v>
      </c>
      <c r="E60" t="str">
        <f t="shared" si="1"/>
        <v>Not Started</v>
      </c>
    </row>
    <row r="61" spans="1:5">
      <c r="A61" t="s">
        <v>273</v>
      </c>
      <c r="B61" t="s">
        <v>269</v>
      </c>
      <c r="C61" t="s">
        <v>233</v>
      </c>
      <c r="E61" t="str">
        <f t="shared" si="1"/>
        <v>Not Started</v>
      </c>
    </row>
    <row r="62" spans="1:5">
      <c r="A62" t="s">
        <v>275</v>
      </c>
      <c r="B62" t="s">
        <v>269</v>
      </c>
      <c r="C62" t="s">
        <v>233</v>
      </c>
      <c r="E62" t="str">
        <f t="shared" si="1"/>
        <v>Not Started</v>
      </c>
    </row>
    <row r="63" spans="1:5">
      <c r="A63" t="s">
        <v>276</v>
      </c>
      <c r="B63" t="s">
        <v>269</v>
      </c>
      <c r="C63" t="s">
        <v>233</v>
      </c>
      <c r="E63" t="str">
        <f t="shared" si="1"/>
        <v>Not Started</v>
      </c>
    </row>
    <row r="64" spans="1:5">
      <c r="A64" t="s">
        <v>278</v>
      </c>
      <c r="B64" t="s">
        <v>269</v>
      </c>
      <c r="C64" t="s">
        <v>233</v>
      </c>
      <c r="E64" t="str">
        <f t="shared" si="1"/>
        <v>Not Started</v>
      </c>
    </row>
    <row r="65" spans="1:5">
      <c r="A65" t="s">
        <v>280</v>
      </c>
      <c r="B65" t="s">
        <v>269</v>
      </c>
      <c r="C65" t="s">
        <v>233</v>
      </c>
      <c r="E65" t="str">
        <f t="shared" si="1"/>
        <v>Not Started</v>
      </c>
    </row>
    <row r="66" spans="1:5">
      <c r="A66" t="s">
        <v>282</v>
      </c>
      <c r="B66" t="s">
        <v>269</v>
      </c>
      <c r="C66" t="s">
        <v>233</v>
      </c>
      <c r="E66" t="str">
        <f t="shared" ref="E66:E97" si="2">IF(C66="Ready for Release in Prod","Blocked in Prod",IF(C66="RELEASED IN PROD","Released",IF(LEFT(D66,3)="Yes","Blocked - Build/QA",IF(C66="NOT STARTED","Not Started",C66))))</f>
        <v>Not Started</v>
      </c>
    </row>
    <row r="67" spans="1:5">
      <c r="A67" t="s">
        <v>284</v>
      </c>
      <c r="B67" t="s">
        <v>269</v>
      </c>
      <c r="C67" t="s">
        <v>233</v>
      </c>
      <c r="E67" t="str">
        <f t="shared" si="2"/>
        <v>Not Started</v>
      </c>
    </row>
    <row r="68" spans="1:5">
      <c r="A68" t="s">
        <v>285</v>
      </c>
      <c r="B68" t="s">
        <v>269</v>
      </c>
      <c r="C68" t="s">
        <v>233</v>
      </c>
      <c r="E68" t="str">
        <f t="shared" si="2"/>
        <v>Not Started</v>
      </c>
    </row>
    <row r="69" spans="1:5">
      <c r="A69" t="s">
        <v>288</v>
      </c>
      <c r="B69" t="s">
        <v>269</v>
      </c>
      <c r="C69" t="s">
        <v>233</v>
      </c>
      <c r="E69" t="str">
        <f t="shared" si="2"/>
        <v>Not Started</v>
      </c>
    </row>
    <row r="70" spans="1:5">
      <c r="A70" t="s">
        <v>290</v>
      </c>
      <c r="B70" t="s">
        <v>269</v>
      </c>
      <c r="C70" t="s">
        <v>233</v>
      </c>
      <c r="E70" t="str">
        <f t="shared" si="2"/>
        <v>Not Started</v>
      </c>
    </row>
    <row r="71" spans="1:5">
      <c r="A71" t="s">
        <v>293</v>
      </c>
      <c r="B71" t="s">
        <v>269</v>
      </c>
      <c r="C71" t="s">
        <v>233</v>
      </c>
      <c r="E71" t="str">
        <f t="shared" si="2"/>
        <v>Not Started</v>
      </c>
    </row>
    <row r="72" spans="1:5">
      <c r="A72" t="s">
        <v>294</v>
      </c>
      <c r="B72" t="s">
        <v>269</v>
      </c>
      <c r="C72" t="s">
        <v>233</v>
      </c>
      <c r="E72" t="str">
        <f t="shared" si="2"/>
        <v>Not Started</v>
      </c>
    </row>
    <row r="73" spans="1:5">
      <c r="A73" t="s">
        <v>297</v>
      </c>
      <c r="B73" t="s">
        <v>269</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181</v>
      </c>
      <c r="C5" t="str">
        <v>Geetha</v>
      </c>
    </row>
    <row r="6" spans="1:3">
      <c r="A6" t="str">
        <v>October</v>
      </c>
      <c r="B6" t="s">
        <v>219</v>
      </c>
      <c r="C6" t="str">
        <v>Greeta</v>
      </c>
    </row>
    <row r="7" spans="1:3">
      <c r="A7" t="str">
        <v>November</v>
      </c>
      <c r="B7" t="s">
        <v>203</v>
      </c>
      <c r="C7" t="str">
        <v>Kushal</v>
      </c>
    </row>
    <row r="8" spans="1:3">
      <c r="B8" t="s">
        <v>156</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2026-10-05T16:23:38Z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