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691" documentId="13_ncr:1_{52745E9B-3AA1-4770-AAD3-E6166BFC13AE}" xr6:coauthVersionLast="47" xr6:coauthVersionMax="47" xr10:uidLastSave="{F76E510F-74B3-474D-A485-5B69198F1996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3" i="2" l="1" a="1"/>
  <c r="D93" i="2"/>
  <c r="D92" i="2" a="1"/>
  <c r="D92" i="2"/>
  <c r="D115" i="2" a="1"/>
  <c r="D115" i="2"/>
  <c r="D114" i="2" a="1"/>
  <c r="D114" i="2"/>
  <c r="D113" i="2" a="1"/>
  <c r="D113" i="2"/>
  <c r="D112" i="2" a="1"/>
  <c r="D112" i="2"/>
  <c r="D111" i="2" a="1"/>
  <c r="D111" i="2"/>
  <c r="D110" i="2" a="1"/>
  <c r="D110" i="2"/>
  <c r="D109" i="2" a="1"/>
  <c r="D109" i="2"/>
  <c r="D108" i="2" a="1"/>
  <c r="D108" i="2"/>
  <c r="D107" i="2" a="1"/>
  <c r="D107" i="2"/>
  <c r="D106" i="2" a="1"/>
  <c r="D106" i="2"/>
  <c r="D105" i="2" a="1"/>
  <c r="D105" i="2"/>
  <c r="D104" i="2" a="1"/>
  <c r="D104" i="2"/>
  <c r="D103" i="2" a="1"/>
  <c r="D103" i="2"/>
  <c r="D102" i="2" a="1"/>
  <c r="D102" i="2"/>
  <c r="D101" i="2" a="1"/>
  <c r="D101" i="2"/>
  <c r="D100" i="2" a="1"/>
  <c r="D100" i="2"/>
  <c r="D99" i="2" a="1"/>
  <c r="D99" i="2"/>
  <c r="D98" i="2" a="1"/>
  <c r="D98" i="2"/>
  <c r="D97" i="2" a="1"/>
  <c r="D97" i="2"/>
  <c r="D96" i="2" a="1"/>
  <c r="D96" i="2"/>
  <c r="D95" i="2" a="1"/>
  <c r="D95" i="2"/>
  <c r="D94" i="2" a="1"/>
  <c r="D94" i="2"/>
  <c r="D91" i="2" a="1"/>
  <c r="D91" i="2"/>
  <c r="D90" i="2" a="1"/>
  <c r="D90" i="2"/>
  <c r="D89" i="2" a="1"/>
  <c r="D89" i="2"/>
  <c r="D88" i="2" a="1"/>
  <c r="D88" i="2"/>
  <c r="D87" i="2" a="1"/>
  <c r="D87" i="2"/>
  <c r="D86" i="2" a="1"/>
  <c r="D86" i="2"/>
  <c r="D85" i="2" a="1"/>
  <c r="D85" i="2"/>
  <c r="D84" i="2" a="1"/>
  <c r="D84" i="2"/>
  <c r="D83" i="2" a="1"/>
  <c r="D83" i="2"/>
  <c r="D82" i="2" a="1"/>
  <c r="D82" i="2"/>
  <c r="D81" i="2" a="1"/>
  <c r="D81" i="2"/>
  <c r="D80" i="2" a="1"/>
  <c r="D80" i="2"/>
  <c r="D79" i="2" a="1"/>
  <c r="D79" i="2"/>
  <c r="D78" i="2" a="1"/>
  <c r="D78" i="2"/>
  <c r="D77" i="2" a="1"/>
  <c r="D77" i="2"/>
  <c r="D76" i="2" a="1"/>
  <c r="D76" i="2"/>
  <c r="D75" i="2" a="1"/>
  <c r="D75" i="2"/>
  <c r="D74" i="2" a="1"/>
  <c r="D74" i="2"/>
  <c r="D73" i="2" a="1"/>
  <c r="D73" i="2"/>
  <c r="D72" i="2" a="1"/>
  <c r="D72" i="2"/>
  <c r="D71" i="2" a="1"/>
  <c r="D71" i="2"/>
  <c r="D70" i="2" a="1"/>
  <c r="D70" i="2"/>
  <c r="D69" i="2" a="1"/>
  <c r="D69" i="2"/>
  <c r="D68" i="2" a="1"/>
  <c r="D68" i="2"/>
  <c r="D67" i="2" a="1"/>
  <c r="D67" i="2"/>
  <c r="D66" i="2" a="1"/>
  <c r="D66" i="2"/>
  <c r="D65" i="2" a="1"/>
  <c r="D65" i="2"/>
  <c r="D64" i="2" a="1"/>
  <c r="D64" i="2"/>
  <c r="D63" i="2" a="1"/>
  <c r="D63" i="2"/>
  <c r="D62" i="2" a="1"/>
  <c r="D62" i="2"/>
  <c r="D60" i="2" a="1"/>
  <c r="D60" i="2"/>
  <c r="D59" i="2" a="1"/>
  <c r="D59" i="2"/>
  <c r="D58" i="2" a="1"/>
  <c r="D58" i="2"/>
  <c r="D57" i="2" a="1"/>
  <c r="D57" i="2"/>
  <c r="D56" i="2" a="1"/>
  <c r="D56" i="2"/>
  <c r="D55" i="2" a="1"/>
  <c r="D55" i="2"/>
  <c r="D54" i="2" a="1"/>
  <c r="D54" i="2"/>
  <c r="D53" i="2" a="1"/>
  <c r="D53" i="2"/>
  <c r="D52" i="2" a="1"/>
  <c r="D52" i="2"/>
  <c r="D51" i="2" a="1"/>
  <c r="D51" i="2"/>
  <c r="D49" i="2" a="1"/>
  <c r="D49" i="2"/>
  <c r="D47" i="2" a="1"/>
  <c r="D47" i="2"/>
  <c r="D46" i="2" a="1"/>
  <c r="D46" i="2"/>
  <c r="D43" i="2" a="1"/>
  <c r="D43" i="2"/>
  <c r="D42" i="2" a="1"/>
  <c r="D42" i="2"/>
  <c r="D36" i="2" a="1"/>
  <c r="D36" i="2"/>
  <c r="D35" i="2" a="1"/>
  <c r="D35" i="2"/>
  <c r="D28" i="2" a="1"/>
  <c r="D28" i="2"/>
  <c r="D27" i="2" a="1"/>
  <c r="D27" i="2"/>
  <c r="D26" i="2" a="1"/>
  <c r="D26" i="2"/>
  <c r="D25" i="2" a="1"/>
  <c r="D25" i="2"/>
  <c r="D24" i="2" a="1"/>
  <c r="D24" i="2"/>
  <c r="D23" i="2" a="1"/>
  <c r="D23" i="2"/>
  <c r="D22" i="2" a="1"/>
  <c r="D22" i="2"/>
  <c r="D21" i="2" a="1"/>
  <c r="D21" i="2"/>
  <c r="D20" i="2" a="1"/>
  <c r="D20" i="2"/>
  <c r="D19" i="2" a="1"/>
  <c r="D19" i="2"/>
  <c r="D18" i="2" a="1"/>
  <c r="D18" i="2"/>
  <c r="D17" i="2" a="1"/>
  <c r="D17" i="2"/>
  <c r="D16" i="2" a="1"/>
  <c r="D16" i="2"/>
  <c r="D15" i="2" a="1"/>
  <c r="D15" i="2"/>
  <c r="D14" i="2" a="1"/>
  <c r="D14" i="2"/>
  <c r="D13" i="2" a="1"/>
  <c r="D13" i="2"/>
  <c r="D12" i="2" a="1"/>
  <c r="D12" i="2"/>
  <c r="D11" i="2" a="1"/>
  <c r="D11" i="2"/>
  <c r="D10" i="2" a="1"/>
  <c r="D10" i="2"/>
  <c r="D9" i="2" a="1"/>
  <c r="D9" i="2"/>
  <c r="D8" i="2" a="1"/>
  <c r="D8" i="2"/>
  <c r="D7" i="2" a="1"/>
  <c r="D7" i="2"/>
  <c r="D6" i="2" a="1"/>
  <c r="D6" i="2"/>
  <c r="D5" i="2" a="1"/>
  <c r="D5" i="2"/>
  <c r="D4" i="2" a="1"/>
  <c r="D4" i="2"/>
  <c r="D3" i="2" a="1"/>
  <c r="D3" i="2"/>
  <c r="D2" i="2" a="1"/>
  <c r="D2" i="2"/>
  <c r="AL115" i="2" a="1"/>
  <c r="AL115" i="2"/>
  <c r="AL114" i="2" a="1"/>
  <c r="AL114" i="2"/>
  <c r="AL113" i="2" a="1"/>
  <c r="AL113" i="2"/>
  <c r="AL112" i="2" a="1"/>
  <c r="AL112" i="2"/>
  <c r="AL111" i="2" a="1"/>
  <c r="AL111" i="2"/>
  <c r="AL110" i="2" a="1"/>
  <c r="AL110" i="2"/>
  <c r="AL109" i="2" a="1"/>
  <c r="AL109" i="2"/>
  <c r="AL108" i="2" a="1"/>
  <c r="AL108" i="2"/>
  <c r="AL107" i="2" a="1"/>
  <c r="AL107" i="2"/>
  <c r="AL106" i="2" a="1"/>
  <c r="AL106" i="2"/>
  <c r="AL105" i="2" a="1"/>
  <c r="AL105" i="2"/>
  <c r="AL104" i="2" a="1"/>
  <c r="AL104" i="2"/>
  <c r="AL103" i="2" a="1"/>
  <c r="AL103" i="2"/>
  <c r="AL102" i="2" a="1"/>
  <c r="AL102" i="2"/>
  <c r="AL101" i="2" a="1"/>
  <c r="AL101" i="2"/>
  <c r="AL100" i="2" a="1"/>
  <c r="AL100" i="2"/>
  <c r="AL99" i="2" a="1"/>
  <c r="AL99" i="2"/>
  <c r="AL98" i="2" a="1"/>
  <c r="AL98" i="2"/>
  <c r="AL97" i="2" a="1"/>
  <c r="AL97" i="2"/>
  <c r="AL96" i="2" a="1"/>
  <c r="AL96" i="2"/>
  <c r="AL95" i="2" a="1"/>
  <c r="AL95" i="2"/>
  <c r="AL94" i="2" a="1"/>
  <c r="AL94" i="2"/>
  <c r="AL93" i="2" a="1"/>
  <c r="AL93" i="2"/>
  <c r="AL92" i="2" a="1"/>
  <c r="AL92" i="2"/>
  <c r="AL91" i="2" a="1"/>
  <c r="AL91" i="2"/>
  <c r="AL90" i="2" a="1"/>
  <c r="AL90" i="2"/>
  <c r="AL89" i="2" a="1"/>
  <c r="AL89" i="2"/>
  <c r="AL88" i="2" a="1"/>
  <c r="AL88" i="2"/>
  <c r="AL87" i="2" a="1"/>
  <c r="AL87" i="2"/>
  <c r="AL86" i="2" a="1"/>
  <c r="AL86" i="2"/>
  <c r="AL85" i="2" a="1"/>
  <c r="AL85" i="2"/>
  <c r="AL84" i="2" a="1"/>
  <c r="AL84" i="2"/>
  <c r="AL83" i="2" a="1"/>
  <c r="AL83" i="2"/>
  <c r="AL82" i="2" a="1"/>
  <c r="AL82" i="2"/>
  <c r="AL81" i="2" a="1"/>
  <c r="AL81" i="2"/>
  <c r="AL80" i="2" a="1"/>
  <c r="AL80" i="2"/>
  <c r="AL79" i="2" a="1"/>
  <c r="AL79" i="2"/>
  <c r="AL78" i="2" a="1"/>
  <c r="AL78" i="2"/>
  <c r="AL77" i="2" a="1"/>
  <c r="AL77" i="2"/>
  <c r="AL76" i="2" a="1"/>
  <c r="AL76" i="2"/>
  <c r="AL75" i="2" a="1"/>
  <c r="AL75" i="2"/>
  <c r="AL74" i="2" a="1"/>
  <c r="AL74" i="2"/>
  <c r="AL73" i="2" a="1"/>
  <c r="AL73" i="2"/>
  <c r="AL72" i="2" a="1"/>
  <c r="AL72" i="2"/>
  <c r="AL71" i="2" a="1"/>
  <c r="AL71" i="2"/>
  <c r="AL70" i="2" a="1"/>
  <c r="AL70" i="2"/>
  <c r="AL69" i="2" a="1"/>
  <c r="AL69" i="2"/>
  <c r="AL68" i="2" a="1"/>
  <c r="AL68" i="2"/>
  <c r="AL67" i="2" a="1"/>
  <c r="AL67" i="2"/>
  <c r="AL66" i="2" a="1"/>
  <c r="AL66" i="2"/>
  <c r="AL65" i="2" a="1"/>
  <c r="AL65" i="2"/>
  <c r="AL64" i="2" a="1"/>
  <c r="AL64" i="2"/>
  <c r="AL63" i="2" a="1"/>
  <c r="AL63" i="2"/>
  <c r="AL62" i="2" a="1"/>
  <c r="AL62" i="2"/>
  <c r="AL61" i="2" a="1"/>
  <c r="AL61" i="2"/>
  <c r="AL60" i="2" a="1"/>
  <c r="AL60" i="2"/>
  <c r="AL59" i="2" a="1"/>
  <c r="AL59" i="2"/>
  <c r="AL58" i="2" a="1"/>
  <c r="AL58" i="2"/>
  <c r="AL57" i="2" a="1"/>
  <c r="AL57" i="2"/>
  <c r="AL56" i="2" a="1"/>
  <c r="AL56" i="2"/>
  <c r="AL55" i="2" a="1"/>
  <c r="AL55" i="2"/>
  <c r="AL54" i="2" a="1"/>
  <c r="AL54" i="2"/>
  <c r="AL53" i="2" a="1"/>
  <c r="AL53" i="2"/>
  <c r="AL52" i="2" a="1"/>
  <c r="AL52" i="2"/>
  <c r="AL51" i="2" a="1"/>
  <c r="AL51" i="2"/>
  <c r="AL50" i="2" a="1"/>
  <c r="AL50" i="2"/>
  <c r="AL49" i="2" a="1"/>
  <c r="AL49" i="2"/>
  <c r="AL48" i="2" a="1"/>
  <c r="AL48" i="2"/>
  <c r="AL47" i="2" a="1"/>
  <c r="AL47" i="2"/>
  <c r="AL46" i="2" a="1"/>
  <c r="AL46" i="2"/>
  <c r="AL45" i="2" a="1"/>
  <c r="AL45" i="2"/>
  <c r="AL44" i="2" a="1"/>
  <c r="AL44" i="2"/>
  <c r="AL43" i="2" a="1"/>
  <c r="AL43" i="2"/>
  <c r="AL42" i="2" a="1"/>
  <c r="AL42" i="2"/>
  <c r="AL41" i="2" a="1"/>
  <c r="AL41" i="2"/>
  <c r="D41" i="2" s="1" a="1"/>
  <c r="D41" i="2" s="1"/>
  <c r="AL40" i="2" a="1"/>
  <c r="AL40" i="2"/>
  <c r="D40" i="2" s="1" a="1"/>
  <c r="D40" i="2" s="1"/>
  <c r="AL39" i="2" a="1"/>
  <c r="AL39" i="2"/>
  <c r="D39" i="2" s="1" a="1"/>
  <c r="D39" i="2" s="1"/>
  <c r="AL38" i="2" a="1"/>
  <c r="AL38" i="2"/>
  <c r="D38" i="2" s="1" a="1"/>
  <c r="D38" i="2" s="1"/>
  <c r="AL37" i="2" a="1"/>
  <c r="AL37" i="2"/>
  <c r="D37" i="2" s="1" a="1"/>
  <c r="D37" i="2" s="1"/>
  <c r="AL36" i="2" a="1"/>
  <c r="AL36" i="2"/>
  <c r="AL35" i="2" a="1"/>
  <c r="AL35" i="2"/>
  <c r="AL34" i="2" a="1"/>
  <c r="AL34" i="2"/>
  <c r="D34" i="2" s="1" a="1"/>
  <c r="D34" i="2" s="1"/>
  <c r="AL33" i="2" a="1"/>
  <c r="AL33" i="2"/>
  <c r="D33" i="2" s="1" a="1"/>
  <c r="D33" i="2" s="1"/>
  <c r="AL32" i="2" a="1"/>
  <c r="AL32" i="2"/>
  <c r="AL31" i="2" a="1"/>
  <c r="AL31" i="2"/>
  <c r="D31" i="2" s="1" a="1"/>
  <c r="D31" i="2" s="1"/>
  <c r="AL30" i="2" a="1"/>
  <c r="AL30" i="2"/>
  <c r="D30" i="2" s="1" a="1"/>
  <c r="D30" i="2" s="1"/>
  <c r="AL29" i="2" a="1"/>
  <c r="AL29" i="2"/>
  <c r="D29" i="2" s="1" a="1"/>
  <c r="D29" i="2" s="1"/>
  <c r="AL28" i="2" a="1"/>
  <c r="AL28" i="2"/>
  <c r="AL27" i="2" a="1"/>
  <c r="AL27" i="2"/>
  <c r="AL26" i="2" a="1"/>
  <c r="AL26" i="2"/>
  <c r="AL25" i="2" a="1"/>
  <c r="AL25" i="2"/>
  <c r="AL24" i="2" a="1"/>
  <c r="AL24" i="2"/>
  <c r="AL23" i="2" a="1"/>
  <c r="AL23" i="2"/>
  <c r="AL22" i="2" a="1"/>
  <c r="AL22" i="2"/>
  <c r="AL21" i="2" a="1"/>
  <c r="AL21" i="2"/>
  <c r="AL20" i="2" a="1"/>
  <c r="AL20" i="2"/>
  <c r="AL19" i="2" a="1"/>
  <c r="AL19" i="2"/>
  <c r="AL18" i="2" a="1"/>
  <c r="AL18" i="2"/>
  <c r="AL17" i="2" a="1"/>
  <c r="AL17" i="2"/>
  <c r="AL16" i="2" a="1"/>
  <c r="AL16" i="2"/>
  <c r="AL15" i="2" a="1"/>
  <c r="AL15" i="2"/>
  <c r="AL14" i="2" a="1"/>
  <c r="AL14" i="2"/>
  <c r="AL13" i="2" a="1"/>
  <c r="AL13" i="2"/>
  <c r="AL12" i="2" a="1"/>
  <c r="AL12" i="2"/>
  <c r="AL11" i="2" a="1"/>
  <c r="AL11" i="2"/>
  <c r="AL10" i="2" a="1"/>
  <c r="AL10" i="2"/>
  <c r="AL9" i="2" a="1"/>
  <c r="AL9" i="2"/>
  <c r="AL8" i="2" a="1"/>
  <c r="AL8" i="2"/>
  <c r="AL7" i="2" a="1"/>
  <c r="AL7" i="2"/>
  <c r="AL6" i="2" a="1"/>
  <c r="AL6" i="2"/>
  <c r="AL5" i="2" a="1"/>
  <c r="AL5" i="2"/>
  <c r="AL4" i="2" a="1"/>
  <c r="AL4" i="2"/>
  <c r="AL3" i="2" a="1"/>
  <c r="AL3" i="2"/>
  <c r="AL2" i="2" a="1"/>
  <c r="AL2" i="2"/>
  <c r="AK115" i="2" a="1"/>
  <c r="AK115" i="2"/>
  <c r="AK114" i="2" a="1"/>
  <c r="AK114" i="2"/>
  <c r="AK113" i="2" a="1"/>
  <c r="AK113" i="2"/>
  <c r="AK112" i="2" a="1"/>
  <c r="AK112" i="2"/>
  <c r="AK111" i="2" a="1"/>
  <c r="AK111" i="2"/>
  <c r="AK110" i="2" a="1"/>
  <c r="AK110" i="2"/>
  <c r="AK109" i="2" a="1"/>
  <c r="AK109" i="2"/>
  <c r="AK108" i="2" a="1"/>
  <c r="AK108" i="2"/>
  <c r="AK107" i="2" a="1"/>
  <c r="AK107" i="2"/>
  <c r="AK106" i="2" a="1"/>
  <c r="AK106" i="2"/>
  <c r="AK105" i="2" a="1"/>
  <c r="AK105" i="2"/>
  <c r="AK104" i="2" a="1"/>
  <c r="AK104" i="2"/>
  <c r="AK103" i="2" a="1"/>
  <c r="AK103" i="2"/>
  <c r="AK102" i="2" a="1"/>
  <c r="AK102" i="2"/>
  <c r="AK101" i="2" a="1"/>
  <c r="AK101" i="2"/>
  <c r="AK100" i="2" a="1"/>
  <c r="AK100" i="2"/>
  <c r="AK99" i="2" a="1"/>
  <c r="AK99" i="2"/>
  <c r="AK98" i="2" a="1"/>
  <c r="AK98" i="2"/>
  <c r="AK97" i="2" a="1"/>
  <c r="AK97" i="2"/>
  <c r="AK96" i="2" a="1"/>
  <c r="AK96" i="2"/>
  <c r="AK95" i="2" a="1"/>
  <c r="AK95" i="2"/>
  <c r="AK94" i="2" a="1"/>
  <c r="AK94" i="2"/>
  <c r="AK93" i="2" a="1"/>
  <c r="AK93" i="2"/>
  <c r="AK92" i="2" a="1"/>
  <c r="AK92" i="2"/>
  <c r="AK91" i="2" a="1"/>
  <c r="AK91" i="2"/>
  <c r="AK90" i="2" a="1"/>
  <c r="AK90" i="2"/>
  <c r="AK89" i="2" a="1"/>
  <c r="AK89" i="2"/>
  <c r="AK88" i="2" a="1"/>
  <c r="AK88" i="2"/>
  <c r="AK87" i="2" a="1"/>
  <c r="AK87" i="2"/>
  <c r="AK86" i="2" a="1"/>
  <c r="AK86" i="2"/>
  <c r="AK85" i="2" a="1"/>
  <c r="AK85" i="2"/>
  <c r="AK84" i="2" a="1"/>
  <c r="AK84" i="2"/>
  <c r="AK83" i="2" a="1"/>
  <c r="AK83" i="2"/>
  <c r="AK82" i="2" a="1"/>
  <c r="AK82" i="2"/>
  <c r="AK81" i="2" a="1"/>
  <c r="AK81" i="2"/>
  <c r="AK80" i="2" a="1"/>
  <c r="AK80" i="2"/>
  <c r="AK79" i="2" a="1"/>
  <c r="AK79" i="2"/>
  <c r="AK78" i="2" a="1"/>
  <c r="AK78" i="2"/>
  <c r="AK77" i="2" a="1"/>
  <c r="AK77" i="2"/>
  <c r="AK76" i="2" a="1"/>
  <c r="AK76" i="2"/>
  <c r="AK75" i="2" a="1"/>
  <c r="AK75" i="2"/>
  <c r="AK74" i="2" a="1"/>
  <c r="AK74" i="2"/>
  <c r="AK73" i="2" a="1"/>
  <c r="AK73" i="2"/>
  <c r="AK72" i="2" a="1"/>
  <c r="AK72" i="2"/>
  <c r="AK71" i="2" a="1"/>
  <c r="AK71" i="2"/>
  <c r="AK70" i="2" a="1"/>
  <c r="AK70" i="2"/>
  <c r="AK69" i="2" a="1"/>
  <c r="AK69" i="2"/>
  <c r="AK68" i="2" a="1"/>
  <c r="AK68" i="2"/>
  <c r="AK67" i="2" a="1"/>
  <c r="AK67" i="2"/>
  <c r="AK66" i="2" a="1"/>
  <c r="AK66" i="2"/>
  <c r="AK65" i="2" a="1"/>
  <c r="AK65" i="2"/>
  <c r="AK64" i="2" a="1"/>
  <c r="AK64" i="2"/>
  <c r="AK63" i="2" a="1"/>
  <c r="AK63" i="2"/>
  <c r="AK62" i="2" a="1"/>
  <c r="AK62" i="2"/>
  <c r="AK61" i="2" a="1"/>
  <c r="AK61" i="2"/>
  <c r="D61" i="2" s="1" a="1"/>
  <c r="D61" i="2" s="1"/>
  <c r="AK60" i="2" a="1"/>
  <c r="AK60" i="2"/>
  <c r="AK59" i="2" a="1"/>
  <c r="AK59" i="2"/>
  <c r="AK58" i="2" a="1"/>
  <c r="AK58" i="2"/>
  <c r="AK57" i="2" a="1"/>
  <c r="AK57" i="2"/>
  <c r="AK56" i="2" a="1"/>
  <c r="AK56" i="2"/>
  <c r="AK55" i="2" a="1"/>
  <c r="AK55" i="2"/>
  <c r="AK54" i="2" a="1"/>
  <c r="AK54" i="2"/>
  <c r="AK53" i="2" a="1"/>
  <c r="AK53" i="2"/>
  <c r="AK52" i="2" a="1"/>
  <c r="AK52" i="2"/>
  <c r="AK51" i="2" a="1"/>
  <c r="AK51" i="2"/>
  <c r="AK50" i="2" a="1"/>
  <c r="AK50" i="2"/>
  <c r="D50" i="2" s="1" a="1"/>
  <c r="D50" i="2" s="1"/>
  <c r="AK49" i="2" a="1"/>
  <c r="AK49" i="2"/>
  <c r="AK48" i="2" a="1"/>
  <c r="AK48" i="2"/>
  <c r="D48" i="2" s="1" a="1"/>
  <c r="D48" i="2" s="1"/>
  <c r="AK47" i="2" a="1"/>
  <c r="AK47" i="2"/>
  <c r="AK46" i="2" a="1"/>
  <c r="AK46" i="2"/>
  <c r="AK45" i="2" a="1"/>
  <c r="AK45" i="2"/>
  <c r="D45" i="2" s="1" a="1"/>
  <c r="D45" i="2" s="1"/>
  <c r="AK44" i="2" a="1"/>
  <c r="AK44" i="2"/>
  <c r="D44" i="2" s="1" a="1"/>
  <c r="D44" i="2" s="1"/>
  <c r="AK43" i="2" a="1"/>
  <c r="AK43" i="2"/>
  <c r="AK42" i="2" a="1"/>
  <c r="AK42" i="2"/>
  <c r="AK41" i="2" a="1"/>
  <c r="AK41" i="2"/>
  <c r="AK40" i="2" a="1"/>
  <c r="AK40" i="2"/>
  <c r="AK39" i="2" a="1"/>
  <c r="AK39" i="2"/>
  <c r="AK38" i="2" a="1"/>
  <c r="AK38" i="2"/>
  <c r="AK37" i="2" a="1"/>
  <c r="AK37" i="2"/>
  <c r="AK36" i="2" a="1"/>
  <c r="AK36" i="2"/>
  <c r="AK35" i="2" a="1"/>
  <c r="AK35" i="2"/>
  <c r="AK34" i="2" a="1"/>
  <c r="AK34" i="2"/>
  <c r="AK33" i="2" a="1"/>
  <c r="AK33" i="2"/>
  <c r="AK32" i="2" a="1"/>
  <c r="AK32" i="2"/>
  <c r="D32" i="2" s="1" a="1"/>
  <c r="D32" i="2" s="1"/>
  <c r="AK31" i="2" a="1"/>
  <c r="AK31" i="2"/>
  <c r="AK30" i="2" a="1"/>
  <c r="AK30" i="2"/>
  <c r="AK29" i="2" a="1"/>
  <c r="AK29" i="2"/>
  <c r="AK28" i="2" a="1"/>
  <c r="AK28" i="2"/>
  <c r="AK27" i="2" a="1"/>
  <c r="AK27" i="2"/>
  <c r="AK26" i="2" a="1"/>
  <c r="AK26" i="2"/>
  <c r="AK25" i="2" a="1"/>
  <c r="AK25" i="2"/>
  <c r="AK24" i="2" a="1"/>
  <c r="AK24" i="2"/>
  <c r="AK23" i="2" a="1"/>
  <c r="AK23" i="2"/>
  <c r="AK22" i="2" a="1"/>
  <c r="AK22" i="2"/>
  <c r="AK21" i="2" a="1"/>
  <c r="AK21" i="2"/>
  <c r="AK20" i="2" a="1"/>
  <c r="AK20" i="2"/>
  <c r="AK19" i="2" a="1"/>
  <c r="AK19" i="2"/>
  <c r="AK18" i="2" a="1"/>
  <c r="AK18" i="2"/>
  <c r="AK17" i="2" a="1"/>
  <c r="AK17" i="2"/>
  <c r="AK16" i="2" a="1"/>
  <c r="AK16" i="2"/>
  <c r="AK15" i="2" a="1"/>
  <c r="AK15" i="2"/>
  <c r="AK14" i="2" a="1"/>
  <c r="AK14" i="2"/>
  <c r="AK13" i="2" a="1"/>
  <c r="AK13" i="2"/>
  <c r="AK12" i="2" a="1"/>
  <c r="AK12" i="2"/>
  <c r="AK11" i="2" a="1"/>
  <c r="AK11" i="2"/>
  <c r="AK10" i="2" a="1"/>
  <c r="AK10" i="2"/>
  <c r="AK9" i="2" a="1"/>
  <c r="AK9" i="2"/>
  <c r="AK8" i="2" a="1"/>
  <c r="AK8" i="2"/>
  <c r="AK7" i="2" a="1"/>
  <c r="AK7" i="2"/>
  <c r="AK6" i="2" a="1"/>
  <c r="AK6" i="2"/>
  <c r="AK5" i="2" a="1"/>
  <c r="AK5" i="2"/>
  <c r="AK4" i="2" a="1"/>
  <c r="AK4" i="2"/>
  <c r="AK3" i="2" a="1"/>
  <c r="AK3" i="2"/>
  <c r="AK2" i="2" a="1"/>
  <c r="AK2" i="2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AI2" i="2"/>
  <c r="AI3" i="2"/>
  <c r="AI4" i="2"/>
  <c r="AI5" i="2"/>
  <c r="AI10" i="2"/>
  <c r="AI11" i="2"/>
  <c r="AI12" i="2"/>
  <c r="AI13" i="2"/>
  <c r="AI14" i="2"/>
  <c r="AI15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4" i="2"/>
  <c r="AI35" i="2"/>
  <c r="AI36" i="2"/>
  <c r="AI37" i="2"/>
  <c r="AI38" i="2"/>
  <c r="AI39" i="2"/>
  <c r="AI40" i="2"/>
  <c r="AI41" i="2"/>
  <c r="AI43" i="2"/>
  <c r="AI44" i="2"/>
  <c r="AI45" i="2"/>
  <c r="AI46" i="2"/>
  <c r="AI47" i="2"/>
  <c r="AI48" i="2"/>
  <c r="AI49" i="2"/>
  <c r="AI50" i="2"/>
  <c r="AI51" i="2"/>
  <c r="AI52" i="2"/>
  <c r="AI53" i="2"/>
  <c r="AI54" i="2"/>
  <c r="AI56" i="2"/>
  <c r="AI57" i="2"/>
  <c r="AI58" i="2"/>
  <c r="AI59" i="2"/>
  <c r="AI60" i="2"/>
  <c r="AI61" i="2"/>
  <c r="AI62" i="2"/>
  <c r="AI63" i="2"/>
  <c r="AI64" i="2"/>
  <c r="AI65" i="2"/>
  <c r="AI66" i="2"/>
  <c r="AI67" i="2"/>
  <c r="AI68" i="2"/>
  <c r="AI69" i="2"/>
  <c r="AI70" i="2"/>
  <c r="AI71" i="2"/>
  <c r="AI72" i="2"/>
  <c r="AI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29" i="3"/>
  <c r="B28" i="3"/>
  <c r="B27" i="3"/>
  <c r="B26" i="3"/>
  <c r="T3" i="4" l="1"/>
  <c r="S3" i="4"/>
  <c r="T4" i="4"/>
  <c r="S4" i="4"/>
  <c r="T5" i="4"/>
  <c r="S5" i="4"/>
  <c r="T6" i="4"/>
  <c r="S6" i="4"/>
  <c r="T7" i="4"/>
  <c r="S7" i="4"/>
  <c r="T16" i="4"/>
  <c r="S16" i="4"/>
  <c r="T17" i="4"/>
  <c r="S17" i="4"/>
  <c r="T18" i="4"/>
  <c r="S18" i="4"/>
  <c r="T19" i="4"/>
  <c r="S19" i="4"/>
  <c r="T20" i="4"/>
  <c r="S20" i="4"/>
  <c r="T21" i="4"/>
  <c r="S21" i="4"/>
  <c r="T22" i="4"/>
  <c r="S22" i="4"/>
  <c r="T23" i="4"/>
  <c r="S23" i="4"/>
  <c r="T24" i="4"/>
  <c r="S24" i="4"/>
  <c r="T25" i="4"/>
  <c r="S25" i="4"/>
  <c r="T26" i="4"/>
  <c r="S26" i="4"/>
  <c r="T27" i="4"/>
  <c r="S27" i="4"/>
  <c r="T28" i="4"/>
  <c r="S28" i="4"/>
  <c r="T29" i="4"/>
  <c r="S29" i="4"/>
  <c r="T30" i="4"/>
  <c r="S30" i="4"/>
  <c r="T31" i="4"/>
  <c r="S31" i="4"/>
  <c r="T32" i="4"/>
  <c r="S32" i="4"/>
  <c r="T33" i="4"/>
  <c r="S33" i="4"/>
  <c r="T34" i="4"/>
  <c r="S34" i="4"/>
  <c r="T35" i="4"/>
  <c r="S35" i="4"/>
  <c r="T36" i="4"/>
  <c r="S36" i="4"/>
  <c r="T37" i="4"/>
  <c r="S37" i="4"/>
  <c r="T38" i="4"/>
  <c r="S38" i="4"/>
  <c r="T39" i="4"/>
  <c r="S39" i="4"/>
  <c r="T40" i="4"/>
  <c r="S40" i="4"/>
  <c r="T41" i="4"/>
  <c r="S41" i="4"/>
  <c r="T42" i="4"/>
  <c r="S42" i="4"/>
  <c r="T43" i="4"/>
  <c r="S43" i="4"/>
  <c r="T44" i="4"/>
  <c r="S44" i="4"/>
  <c r="T45" i="4"/>
  <c r="S45" i="4"/>
  <c r="T46" i="4"/>
  <c r="S46" i="4"/>
  <c r="T47" i="4"/>
  <c r="S47" i="4"/>
  <c r="T48" i="4"/>
  <c r="S48" i="4"/>
  <c r="T49" i="4"/>
  <c r="S49" i="4"/>
  <c r="T50" i="4"/>
  <c r="S50" i="4"/>
  <c r="T51" i="4"/>
  <c r="S51" i="4"/>
  <c r="T52" i="4"/>
  <c r="S52" i="4"/>
  <c r="T53" i="4"/>
  <c r="S53" i="4"/>
  <c r="T54" i="4"/>
  <c r="S54" i="4"/>
  <c r="T55" i="4"/>
  <c r="S55" i="4"/>
  <c r="T56" i="4"/>
  <c r="S56" i="4"/>
  <c r="T57" i="4"/>
  <c r="S57" i="4"/>
  <c r="T58" i="4"/>
  <c r="S58" i="4"/>
  <c r="T59" i="4"/>
  <c r="S59" i="4"/>
  <c r="T60" i="4"/>
  <c r="S60" i="4"/>
  <c r="T61" i="4"/>
  <c r="S61" i="4"/>
  <c r="T62" i="4"/>
  <c r="S62" i="4"/>
  <c r="T63" i="4"/>
  <c r="S63" i="4"/>
  <c r="T64" i="4"/>
  <c r="S64" i="4"/>
  <c r="T65" i="4"/>
  <c r="S65" i="4"/>
  <c r="T66" i="4"/>
  <c r="S66" i="4"/>
  <c r="T67" i="4"/>
  <c r="S67" i="4"/>
  <c r="T68" i="4"/>
  <c r="S68" i="4"/>
  <c r="T69" i="4"/>
  <c r="S69" i="4"/>
  <c r="T70" i="4"/>
  <c r="S70" i="4"/>
  <c r="T71" i="4"/>
  <c r="S71" i="4"/>
  <c r="T72" i="4"/>
  <c r="S72" i="4"/>
  <c r="T73" i="4"/>
  <c r="S73" i="4"/>
  <c r="T74" i="4"/>
  <c r="S74" i="4"/>
  <c r="T75" i="4"/>
  <c r="S75" i="4"/>
  <c r="T76" i="4"/>
  <c r="S76" i="4"/>
  <c r="T77" i="4"/>
  <c r="S77" i="4"/>
  <c r="T78" i="4"/>
  <c r="S78" i="4"/>
  <c r="T79" i="4"/>
  <c r="S79" i="4"/>
  <c r="T80" i="4"/>
  <c r="S80" i="4"/>
  <c r="T81" i="4"/>
  <c r="S81" i="4"/>
  <c r="T82" i="4"/>
  <c r="S82" i="4"/>
  <c r="T83" i="4"/>
  <c r="S83" i="4"/>
  <c r="T84" i="4"/>
  <c r="S84" i="4"/>
  <c r="T85" i="4"/>
  <c r="S85" i="4"/>
  <c r="T86" i="4"/>
  <c r="S86" i="4"/>
  <c r="T87" i="4"/>
  <c r="S87" i="4"/>
  <c r="T88" i="4"/>
  <c r="S88" i="4"/>
  <c r="T89" i="4"/>
  <c r="S89" i="4"/>
  <c r="T90" i="4"/>
  <c r="S90" i="4"/>
  <c r="T91" i="4"/>
  <c r="S91" i="4"/>
  <c r="T92" i="4"/>
  <c r="S92" i="4"/>
  <c r="T93" i="4"/>
  <c r="S93" i="4"/>
  <c r="T94" i="4"/>
  <c r="S94" i="4"/>
  <c r="T95" i="4"/>
  <c r="S95" i="4"/>
  <c r="T96" i="4"/>
  <c r="S96" i="4"/>
  <c r="T97" i="4"/>
  <c r="S97" i="4"/>
  <c r="T98" i="4"/>
  <c r="S98" i="4"/>
  <c r="T99" i="4"/>
  <c r="S99" i="4"/>
  <c r="T100" i="4"/>
  <c r="S100" i="4"/>
  <c r="T101" i="4"/>
  <c r="S101" i="4"/>
  <c r="T102" i="4"/>
  <c r="S102" i="4"/>
  <c r="T103" i="4"/>
  <c r="S103" i="4"/>
  <c r="T104" i="4"/>
  <c r="S104" i="4"/>
  <c r="T105" i="4"/>
  <c r="S105" i="4"/>
  <c r="T106" i="4"/>
  <c r="S106" i="4"/>
  <c r="T107" i="4"/>
  <c r="S107" i="4"/>
  <c r="T108" i="4"/>
  <c r="S108" i="4"/>
  <c r="T109" i="4"/>
  <c r="S109" i="4"/>
  <c r="T110" i="4"/>
  <c r="S110" i="4"/>
  <c r="T111" i="4"/>
  <c r="S111" i="4"/>
  <c r="T112" i="4"/>
  <c r="S112" i="4"/>
  <c r="T113" i="4"/>
  <c r="S113" i="4"/>
  <c r="T114" i="4"/>
  <c r="S114" i="4"/>
  <c r="T115" i="4"/>
  <c r="S115" i="4"/>
  <c r="T116" i="4"/>
  <c r="S116" i="4"/>
  <c r="T117" i="4"/>
  <c r="S117" i="4"/>
  <c r="T118" i="4"/>
  <c r="S118" i="4"/>
  <c r="T119" i="4"/>
  <c r="S119" i="4"/>
  <c r="T120" i="4"/>
  <c r="S120" i="4"/>
  <c r="T121" i="4"/>
  <c r="S121" i="4"/>
  <c r="T122" i="4"/>
  <c r="S122" i="4"/>
  <c r="T123" i="4"/>
  <c r="S123" i="4"/>
  <c r="T124" i="4"/>
  <c r="S124" i="4"/>
  <c r="T125" i="4"/>
  <c r="S125" i="4"/>
  <c r="T126" i="4"/>
  <c r="S126" i="4"/>
  <c r="T127" i="4"/>
  <c r="S127" i="4"/>
  <c r="T128" i="4"/>
  <c r="S128" i="4"/>
  <c r="T129" i="4"/>
  <c r="S129" i="4"/>
  <c r="T130" i="4"/>
  <c r="S130" i="4"/>
  <c r="T131" i="4"/>
  <c r="S131" i="4"/>
  <c r="T132" i="4"/>
  <c r="S132" i="4"/>
  <c r="T133" i="4"/>
  <c r="S133" i="4"/>
  <c r="T134" i="4"/>
  <c r="S134" i="4"/>
  <c r="T135" i="4"/>
  <c r="S135" i="4"/>
  <c r="T136" i="4"/>
  <c r="S136" i="4"/>
  <c r="T137" i="4"/>
  <c r="S137" i="4"/>
  <c r="T138" i="4"/>
  <c r="S138" i="4"/>
  <c r="T139" i="4"/>
  <c r="S139" i="4"/>
  <c r="T140" i="4"/>
  <c r="S140" i="4"/>
  <c r="T141" i="4"/>
  <c r="S141" i="4"/>
  <c r="T142" i="4"/>
  <c r="S142" i="4"/>
  <c r="T143" i="4"/>
  <c r="S143" i="4"/>
  <c r="T144" i="4"/>
  <c r="S144" i="4"/>
  <c r="T145" i="4"/>
  <c r="S145" i="4"/>
  <c r="T146" i="4"/>
  <c r="S146" i="4"/>
  <c r="T147" i="4"/>
  <c r="S147" i="4"/>
  <c r="T148" i="4"/>
  <c r="S148" i="4"/>
  <c r="T149" i="4"/>
  <c r="S149" i="4"/>
  <c r="T150" i="4"/>
  <c r="S150" i="4"/>
  <c r="T151" i="4"/>
  <c r="S151" i="4"/>
  <c r="T152" i="4"/>
  <c r="S152" i="4"/>
  <c r="T153" i="4"/>
  <c r="S153" i="4"/>
  <c r="T154" i="4"/>
  <c r="S154" i="4"/>
  <c r="T155" i="4"/>
  <c r="S155" i="4"/>
  <c r="T156" i="4"/>
  <c r="S156" i="4"/>
  <c r="T157" i="4"/>
  <c r="S157" i="4"/>
  <c r="T158" i="4"/>
  <c r="S158" i="4"/>
  <c r="T159" i="4"/>
  <c r="S159" i="4"/>
  <c r="T160" i="4"/>
  <c r="S160" i="4"/>
  <c r="T161" i="4"/>
  <c r="S161" i="4"/>
  <c r="T162" i="4"/>
  <c r="S162" i="4"/>
  <c r="T163" i="4"/>
  <c r="S163" i="4"/>
  <c r="T164" i="4"/>
  <c r="S164" i="4"/>
  <c r="T165" i="4"/>
  <c r="S165" i="4"/>
  <c r="T166" i="4"/>
  <c r="S166" i="4"/>
  <c r="T167" i="4"/>
  <c r="S167" i="4"/>
  <c r="T168" i="4"/>
  <c r="S168" i="4"/>
  <c r="T169" i="4"/>
  <c r="S169" i="4"/>
  <c r="T170" i="4"/>
  <c r="S170" i="4"/>
  <c r="T171" i="4"/>
  <c r="S171" i="4"/>
  <c r="T172" i="4"/>
  <c r="S172" i="4"/>
  <c r="T173" i="4"/>
  <c r="S173" i="4"/>
  <c r="T174" i="4"/>
  <c r="S174" i="4"/>
  <c r="T175" i="4"/>
  <c r="S175" i="4"/>
  <c r="T176" i="4"/>
  <c r="S176" i="4"/>
  <c r="T177" i="4"/>
  <c r="S177" i="4"/>
  <c r="T178" i="4"/>
  <c r="S178" i="4"/>
  <c r="T179" i="4"/>
  <c r="S179" i="4"/>
  <c r="T180" i="4"/>
  <c r="S180" i="4"/>
  <c r="T181" i="4"/>
  <c r="S181" i="4"/>
  <c r="T182" i="4"/>
  <c r="S182" i="4"/>
  <c r="T183" i="4"/>
  <c r="S183" i="4"/>
  <c r="T184" i="4"/>
  <c r="S184" i="4"/>
  <c r="T185" i="4"/>
  <c r="S185" i="4"/>
  <c r="T186" i="4"/>
  <c r="S186" i="4"/>
  <c r="T187" i="4"/>
  <c r="S187" i="4"/>
  <c r="T188" i="4"/>
  <c r="S188" i="4"/>
  <c r="T189" i="4"/>
  <c r="S189" i="4"/>
  <c r="T190" i="4"/>
  <c r="S190" i="4"/>
  <c r="T191" i="4"/>
  <c r="S191" i="4"/>
  <c r="T192" i="4"/>
  <c r="S192" i="4"/>
  <c r="T193" i="4"/>
  <c r="S193" i="4"/>
  <c r="T194" i="4"/>
  <c r="S194" i="4"/>
  <c r="T195" i="4"/>
  <c r="S195" i="4"/>
  <c r="T196" i="4"/>
  <c r="S196" i="4"/>
  <c r="T197" i="4"/>
  <c r="S197" i="4"/>
  <c r="T198" i="4"/>
  <c r="S198" i="4"/>
  <c r="T199" i="4"/>
  <c r="S199" i="4"/>
  <c r="T200" i="4"/>
  <c r="S200" i="4"/>
  <c r="T201" i="4"/>
  <c r="S201" i="4"/>
  <c r="T202" i="4"/>
  <c r="S202" i="4"/>
  <c r="T203" i="4"/>
  <c r="S203" i="4"/>
  <c r="T204" i="4"/>
  <c r="S204" i="4"/>
  <c r="T205" i="4"/>
  <c r="S205" i="4"/>
  <c r="T206" i="4"/>
  <c r="S206" i="4"/>
  <c r="T207" i="4"/>
  <c r="S207" i="4"/>
  <c r="T208" i="4"/>
  <c r="S208" i="4"/>
  <c r="T209" i="4"/>
  <c r="S209" i="4"/>
  <c r="T210" i="4"/>
  <c r="S210" i="4"/>
  <c r="T211" i="4"/>
  <c r="S211" i="4"/>
  <c r="T212" i="4"/>
  <c r="S212" i="4"/>
  <c r="T213" i="4"/>
  <c r="S213" i="4"/>
  <c r="T214" i="4"/>
  <c r="S214" i="4"/>
  <c r="T215" i="4"/>
  <c r="S215" i="4"/>
  <c r="T216" i="4"/>
  <c r="S216" i="4"/>
  <c r="T217" i="4"/>
  <c r="S217" i="4"/>
  <c r="T218" i="4"/>
  <c r="S218" i="4"/>
  <c r="T219" i="4"/>
  <c r="S219" i="4"/>
  <c r="T220" i="4"/>
  <c r="S220" i="4"/>
  <c r="T221" i="4"/>
  <c r="S221" i="4"/>
  <c r="T222" i="4"/>
  <c r="S222" i="4"/>
  <c r="T223" i="4"/>
  <c r="S223" i="4"/>
  <c r="T224" i="4"/>
  <c r="S224" i="4"/>
  <c r="T225" i="4"/>
  <c r="S225" i="4"/>
  <c r="T226" i="4"/>
  <c r="S226" i="4"/>
  <c r="T227" i="4"/>
  <c r="S227" i="4"/>
  <c r="T228" i="4"/>
  <c r="S228" i="4"/>
  <c r="T229" i="4"/>
  <c r="S229" i="4"/>
  <c r="T230" i="4"/>
  <c r="S230" i="4"/>
  <c r="T231" i="4"/>
  <c r="S231" i="4"/>
  <c r="T232" i="4"/>
  <c r="S232" i="4"/>
  <c r="T233" i="4"/>
  <c r="S233" i="4"/>
  <c r="T234" i="4"/>
  <c r="S234" i="4"/>
  <c r="T235" i="4"/>
  <c r="S235" i="4"/>
  <c r="T236" i="4"/>
  <c r="S236" i="4"/>
  <c r="T237" i="4"/>
  <c r="S237" i="4"/>
  <c r="T238" i="4"/>
  <c r="S238" i="4"/>
  <c r="T239" i="4"/>
  <c r="S239" i="4"/>
  <c r="T240" i="4"/>
  <c r="S240" i="4"/>
  <c r="T241" i="4"/>
  <c r="S241" i="4"/>
  <c r="T242" i="4"/>
  <c r="S242" i="4"/>
  <c r="T243" i="4"/>
  <c r="S243" i="4"/>
  <c r="T244" i="4"/>
  <c r="S244" i="4"/>
  <c r="T245" i="4"/>
  <c r="S245" i="4"/>
  <c r="T246" i="4"/>
  <c r="S246" i="4"/>
  <c r="T247" i="4"/>
  <c r="S247" i="4"/>
  <c r="T248" i="4"/>
  <c r="S248" i="4"/>
  <c r="T249" i="4"/>
  <c r="S249" i="4"/>
  <c r="T250" i="4"/>
  <c r="S250" i="4"/>
  <c r="T251" i="4"/>
  <c r="S251" i="4"/>
  <c r="T252" i="4"/>
  <c r="S252" i="4"/>
  <c r="T253" i="4"/>
  <c r="S253" i="4"/>
  <c r="T254" i="4"/>
  <c r="S254" i="4"/>
  <c r="T255" i="4"/>
  <c r="S255" i="4"/>
  <c r="T256" i="4"/>
  <c r="S256" i="4"/>
  <c r="T257" i="4"/>
  <c r="S257" i="4"/>
  <c r="T258" i="4"/>
  <c r="S258" i="4"/>
  <c r="T259" i="4"/>
  <c r="S259" i="4"/>
  <c r="T260" i="4"/>
  <c r="S260" i="4"/>
  <c r="T261" i="4"/>
  <c r="S261" i="4"/>
  <c r="T262" i="4"/>
  <c r="S262" i="4"/>
  <c r="T263" i="4"/>
  <c r="S263" i="4"/>
  <c r="T264" i="4"/>
  <c r="S264" i="4"/>
  <c r="T265" i="4"/>
  <c r="S265" i="4"/>
  <c r="T266" i="4"/>
  <c r="S266" i="4"/>
  <c r="T267" i="4"/>
  <c r="S267" i="4"/>
  <c r="T268" i="4"/>
  <c r="S268" i="4"/>
  <c r="T269" i="4"/>
  <c r="S269" i="4"/>
  <c r="T270" i="4"/>
  <c r="S270" i="4"/>
  <c r="T271" i="4"/>
  <c r="S271" i="4"/>
  <c r="T272" i="4"/>
  <c r="S272" i="4"/>
  <c r="T273" i="4"/>
  <c r="S273" i="4"/>
  <c r="T274" i="4"/>
  <c r="S274" i="4"/>
  <c r="T275" i="4"/>
  <c r="S275" i="4"/>
  <c r="T276" i="4"/>
  <c r="S276" i="4"/>
  <c r="T277" i="4"/>
  <c r="S277" i="4"/>
  <c r="T278" i="4"/>
  <c r="S278" i="4"/>
  <c r="T279" i="4"/>
  <c r="S279" i="4"/>
  <c r="T280" i="4"/>
  <c r="S280" i="4"/>
  <c r="T281" i="4"/>
  <c r="S281" i="4"/>
  <c r="T282" i="4"/>
  <c r="S282" i="4"/>
  <c r="T283" i="4"/>
  <c r="S283" i="4"/>
  <c r="T284" i="4"/>
  <c r="S284" i="4"/>
  <c r="T285" i="4"/>
  <c r="S285" i="4"/>
  <c r="T286" i="4"/>
  <c r="S286" i="4"/>
  <c r="T287" i="4"/>
  <c r="S287" i="4"/>
  <c r="T288" i="4"/>
  <c r="S288" i="4"/>
  <c r="T289" i="4"/>
  <c r="S289" i="4"/>
  <c r="T290" i="4"/>
  <c r="S290" i="4"/>
  <c r="T291" i="4"/>
  <c r="S291" i="4"/>
  <c r="T292" i="4"/>
  <c r="S292" i="4"/>
  <c r="T293" i="4"/>
  <c r="S293" i="4"/>
  <c r="T294" i="4"/>
  <c r="S294" i="4"/>
  <c r="T295" i="4"/>
  <c r="S295" i="4"/>
  <c r="T296" i="4"/>
  <c r="S296" i="4"/>
  <c r="T297" i="4"/>
  <c r="S297" i="4"/>
  <c r="T298" i="4"/>
  <c r="S298" i="4"/>
  <c r="T299" i="4"/>
  <c r="S299" i="4"/>
  <c r="T300" i="4"/>
  <c r="S300" i="4"/>
  <c r="T301" i="4"/>
  <c r="S301" i="4"/>
  <c r="T302" i="4"/>
  <c r="S302" i="4"/>
  <c r="T303" i="4"/>
  <c r="S303" i="4"/>
  <c r="T304" i="4"/>
  <c r="S304" i="4"/>
  <c r="T305" i="4"/>
  <c r="S305" i="4"/>
  <c r="T306" i="4"/>
  <c r="S306" i="4"/>
  <c r="T307" i="4"/>
  <c r="S307" i="4"/>
  <c r="T308" i="4"/>
  <c r="S308" i="4"/>
  <c r="T309" i="4"/>
  <c r="S309" i="4"/>
  <c r="T310" i="4"/>
  <c r="S310" i="4"/>
  <c r="T311" i="4"/>
  <c r="S311" i="4"/>
  <c r="T312" i="4"/>
  <c r="S312" i="4"/>
  <c r="T313" i="4"/>
  <c r="S313" i="4"/>
  <c r="T314" i="4"/>
  <c r="S314" i="4"/>
  <c r="T315" i="4"/>
  <c r="S315" i="4"/>
  <c r="T316" i="4"/>
  <c r="S316" i="4"/>
  <c r="T317" i="4"/>
  <c r="S317" i="4"/>
  <c r="T318" i="4"/>
  <c r="S318" i="4"/>
  <c r="T319" i="4"/>
  <c r="S319" i="4"/>
  <c r="T320" i="4"/>
  <c r="S320" i="4"/>
  <c r="T321" i="4"/>
  <c r="S321" i="4"/>
  <c r="T322" i="4"/>
  <c r="S322" i="4"/>
  <c r="T323" i="4"/>
  <c r="S323" i="4"/>
  <c r="T324" i="4"/>
  <c r="S324" i="4"/>
  <c r="T325" i="4"/>
  <c r="S325" i="4"/>
  <c r="T326" i="4"/>
  <c r="S326" i="4"/>
  <c r="T327" i="4"/>
  <c r="S327" i="4"/>
  <c r="T328" i="4"/>
  <c r="S328" i="4"/>
  <c r="T329" i="4"/>
  <c r="S329" i="4"/>
  <c r="T330" i="4"/>
  <c r="S330" i="4"/>
  <c r="T331" i="4"/>
  <c r="S331" i="4"/>
  <c r="T332" i="4"/>
  <c r="S332" i="4"/>
  <c r="T333" i="4"/>
  <c r="S333" i="4"/>
  <c r="T334" i="4"/>
  <c r="S334" i="4"/>
  <c r="T335" i="4"/>
  <c r="S335" i="4"/>
  <c r="T336" i="4"/>
  <c r="S336" i="4"/>
  <c r="T337" i="4"/>
  <c r="S337" i="4"/>
  <c r="T338" i="4"/>
  <c r="S338" i="4"/>
  <c r="T339" i="4"/>
  <c r="S339" i="4"/>
  <c r="T340" i="4"/>
  <c r="S340" i="4"/>
  <c r="T341" i="4"/>
  <c r="S341" i="4"/>
  <c r="T342" i="4"/>
  <c r="S342" i="4"/>
  <c r="T343" i="4"/>
  <c r="S343" i="4"/>
  <c r="T344" i="4"/>
  <c r="S344" i="4"/>
  <c r="T345" i="4"/>
  <c r="S345" i="4"/>
  <c r="T346" i="4"/>
  <c r="S346" i="4"/>
  <c r="T347" i="4"/>
  <c r="S347" i="4"/>
  <c r="T348" i="4"/>
  <c r="S348" i="4"/>
  <c r="T349" i="4"/>
  <c r="S349" i="4"/>
  <c r="T350" i="4"/>
  <c r="S350" i="4"/>
  <c r="T351" i="4"/>
  <c r="S351" i="4"/>
  <c r="T352" i="4"/>
  <c r="S352" i="4"/>
  <c r="T353" i="4"/>
  <c r="S353" i="4"/>
  <c r="T354" i="4"/>
  <c r="S354" i="4"/>
  <c r="T355" i="4"/>
  <c r="S355" i="4"/>
  <c r="T356" i="4"/>
  <c r="S356" i="4"/>
  <c r="T357" i="4"/>
  <c r="S357" i="4"/>
  <c r="T358" i="4"/>
  <c r="S358" i="4"/>
  <c r="T359" i="4"/>
  <c r="S359" i="4"/>
  <c r="T360" i="4"/>
  <c r="S360" i="4"/>
  <c r="T361" i="4"/>
  <c r="S361" i="4"/>
  <c r="T362" i="4"/>
  <c r="S362" i="4"/>
  <c r="T363" i="4"/>
  <c r="S363" i="4"/>
  <c r="T364" i="4"/>
  <c r="S364" i="4"/>
  <c r="T365" i="4"/>
  <c r="S365" i="4"/>
  <c r="T366" i="4"/>
  <c r="S366" i="4"/>
  <c r="T367" i="4"/>
  <c r="S367" i="4"/>
  <c r="T368" i="4"/>
  <c r="S368" i="4"/>
  <c r="T369" i="4"/>
  <c r="S369" i="4"/>
  <c r="T370" i="4"/>
  <c r="S370" i="4"/>
  <c r="T371" i="4"/>
  <c r="S371" i="4"/>
  <c r="T372" i="4"/>
  <c r="S372" i="4"/>
  <c r="T373" i="4"/>
  <c r="S373" i="4"/>
  <c r="T374" i="4"/>
  <c r="S374" i="4"/>
  <c r="T375" i="4"/>
  <c r="S375" i="4"/>
  <c r="T376" i="4"/>
  <c r="S376" i="4"/>
  <c r="T377" i="4"/>
  <c r="S377" i="4"/>
  <c r="T378" i="4"/>
  <c r="S378" i="4"/>
  <c r="T379" i="4"/>
  <c r="S379" i="4"/>
  <c r="T380" i="4"/>
  <c r="S380" i="4"/>
  <c r="T381" i="4"/>
  <c r="S381" i="4"/>
  <c r="T382" i="4"/>
  <c r="S382" i="4"/>
  <c r="T383" i="4"/>
  <c r="S383" i="4"/>
  <c r="T384" i="4"/>
  <c r="S384" i="4"/>
  <c r="T385" i="4"/>
  <c r="S385" i="4"/>
  <c r="T386" i="4"/>
  <c r="S386" i="4"/>
  <c r="T387" i="4"/>
  <c r="S387" i="4"/>
  <c r="T388" i="4"/>
  <c r="S388" i="4"/>
  <c r="T389" i="4"/>
  <c r="S389" i="4"/>
  <c r="T390" i="4"/>
  <c r="S390" i="4"/>
  <c r="T391" i="4"/>
  <c r="S391" i="4"/>
  <c r="T392" i="4"/>
  <c r="S392" i="4"/>
  <c r="T393" i="4"/>
  <c r="S393" i="4"/>
  <c r="T394" i="4"/>
  <c r="S394" i="4"/>
  <c r="T395" i="4"/>
  <c r="S395" i="4"/>
  <c r="T396" i="4"/>
  <c r="S396" i="4"/>
  <c r="T397" i="4"/>
  <c r="S397" i="4"/>
  <c r="T398" i="4"/>
  <c r="S398" i="4"/>
  <c r="T399" i="4"/>
  <c r="S399" i="4"/>
  <c r="T400" i="4"/>
  <c r="S400" i="4"/>
  <c r="T401" i="4"/>
  <c r="S401" i="4"/>
  <c r="T402" i="4"/>
  <c r="S402" i="4"/>
  <c r="T403" i="4"/>
  <c r="S403" i="4"/>
  <c r="T404" i="4"/>
  <c r="S404" i="4"/>
  <c r="T405" i="4"/>
  <c r="S405" i="4"/>
  <c r="T406" i="4"/>
  <c r="S406" i="4"/>
  <c r="T407" i="4"/>
  <c r="S407" i="4"/>
  <c r="T408" i="4"/>
  <c r="S408" i="4"/>
  <c r="T409" i="4"/>
  <c r="S409" i="4"/>
  <c r="T410" i="4"/>
  <c r="S410" i="4"/>
  <c r="T411" i="4"/>
  <c r="S411" i="4"/>
  <c r="T412" i="4"/>
  <c r="S412" i="4"/>
  <c r="T413" i="4"/>
  <c r="S413" i="4"/>
  <c r="T414" i="4"/>
  <c r="S414" i="4"/>
  <c r="T415" i="4"/>
  <c r="S415" i="4"/>
  <c r="T416" i="4"/>
  <c r="S416" i="4"/>
  <c r="T417" i="4"/>
  <c r="S417" i="4"/>
  <c r="T418" i="4"/>
  <c r="S418" i="4"/>
  <c r="T419" i="4"/>
  <c r="S419" i="4"/>
  <c r="T420" i="4"/>
  <c r="S420" i="4"/>
  <c r="T421" i="4"/>
  <c r="S421" i="4"/>
  <c r="T422" i="4"/>
  <c r="S422" i="4"/>
  <c r="T423" i="4"/>
  <c r="S423" i="4"/>
  <c r="T424" i="4"/>
  <c r="S424" i="4"/>
  <c r="T425" i="4"/>
  <c r="S425" i="4"/>
  <c r="T426" i="4"/>
  <c r="S426" i="4"/>
  <c r="T427" i="4"/>
  <c r="S427" i="4"/>
  <c r="T428" i="4"/>
  <c r="S428" i="4"/>
  <c r="T429" i="4"/>
  <c r="S429" i="4"/>
  <c r="T430" i="4"/>
  <c r="S430" i="4"/>
  <c r="T431" i="4"/>
  <c r="S431" i="4"/>
  <c r="T432" i="4"/>
  <c r="S432" i="4"/>
  <c r="T433" i="4"/>
  <c r="S433" i="4"/>
  <c r="T434" i="4"/>
  <c r="S434" i="4"/>
  <c r="T435" i="4"/>
  <c r="S435" i="4"/>
  <c r="T436" i="4"/>
  <c r="S436" i="4"/>
  <c r="T437" i="4"/>
  <c r="S437" i="4"/>
  <c r="T438" i="4"/>
  <c r="S438" i="4"/>
  <c r="T439" i="4"/>
  <c r="S439" i="4"/>
  <c r="T440" i="4"/>
  <c r="S440" i="4"/>
  <c r="T441" i="4"/>
  <c r="S441" i="4"/>
  <c r="T442" i="4"/>
  <c r="S442" i="4"/>
  <c r="T443" i="4"/>
  <c r="S443" i="4"/>
  <c r="T444" i="4"/>
  <c r="S444" i="4"/>
  <c r="T445" i="4"/>
  <c r="S445" i="4"/>
  <c r="T446" i="4"/>
  <c r="S446" i="4"/>
  <c r="T447" i="4"/>
  <c r="S447" i="4"/>
  <c r="T448" i="4"/>
  <c r="S448" i="4"/>
  <c r="T449" i="4"/>
  <c r="S449" i="4"/>
  <c r="T450" i="4"/>
  <c r="S450" i="4"/>
  <c r="T451" i="4"/>
  <c r="S451" i="4"/>
  <c r="T452" i="4"/>
  <c r="S452" i="4"/>
  <c r="T453" i="4"/>
  <c r="S453" i="4"/>
  <c r="T454" i="4"/>
  <c r="S454" i="4"/>
  <c r="T455" i="4"/>
  <c r="S455" i="4"/>
  <c r="T456" i="4"/>
  <c r="S456" i="4"/>
  <c r="T457" i="4"/>
  <c r="S457" i="4"/>
  <c r="T458" i="4"/>
  <c r="S458" i="4"/>
  <c r="T459" i="4"/>
  <c r="S459" i="4"/>
  <c r="T460" i="4"/>
  <c r="S460" i="4"/>
  <c r="T461" i="4"/>
  <c r="S461" i="4"/>
  <c r="T462" i="4"/>
  <c r="S462" i="4"/>
  <c r="T463" i="4"/>
  <c r="S463" i="4"/>
  <c r="T464" i="4"/>
  <c r="S464" i="4"/>
  <c r="T465" i="4"/>
  <c r="S465" i="4"/>
  <c r="T466" i="4"/>
  <c r="S466" i="4"/>
  <c r="T467" i="4"/>
  <c r="S467" i="4"/>
  <c r="T468" i="4"/>
  <c r="S468" i="4"/>
  <c r="T469" i="4"/>
  <c r="S469" i="4"/>
  <c r="T470" i="4"/>
  <c r="S470" i="4"/>
  <c r="T471" i="4"/>
  <c r="S471" i="4"/>
  <c r="T472" i="4"/>
  <c r="S472" i="4"/>
  <c r="T473" i="4"/>
  <c r="S473" i="4"/>
  <c r="T474" i="4"/>
  <c r="S474" i="4"/>
  <c r="T475" i="4"/>
  <c r="S475" i="4"/>
  <c r="T476" i="4"/>
  <c r="S476" i="4"/>
  <c r="T477" i="4"/>
  <c r="S477" i="4"/>
  <c r="T478" i="4"/>
  <c r="S478" i="4"/>
  <c r="T479" i="4"/>
  <c r="S479" i="4"/>
  <c r="T480" i="4"/>
  <c r="S480" i="4"/>
  <c r="T481" i="4"/>
  <c r="S481" i="4"/>
  <c r="T482" i="4"/>
  <c r="S482" i="4"/>
  <c r="T483" i="4"/>
  <c r="S483" i="4"/>
  <c r="T484" i="4"/>
  <c r="S484" i="4"/>
  <c r="T485" i="4"/>
  <c r="S485" i="4"/>
  <c r="T486" i="4"/>
  <c r="S486" i="4"/>
  <c r="T487" i="4"/>
  <c r="S487" i="4"/>
  <c r="T488" i="4"/>
  <c r="S488" i="4"/>
  <c r="T489" i="4"/>
  <c r="S489" i="4"/>
  <c r="T490" i="4"/>
  <c r="S490" i="4"/>
  <c r="T491" i="4"/>
  <c r="S491" i="4"/>
  <c r="T492" i="4"/>
  <c r="S492" i="4"/>
  <c r="T493" i="4"/>
  <c r="S493" i="4"/>
  <c r="T494" i="4"/>
  <c r="S494" i="4"/>
  <c r="T495" i="4"/>
  <c r="S495" i="4"/>
  <c r="T496" i="4"/>
  <c r="S496" i="4"/>
  <c r="T497" i="4"/>
  <c r="S497" i="4"/>
  <c r="T498" i="4"/>
  <c r="S498" i="4"/>
  <c r="T499" i="4"/>
  <c r="S499" i="4"/>
  <c r="T500" i="4"/>
  <c r="S500" i="4"/>
  <c r="T15" i="4"/>
  <c r="S15" i="4"/>
  <c r="T14" i="4"/>
  <c r="S14" i="4"/>
  <c r="T13" i="4"/>
  <c r="S13" i="4"/>
  <c r="T12" i="4"/>
  <c r="S12" i="4"/>
  <c r="T11" i="4"/>
  <c r="S11" i="4"/>
  <c r="T10" i="4"/>
  <c r="S10" i="4"/>
  <c r="T9" i="4"/>
  <c r="S9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<sst xmlns="http://schemas.openxmlformats.org/spreadsheetml/2006/main" count="2687" uniqueCount="349">
  <si>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</si>
  <si>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</si>
  <si>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</si>
  <si>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</si>
  <si>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</si>
  <si>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</si>
  <si>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</si>
  <si>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</si>
  <si>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</si>
  <si>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</si>
  <si>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</si>
  <si>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</si>
  <si>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</si>
  <si>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</si>
  <si>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</si>
  <si>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</si>
  <si>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</si>
  <si>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</si>
  <si>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</si>
  <si>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</si>
  <si>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</si>
  <si>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</si>
  <si>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</si>
  <si>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</si>
  <si>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</si>
  <si>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</si>
  <si>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</si>
  <si>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</si>
  <si>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</si>
  <si>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</si>
  <si>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</si>
  <si>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</si>
  <si>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</si>
  <si>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</si>
  <si>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</si>
  <si>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</si>
  <si>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</si>
  <si>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</si>
  <si>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</si>
  <si>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</si>
  <si>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</si>
  <si>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</si>
  <si>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</si>
  <si>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</si>
  <si>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</si>
  <si>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</si>
  <si>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</si>
  <si>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</si>
  <si>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</si>
  <si>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</si>
  <si>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</si>
  <si>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</si>
  <si>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</si>
  <si>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</si>
  <si>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</si>
  <si>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</si>
  <si>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</si>
  <si>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</si>
  <si>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</si>
  <si>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</si>
  <si>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</si>
  <si>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</si>
  <si>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</si>
  <si>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</si>
  <si>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</si>
  <si>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</si>
  <si>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</si>
  <si>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</si>
  <si>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</si>
  <si>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</si>
  <si>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</si>
  <si>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</si>
  <si>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</si>
  <si>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</si>
  <si>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</si>
  <si>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</si>
  <si>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</si>
  <si>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</si>
  <si>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</si>
  <si>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</si>
  <si>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</si>
  <si>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</si>
  <si>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</si>
  <si>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</si>
  <si>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</si>
  <si>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</si>
  <si>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</si>
  <si>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</si>
  <si>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</si>
  <si>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</si>
  <si>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</si>
  <si>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</si>
  <si>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</si>
  <si>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</si>
  <si>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</si>
  <si>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</si>
  <si>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</si>
  <si>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</si>
  <si>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</si>
  <si>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</si>
  <si>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</si>
  <si>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</si>
  <si>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</si>
  <si>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</si>
  <si>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</si>
  <si>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</si>
  <si>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</si>
  <si>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</si>
  <si>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</si>
  <si>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</si>
  <si>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</si>
  <si>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</si>
  <si>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</si>
  <si>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</si>
  <si>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</si>
  <si>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</si>
  <si>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</si>
  <si>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</si>
  <si>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</si>
  <si>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</si>
  <si>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</si>
  <si>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</si>
  <si>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</si>
  <si>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</si>
  <si>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</si>
  <si>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</si>
  <si>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</si>
  <si>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</si>
  <si>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</si>
  <si>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</si>
  <si>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</si>
  <si>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</si>
  <si>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</si>
  <si>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</si>
  <si>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</si>
  <si>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</si>
  <si>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sent back yesterday</t>
  </si>
  <si>
    <t>RPT_02_Service Regulator Inspection Printout</t>
  </si>
  <si>
    <t>RPT_02_20 Year Regulator Inspection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</si>
  <si>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</si>
  <si>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</si>
  <si>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</si>
  <si>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</si>
  <si>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</si>
  <si>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</si>
  <si>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</si>
  <si>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</si>
  <si>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</si>
  <si>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</si>
  <si>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PBI Dev</t>
  </si>
  <si>
    <t>PI2 - S3</t>
  </si>
  <si>
    <t>[GDMP-2940] GRO Monitor observation - Jira</t>
  </si>
  <si>
    <t>RPT_02_Public Buildings Inspection</t>
  </si>
  <si>
    <t>DB Dev</t>
  </si>
  <si>
    <t>16,17,24, 28</t>
  </si>
  <si>
    <t>August</t>
  </si>
  <si>
    <t>PI2, S2, S4</t>
  </si>
  <si>
    <t>Fixed view - Ready for PBI Validation</t>
  </si>
  <si>
    <t>RPT_02_Investigate Wall Check and Service Check</t>
  </si>
  <si>
    <t>Sarath- waiting for QA view to
deploy PBI report to QA for testing
-,Deployed to QA on 0825</t>
  </si>
  <si>
    <t>RPT_02_Cut Out Orders</t>
  </si>
  <si>
    <t>RPT_02_Gas Trouble</t>
  </si>
  <si>
    <t>PI2, S2, S3</t>
  </si>
  <si>
    <t>RPT_02_Wall Check Control</t>
  </si>
  <si>
    <t>PI2, S3, S4</t>
  </si>
  <si>
    <t>View Slowness observed, Nick to check on it.</t>
  </si>
  <si>
    <t>RPT_02_High Pressure Steel Inside Inspection</t>
  </si>
  <si>
    <t>Ready for Bardia's Review</t>
  </si>
  <si>
    <t>RPT_02_Large Gas Outage</t>
  </si>
  <si>
    <t>RPT_02_Fitting Work</t>
  </si>
  <si>
    <t>RPT_02_Field Collector Report</t>
  </si>
  <si>
    <t>RPT_02_Turn On for Non-Payment</t>
  </si>
  <si>
    <t>Ready For PBI</t>
  </si>
  <si>
    <t>RPT_02_Collector Payment Recap</t>
  </si>
  <si>
    <t>RPT_02_Incentive Management</t>
  </si>
  <si>
    <t>RPT_02_UTC Report</t>
  </si>
  <si>
    <t>September</t>
  </si>
  <si>
    <t>PI2, S5</t>
  </si>
  <si>
    <t>PI2,S6</t>
  </si>
  <si>
    <t>RPT_02_Adjacent Property Checks</t>
  </si>
  <si>
    <t>RPT_02_High Bill Investigations</t>
  </si>
  <si>
    <t>NOT STARTED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</si>
  <si>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</si>
  <si>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</si>
  <si>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</si>
  <si>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</si>
  <si>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</si>
  <si>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</si>
  <si>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</si>
  <si>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</si>
  <si>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</si>
  <si>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</si>
  <si>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</si>
  <si>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Michael</t>
  </si>
  <si>
    <t>PI2,SIP</t>
  </si>
  <si>
    <t>RPT_02_Collection Statistic</t>
  </si>
  <si>
    <t>RPT_02_First and Last Job</t>
  </si>
  <si>
    <t>RPT_02_Rate Class</t>
  </si>
  <si>
    <t>RPT_04_Leak Recheck Times</t>
  </si>
  <si>
    <t>RPT_02_Service Resource Activity</t>
  </si>
  <si>
    <t>October</t>
  </si>
  <si>
    <t>PI3,S1</t>
  </si>
  <si>
    <t>RPT_02_Incomplete Service Appointments</t>
  </si>
  <si>
    <t>PI2, S6</t>
  </si>
  <si>
    <t>RPT_02_Emergency Response Time Review Report</t>
  </si>
  <si>
    <t>RPT_02_Personal Injury and Shock Investigation</t>
  </si>
  <si>
    <t>RPT_02_Emergency Response Statistics</t>
  </si>
  <si>
    <t>RPT_02_Emergency Time Adjustments Log </t>
  </si>
  <si>
    <t>RPT_02_PSC Soft Off Report</t>
  </si>
  <si>
    <t>RPT_02_Service Interruptions</t>
  </si>
  <si>
    <t>RPT_02 Duty to Inspect</t>
  </si>
  <si>
    <t>PI3,S2</t>
  </si>
  <si>
    <t>RPT_02_Service Appointment Life Cycle</t>
  </si>
  <si>
    <t>PI2, SIP</t>
  </si>
  <si>
    <t>RPT_02_PSC Inactive Account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</si>
  <si>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</si>
  <si>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</si>
  <si>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</si>
  <si>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</si>
  <si>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</si>
  <si>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</si>
  <si>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</si>
  <si>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</si>
  <si>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</si>
  <si>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</si>
  <si>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</si>
  <si>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</si>
  <si>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RPT_02_All Jobs</t>
  </si>
  <si>
    <t>PI3, S2</t>
  </si>
  <si>
    <t>RPT_02_BCP Service Appointment WOs</t>
  </si>
  <si>
    <t>RPT_02_Meter Order Tracking</t>
  </si>
  <si>
    <t>RPT_02_Tech Availability, Utilization &amp; Absence</t>
  </si>
  <si>
    <t>PI3,S4</t>
  </si>
  <si>
    <t>RPT_02_Job Productivity</t>
  </si>
  <si>
    <t>RPT_02_Post Capacity Service Appointments</t>
  </si>
  <si>
    <t>RPT_02_Check Estimate</t>
  </si>
  <si>
    <t>RPT_02_Service Appointments (5 sub reports)</t>
  </si>
  <si>
    <t>75,76,77,78,79</t>
  </si>
  <si>
    <t>RPT_02_Job Unit Count</t>
  </si>
  <si>
    <t>Assets and Engineering</t>
  </si>
  <si>
    <t>RPT_05_Department of Transportation</t>
  </si>
  <si>
    <t>December</t>
  </si>
  <si>
    <t>PI3, S3</t>
  </si>
  <si>
    <t>RPT_05_ Inside Meter Relocation</t>
  </si>
  <si>
    <t>PI3,S5</t>
  </si>
  <si>
    <t>RPT_05_Mapped Work Order Information</t>
  </si>
  <si>
    <t>Meter Management</t>
  </si>
  <si>
    <t>RPT_06_Retired Meters</t>
  </si>
  <si>
    <t>RPT_13_Survey Book</t>
  </si>
  <si>
    <t>RPT_05_Leak Survey Mains Summary</t>
  </si>
  <si>
    <t>RPT_13_Customer Service Point</t>
  </si>
  <si>
    <t>RPT_02_Emergency Operation Checklist</t>
  </si>
  <si>
    <t>PI3, S4</t>
  </si>
  <si>
    <t>RPT_06_ERT List</t>
  </si>
  <si>
    <t>PI3,S6</t>
  </si>
  <si>
    <t>RPT_13_Blue Card</t>
  </si>
  <si>
    <t>RPT_06_Out of Route Meters Gas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</si>
  <si>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</si>
  <si>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</si>
  <si>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</si>
  <si>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</si>
  <si>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</si>
  <si>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</si>
  <si>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</si>
  <si>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</si>
  <si>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</si>
  <si>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</si>
  <si>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</si>
  <si>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</si>
  <si>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</si>
  <si>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</si>
  <si>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</si>
  <si>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</si>
  <si>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</si>
  <si>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</si>
  <si>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</si>
  <si>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</si>
  <si>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</si>
  <si>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</si>
  <si>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</si>
  <si>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</si>
  <si>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</si>
  <si>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</si>
  <si>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</si>
  <si>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</si>
  <si>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</si>
  <si>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</si>
  <si>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</si>
  <si>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</si>
  <si>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</si>
  <si>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</si>
  <si>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</si>
  <si>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</si>
  <si>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</si>
  <si>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</si>
  <si>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</si>
  <si>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</si>
  <si>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</si>
  <si>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</si>
  <si>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</si>
  <si>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</si>
  <si>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</si>
  <si>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</si>
  <si>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</si>
  <si>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</si>
  <si>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</si>
  <si>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</si>
  <si>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</si>
  <si>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</si>
  <si>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</si>
  <si>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</si>
  <si>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</si>
  <si>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</si>
  <si>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</si>
  <si>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</si>
  <si>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</si>
  <si>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</si>
  <si>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</si>
  <si>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</si>
  <si>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</si>
  <si>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</si>
  <si>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</si>
  <si>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</si>
  <si>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</si>
  <si>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</si>
  <si>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</si>
  <si>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</si>
  <si>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</si>
  <si>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</si>
  <si>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</si>
  <si>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</si>
  <si>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</si>
  <si>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</si>
  <si>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</si>
  <si>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</si>
  <si>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</si>
  <si>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</si>
  <si>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</si>
  <si>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</si>
  <si>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hybrid</t>
  </si>
  <si>
    <t>Yes – needs DB Dev to fix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</si>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</sst>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91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3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L115" dataDxfId="52">
  <autoFilter ref="A1:AL115" xr:uid="{00000000-0009-0000-0100-000001000000}"/>
  <tableColumns count="38">
    <tableColumn id="1" xr3:uid="{00000000-0010-0000-0000-000001000000}" name="Domain" dataDxfId="51"/>
    <tableColumn id="2" xr3:uid="{00000000-0010-0000-0000-000002000000}" name="Report Name" dataDxfId="50"/>
    <tableColumn id="3" xr3:uid="{00000000-0010-0000-0000-000003000000}" name="Current Status  (Update next stage after completion date)" dataDxfId="49"/>
    <tableColumn id="4" xr3:uid="{00000000-0010-0000-0000-000004000000}" name="Status Flag" dataDxfId="48"/>
    <tableColumn id="5" xr3:uid="{00000000-0010-0000-0000-000005000000}" name="Business Value Rank" dataDxfId="47"/>
    <tableColumn id="6" xr3:uid="{00000000-0010-0000-0000-000006000000}" name="PO" dataDxfId="46"/>
    <tableColumn id="10" xr3:uid="{00000000-0010-0000-0000-00000A000000}" name="Schema" dataDxfId="45"/>
    <tableColumn id="11" xr3:uid="{00000000-0010-0000-0000-00000B000000}" name="Plan Delivery Date" dataDxfId="44"/>
    <tableColumn id="12" xr3:uid="{00000000-0010-0000-0000-00000C000000}" name="Plan Delivery Month" dataDxfId="43"/>
    <tableColumn id="7" xr3:uid="{00000000-0010-0000-0000-000007000000}" name="DB Developer" dataDxfId="42"/>
    <tableColumn id="13" xr3:uid="{00000000-0010-0000-0000-00000D000000}" name="DB Dev Baseline Completion Date" dataDxfId="41"/>
    <tableColumn id="30" xr3:uid="{00000000-0010-0000-0000-00001E000000}" name="DB Dev Reforecast Completion Date" dataDxfId="40"/>
    <tableColumn id="14" xr3:uid="{00000000-0010-0000-0000-00000E000000}" name="DB Dev Actual Completion Date" dataDxfId="39"/>
    <tableColumn id="35" xr3:uid="{1A518B0C-8D73-4DAB-8F10-7B4DFF037343}" name="Build Source" dataDxfId="38"/>
    <tableColumn id="28" xr3:uid="{EFCDFAEE-1B00-42CE-9649-7541F5DDC136}" name="Sprint DB" dataDxfId="37"/>
    <tableColumn id="8" xr3:uid="{00000000-0010-0000-0000-000008000000}" name="PBI Developer" dataDxfId="36"/>
    <tableColumn id="15" xr3:uid="{00000000-0010-0000-0000-00000F000000}" name="PBI Dev Baseline Completion Date" dataDxfId="35"/>
    <tableColumn id="31" xr3:uid="{00000000-0010-0000-0000-00001F000000}" name="PBI Dev Reforecast Completion Date" dataDxfId="34"/>
    <tableColumn id="16" xr3:uid="{00000000-0010-0000-0000-000010000000}" name="PBI Dev Actual Completion Date" dataDxfId="33"/>
    <tableColumn id="29" xr3:uid="{4630D178-9B47-4360-A40B-22C7384DB9C9}" name="Sprint PBI" dataDxfId="32"/>
    <tableColumn id="9" xr3:uid="{00000000-0010-0000-0000-000009000000}" name="QA Tester" dataDxfId="31"/>
    <tableColumn id="17" xr3:uid="{00000000-0010-0000-0000-000011000000}" name="QA Baseline Completion Date" dataDxfId="30"/>
    <tableColumn id="32" xr3:uid="{00000000-0010-0000-0000-000020000000}" name="QA Reforecast Completion Date" dataDxfId="29"/>
    <tableColumn id="18" xr3:uid="{00000000-0010-0000-0000-000012000000}" name="QA Actual Completion Date" dataDxfId="28"/>
    <tableColumn id="34" xr3:uid="{70C5E8CB-08B0-4A84-9B68-89630FC3C5C7}" name="Sprint QA" dataDxfId="27"/>
    <tableColumn id="19" xr3:uid="{00000000-0010-0000-0000-000013000000}" name="DPO Approval Baseline Completion Date" dataDxfId="26"/>
    <tableColumn id="33" xr3:uid="{00000000-0010-0000-0000-000021000000}" name="DPO Approval Reforecast Completion Date" dataDxfId="25"/>
    <tableColumn id="36" xr3:uid="{86D482BF-E7A4-45A2-B2F5-CA0223EBDDD1}" name="DPO Approval Completion Date" dataDxfId="24"/>
    <tableColumn id="20" xr3:uid="{00000000-0010-0000-0000-000014000000}" name="DPO Approval Reviewer" dataDxfId="23"/>
    <tableColumn id="21" xr3:uid="{00000000-0010-0000-0000-000015000000}" name="Confirmed Deployed?" dataDxfId="22"/>
    <tableColumn id="22" xr3:uid="{00000000-0010-0000-0000-000016000000}" name="Confirmed Deployed Date" dataDxfId="21"/>
    <tableColumn id="23" xr3:uid="{00000000-0010-0000-0000-000017000000}" name="UAT Report URL" dataDxfId="20"/>
    <tableColumn id="24" xr3:uid="{00000000-0010-0000-0000-000018000000}" name="Production URL" dataDxfId="19"/>
    <tableColumn id="25" xr3:uid="{00000000-0010-0000-0000-000019000000}" name="Blocked?" dataDxfId="18"/>
    <tableColumn id="26" xr3:uid="{00000000-0010-0000-0000-00001A000000}" name="Data Check" dataDxfId="17"/>
    <tableColumn id="27" xr3:uid="{00000000-0010-0000-0000-00001B000000}" name="Comments" dataDxfId="16"/>
    <tableColumn id="37" xr3:uid="{80A8E094-8F50-434A-A9E3-195269D50436}" name="QA Rework Due_x0009_DPO Rework Due" dataDxfId="15">
      <calculatedColumnFormula array="1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4">
      <calculatedColumnFormula array="1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L526"/>
  <sheetViews>
    <sheetView tabSelected="1" zoomScale="80" zoomScaleNormal="80" workbookViewId="0">
      <pane xSplit="2" topLeftCell="J1" activePane="topRight" state="frozen"/>
      <selection pane="topRight" activeCell="M39" sqref="M39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29" width="42" customWidth="1"/>
    <col min="31" max="31" width="15" bestFit="1" customWidth="1"/>
    <col min="35" max="35" width="36.28515625" customWidth="1"/>
    <col min="36" max="36" width="45.7109375" customWidth="1"/>
    <col min="38" max="38" width="9.28515625" bestFit="1" customWidth="1"/>
  </cols>
  <sheetData>
    <row r="1" spans="1:38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23" t="s">
        <v>29</v>
      </c>
      <c r="AE1" s="19" t="s">
        <v>30</v>
      </c>
      <c r="AF1" s="24" t="s">
        <v>31</v>
      </c>
      <c r="AG1" s="20" t="s">
        <v>32</v>
      </c>
      <c r="AH1" s="25" t="s">
        <v>33</v>
      </c>
      <c r="AI1" s="26" t="s">
        <v>34</v>
      </c>
      <c r="AJ1" s="27" t="s">
        <v>35</v>
      </c>
      <c r="AK1" t="s">
        <v>36</v>
      </c>
      <c r="AL1" t="s">
        <v>37</v>
      </c>
    </row>
    <row r="2" spans="1:38" ht="14.45">
      <c r="A2" s="33" t="s">
        <v>38</v>
      </c>
      <c r="B2" s="33" t="s">
        <v>39</v>
      </c>
      <c r="C2" s="33" t="s">
        <v>40</v>
      </c>
      <c r="D2" t="str" cm="1">
        <f t="array" aca="1" ref="D2" ca="1">IF($B2="","",IF(LEFT($AH2,3)="Yes","Blocked - "&amp;MID($AH2,7,100)&amp;IF(SUMPRODUCT(('Rework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track")),IF(C2="QA",_xlfn.LET(_xlpm.tgt,IF(AK2&lt;&gt;"",AK2,IF(W2&lt;&gt;"",W2,V2)),_xlpm.sent,_xlfn.MAXIFS('Rework Log'!$B$3:$B$500,'Rework Log'!$A$3:$A$500,$B2,'Rework Log'!$C$3:$C$500,"QA"),_xlpm.act,IF(AND(X2&lt;&gt;"",X2&gt;_xlpm.sent),X2,""),IF(_xlpm.tgt="","No target set",IF(AND(_xlpm.tgt&lt;TODAY(),_xlpm.act=""),"Overdue","On track"))),IF(C2="DPO Approval",_xlfn.LET(_xlpm.tgt,IF(AL2&lt;&gt;"",AL2,IF(AA2&lt;&gt;"",AA2,Z2)),_xlpm.sent,_xlfn.MAXIFS('Rework Log'!$B$3:$B$500,'Rework Log'!$A$3:$A$500,$B2,'Rework Log'!$C$3:$C$500,"DPO*"),_xlpm.act,IF(AND(AB2&lt;&gt;"",AB2&gt;_xlpm.sent),AB2,""),IF(_xlpm.tgt="","No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41</v>
      </c>
      <c r="J2" s="33" t="s">
        <v>42</v>
      </c>
      <c r="K2" s="4">
        <v>46122</v>
      </c>
      <c r="L2" s="36"/>
      <c r="M2" s="36">
        <v>46115</v>
      </c>
      <c r="N2" s="36" t="s">
        <v>43</v>
      </c>
      <c r="O2" s="36"/>
      <c r="P2" s="64" t="s">
        <v>44</v>
      </c>
      <c r="Q2" s="4">
        <v>46129</v>
      </c>
      <c r="R2" s="36"/>
      <c r="S2" s="36">
        <v>46114</v>
      </c>
      <c r="T2" s="70"/>
      <c r="U2" s="33" t="s">
        <v>45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46</v>
      </c>
      <c r="AD2" s="38" t="s">
        <v>47</v>
      </c>
      <c r="AE2" s="36">
        <v>46122</v>
      </c>
      <c r="AF2" s="39" t="s">
        <v>48</v>
      </c>
      <c r="AG2" s="33" t="s">
        <v>49</v>
      </c>
      <c r="AH2" s="40" t="s">
        <v>50</v>
      </c>
      <c r="AI2" s="74" t="str">
        <f>IF($B2="","",IF(AND(LEFT($AH2,3)="Yes",SUMPRODUCT(('Rework Log'!$A$3:$A$500=$B2)*('Rework Log'!$G$3:$G$500&lt;&gt;"Yes")*('Rework Log'!$G$3:$G$500&lt;&gt;"Did not pass re-test"))=0),"Blocked - log it on Rework Log",IF(AND(LEFT($AH2,3)&lt;&gt;"Yes",SUMPRODUCT(('Rework Log'!$A$3:$A$500=$B2)*('Rework Log'!$G$3:$G$500&lt;&gt;"Yes")*('Rework Log'!$G$3:$G$500&lt;&gt;"Did not pass re-test"))&gt;0),"Open rework row - mark Blocked? or close it",IF(AND($AH2="Yes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H)",IF(AND($AH2="Yes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H)",IF(AND($AH2="Yes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target",IF(AND(AE2&lt;&gt;"",Z2&lt;&gt;"",AE2&lt;Z2),"Confirmed Deployed date is before DPO Approval target",""))))))))))))</f>
        <v>Confirmed Deployed date is before DPO Approval target</v>
      </c>
      <c r="AJ2" s="41" t="s">
        <v>51</v>
      </c>
      <c r="AK2" s="31" t="str" cm="1">
        <f t="array" ref="AK2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" s="31" t="str" cm="1">
        <f t="array" ref="AL2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" spans="1:38" ht="14.45">
      <c r="A3" s="33" t="s">
        <v>38</v>
      </c>
      <c r="B3" s="33" t="s">
        <v>52</v>
      </c>
      <c r="C3" s="33" t="s">
        <v>40</v>
      </c>
      <c r="D3" t="str" cm="1">
        <f t="array" aca="1" ref="D3" ca="1">IF($B3="","",IF(LEFT($AH3,3)="Yes","Blocked - "&amp;MID($AH3,7,100)&amp;IF(SUMPRODUCT(('Rework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track")),IF(C3="QA",_xlfn.LET(_xlpm.tgt,IF(AK3&lt;&gt;"",AK3,IF(W3&lt;&gt;"",W3,V3)),_xlpm.sent,_xlfn.MAXIFS('Rework Log'!$B$3:$B$500,'Rework Log'!$A$3:$A$500,$B3,'Rework Log'!$C$3:$C$500,"QA"),_xlpm.act,IF(AND(X3&lt;&gt;"",X3&gt;_xlpm.sent),X3,""),IF(_xlpm.tgt="","No target set",IF(AND(_xlpm.tgt&lt;TODAY(),_xlpm.act=""),"Overdue","On track"))),IF(C3="DPO Approval",_xlfn.LET(_xlpm.tgt,IF(AL3&lt;&gt;"",AL3,IF(AA3&lt;&gt;"",AA3,Z3)),_xlpm.sent,_xlfn.MAXIFS('Rework Log'!$B$3:$B$500,'Rework Log'!$A$3:$A$500,$B3,'Rework Log'!$C$3:$C$500,"DPO*"),_xlpm.act,IF(AND(AB3&lt;&gt;"",AB3&gt;_xlpm.sent),AB3,""),IF(_xlpm.tgt="","No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41</v>
      </c>
      <c r="J3" s="33" t="s">
        <v>42</v>
      </c>
      <c r="K3" s="4">
        <v>46122</v>
      </c>
      <c r="L3" s="36"/>
      <c r="M3" s="36">
        <v>46115</v>
      </c>
      <c r="N3" s="36" t="s">
        <v>43</v>
      </c>
      <c r="O3" s="36"/>
      <c r="P3" s="64" t="s">
        <v>44</v>
      </c>
      <c r="Q3" s="4">
        <v>46129</v>
      </c>
      <c r="R3" s="36"/>
      <c r="S3" s="36">
        <v>46114</v>
      </c>
      <c r="T3" s="70"/>
      <c r="U3" s="33" t="s">
        <v>45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46</v>
      </c>
      <c r="AD3" s="38" t="s">
        <v>47</v>
      </c>
      <c r="AE3" s="36">
        <v>46122</v>
      </c>
      <c r="AF3" s="39" t="s">
        <v>53</v>
      </c>
      <c r="AG3" s="33" t="s">
        <v>54</v>
      </c>
      <c r="AH3" s="40" t="s">
        <v>50</v>
      </c>
      <c r="AI3" s="74" t="e">
        <f>IF($B3="","",IF(AND(LEFT($AH3,3)="Yes",SUMPRODUCT(('Rework Log'!$A$3:$A$500=$B3)*('Rework Log'!$G$3:$G$500&lt;&gt;"Yes")*('Rework Log'!$G$3:$G$500&lt;&gt;"Did not pass re-test"))=0),"Blocked - log it on Rework Log",IF(AND(LEFT($AH3,3)&lt;&gt;"Yes",SUMPRODUCT(('Rework Log'!$A$3:$A$500=$B3)*('Rework Log'!$G$3:$G$500&lt;&gt;"Yes")*('Rework Log'!$G$3:$G$500&lt;&gt;"Did not pass re-test"))&gt;0),"Open rework row - mark Blocked? or close it",IF(AND($AH3="Yes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H)",IF(AND($AH3="Yes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H)",IF(AND($AH3="Yes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target",IF(AND(AE3&lt;&gt;"",#REF!&lt;&gt;"",AE3&lt;#REF!),"Confirmed Deployed date is before DPO Approval target",""))))))))))))</f>
        <v>#REF!</v>
      </c>
      <c r="AJ3" s="41" t="s">
        <v>51</v>
      </c>
      <c r="AK3" s="31" t="str" cm="1">
        <f t="array" ref="AK3">_xlfn.LET(_xlpm.rep,$B3,_xlpm.sent,_xlfn.MAXIFS('Rework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3" s="31" t="str" cm="1">
        <f t="array" ref="AL3">_xlfn.LET(_xlpm.rep,$B3,_xlpm.sent,_xlfn.MAXIFS('Rework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" spans="1:38" ht="14.45">
      <c r="A4" s="33" t="s">
        <v>38</v>
      </c>
      <c r="B4" s="33" t="s">
        <v>55</v>
      </c>
      <c r="C4" s="33" t="s">
        <v>40</v>
      </c>
      <c r="D4" t="str" cm="1">
        <f t="array" aca="1" ref="D4" ca="1">IF($B4="","",IF(LEFT($AH4,3)="Yes","Blocked - "&amp;MID($AH4,7,100)&amp;IF(SUMPRODUCT(('Rework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track")),IF(C4="QA",_xlfn.LET(_xlpm.tgt,IF(AK4&lt;&gt;"",AK4,IF(W4&lt;&gt;"",W4,V4)),_xlpm.sent,_xlfn.MAXIFS('Rework Log'!$B$3:$B$500,'Rework Log'!$A$3:$A$500,$B4,'Rework Log'!$C$3:$C$500,"QA"),_xlpm.act,IF(AND(X4&lt;&gt;"",X4&gt;_xlpm.sent),X4,""),IF(_xlpm.tgt="","No target set",IF(AND(_xlpm.tgt&lt;TODAY(),_xlpm.act=""),"Overdue","On track"))),IF(C4="DPO Approval",_xlfn.LET(_xlpm.tgt,IF(AL4&lt;&gt;"",AL4,IF(AA4&lt;&gt;"",AA4,Z4)),_xlpm.sent,_xlfn.MAXIFS('Rework Log'!$B$3:$B$500,'Rework Log'!$A$3:$A$500,$B4,'Rework Log'!$C$3:$C$500,"DPO*"),_xlpm.act,IF(AND(AB4&lt;&gt;"",AB4&gt;_xlpm.sent),AB4,""),IF(_xlpm.tgt="","No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41</v>
      </c>
      <c r="J4" s="33" t="s">
        <v>56</v>
      </c>
      <c r="K4" s="4">
        <v>46122</v>
      </c>
      <c r="L4" s="36"/>
      <c r="M4" s="36">
        <v>46115</v>
      </c>
      <c r="N4" s="36" t="s">
        <v>43</v>
      </c>
      <c r="O4" s="36"/>
      <c r="P4" s="64" t="s">
        <v>57</v>
      </c>
      <c r="Q4" s="4">
        <v>46129</v>
      </c>
      <c r="R4" s="36"/>
      <c r="S4" s="36">
        <v>46126</v>
      </c>
      <c r="T4" s="70"/>
      <c r="U4" s="33" t="s">
        <v>45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46</v>
      </c>
      <c r="AD4" s="38" t="s">
        <v>47</v>
      </c>
      <c r="AE4" s="36">
        <v>46122</v>
      </c>
      <c r="AF4" s="39" t="s">
        <v>58</v>
      </c>
      <c r="AG4" s="33" t="s">
        <v>59</v>
      </c>
      <c r="AH4" s="40" t="s">
        <v>50</v>
      </c>
      <c r="AI4" s="74" t="str">
        <f>IF($B4="","",IF(AND(LEFT($AH4,3)="Yes",SUMPRODUCT(('Rework Log'!$A$3:$A$500=$B4)*('Rework Log'!$G$3:$G$500&lt;&gt;"Yes")*('Rework Log'!$G$3:$G$500&lt;&gt;"Did not pass re-test"))=0),"Blocked - log it on Rework Log",IF(AND(LEFT($AH4,3)&lt;&gt;"Yes",SUMPRODUCT(('Rework Log'!$A$3:$A$500=$B4)*('Rework Log'!$G$3:$G$500&lt;&gt;"Yes")*('Rework Log'!$G$3:$G$500&lt;&gt;"Did not pass re-test"))&gt;0),"Open rework row - mark Blocked? or close it",IF(AND($AH4="Yes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H)",IF(AND($AH4="Yes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H)",IF(AND($AH4="Yes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target",IF(AND(AE4&lt;&gt;"",Z4&lt;&gt;"",AE4&lt;Z4),"Confirmed Deployed date is before DPO Approval target",""))))))))))))</f>
        <v>Confirmed Deployed date is before DPO Approval target</v>
      </c>
      <c r="AJ4" s="41" t="s">
        <v>60</v>
      </c>
      <c r="AK4" s="31" t="str" cm="1">
        <f t="array" ref="AK4">_xlfn.LET(_xlpm.rep,$B4,_xlpm.sent,_xlfn.MAXIFS('Rework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" s="31" t="str" cm="1">
        <f t="array" ref="AL4">_xlfn.LET(_xlpm.rep,$B4,_xlpm.sent,_xlfn.MAXIFS('Rework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" spans="1:38" ht="14.45">
      <c r="A5" s="33" t="s">
        <v>38</v>
      </c>
      <c r="B5" s="33" t="s">
        <v>61</v>
      </c>
      <c r="C5" s="33" t="s">
        <v>40</v>
      </c>
      <c r="D5" t="str" cm="1">
        <f t="array" aca="1" ref="D5" ca="1">IF($B5="","",IF(LEFT($AH5,3)="Yes","Blocked - "&amp;MID($AH5,7,100)&amp;IF(SUMPRODUCT(('Rework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track")),IF(C5="QA",_xlfn.LET(_xlpm.tgt,IF(AK5&lt;&gt;"",AK5,IF(W5&lt;&gt;"",W5,V5)),_xlpm.sent,_xlfn.MAXIFS('Rework Log'!$B$3:$B$500,'Rework Log'!$A$3:$A$500,$B5,'Rework Log'!$C$3:$C$500,"QA"),_xlpm.act,IF(AND(X5&lt;&gt;"",X5&gt;_xlpm.sent),X5,""),IF(_xlpm.tgt="","No target set",IF(AND(_xlpm.tgt&lt;TODAY(),_xlpm.act=""),"Overdue","On track"))),IF(C5="DPO Approval",_xlfn.LET(_xlpm.tgt,IF(AL5&lt;&gt;"",AL5,IF(AA5&lt;&gt;"",AA5,Z5)),_xlpm.sent,_xlfn.MAXIFS('Rework Log'!$B$3:$B$500,'Rework Log'!$A$3:$A$500,$B5,'Rework Log'!$C$3:$C$500,"DPO*"),_xlpm.act,IF(AND(AB5&lt;&gt;"",AB5&gt;_xlpm.sent),AB5,""),IF(_xlpm.tgt="","No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41</v>
      </c>
      <c r="J5" s="33" t="s">
        <v>62</v>
      </c>
      <c r="K5" s="4">
        <v>46122</v>
      </c>
      <c r="L5" s="36"/>
      <c r="M5" s="36">
        <v>46115</v>
      </c>
      <c r="N5" s="36" t="s">
        <v>43</v>
      </c>
      <c r="O5" s="36"/>
      <c r="P5" s="64" t="s">
        <v>44</v>
      </c>
      <c r="Q5" s="4">
        <v>46129</v>
      </c>
      <c r="R5" s="36"/>
      <c r="S5" s="36">
        <v>46120</v>
      </c>
      <c r="T5" s="70"/>
      <c r="U5" s="33" t="s">
        <v>45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46</v>
      </c>
      <c r="AD5" s="38" t="s">
        <v>47</v>
      </c>
      <c r="AE5" s="36">
        <v>46122</v>
      </c>
      <c r="AF5" s="39" t="s">
        <v>63</v>
      </c>
      <c r="AG5" s="33" t="s">
        <v>64</v>
      </c>
      <c r="AH5" s="40" t="s">
        <v>50</v>
      </c>
      <c r="AI5" s="74" t="str">
        <f>IF($B5="","",IF(AND(LEFT($AH5,3)="Yes",SUMPRODUCT(('Rework Log'!$A$3:$A$500=$B5)*('Rework Log'!$G$3:$G$500&lt;&gt;"Yes")*('Rework Log'!$G$3:$G$500&lt;&gt;"Did not pass re-test"))=0),"Blocked - log it on Rework Log",IF(AND(LEFT($AH5,3)&lt;&gt;"Yes",SUMPRODUCT(('Rework Log'!$A$3:$A$500=$B5)*('Rework Log'!$G$3:$G$500&lt;&gt;"Yes")*('Rework Log'!$G$3:$G$500&lt;&gt;"Did not pass re-test"))&gt;0),"Open rework row - mark Blocked? or close it",IF(AND($AH5="Yes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H)",IF(AND($AH5="Yes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H)",IF(AND($AH5="Yes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target",IF(AND(AE5&lt;&gt;"",Z5&lt;&gt;"",AE5&lt;Z5),"Confirmed Deployed date is before DPO Approval target",""))))))))))))</f>
        <v>Confirmed Deployed date is before DPO Approval target</v>
      </c>
      <c r="AJ5" s="41" t="s">
        <v>65</v>
      </c>
      <c r="AK5" s="31" t="str" cm="1">
        <f t="array" ref="AK5">_xlfn.LET(_xlpm.rep,$B5,_xlpm.sent,_xlfn.MAXIFS('Rework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" s="31" t="str" cm="1">
        <f t="array" ref="AL5">_xlfn.LET(_xlpm.rep,$B5,_xlpm.sent,_xlfn.MAXIFS('Rework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" spans="1:38" ht="14.45">
      <c r="A6" s="33" t="s">
        <v>38</v>
      </c>
      <c r="B6" s="33" t="s">
        <v>66</v>
      </c>
      <c r="C6" s="33" t="s">
        <v>40</v>
      </c>
      <c r="D6" t="str" cm="1">
        <f t="array" aca="1" ref="D6" ca="1">IF($B6="","",IF(LEFT($AH6,3)="Yes","Blocked - "&amp;MID($AH6,7,100)&amp;IF(SUMPRODUCT(('Rework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track")),IF(C6="QA",_xlfn.LET(_xlpm.tgt,IF(AK6&lt;&gt;"",AK6,IF(W6&lt;&gt;"",W6,V6)),_xlpm.sent,_xlfn.MAXIFS('Rework Log'!$B$3:$B$500,'Rework Log'!$A$3:$A$500,$B6,'Rework Log'!$C$3:$C$500,"QA"),_xlpm.act,IF(AND(X6&lt;&gt;"",X6&gt;_xlpm.sent),X6,""),IF(_xlpm.tgt="","No target set",IF(AND(_xlpm.tgt&lt;TODAY(),_xlpm.act=""),"Overdue","On track"))),IF(C6="DPO Approval",_xlfn.LET(_xlpm.tgt,IF(AL6&lt;&gt;"",AL6,IF(AA6&lt;&gt;"",AA6,Z6)),_xlpm.sent,_xlfn.MAXIFS('Rework Log'!$B$3:$B$500,'Rework Log'!$A$3:$A$500,$B6,'Rework Log'!$C$3:$C$500,"DPO*"),_xlpm.act,IF(AND(AB6&lt;&gt;"",AB6&gt;_xlpm.sent),AB6,""),IF(_xlpm.tgt="","No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41</v>
      </c>
      <c r="J6" s="33"/>
      <c r="K6" s="4"/>
      <c r="L6" s="47"/>
      <c r="M6" s="36"/>
      <c r="N6" s="36" t="s">
        <v>43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46</v>
      </c>
      <c r="AD6" s="38" t="s">
        <v>47</v>
      </c>
      <c r="AE6" s="36">
        <v>46142</v>
      </c>
      <c r="AF6" s="39"/>
      <c r="AG6" s="33"/>
      <c r="AH6" s="40"/>
      <c r="AI6" s="48"/>
      <c r="AJ6" s="41"/>
      <c r="AK6" s="31" t="str" cm="1">
        <f t="array" ref="AK6">_xlfn.LET(_xlpm.rep,$B6,_xlpm.sent,_xlfn.MAXIFS('Rework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" s="31" t="str" cm="1">
        <f t="array" ref="AL6">_xlfn.LET(_xlpm.rep,$B6,_xlpm.sent,_xlfn.MAXIFS('Rework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" spans="1:38" ht="14.45">
      <c r="A7" s="33" t="s">
        <v>38</v>
      </c>
      <c r="B7" s="33" t="s">
        <v>67</v>
      </c>
      <c r="C7" s="33" t="s">
        <v>40</v>
      </c>
      <c r="D7" t="str" cm="1">
        <f t="array" aca="1" ref="D7" ca="1">IF($B7="","",IF(LEFT($AH7,3)="Yes","Blocked - "&amp;MID($AH7,7,100)&amp;IF(SUMPRODUCT(('Rework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track")),IF(C7="QA",_xlfn.LET(_xlpm.tgt,IF(AK7&lt;&gt;"",AK7,IF(W7&lt;&gt;"",W7,V7)),_xlpm.sent,_xlfn.MAXIFS('Rework Log'!$B$3:$B$500,'Rework Log'!$A$3:$A$500,$B7,'Rework Log'!$C$3:$C$500,"QA"),_xlpm.act,IF(AND(X7&lt;&gt;"",X7&gt;_xlpm.sent),X7,""),IF(_xlpm.tgt="","No target set",IF(AND(_xlpm.tgt&lt;TODAY(),_xlpm.act=""),"Overdue","On track"))),IF(C7="DPO Approval",_xlfn.LET(_xlpm.tgt,IF(AL7&lt;&gt;"",AL7,IF(AA7&lt;&gt;"",AA7,Z7)),_xlpm.sent,_xlfn.MAXIFS('Rework Log'!$B$3:$B$500,'Rework Log'!$A$3:$A$500,$B7,'Rework Log'!$C$3:$C$500,"DPO*"),_xlpm.act,IF(AND(AB7&lt;&gt;"",AB7&gt;_xlpm.sent),AB7,""),IF(_xlpm.tgt="","No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41</v>
      </c>
      <c r="J7" s="33"/>
      <c r="K7" s="4"/>
      <c r="L7" s="47"/>
      <c r="M7" s="36"/>
      <c r="N7" s="36" t="s">
        <v>43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46</v>
      </c>
      <c r="AD7" s="38" t="s">
        <v>47</v>
      </c>
      <c r="AE7" s="36">
        <v>46142</v>
      </c>
      <c r="AF7" s="39"/>
      <c r="AG7" s="33"/>
      <c r="AH7" s="40"/>
      <c r="AI7" s="48"/>
      <c r="AJ7" s="41"/>
      <c r="AK7" s="31" t="str" cm="1">
        <f t="array" ref="AK7">_xlfn.LET(_xlpm.rep,$B7,_xlpm.sent,_xlfn.MAXIFS('Rework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" s="31" t="str" cm="1">
        <f t="array" ref="AL7">_xlfn.LET(_xlpm.rep,$B7,_xlpm.sent,_xlfn.MAXIFS('Rework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" spans="1:38" ht="14.45">
      <c r="A8" s="33" t="s">
        <v>38</v>
      </c>
      <c r="B8" s="33" t="s">
        <v>68</v>
      </c>
      <c r="C8" s="33" t="s">
        <v>40</v>
      </c>
      <c r="D8" t="str" cm="1">
        <f t="array" aca="1" ref="D8" ca="1">IF($B8="","",IF(LEFT($AH8,3)="Yes","Blocked - "&amp;MID($AH8,7,100)&amp;IF(SUMPRODUCT(('Rework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track")),IF(C8="QA",_xlfn.LET(_xlpm.tgt,IF(AK8&lt;&gt;"",AK8,IF(W8&lt;&gt;"",W8,V8)),_xlpm.sent,_xlfn.MAXIFS('Rework Log'!$B$3:$B$500,'Rework Log'!$A$3:$A$500,$B8,'Rework Log'!$C$3:$C$500,"QA"),_xlpm.act,IF(AND(X8&lt;&gt;"",X8&gt;_xlpm.sent),X8,""),IF(_xlpm.tgt="","No target set",IF(AND(_xlpm.tgt&lt;TODAY(),_xlpm.act=""),"Overdue","On track"))),IF(C8="DPO Approval",_xlfn.LET(_xlpm.tgt,IF(AL8&lt;&gt;"",AL8,IF(AA8&lt;&gt;"",AA8,Z8)),_xlpm.sent,_xlfn.MAXIFS('Rework Log'!$B$3:$B$500,'Rework Log'!$A$3:$A$500,$B8,'Rework Log'!$C$3:$C$500,"DPO*"),_xlpm.act,IF(AND(AB8&lt;&gt;"",AB8&gt;_xlpm.sent),AB8,""),IF(_xlpm.tgt="","No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41</v>
      </c>
      <c r="J8" s="33"/>
      <c r="K8" s="4"/>
      <c r="L8" s="47"/>
      <c r="M8" s="36"/>
      <c r="N8" s="36" t="s">
        <v>43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46</v>
      </c>
      <c r="AD8" s="38" t="s">
        <v>47</v>
      </c>
      <c r="AE8" s="36">
        <v>46142</v>
      </c>
      <c r="AF8" s="39"/>
      <c r="AG8" s="33"/>
      <c r="AH8" s="40"/>
      <c r="AI8" s="48"/>
      <c r="AJ8" s="41"/>
      <c r="AK8" s="31" t="str" cm="1">
        <f t="array" ref="AK8">_xlfn.LET(_xlpm.rep,$B8,_xlpm.sent,_xlfn.MAXIFS('Rework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" s="31" t="str" cm="1">
        <f t="array" ref="AL8">_xlfn.LET(_xlpm.rep,$B8,_xlpm.sent,_xlfn.MAXIFS('Rework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" spans="1:38" ht="14.45">
      <c r="A9" s="33" t="s">
        <v>38</v>
      </c>
      <c r="B9" s="33" t="s">
        <v>69</v>
      </c>
      <c r="C9" s="33" t="s">
        <v>40</v>
      </c>
      <c r="D9" t="str" cm="1">
        <f t="array" aca="1" ref="D9" ca="1">IF($B9="","",IF(LEFT($AH9,3)="Yes","Blocked - "&amp;MID($AH9,7,100)&amp;IF(SUMPRODUCT(('Rework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track")),IF(C9="QA",_xlfn.LET(_xlpm.tgt,IF(AK9&lt;&gt;"",AK9,IF(W9&lt;&gt;"",W9,V9)),_xlpm.sent,_xlfn.MAXIFS('Rework Log'!$B$3:$B$500,'Rework Log'!$A$3:$A$500,$B9,'Rework Log'!$C$3:$C$500,"QA"),_xlpm.act,IF(AND(X9&lt;&gt;"",X9&gt;_xlpm.sent),X9,""),IF(_xlpm.tgt="","No target set",IF(AND(_xlpm.tgt&lt;TODAY(),_xlpm.act=""),"Overdue","On track"))),IF(C9="DPO Approval",_xlfn.LET(_xlpm.tgt,IF(AL9&lt;&gt;"",AL9,IF(AA9&lt;&gt;"",AA9,Z9)),_xlpm.sent,_xlfn.MAXIFS('Rework Log'!$B$3:$B$500,'Rework Log'!$A$3:$A$500,$B9,'Rework Log'!$C$3:$C$500,"DPO*"),_xlpm.act,IF(AND(AB9&lt;&gt;"",AB9&gt;_xlpm.sent),AB9,""),IF(_xlpm.tgt="","No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41</v>
      </c>
      <c r="J9" s="33"/>
      <c r="K9" s="4"/>
      <c r="L9" s="47"/>
      <c r="M9" s="36"/>
      <c r="N9" s="36" t="s">
        <v>43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46</v>
      </c>
      <c r="AD9" s="38" t="s">
        <v>47</v>
      </c>
      <c r="AE9" s="36">
        <v>46142</v>
      </c>
      <c r="AF9" s="39"/>
      <c r="AG9" s="33"/>
      <c r="AH9" s="40"/>
      <c r="AI9" s="48"/>
      <c r="AJ9" s="41"/>
      <c r="AK9" s="31" t="str" cm="1">
        <f t="array" ref="AK9">_xlfn.LET(_xlpm.rep,$B9,_xlpm.sent,_xlfn.MAXIFS('Rework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" s="31" t="str" cm="1">
        <f t="array" ref="AL9">_xlfn.LET(_xlpm.rep,$B9,_xlpm.sent,_xlfn.MAXIFS('Rework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" spans="1:38" ht="14.45">
      <c r="A10" s="33" t="s">
        <v>38</v>
      </c>
      <c r="B10" s="33" t="s">
        <v>70</v>
      </c>
      <c r="C10" s="33" t="s">
        <v>40</v>
      </c>
      <c r="D10" t="str" cm="1">
        <f t="array" aca="1" ref="D10" ca="1">IF($B10="","",IF(LEFT($AH10,3)="Yes","Blocked - "&amp;MID($AH10,7,100)&amp;IF(SUMPRODUCT(('Rework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track")),IF(C10="QA",_xlfn.LET(_xlpm.tgt,IF(AK10&lt;&gt;"",AK10,IF(W10&lt;&gt;"",W10,V10)),_xlpm.sent,_xlfn.MAXIFS('Rework Log'!$B$3:$B$500,'Rework Log'!$A$3:$A$500,$B10,'Rework Log'!$C$3:$C$500,"QA"),_xlpm.act,IF(AND(X10&lt;&gt;"",X10&gt;_xlpm.sent),X10,""),IF(_xlpm.tgt="","No target set",IF(AND(_xlpm.tgt&lt;TODAY(),_xlpm.act=""),"Overdue","On track"))),IF(C10="DPO Approval",_xlfn.LET(_xlpm.tgt,IF(AL10&lt;&gt;"",AL10,IF(AA10&lt;&gt;"",AA10,Z10)),_xlpm.sent,_xlfn.MAXIFS('Rework Log'!$B$3:$B$500,'Rework Log'!$A$3:$A$500,$B10,'Rework Log'!$C$3:$C$500,"DPO*"),_xlpm.act,IF(AND(AB10&lt;&gt;"",AB10&gt;_xlpm.sent),AB10,""),IF(_xlpm.tgt="","No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71</v>
      </c>
      <c r="J10" s="33" t="s">
        <v>72</v>
      </c>
      <c r="K10" s="4">
        <v>46150</v>
      </c>
      <c r="L10" s="36"/>
      <c r="M10" s="36">
        <v>46157</v>
      </c>
      <c r="N10" s="36" t="s">
        <v>43</v>
      </c>
      <c r="O10" s="36"/>
      <c r="P10" s="64" t="s">
        <v>73</v>
      </c>
      <c r="Q10" s="4">
        <v>46157</v>
      </c>
      <c r="R10" s="36"/>
      <c r="S10" s="36">
        <v>46134</v>
      </c>
      <c r="T10" s="70"/>
      <c r="U10" s="33" t="s">
        <v>45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46</v>
      </c>
      <c r="AD10" s="38" t="s">
        <v>47</v>
      </c>
      <c r="AE10" s="36">
        <v>46134</v>
      </c>
      <c r="AF10" s="39" t="s">
        <v>74</v>
      </c>
      <c r="AG10" s="33" t="s">
        <v>75</v>
      </c>
      <c r="AH10" s="40" t="s">
        <v>50</v>
      </c>
      <c r="AI10" s="74" t="str">
        <f>IF($B10="","",IF(AND(LEFT($AH10,3)="Yes",SUMPRODUCT(('Rework Log'!$A$3:$A$500=$B10)*('Rework Log'!$G$3:$G$500&lt;&gt;"Yes")*('Rework Log'!$G$3:$G$500&lt;&gt;"Did not pass re-test"))=0),"Blocked - log it on Rework Log",IF(AND(LEFT($AH10,3)&lt;&gt;"Yes",SUMPRODUCT(('Rework Log'!$A$3:$A$500=$B10)*('Rework Log'!$G$3:$G$500&lt;&gt;"Yes")*('Rework Log'!$G$3:$G$500&lt;&gt;"Did not pass re-test"))&gt;0),"Open rework row - mark Blocked? or close it",IF(AND($AH10="Yes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H)",IF(AND($AH10="Yes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H)",IF(AND($AH10="Yes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target",IF(AND(AE10&lt;&gt;"",Z10&lt;&gt;"",AE10&lt;Z10),"Confirmed Deployed date is before DPO Approval target",""))))))))))))</f>
        <v>Confirmed Deployed date is before DPO Approval target</v>
      </c>
      <c r="AJ10" s="41"/>
      <c r="AK10" s="31" t="str" cm="1">
        <f t="array" ref="AK10">_xlfn.LET(_xlpm.rep,$B10,_xlpm.sent,_xlfn.MAXIFS('Rework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" s="31" t="str" cm="1">
        <f t="array" ref="AL10">_xlfn.LET(_xlpm.rep,$B10,_xlpm.sent,_xlfn.MAXIFS('Rework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" spans="1:38" ht="14.45">
      <c r="A11" s="33" t="s">
        <v>38</v>
      </c>
      <c r="B11" s="33" t="s">
        <v>76</v>
      </c>
      <c r="C11" s="33" t="s">
        <v>40</v>
      </c>
      <c r="D11" t="str" cm="1">
        <f t="array" aca="1" ref="D11" ca="1">IF($B11="","",IF(LEFT($AH11,3)="Yes","Blocked - "&amp;MID($AH11,7,100)&amp;IF(SUMPRODUCT(('Rework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track")),IF(C11="QA",_xlfn.LET(_xlpm.tgt,IF(AK11&lt;&gt;"",AK11,IF(W11&lt;&gt;"",W11,V11)),_xlpm.sent,_xlfn.MAXIFS('Rework Log'!$B$3:$B$500,'Rework Log'!$A$3:$A$500,$B11,'Rework Log'!$C$3:$C$500,"QA"),_xlpm.act,IF(AND(X11&lt;&gt;"",X11&gt;_xlpm.sent),X11,""),IF(_xlpm.tgt="","No target set",IF(AND(_xlpm.tgt&lt;TODAY(),_xlpm.act=""),"Overdue","On track"))),IF(C11="DPO Approval",_xlfn.LET(_xlpm.tgt,IF(AL11&lt;&gt;"",AL11,IF(AA11&lt;&gt;"",AA11,Z11)),_xlpm.sent,_xlfn.MAXIFS('Rework Log'!$B$3:$B$500,'Rework Log'!$A$3:$A$500,$B11,'Rework Log'!$C$3:$C$500,"DPO*"),_xlpm.act,IF(AND(AB11&lt;&gt;"",AB11&gt;_xlpm.sent),AB11,""),IF(_xlpm.tgt="","No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71</v>
      </c>
      <c r="J11" s="33" t="s">
        <v>56</v>
      </c>
      <c r="K11" s="4">
        <v>46150</v>
      </c>
      <c r="L11" s="36"/>
      <c r="M11" s="36">
        <v>46157</v>
      </c>
      <c r="N11" s="36" t="s">
        <v>43</v>
      </c>
      <c r="O11" s="36"/>
      <c r="P11" s="65" t="s">
        <v>73</v>
      </c>
      <c r="Q11" s="4">
        <v>46157</v>
      </c>
      <c r="R11" s="36"/>
      <c r="S11" s="36">
        <v>46139</v>
      </c>
      <c r="T11" s="70"/>
      <c r="U11" s="33" t="s">
        <v>45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46</v>
      </c>
      <c r="AD11" s="38" t="s">
        <v>47</v>
      </c>
      <c r="AE11" s="36">
        <v>46139</v>
      </c>
      <c r="AF11" s="39" t="s">
        <v>77</v>
      </c>
      <c r="AG11" s="33" t="s">
        <v>78</v>
      </c>
      <c r="AH11" s="40" t="s">
        <v>50</v>
      </c>
      <c r="AI11" s="74" t="str">
        <f>IF($B11="","",IF(AND(LEFT($AH11,3)="Yes",SUMPRODUCT(('Rework Log'!$A$3:$A$500=$B11)*('Rework Log'!$G$3:$G$500&lt;&gt;"Yes")*('Rework Log'!$G$3:$G$500&lt;&gt;"Did not pass re-test"))=0),"Blocked - log it on Rework Log",IF(AND(LEFT($AH11,3)&lt;&gt;"Yes",SUMPRODUCT(('Rework Log'!$A$3:$A$500=$B11)*('Rework Log'!$G$3:$G$500&lt;&gt;"Yes")*('Rework Log'!$G$3:$G$500&lt;&gt;"Did not pass re-test"))&gt;0),"Open rework row - mark Blocked? or close it",IF(AND($AH11="Yes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H)",IF(AND($AH11="Yes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H)",IF(AND($AH11="Yes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target",IF(AND(AE11&lt;&gt;"",Z11&lt;&gt;"",AE11&lt;Z11),"Confirmed Deployed date is before DPO Approval target",""))))))))))))</f>
        <v>Confirmed Deployed date is before DPO Approval target</v>
      </c>
      <c r="AJ11" s="41"/>
      <c r="AK11" s="31" t="str" cm="1">
        <f t="array" ref="AK11">_xlfn.LET(_xlpm.rep,$B11,_xlpm.sent,_xlfn.MAXIFS('Rework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" s="31" t="str" cm="1">
        <f t="array" ref="AL11">_xlfn.LET(_xlpm.rep,$B11,_xlpm.sent,_xlfn.MAXIFS('Rework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2" spans="1:38" ht="14.45">
      <c r="A12" s="33" t="s">
        <v>38</v>
      </c>
      <c r="B12" s="33" t="s">
        <v>79</v>
      </c>
      <c r="C12" s="33" t="s">
        <v>40</v>
      </c>
      <c r="D12" t="str" cm="1">
        <f t="array" aca="1" ref="D12" ca="1">IF($B12="","",IF(LEFT($AH12,3)="Yes","Blocked - "&amp;MID($AH12,7,100)&amp;IF(SUMPRODUCT(('Rework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track")),IF(C12="QA",_xlfn.LET(_xlpm.tgt,IF(AK12&lt;&gt;"",AK12,IF(W12&lt;&gt;"",W12,V12)),_xlpm.sent,_xlfn.MAXIFS('Rework Log'!$B$3:$B$500,'Rework Log'!$A$3:$A$500,$B12,'Rework Log'!$C$3:$C$500,"QA"),_xlpm.act,IF(AND(X12&lt;&gt;"",X12&gt;_xlpm.sent),X12,""),IF(_xlpm.tgt="","No target set",IF(AND(_xlpm.tgt&lt;TODAY(),_xlpm.act=""),"Overdue","On track"))),IF(C12="DPO Approval",_xlfn.LET(_xlpm.tgt,IF(AL12&lt;&gt;"",AL12,IF(AA12&lt;&gt;"",AA12,Z12)),_xlpm.sent,_xlfn.MAXIFS('Rework Log'!$B$3:$B$500,'Rework Log'!$A$3:$A$500,$B12,'Rework Log'!$C$3:$C$500,"DPO*"),_xlpm.act,IF(AND(AB12&lt;&gt;"",AB12&gt;_xlpm.sent),AB12,""),IF(_xlpm.tgt="","No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71</v>
      </c>
      <c r="J12" s="33" t="s">
        <v>80</v>
      </c>
      <c r="K12" s="4">
        <v>46150</v>
      </c>
      <c r="L12" s="36"/>
      <c r="M12" s="36">
        <v>46157</v>
      </c>
      <c r="N12" s="36" t="s">
        <v>43</v>
      </c>
      <c r="O12" s="36"/>
      <c r="P12" s="64" t="s">
        <v>57</v>
      </c>
      <c r="Q12" s="4">
        <v>46157</v>
      </c>
      <c r="R12" s="36"/>
      <c r="S12" s="36">
        <v>46147</v>
      </c>
      <c r="T12" s="70"/>
      <c r="U12" s="33" t="s">
        <v>45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46</v>
      </c>
      <c r="AD12" s="38" t="s">
        <v>47</v>
      </c>
      <c r="AE12" s="36">
        <v>46147</v>
      </c>
      <c r="AF12" s="39" t="s">
        <v>81</v>
      </c>
      <c r="AG12" s="33" t="s">
        <v>82</v>
      </c>
      <c r="AH12" s="40" t="s">
        <v>50</v>
      </c>
      <c r="AI12" s="74" t="str">
        <f>IF($B12="","",IF(AND(LEFT($AH12,3)="Yes",SUMPRODUCT(('Rework Log'!$A$3:$A$500=$B12)*('Rework Log'!$G$3:$G$500&lt;&gt;"Yes")*('Rework Log'!$G$3:$G$500&lt;&gt;"Did not pass re-test"))=0),"Blocked - log it on Rework Log",IF(AND(LEFT($AH12,3)&lt;&gt;"Yes",SUMPRODUCT(('Rework Log'!$A$3:$A$500=$B12)*('Rework Log'!$G$3:$G$500&lt;&gt;"Yes")*('Rework Log'!$G$3:$G$500&lt;&gt;"Did not pass re-test"))&gt;0),"Open rework row - mark Blocked? or close it",IF(AND($AH12="Yes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H)",IF(AND($AH12="Yes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H)",IF(AND($AH12="Yes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target",IF(AND(AE12&lt;&gt;"",Z12&lt;&gt;"",AE12&lt;Z12),"Confirmed Deployed date is before DPO Approval target",""))))))))))))</f>
        <v>Confirmed Deployed date is before DPO Approval target</v>
      </c>
      <c r="AJ12" s="41"/>
      <c r="AK12" s="31" t="str" cm="1">
        <f t="array" ref="AK12">_xlfn.LET(_xlpm.rep,$B12,_xlpm.sent,_xlfn.MAXIFS('Rework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2" s="31" t="str" cm="1">
        <f t="array" ref="AL12">_xlfn.LET(_xlpm.rep,$B12,_xlpm.sent,_xlfn.MAXIFS('Rework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3" spans="1:38" ht="14.45">
      <c r="A13" s="33" t="s">
        <v>38</v>
      </c>
      <c r="B13" s="33" t="s">
        <v>83</v>
      </c>
      <c r="C13" s="33" t="s">
        <v>40</v>
      </c>
      <c r="D13" t="str" cm="1">
        <f t="array" aca="1" ref="D13" ca="1">IF($B13="","",IF(LEFT($AH13,3)="Yes","Blocked - "&amp;MID($AH13,7,100)&amp;IF(SUMPRODUCT(('Rework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track")),IF(C13="QA",_xlfn.LET(_xlpm.tgt,IF(AK13&lt;&gt;"",AK13,IF(W13&lt;&gt;"",W13,V13)),_xlpm.sent,_xlfn.MAXIFS('Rework Log'!$B$3:$B$500,'Rework Log'!$A$3:$A$500,$B13,'Rework Log'!$C$3:$C$500,"QA"),_xlpm.act,IF(AND(X13&lt;&gt;"",X13&gt;_xlpm.sent),X13,""),IF(_xlpm.tgt="","No target set",IF(AND(_xlpm.tgt&lt;TODAY(),_xlpm.act=""),"Overdue","On track"))),IF(C13="DPO Approval",_xlfn.LET(_xlpm.tgt,IF(AL13&lt;&gt;"",AL13,IF(AA13&lt;&gt;"",AA13,Z13)),_xlpm.sent,_xlfn.MAXIFS('Rework Log'!$B$3:$B$500,'Rework Log'!$A$3:$A$500,$B13,'Rework Log'!$C$3:$C$500,"DPO*"),_xlpm.act,IF(AND(AB13&lt;&gt;"",AB13&gt;_xlpm.sent),AB13,""),IF(_xlpm.tgt="","No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71</v>
      </c>
      <c r="J13" s="33" t="s">
        <v>80</v>
      </c>
      <c r="K13" s="4">
        <v>46150</v>
      </c>
      <c r="L13" s="36"/>
      <c r="M13" s="36">
        <v>46157</v>
      </c>
      <c r="N13" s="36" t="s">
        <v>43</v>
      </c>
      <c r="O13" s="36"/>
      <c r="P13" s="64" t="s">
        <v>44</v>
      </c>
      <c r="Q13" s="4">
        <v>46157</v>
      </c>
      <c r="R13" s="36"/>
      <c r="S13" s="36">
        <v>46175</v>
      </c>
      <c r="T13" s="70"/>
      <c r="U13" s="33" t="s">
        <v>84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46</v>
      </c>
      <c r="AD13" s="38" t="s">
        <v>47</v>
      </c>
      <c r="AE13" s="36">
        <v>46179</v>
      </c>
      <c r="AF13" s="39" t="s">
        <v>85</v>
      </c>
      <c r="AG13" s="33"/>
      <c r="AH13" s="40" t="s">
        <v>50</v>
      </c>
      <c r="AI13" s="74" t="str">
        <f>IF($B13="","",IF(AND(LEFT($AH13,3)="Yes",SUMPRODUCT(('Rework Log'!$A$3:$A$500=$B13)*('Rework Log'!$G$3:$G$500&lt;&gt;"Yes")*('Rework Log'!$G$3:$G$500&lt;&gt;"Did not pass re-test"))=0),"Blocked - log it on Rework Log",IF(AND(LEFT($AH13,3)&lt;&gt;"Yes",SUMPRODUCT(('Rework Log'!$A$3:$A$500=$B13)*('Rework Log'!$G$3:$G$500&lt;&gt;"Yes")*('Rework Log'!$G$3:$G$500&lt;&gt;"Did not pass re-test"))&gt;0),"Open rework row - mark Blocked? or close it",IF(AND($AH13="Yes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H)",IF(AND($AH13="Yes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H)",IF(AND($AH13="Yes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target",IF(AND(AE13&lt;&gt;"",Z13&lt;&gt;"",AE13&lt;Z13),"Confirmed Deployed date is before DPO Approval target",""))))))))))))</f>
        <v/>
      </c>
      <c r="AJ13" s="41"/>
      <c r="AK13" s="31" t="str" cm="1">
        <f t="array" ref="AK13">_xlfn.LET(_xlpm.rep,$B13,_xlpm.sent,_xlfn.MAXIFS('Rework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3" s="31" t="str" cm="1">
        <f t="array" ref="AL13">_xlfn.LET(_xlpm.rep,$B13,_xlpm.sent,_xlfn.MAXIFS('Rework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4" spans="1:38" ht="14.45">
      <c r="A14" s="33" t="s">
        <v>38</v>
      </c>
      <c r="B14" s="33" t="s">
        <v>86</v>
      </c>
      <c r="C14" s="33" t="s">
        <v>40</v>
      </c>
      <c r="D14" t="str" cm="1">
        <f t="array" aca="1" ref="D14" ca="1">IF($B14="","",IF(LEFT($AH14,3)="Yes","Blocked - "&amp;MID($AH14,7,100)&amp;IF(SUMPRODUCT(('Rework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track")),IF(C14="QA",_xlfn.LET(_xlpm.tgt,IF(AK14&lt;&gt;"",AK14,IF(W14&lt;&gt;"",W14,V14)),_xlpm.sent,_xlfn.MAXIFS('Rework Log'!$B$3:$B$500,'Rework Log'!$A$3:$A$500,$B14,'Rework Log'!$C$3:$C$500,"QA"),_xlpm.act,IF(AND(X14&lt;&gt;"",X14&gt;_xlpm.sent),X14,""),IF(_xlpm.tgt="","No target set",IF(AND(_xlpm.tgt&lt;TODAY(),_xlpm.act=""),"Overdue","On track"))),IF(C14="DPO Approval",_xlfn.LET(_xlpm.tgt,IF(AL14&lt;&gt;"",AL14,IF(AA14&lt;&gt;"",AA14,Z14)),_xlpm.sent,_xlfn.MAXIFS('Rework Log'!$B$3:$B$500,'Rework Log'!$A$3:$A$500,$B14,'Rework Log'!$C$3:$C$500,"DPO*"),_xlpm.act,IF(AND(AB14&lt;&gt;"",AB14&gt;_xlpm.sent),AB14,""),IF(_xlpm.tgt="","No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71</v>
      </c>
      <c r="J14" s="33" t="s">
        <v>42</v>
      </c>
      <c r="K14" s="4">
        <v>46150</v>
      </c>
      <c r="L14" s="36"/>
      <c r="M14" s="36">
        <v>46157</v>
      </c>
      <c r="N14" s="36" t="s">
        <v>43</v>
      </c>
      <c r="O14" s="36"/>
      <c r="P14" s="64" t="s">
        <v>57</v>
      </c>
      <c r="Q14" s="4">
        <v>46157</v>
      </c>
      <c r="R14" s="36"/>
      <c r="S14" s="36">
        <v>46143</v>
      </c>
      <c r="T14" s="70"/>
      <c r="U14" s="33" t="s">
        <v>84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46</v>
      </c>
      <c r="AD14" s="38" t="s">
        <v>47</v>
      </c>
      <c r="AE14" s="36">
        <v>46184</v>
      </c>
      <c r="AF14" s="39" t="s">
        <v>87</v>
      </c>
      <c r="AG14" s="33" t="s">
        <v>88</v>
      </c>
      <c r="AH14" s="40" t="s">
        <v>50</v>
      </c>
      <c r="AI14" s="74" t="str">
        <f>IF($B14="","",IF(AND(LEFT($AH14,3)="Yes",SUMPRODUCT(('Rework Log'!$A$3:$A$500=$B14)*('Rework Log'!$G$3:$G$500&lt;&gt;"Yes")*('Rework Log'!$G$3:$G$500&lt;&gt;"Did not pass re-test"))=0),"Blocked - log it on Rework Log",IF(AND(LEFT($AH14,3)&lt;&gt;"Yes",SUMPRODUCT(('Rework Log'!$A$3:$A$500=$B14)*('Rework Log'!$G$3:$G$500&lt;&gt;"Yes")*('Rework Log'!$G$3:$G$500&lt;&gt;"Did not pass re-test"))&gt;0),"Open rework row - mark Blocked? or close it",IF(AND($AH14="Yes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H)",IF(AND($AH14="Yes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H)",IF(AND($AH14="Yes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target",IF(AND(AE14&lt;&gt;"",Z14&lt;&gt;"",AE14&lt;Z14),"Confirmed Deployed date is before DPO Approval target",""))))))))))))</f>
        <v/>
      </c>
      <c r="AJ14" s="41"/>
      <c r="AK14" s="31" t="str" cm="1">
        <f t="array" ref="AK14">_xlfn.LET(_xlpm.rep,$B14,_xlpm.sent,_xlfn.MAXIFS('Rework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4" s="31" t="str" cm="1">
        <f t="array" ref="AL14">_xlfn.LET(_xlpm.rep,$B14,_xlpm.sent,_xlfn.MAXIFS('Rework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5" spans="1:38" ht="14.45">
      <c r="A15" s="33" t="s">
        <v>38</v>
      </c>
      <c r="B15" s="33" t="s">
        <v>89</v>
      </c>
      <c r="C15" s="33" t="s">
        <v>40</v>
      </c>
      <c r="D15" t="str" cm="1">
        <f t="array" aca="1" ref="D15" ca="1">IF($B15="","",IF(LEFT($AH15,3)="Yes","Blocked - "&amp;MID($AH15,7,100)&amp;IF(SUMPRODUCT(('Rework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track")),IF(C15="QA",_xlfn.LET(_xlpm.tgt,IF(AK15&lt;&gt;"",AK15,IF(W15&lt;&gt;"",W15,V15)),_xlpm.sent,_xlfn.MAXIFS('Rework Log'!$B$3:$B$500,'Rework Log'!$A$3:$A$500,$B15,'Rework Log'!$C$3:$C$500,"QA"),_xlpm.act,IF(AND(X15&lt;&gt;"",X15&gt;_xlpm.sent),X15,""),IF(_xlpm.tgt="","No target set",IF(AND(_xlpm.tgt&lt;TODAY(),_xlpm.act=""),"Overdue","On track"))),IF(C15="DPO Approval",_xlfn.LET(_xlpm.tgt,IF(AL15&lt;&gt;"",AL15,IF(AA15&lt;&gt;"",AA15,Z15)),_xlpm.sent,_xlfn.MAXIFS('Rework Log'!$B$3:$B$500,'Rework Log'!$A$3:$A$500,$B15,'Rework Log'!$C$3:$C$500,"DPO*"),_xlpm.act,IF(AND(AB15&lt;&gt;"",AB15&gt;_xlpm.sent),AB15,""),IF(_xlpm.tgt="","No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71</v>
      </c>
      <c r="J15" s="33" t="s">
        <v>42</v>
      </c>
      <c r="K15" s="4">
        <v>46150</v>
      </c>
      <c r="L15" s="36"/>
      <c r="M15" s="36">
        <v>46157</v>
      </c>
      <c r="N15" s="36" t="s">
        <v>43</v>
      </c>
      <c r="O15" s="36"/>
      <c r="P15" s="64" t="s">
        <v>73</v>
      </c>
      <c r="Q15" s="4">
        <v>46157</v>
      </c>
      <c r="R15" s="36"/>
      <c r="S15" s="36">
        <v>46178</v>
      </c>
      <c r="T15" s="70"/>
      <c r="U15" s="33" t="s">
        <v>45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46</v>
      </c>
      <c r="AD15" s="38" t="s">
        <v>47</v>
      </c>
      <c r="AE15" s="36">
        <v>46192</v>
      </c>
      <c r="AF15" s="39" t="s">
        <v>90</v>
      </c>
      <c r="AG15" s="33"/>
      <c r="AH15" s="40" t="s">
        <v>50</v>
      </c>
      <c r="AI15" s="74" t="str">
        <f>IF($B15="","",IF(AND(LEFT($AH15,3)="Yes",SUMPRODUCT(('Rework Log'!$A$3:$A$500=$B15)*('Rework Log'!$G$3:$G$500&lt;&gt;"Yes")*('Rework Log'!$G$3:$G$500&lt;&gt;"Did not pass re-test"))=0),"Blocked - log it on Rework Log",IF(AND(LEFT($AH15,3)&lt;&gt;"Yes",SUMPRODUCT(('Rework Log'!$A$3:$A$500=$B15)*('Rework Log'!$G$3:$G$500&lt;&gt;"Yes")*('Rework Log'!$G$3:$G$500&lt;&gt;"Did not pass re-test"))&gt;0),"Open rework row - mark Blocked? or close it",IF(AND($AH15="Yes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H)",IF(AND($AH15="Yes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H)",IF(AND($AH15="Yes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target",IF(AND(AE15&lt;&gt;"",Z15&lt;&gt;"",AE15&lt;Z15),"Confirmed Deployed date is before DPO Approval target",""))))))))))))</f>
        <v/>
      </c>
      <c r="AJ15" s="41" t="s">
        <v>91</v>
      </c>
      <c r="AK15" s="31" t="str" cm="1">
        <f t="array" ref="AK15">_xlfn.LET(_xlpm.rep,$B15,_xlpm.sent,_xlfn.MAXIFS('Rework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5" s="31" t="str" cm="1">
        <f t="array" ref="AL15">_xlfn.LET(_xlpm.rep,$B15,_xlpm.sent,_xlfn.MAXIFS('Rework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6" spans="1:38" ht="14.45">
      <c r="A16" s="33" t="s">
        <v>38</v>
      </c>
      <c r="B16" s="33" t="s">
        <v>92</v>
      </c>
      <c r="C16" s="33" t="s">
        <v>40</v>
      </c>
      <c r="D16" t="str" cm="1">
        <f t="array" aca="1" ref="D16" ca="1">IF($B16="","",IF(LEFT($AH16,3)="Yes","Blocked - "&amp;MID($AH16,7,100)&amp;IF(SUMPRODUCT(('Rework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track")),IF(C16="QA",_xlfn.LET(_xlpm.tgt,IF(AK16&lt;&gt;"",AK16,IF(W16&lt;&gt;"",W16,V16)),_xlpm.sent,_xlfn.MAXIFS('Rework Log'!$B$3:$B$500,'Rework Log'!$A$3:$A$500,$B16,'Rework Log'!$C$3:$C$500,"QA"),_xlpm.act,IF(AND(X16&lt;&gt;"",X16&gt;_xlpm.sent),X16,""),IF(_xlpm.tgt="","No target set",IF(AND(_xlpm.tgt&lt;TODAY(),_xlpm.act=""),"Overdue","On track"))),IF(C16="DPO Approval",_xlfn.LET(_xlpm.tgt,IF(AL16&lt;&gt;"",AL16,IF(AA16&lt;&gt;"",AA16,Z16)),_xlpm.sent,_xlfn.MAXIFS('Rework Log'!$B$3:$B$500,'Rework Log'!$A$3:$A$500,$B16,'Rework Log'!$C$3:$C$500,"DPO*"),_xlpm.act,IF(AND(AB16&lt;&gt;"",AB16&gt;_xlpm.sent),AB16,""),IF(_xlpm.tgt="","No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71</v>
      </c>
      <c r="J16" s="33"/>
      <c r="K16" s="4"/>
      <c r="L16" s="43"/>
      <c r="M16" s="36"/>
      <c r="N16" s="36" t="s">
        <v>43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46</v>
      </c>
      <c r="AD16" s="38" t="s">
        <v>47</v>
      </c>
      <c r="AE16" s="36">
        <v>46203</v>
      </c>
      <c r="AF16" s="39"/>
      <c r="AG16" s="33"/>
      <c r="AH16" s="40"/>
      <c r="AI16" s="48"/>
      <c r="AJ16" s="41"/>
      <c r="AK16" s="31" t="str" cm="1">
        <f t="array" ref="AK16">_xlfn.LET(_xlpm.rep,$B16,_xlpm.sent,_xlfn.MAXIFS('Rework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6" s="31" t="str" cm="1">
        <f t="array" ref="AL16">_xlfn.LET(_xlpm.rep,$B16,_xlpm.sent,_xlfn.MAXIFS('Rework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7" spans="1:38" ht="14.45">
      <c r="A17" s="33" t="s">
        <v>38</v>
      </c>
      <c r="B17" s="33" t="s">
        <v>93</v>
      </c>
      <c r="C17" s="33" t="s">
        <v>40</v>
      </c>
      <c r="D17" t="str" cm="1">
        <f t="array" aca="1" ref="D17" ca="1">IF($B17="","",IF(LEFT($AH17,3)="Yes","Blocked - "&amp;MID($AH17,7,100)&amp;IF(SUMPRODUCT(('Rework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track")),IF(C17="QA",_xlfn.LET(_xlpm.tgt,IF(AK17&lt;&gt;"",AK17,IF(W17&lt;&gt;"",W17,V17)),_xlpm.sent,_xlfn.MAXIFS('Rework Log'!$B$3:$B$500,'Rework Log'!$A$3:$A$500,$B17,'Rework Log'!$C$3:$C$500,"QA"),_xlpm.act,IF(AND(X17&lt;&gt;"",X17&gt;_xlpm.sent),X17,""),IF(_xlpm.tgt="","No target set",IF(AND(_xlpm.tgt&lt;TODAY(),_xlpm.act=""),"Overdue","On track"))),IF(C17="DPO Approval",_xlfn.LET(_xlpm.tgt,IF(AL17&lt;&gt;"",AL17,IF(AA17&lt;&gt;"",AA17,Z17)),_xlpm.sent,_xlfn.MAXIFS('Rework Log'!$B$3:$B$500,'Rework Log'!$A$3:$A$500,$B17,'Rework Log'!$C$3:$C$500,"DPO*"),_xlpm.act,IF(AND(AB17&lt;&gt;"",AB17&gt;_xlpm.sent),AB17,""),IF(_xlpm.tgt="","No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71</v>
      </c>
      <c r="J17" s="33"/>
      <c r="K17" s="4"/>
      <c r="L17" s="43"/>
      <c r="M17" s="36"/>
      <c r="N17" s="36" t="s">
        <v>43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46</v>
      </c>
      <c r="AD17" s="38" t="s">
        <v>47</v>
      </c>
      <c r="AE17" s="36">
        <v>46203</v>
      </c>
      <c r="AF17" s="39"/>
      <c r="AG17" s="33"/>
      <c r="AH17" s="40"/>
      <c r="AI17" s="48"/>
      <c r="AJ17" s="41"/>
      <c r="AK17" s="31" t="str" cm="1">
        <f t="array" ref="AK17">_xlfn.LET(_xlpm.rep,$B17,_xlpm.sent,_xlfn.MAXIFS('Rework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7" s="31" t="str" cm="1">
        <f t="array" ref="AL17">_xlfn.LET(_xlpm.rep,$B17,_xlpm.sent,_xlfn.MAXIFS('Rework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8" spans="1:38" ht="14.45">
      <c r="A18" s="33" t="s">
        <v>38</v>
      </c>
      <c r="B18" s="33" t="s">
        <v>94</v>
      </c>
      <c r="C18" s="33" t="s">
        <v>40</v>
      </c>
      <c r="D18" t="str" cm="1">
        <f t="array" aca="1" ref="D18" ca="1">IF($B18="","",IF(LEFT($AH18,3)="Yes","Blocked - "&amp;MID($AH18,7,100)&amp;IF(SUMPRODUCT(('Rework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track")),IF(C18="QA",_xlfn.LET(_xlpm.tgt,IF(AK18&lt;&gt;"",AK18,IF(W18&lt;&gt;"",W18,V18)),_xlpm.sent,_xlfn.MAXIFS('Rework Log'!$B$3:$B$500,'Rework Log'!$A$3:$A$500,$B18,'Rework Log'!$C$3:$C$500,"QA"),_xlpm.act,IF(AND(X18&lt;&gt;"",X18&gt;_xlpm.sent),X18,""),IF(_xlpm.tgt="","No target set",IF(AND(_xlpm.tgt&lt;TODAY(),_xlpm.act=""),"Overdue","On track"))),IF(C18="DPO Approval",_xlfn.LET(_xlpm.tgt,IF(AL18&lt;&gt;"",AL18,IF(AA18&lt;&gt;"",AA18,Z18)),_xlpm.sent,_xlfn.MAXIFS('Rework Log'!$B$3:$B$500,'Rework Log'!$A$3:$A$500,$B18,'Rework Log'!$C$3:$C$500,"DPO*"),_xlpm.act,IF(AND(AB18&lt;&gt;"",AB18&gt;_xlpm.sent),AB18,""),IF(_xlpm.tgt="","No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71</v>
      </c>
      <c r="J18" s="33"/>
      <c r="K18" s="4"/>
      <c r="L18" s="43"/>
      <c r="M18" s="36"/>
      <c r="N18" s="36" t="s">
        <v>43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46</v>
      </c>
      <c r="AD18" s="38" t="s">
        <v>47</v>
      </c>
      <c r="AE18" s="36">
        <v>46203</v>
      </c>
      <c r="AF18" s="39"/>
      <c r="AG18" s="33"/>
      <c r="AH18" s="40"/>
      <c r="AI18" s="48"/>
      <c r="AJ18" s="41"/>
      <c r="AK18" s="31" t="str" cm="1">
        <f t="array" ref="AK18">_xlfn.LET(_xlpm.rep,$B18,_xlpm.sent,_xlfn.MAXIFS('Rework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8" s="31" t="str" cm="1">
        <f t="array" ref="AL18">_xlfn.LET(_xlpm.rep,$B18,_xlpm.sent,_xlfn.MAXIFS('Rework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9" spans="1:38" ht="14.45">
      <c r="A19" s="33" t="s">
        <v>38</v>
      </c>
      <c r="B19" s="33" t="s">
        <v>95</v>
      </c>
      <c r="C19" s="33" t="s">
        <v>40</v>
      </c>
      <c r="D19" t="str" cm="1">
        <f t="array" aca="1" ref="D19" ca="1">IF($B19="","",IF(LEFT($AH19,3)="Yes","Blocked - "&amp;MID($AH19,7,100)&amp;IF(SUMPRODUCT(('Rework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track")),IF(C19="QA",_xlfn.LET(_xlpm.tgt,IF(AK19&lt;&gt;"",AK19,IF(W19&lt;&gt;"",W19,V19)),_xlpm.sent,_xlfn.MAXIFS('Rework Log'!$B$3:$B$500,'Rework Log'!$A$3:$A$500,$B19,'Rework Log'!$C$3:$C$500,"QA"),_xlpm.act,IF(AND(X19&lt;&gt;"",X19&gt;_xlpm.sent),X19,""),IF(_xlpm.tgt="","No target set",IF(AND(_xlpm.tgt&lt;TODAY(),_xlpm.act=""),"Overdue","On track"))),IF(C19="DPO Approval",_xlfn.LET(_xlpm.tgt,IF(AL19&lt;&gt;"",AL19,IF(AA19&lt;&gt;"",AA19,Z19)),_xlpm.sent,_xlfn.MAXIFS('Rework Log'!$B$3:$B$500,'Rework Log'!$A$3:$A$500,$B19,'Rework Log'!$C$3:$C$500,"DPO*"),_xlpm.act,IF(AND(AB19&lt;&gt;"",AB19&gt;_xlpm.sent),AB19,""),IF(_xlpm.tgt="","No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71</v>
      </c>
      <c r="J19" s="33"/>
      <c r="K19" s="4"/>
      <c r="L19" s="43"/>
      <c r="M19" s="36"/>
      <c r="N19" s="36" t="s">
        <v>43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46</v>
      </c>
      <c r="AD19" s="38" t="s">
        <v>47</v>
      </c>
      <c r="AE19" s="36">
        <v>46203</v>
      </c>
      <c r="AF19" s="39"/>
      <c r="AG19" s="33"/>
      <c r="AH19" s="40"/>
      <c r="AI19" s="48"/>
      <c r="AJ19" s="41"/>
      <c r="AK19" s="31" t="str" cm="1">
        <f t="array" ref="AK19">_xlfn.LET(_xlpm.rep,$B19,_xlpm.sent,_xlfn.MAXIFS('Rework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9" s="31" t="str" cm="1">
        <f t="array" ref="AL19">_xlfn.LET(_xlpm.rep,$B19,_xlpm.sent,_xlfn.MAXIFS('Rework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0" spans="1:38" ht="14.45">
      <c r="A20" s="33" t="s">
        <v>38</v>
      </c>
      <c r="B20" s="33" t="s">
        <v>96</v>
      </c>
      <c r="C20" s="33" t="s">
        <v>40</v>
      </c>
      <c r="D20" t="str" cm="1">
        <f t="array" aca="1" ref="D20" ca="1">IF($B20="","",IF(LEFT($AH20,3)="Yes","Blocked - "&amp;MID($AH20,7,100)&amp;IF(SUMPRODUCT(('Rework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track")),IF(C20="QA",_xlfn.LET(_xlpm.tgt,IF(AK20&lt;&gt;"",AK20,IF(W20&lt;&gt;"",W20,V20)),_xlpm.sent,_xlfn.MAXIFS('Rework Log'!$B$3:$B$500,'Rework Log'!$A$3:$A$500,$B20,'Rework Log'!$C$3:$C$500,"QA"),_xlpm.act,IF(AND(X20&lt;&gt;"",X20&gt;_xlpm.sent),X20,""),IF(_xlpm.tgt="","No target set",IF(AND(_xlpm.tgt&lt;TODAY(),_xlpm.act=""),"Overdue","On track"))),IF(C20="DPO Approval",_xlfn.LET(_xlpm.tgt,IF(AL20&lt;&gt;"",AL20,IF(AA20&lt;&gt;"",AA20,Z20)),_xlpm.sent,_xlfn.MAXIFS('Rework Log'!$B$3:$B$500,'Rework Log'!$A$3:$A$500,$B20,'Rework Log'!$C$3:$C$500,"DPO*"),_xlpm.act,IF(AND(AB20&lt;&gt;"",AB20&gt;_xlpm.sent),AB20,""),IF(_xlpm.tgt="","No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97</v>
      </c>
      <c r="J20" s="33" t="s">
        <v>98</v>
      </c>
      <c r="K20" s="4">
        <v>46185</v>
      </c>
      <c r="L20" s="36"/>
      <c r="M20" s="36">
        <v>46148</v>
      </c>
      <c r="N20" s="36" t="s">
        <v>43</v>
      </c>
      <c r="O20" s="36"/>
      <c r="P20" s="64" t="s">
        <v>57</v>
      </c>
      <c r="Q20" s="4">
        <v>46192</v>
      </c>
      <c r="R20" s="36"/>
      <c r="S20" s="36">
        <v>46183</v>
      </c>
      <c r="T20" s="70"/>
      <c r="U20" s="33" t="s">
        <v>45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/>
      <c r="AD20" s="38" t="s">
        <v>47</v>
      </c>
      <c r="AE20" s="36">
        <v>46195</v>
      </c>
      <c r="AF20" s="39"/>
      <c r="AG20" s="33"/>
      <c r="AH20" s="40" t="s">
        <v>50</v>
      </c>
      <c r="AI20" s="74" t="str">
        <f>IF($B20="","",IF(AND(LEFT($AH20,3)="Yes",SUMPRODUCT(('Rework Log'!$A$3:$A$500=$B20)*('Rework Log'!$G$3:$G$500&lt;&gt;"Yes")*('Rework Log'!$G$3:$G$500&lt;&gt;"Did not pass re-test"))=0),"Blocked - log it on Rework Log",IF(AND(LEFT($AH20,3)&lt;&gt;"Yes",SUMPRODUCT(('Rework Log'!$A$3:$A$500=$B20)*('Rework Log'!$G$3:$G$500&lt;&gt;"Yes")*('Rework Log'!$G$3:$G$500&lt;&gt;"Did not pass re-test"))&gt;0),"Open rework row - mark Blocked? or close it",IF(AND($AH20="Yes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H)",IF(AND($AH20="Yes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H)",IF(AND($AH20="Yes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target",IF(AND(AE20&lt;&gt;"",Z20&lt;&gt;"",AE20&lt;Z20),"Confirmed Deployed date is before DPO Approval target",""))))))))))))</f>
        <v>Confirmed Deployed date is before DPO Approval target</v>
      </c>
      <c r="AJ20" s="41"/>
      <c r="AK20" s="31" t="str" cm="1">
        <f t="array" ref="AK20">_xlfn.LET(_xlpm.rep,$B20,_xlpm.sent,_xlfn.MAXIFS('Rework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0" s="31" t="str" cm="1">
        <f t="array" ref="AL20">_xlfn.LET(_xlpm.rep,$B20,_xlpm.sent,_xlfn.MAXIFS('Rework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1" spans="1:38" ht="14.45">
      <c r="A21" s="33" t="s">
        <v>38</v>
      </c>
      <c r="B21" s="33" t="s">
        <v>99</v>
      </c>
      <c r="C21" s="33" t="s">
        <v>40</v>
      </c>
      <c r="D21" t="str" cm="1">
        <f t="array" aca="1" ref="D21" ca="1">IF($B21="","",IF(LEFT($AH21,3)="Yes","Blocked - "&amp;MID($AH21,7,100)&amp;IF(SUMPRODUCT(('Rework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track")),IF(C21="QA",_xlfn.LET(_xlpm.tgt,IF(AK21&lt;&gt;"",AK21,IF(W21&lt;&gt;"",W21,V21)),_xlpm.sent,_xlfn.MAXIFS('Rework Log'!$B$3:$B$500,'Rework Log'!$A$3:$A$500,$B21,'Rework Log'!$C$3:$C$500,"QA"),_xlpm.act,IF(AND(X21&lt;&gt;"",X21&gt;_xlpm.sent),X21,""),IF(_xlpm.tgt="","No target set",IF(AND(_xlpm.tgt&lt;TODAY(),_xlpm.act=""),"Overdue","On track"))),IF(C21="DPO Approval",_xlfn.LET(_xlpm.tgt,IF(AL21&lt;&gt;"",AL21,IF(AA21&lt;&gt;"",AA21,Z21)),_xlpm.sent,_xlfn.MAXIFS('Rework Log'!$B$3:$B$500,'Rework Log'!$A$3:$A$500,$B21,'Rework Log'!$C$3:$C$500,"DPO*"),_xlpm.act,IF(AND(AB21&lt;&gt;"",AB21&gt;_xlpm.sent),AB21,""),IF(_xlpm.tgt="","No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97</v>
      </c>
      <c r="J21" s="33" t="s">
        <v>98</v>
      </c>
      <c r="K21" s="4">
        <v>46185</v>
      </c>
      <c r="L21" s="36"/>
      <c r="M21" s="36">
        <v>46162</v>
      </c>
      <c r="N21" s="36" t="s">
        <v>43</v>
      </c>
      <c r="O21" s="36"/>
      <c r="P21" s="64" t="s">
        <v>73</v>
      </c>
      <c r="Q21" s="4">
        <v>46192</v>
      </c>
      <c r="R21" s="36"/>
      <c r="S21" s="36">
        <v>46182</v>
      </c>
      <c r="T21" s="70"/>
      <c r="U21" s="33" t="s">
        <v>45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/>
      <c r="AD21" s="38" t="s">
        <v>47</v>
      </c>
      <c r="AE21" s="36">
        <v>46198</v>
      </c>
      <c r="AF21" s="39"/>
      <c r="AG21" s="33"/>
      <c r="AH21" s="40" t="s">
        <v>50</v>
      </c>
      <c r="AI21" s="74" t="str">
        <f>IF($B21="","",IF(AND(LEFT($AH21,3)="Yes",SUMPRODUCT(('Rework Log'!$A$3:$A$500=$B21)*('Rework Log'!$G$3:$G$500&lt;&gt;"Yes")*('Rework Log'!$G$3:$G$500&lt;&gt;"Did not pass re-test"))=0),"Blocked - log it on Rework Log",IF(AND(LEFT($AH21,3)&lt;&gt;"Yes",SUMPRODUCT(('Rework Log'!$A$3:$A$500=$B21)*('Rework Log'!$G$3:$G$500&lt;&gt;"Yes")*('Rework Log'!$G$3:$G$500&lt;&gt;"Did not pass re-test"))&gt;0),"Open rework row - mark Blocked? or close it",IF(AND($AH21="Yes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H)",IF(AND($AH21="Yes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H)",IF(AND($AH21="Yes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target",IF(AND(AE21&lt;&gt;"",Z21&lt;&gt;"",AE21&lt;Z21),"Confirmed Deployed date is before DPO Approval target",""))))))))))))</f>
        <v>Confirmed Deployed date is before DPO Approval target</v>
      </c>
      <c r="AJ21" s="41" t="s">
        <v>100</v>
      </c>
      <c r="AK21" s="31" t="str" cm="1">
        <f t="array" ref="AK21">_xlfn.LET(_xlpm.rep,$B21,_xlpm.sent,_xlfn.MAXIFS('Rework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1" s="31" t="str" cm="1">
        <f t="array" ref="AL21">_xlfn.LET(_xlpm.rep,$B21,_xlpm.sent,_xlfn.MAXIFS('Rework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2" spans="1:38" ht="14.45">
      <c r="A22" s="33" t="s">
        <v>38</v>
      </c>
      <c r="B22" s="33" t="s">
        <v>101</v>
      </c>
      <c r="C22" s="33" t="s">
        <v>40</v>
      </c>
      <c r="D22" t="str" cm="1">
        <f t="array" aca="1" ref="D22" ca="1">IF($B22="","",IF(LEFT($AH22,3)="Yes","Blocked - "&amp;MID($AH22,7,100)&amp;IF(SUMPRODUCT(('Rework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track")),IF(C22="QA",_xlfn.LET(_xlpm.tgt,IF(AK22&lt;&gt;"",AK22,IF(W22&lt;&gt;"",W22,V22)),_xlpm.sent,_xlfn.MAXIFS('Rework Log'!$B$3:$B$500,'Rework Log'!$A$3:$A$500,$B22,'Rework Log'!$C$3:$C$500,"QA"),_xlpm.act,IF(AND(X22&lt;&gt;"",X22&gt;_xlpm.sent),X22,""),IF(_xlpm.tgt="","No target set",IF(AND(_xlpm.tgt&lt;TODAY(),_xlpm.act=""),"Overdue","On track"))),IF(C22="DPO Approval",_xlfn.LET(_xlpm.tgt,IF(AL22&lt;&gt;"",AL22,IF(AA22&lt;&gt;"",AA22,Z22)),_xlpm.sent,_xlfn.MAXIFS('Rework Log'!$B$3:$B$500,'Rework Log'!$A$3:$A$500,$B22,'Rework Log'!$C$3:$C$500,"DPO*"),_xlpm.act,IF(AND(AB22&lt;&gt;"",AB22&gt;_xlpm.sent),AB22,""),IF(_xlpm.tgt="","No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97</v>
      </c>
      <c r="J22" s="33" t="s">
        <v>42</v>
      </c>
      <c r="K22" s="4">
        <v>46185</v>
      </c>
      <c r="L22" s="36"/>
      <c r="M22" s="36">
        <v>46168</v>
      </c>
      <c r="N22" s="36" t="s">
        <v>43</v>
      </c>
      <c r="O22" s="36"/>
      <c r="P22" s="64" t="s">
        <v>57</v>
      </c>
      <c r="Q22" s="4">
        <v>46192</v>
      </c>
      <c r="R22" s="36"/>
      <c r="S22" s="36">
        <v>46183</v>
      </c>
      <c r="T22" s="70"/>
      <c r="U22" s="33" t="s">
        <v>45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8" t="s">
        <v>47</v>
      </c>
      <c r="AE22" s="36">
        <v>46198</v>
      </c>
      <c r="AF22" s="39"/>
      <c r="AG22" s="33"/>
      <c r="AH22" s="40" t="s">
        <v>50</v>
      </c>
      <c r="AI22" s="74" t="str">
        <f>IF($B22="","",IF(AND(LEFT($AH22,3)="Yes",SUMPRODUCT(('Rework Log'!$A$3:$A$500=$B22)*('Rework Log'!$G$3:$G$500&lt;&gt;"Yes")*('Rework Log'!$G$3:$G$500&lt;&gt;"Did not pass re-test"))=0),"Blocked - log it on Rework Log",IF(AND(LEFT($AH22,3)&lt;&gt;"Yes",SUMPRODUCT(('Rework Log'!$A$3:$A$500=$B22)*('Rework Log'!$G$3:$G$500&lt;&gt;"Yes")*('Rework Log'!$G$3:$G$500&lt;&gt;"Did not pass re-test"))&gt;0),"Open rework row - mark Blocked? or close it",IF(AND($AH22="Yes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H)",IF(AND($AH22="Yes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H)",IF(AND($AH22="Yes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target",IF(AND(AE22&lt;&gt;"",Z22&lt;&gt;"",AE22&lt;Z22),"Confirmed Deployed date is before DPO Approval target",""))))))))))))</f>
        <v>Confirmed Deployed date is before DPO Approval target</v>
      </c>
      <c r="AJ22" s="41"/>
      <c r="AK22" s="31" t="str" cm="1">
        <f t="array" ref="AK22">_xlfn.LET(_xlpm.rep,$B22,_xlpm.sent,_xlfn.MAXIFS('Rework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2" s="31" t="str" cm="1">
        <f t="array" ref="AL22">_xlfn.LET(_xlpm.rep,$B22,_xlpm.sent,_xlfn.MAXIFS('Rework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3" spans="1:38" ht="14.45">
      <c r="A23" s="33" t="s">
        <v>38</v>
      </c>
      <c r="B23" s="33" t="s">
        <v>102</v>
      </c>
      <c r="C23" s="33" t="s">
        <v>40</v>
      </c>
      <c r="D23" t="str" cm="1">
        <f t="array" aca="1" ref="D23" ca="1">IF($B23="","",IF(LEFT($AH23,3)="Yes","Blocked - "&amp;MID($AH23,7,100)&amp;IF(SUMPRODUCT(('Rework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track")),IF(C23="QA",_xlfn.LET(_xlpm.tgt,IF(AK23&lt;&gt;"",AK23,IF(W23&lt;&gt;"",W23,V23)),_xlpm.sent,_xlfn.MAXIFS('Rework Log'!$B$3:$B$500,'Rework Log'!$A$3:$A$500,$B23,'Rework Log'!$C$3:$C$500,"QA"),_xlpm.act,IF(AND(X23&lt;&gt;"",X23&gt;_xlpm.sent),X23,""),IF(_xlpm.tgt="","No target set",IF(AND(_xlpm.tgt&lt;TODAY(),_xlpm.act=""),"Overdue","On track"))),IF(C23="DPO Approval",_xlfn.LET(_xlpm.tgt,IF(AL23&lt;&gt;"",AL23,IF(AA23&lt;&gt;"",AA23,Z23)),_xlpm.sent,_xlfn.MAXIFS('Rework Log'!$B$3:$B$500,'Rework Log'!$A$3:$A$500,$B23,'Rework Log'!$C$3:$C$500,"DPO*"),_xlpm.act,IF(AND(AB23&lt;&gt;"",AB23&gt;_xlpm.sent),AB23,""),IF(_xlpm.tgt="","No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97</v>
      </c>
      <c r="J23" s="33" t="s">
        <v>42</v>
      </c>
      <c r="K23" s="4">
        <v>46185</v>
      </c>
      <c r="L23" s="36"/>
      <c r="M23" s="36">
        <v>46165</v>
      </c>
      <c r="N23" s="36" t="s">
        <v>43</v>
      </c>
      <c r="O23" s="36"/>
      <c r="P23" s="64" t="s">
        <v>57</v>
      </c>
      <c r="Q23" s="4">
        <v>46192</v>
      </c>
      <c r="R23" s="36"/>
      <c r="S23" s="36">
        <v>46153</v>
      </c>
      <c r="T23" s="70"/>
      <c r="U23" s="33" t="s">
        <v>45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/>
      <c r="AD23" s="38" t="s">
        <v>47</v>
      </c>
      <c r="AE23" s="36">
        <v>46184</v>
      </c>
      <c r="AF23" s="39" t="s">
        <v>103</v>
      </c>
      <c r="AG23" s="33" t="s">
        <v>104</v>
      </c>
      <c r="AH23" s="40" t="s">
        <v>50</v>
      </c>
      <c r="AI23" s="74" t="str">
        <f>IF($B23="","",IF(AND(LEFT($AH23,3)="Yes",SUMPRODUCT(('Rework Log'!$A$3:$A$500=$B23)*('Rework Log'!$G$3:$G$500&lt;&gt;"Yes")*('Rework Log'!$G$3:$G$500&lt;&gt;"Did not pass re-test"))=0),"Blocked - log it on Rework Log",IF(AND(LEFT($AH23,3)&lt;&gt;"Yes",SUMPRODUCT(('Rework Log'!$A$3:$A$500=$B23)*('Rework Log'!$G$3:$G$500&lt;&gt;"Yes")*('Rework Log'!$G$3:$G$500&lt;&gt;"Did not pass re-test"))&gt;0),"Open rework row - mark Blocked? or close it",IF(AND($AH23="Yes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H)",IF(AND($AH23="Yes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H)",IF(AND($AH23="Yes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target",IF(AND(AE23&lt;&gt;"",Z23&lt;&gt;"",AE23&lt;Z23),"Confirmed Deployed date is before DPO Approval target",""))))))))))))</f>
        <v>Confirmed Deployed date is before DPO Approval target</v>
      </c>
      <c r="AJ23" s="41"/>
      <c r="AK23" s="31" t="str" cm="1">
        <f t="array" ref="AK23">_xlfn.LET(_xlpm.rep,$B23,_xlpm.sent,_xlfn.MAXIFS('Rework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3" s="31" t="str" cm="1">
        <f t="array" ref="AL23">_xlfn.LET(_xlpm.rep,$B23,_xlpm.sent,_xlfn.MAXIFS('Rework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4" spans="1:38" ht="14.45">
      <c r="A24" s="33" t="s">
        <v>38</v>
      </c>
      <c r="B24" s="33" t="s">
        <v>105</v>
      </c>
      <c r="C24" s="33" t="s">
        <v>40</v>
      </c>
      <c r="D24" t="str" cm="1">
        <f t="array" aca="1" ref="D24" ca="1">IF($B24="","",IF(LEFT($AH24,3)="Yes","Blocked - "&amp;MID($AH24,7,100)&amp;IF(SUMPRODUCT(('Rework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track")),IF(C24="QA",_xlfn.LET(_xlpm.tgt,IF(AK24&lt;&gt;"",AK24,IF(W24&lt;&gt;"",W24,V24)),_xlpm.sent,_xlfn.MAXIFS('Rework Log'!$B$3:$B$500,'Rework Log'!$A$3:$A$500,$B24,'Rework Log'!$C$3:$C$500,"QA"),_xlpm.act,IF(AND(X24&lt;&gt;"",X24&gt;_xlpm.sent),X24,""),IF(_xlpm.tgt="","No target set",IF(AND(_xlpm.tgt&lt;TODAY(),_xlpm.act=""),"Overdue","On track"))),IF(C24="DPO Approval",_xlfn.LET(_xlpm.tgt,IF(AL24&lt;&gt;"",AL24,IF(AA24&lt;&gt;"",AA24,Z24)),_xlpm.sent,_xlfn.MAXIFS('Rework Log'!$B$3:$B$500,'Rework Log'!$A$3:$A$500,$B24,'Rework Log'!$C$3:$C$500,"DPO*"),_xlpm.act,IF(AND(AB24&lt;&gt;"",AB24&gt;_xlpm.sent),AB24,""),IF(_xlpm.tgt="","No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97</v>
      </c>
      <c r="J24" s="33" t="s">
        <v>56</v>
      </c>
      <c r="K24" s="4">
        <v>46185</v>
      </c>
      <c r="L24" s="36"/>
      <c r="M24" s="36">
        <v>46162</v>
      </c>
      <c r="N24" s="36" t="s">
        <v>43</v>
      </c>
      <c r="O24" s="36"/>
      <c r="P24" s="64" t="s">
        <v>44</v>
      </c>
      <c r="Q24" s="4">
        <v>46192</v>
      </c>
      <c r="R24" s="36"/>
      <c r="S24" s="36">
        <v>46186</v>
      </c>
      <c r="T24" s="70"/>
      <c r="U24" s="33" t="s">
        <v>84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/>
      <c r="AD24" s="38" t="s">
        <v>47</v>
      </c>
      <c r="AE24" s="36">
        <v>46227</v>
      </c>
      <c r="AF24" s="39"/>
      <c r="AG24" s="33"/>
      <c r="AH24" s="40" t="s">
        <v>50</v>
      </c>
      <c r="AI24" s="74" t="str">
        <f>IF($B24="","",IF(AND(LEFT($AH24,3)="Yes",SUMPRODUCT(('Rework Log'!$A$3:$A$500=$B24)*('Rework Log'!$G$3:$G$500&lt;&gt;"Yes")*('Rework Log'!$G$3:$G$500&lt;&gt;"Did not pass re-test"))=0),"Blocked - log it on Rework Log",IF(AND(LEFT($AH24,3)&lt;&gt;"Yes",SUMPRODUCT(('Rework Log'!$A$3:$A$500=$B24)*('Rework Log'!$G$3:$G$500&lt;&gt;"Yes")*('Rework Log'!$G$3:$G$500&lt;&gt;"Did not pass re-test"))&gt;0),"Open rework row - mark Blocked? or close it",IF(AND($AH24="Yes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H)",IF(AND($AH24="Yes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H)",IF(AND($AH24="Yes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target",IF(AND(AE24&lt;&gt;"",Z24&lt;&gt;"",AE24&lt;Z24),"Confirmed Deployed date is before DPO Approval target",""))))))))))))</f>
        <v/>
      </c>
      <c r="AJ24" s="41" t="s">
        <v>106</v>
      </c>
      <c r="AK24" s="31" t="str" cm="1">
        <f t="array" ref="AK24">_xlfn.LET(_xlpm.rep,$B24,_xlpm.sent,_xlfn.MAXIFS('Rework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4" s="31" t="str" cm="1">
        <f t="array" ref="AL24">_xlfn.LET(_xlpm.rep,$B24,_xlpm.sent,_xlfn.MAXIFS('Rework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5" spans="1:38" ht="14.45">
      <c r="A25" s="33" t="s">
        <v>38</v>
      </c>
      <c r="B25" s="33" t="s">
        <v>107</v>
      </c>
      <c r="C25" s="33" t="s">
        <v>40</v>
      </c>
      <c r="D25" t="str" cm="1">
        <f t="array" aca="1" ref="D25" ca="1">IF($B25="","",IF(LEFT($AH25,3)="Yes","Blocked - "&amp;MID($AH25,7,100)&amp;IF(SUMPRODUCT(('Rework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track")),IF(C25="QA",_xlfn.LET(_xlpm.tgt,IF(AK25&lt;&gt;"",AK25,IF(W25&lt;&gt;"",W25,V25)),_xlpm.sent,_xlfn.MAXIFS('Rework Log'!$B$3:$B$500,'Rework Log'!$A$3:$A$500,$B25,'Rework Log'!$C$3:$C$500,"QA"),_xlpm.act,IF(AND(X25&lt;&gt;"",X25&gt;_xlpm.sent),X25,""),IF(_xlpm.tgt="","No target set",IF(AND(_xlpm.tgt&lt;TODAY(),_xlpm.act=""),"Overdue","On track"))),IF(C25="DPO Approval",_xlfn.LET(_xlpm.tgt,IF(AL25&lt;&gt;"",AL25,IF(AA25&lt;&gt;"",AA25,Z25)),_xlpm.sent,_xlfn.MAXIFS('Rework Log'!$B$3:$B$500,'Rework Log'!$A$3:$A$500,$B25,'Rework Log'!$C$3:$C$500,"DPO*"),_xlpm.act,IF(AND(AB25&lt;&gt;"",AB25&gt;_xlpm.sent),AB25,""),IF(_xlpm.tgt="","No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97</v>
      </c>
      <c r="J25" s="33" t="s">
        <v>56</v>
      </c>
      <c r="K25" s="4">
        <v>46185</v>
      </c>
      <c r="L25" s="36"/>
      <c r="M25" s="36">
        <v>46162</v>
      </c>
      <c r="N25" s="36" t="s">
        <v>43</v>
      </c>
      <c r="O25" s="36"/>
      <c r="P25" s="64" t="s">
        <v>73</v>
      </c>
      <c r="Q25" s="4">
        <v>46192</v>
      </c>
      <c r="R25" s="36"/>
      <c r="S25" s="36">
        <v>46164</v>
      </c>
      <c r="T25" s="70"/>
      <c r="U25" s="33" t="s">
        <v>45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/>
      <c r="AD25" s="38" t="s">
        <v>47</v>
      </c>
      <c r="AE25" s="36">
        <v>46204</v>
      </c>
      <c r="AF25" s="39"/>
      <c r="AG25" s="33"/>
      <c r="AH25" s="40" t="s">
        <v>50</v>
      </c>
      <c r="AI25" s="74" t="str">
        <f>IF($B25="","",IF(AND(LEFT($AH25,3)="Yes",SUMPRODUCT(('Rework Log'!$A$3:$A$500=$B25)*('Rework Log'!$G$3:$G$500&lt;&gt;"Yes")*('Rework Log'!$G$3:$G$500&lt;&gt;"Did not pass re-test"))=0),"Blocked - log it on Rework Log",IF(AND(LEFT($AH25,3)&lt;&gt;"Yes",SUMPRODUCT(('Rework Log'!$A$3:$A$500=$B25)*('Rework Log'!$G$3:$G$500&lt;&gt;"Yes")*('Rework Log'!$G$3:$G$500&lt;&gt;"Did not pass re-test"))&gt;0),"Open rework row - mark Blocked? or close it",IF(AND($AH25="Yes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H)",IF(AND($AH25="Yes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H)",IF(AND($AH25="Yes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target",IF(AND(AE25&lt;&gt;"",Z25&lt;&gt;"",AE25&lt;Z25),"Confirmed Deployed date is before DPO Approval target",""))))))))))))</f>
        <v/>
      </c>
      <c r="AJ25" s="41" t="s">
        <v>106</v>
      </c>
      <c r="AK25" s="31" t="str" cm="1">
        <f t="array" ref="AK25">_xlfn.LET(_xlpm.rep,$B25,_xlpm.sent,_xlfn.MAXIFS('Rework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5" s="31" t="str" cm="1">
        <f t="array" ref="AL25">_xlfn.LET(_xlpm.rep,$B25,_xlpm.sent,_xlfn.MAXIFS('Rework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6" spans="1:38" ht="14.45">
      <c r="A26" s="33" t="s">
        <v>38</v>
      </c>
      <c r="B26" s="33" t="s">
        <v>108</v>
      </c>
      <c r="C26" s="33" t="s">
        <v>40</v>
      </c>
      <c r="D26" t="str" cm="1">
        <f t="array" aca="1" ref="D26" ca="1">IF($B26="","",IF(LEFT($AH26,3)="Yes","Blocked - "&amp;MID($AH26,7,100)&amp;IF(SUMPRODUCT(('Rework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track")),IF(C26="QA",_xlfn.LET(_xlpm.tgt,IF(AK26&lt;&gt;"",AK26,IF(W26&lt;&gt;"",W26,V26)),_xlpm.sent,_xlfn.MAXIFS('Rework Log'!$B$3:$B$500,'Rework Log'!$A$3:$A$500,$B26,'Rework Log'!$C$3:$C$500,"QA"),_xlpm.act,IF(AND(X26&lt;&gt;"",X26&gt;_xlpm.sent),X26,""),IF(_xlpm.tgt="","No target set",IF(AND(_xlpm.tgt&lt;TODAY(),_xlpm.act=""),"Overdue","On track"))),IF(C26="DPO Approval",_xlfn.LET(_xlpm.tgt,IF(AL26&lt;&gt;"",AL26,IF(AA26&lt;&gt;"",AA26,Z26)),_xlpm.sent,_xlfn.MAXIFS('Rework Log'!$B$3:$B$500,'Rework Log'!$A$3:$A$500,$B26,'Rework Log'!$C$3:$C$500,"DPO*"),_xlpm.act,IF(AND(AB26&lt;&gt;"",AB26&gt;_xlpm.sent),AB26,""),IF(_xlpm.tgt="","No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97</v>
      </c>
      <c r="J26" s="33" t="s">
        <v>109</v>
      </c>
      <c r="K26" s="4">
        <v>46185</v>
      </c>
      <c r="L26" s="36"/>
      <c r="M26" s="36">
        <v>46169</v>
      </c>
      <c r="N26" s="36" t="s">
        <v>43</v>
      </c>
      <c r="O26" s="36"/>
      <c r="P26" s="64" t="s">
        <v>57</v>
      </c>
      <c r="Q26" s="4">
        <v>46192</v>
      </c>
      <c r="R26" s="36"/>
      <c r="S26" s="36">
        <v>46191</v>
      </c>
      <c r="T26" s="70"/>
      <c r="U26" s="33" t="s">
        <v>84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/>
      <c r="AD26" s="38" t="s">
        <v>47</v>
      </c>
      <c r="AE26" s="36">
        <v>46196</v>
      </c>
      <c r="AF26" s="39" t="s">
        <v>110</v>
      </c>
      <c r="AG26" s="33" t="s">
        <v>111</v>
      </c>
      <c r="AH26" s="40" t="s">
        <v>50</v>
      </c>
      <c r="AI26" s="74" t="str">
        <f>IF($B26="","",IF(AND(LEFT($AH26,3)="Yes",SUMPRODUCT(('Rework Log'!$A$3:$A$500=$B26)*('Rework Log'!$G$3:$G$500&lt;&gt;"Yes")*('Rework Log'!$G$3:$G$500&lt;&gt;"Did not pass re-test"))=0),"Blocked - log it on Rework Log",IF(AND(LEFT($AH26,3)&lt;&gt;"Yes",SUMPRODUCT(('Rework Log'!$A$3:$A$500=$B26)*('Rework Log'!$G$3:$G$500&lt;&gt;"Yes")*('Rework Log'!$G$3:$G$500&lt;&gt;"Did not pass re-test"))&gt;0),"Open rework row - mark Blocked? or close it",IF(AND($AH26="Yes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H)",IF(AND($AH26="Yes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H)",IF(AND($AH26="Yes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target",IF(AND(AE26&lt;&gt;"",Z26&lt;&gt;"",AE26&lt;Z26),"Confirmed Deployed date is before DPO Approval target",""))))))))))))</f>
        <v>Confirmed Deployed date is before DPO Approval target</v>
      </c>
      <c r="AJ26" s="41"/>
      <c r="AK26" s="31" t="str" cm="1">
        <f t="array" ref="AK26">_xlfn.LET(_xlpm.rep,$B26,_xlpm.sent,_xlfn.MAXIFS('Rework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6" s="31" t="str" cm="1">
        <f t="array" ref="AL26">_xlfn.LET(_xlpm.rep,$B26,_xlpm.sent,_xlfn.MAXIFS('Rework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7" spans="1:38" ht="14.45">
      <c r="A27" s="33" t="s">
        <v>38</v>
      </c>
      <c r="B27" s="33" t="s">
        <v>112</v>
      </c>
      <c r="C27" s="33" t="s">
        <v>40</v>
      </c>
      <c r="D27" t="str" cm="1">
        <f t="array" aca="1" ref="D27" ca="1">IF($B27="","",IF(LEFT($AH27,3)="Yes","Blocked - "&amp;MID($AH27,7,100)&amp;IF(SUMPRODUCT(('Rework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track")),IF(C27="QA",_xlfn.LET(_xlpm.tgt,IF(AK27&lt;&gt;"",AK27,IF(W27&lt;&gt;"",W27,V27)),_xlpm.sent,_xlfn.MAXIFS('Rework Log'!$B$3:$B$500,'Rework Log'!$A$3:$A$500,$B27,'Rework Log'!$C$3:$C$500,"QA"),_xlpm.act,IF(AND(X27&lt;&gt;"",X27&gt;_xlpm.sent),X27,""),IF(_xlpm.tgt="","No target set",IF(AND(_xlpm.tgt&lt;TODAY(),_xlpm.act=""),"Overdue","On track"))),IF(C27="DPO Approval",_xlfn.LET(_xlpm.tgt,IF(AL27&lt;&gt;"",AL27,IF(AA27&lt;&gt;"",AA27,Z27)),_xlpm.sent,_xlfn.MAXIFS('Rework Log'!$B$3:$B$500,'Rework Log'!$A$3:$A$500,$B27,'Rework Log'!$C$3:$C$500,"DPO*"),_xlpm.act,IF(AND(AB27&lt;&gt;"",AB27&gt;_xlpm.sent),AB27,""),IF(_xlpm.tgt="","No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97</v>
      </c>
      <c r="J27" s="33" t="s">
        <v>98</v>
      </c>
      <c r="K27" s="4">
        <v>46185</v>
      </c>
      <c r="L27" s="36"/>
      <c r="M27" s="36">
        <v>46168</v>
      </c>
      <c r="N27" s="36" t="s">
        <v>43</v>
      </c>
      <c r="O27" s="36"/>
      <c r="P27" s="64" t="s">
        <v>73</v>
      </c>
      <c r="Q27" s="4">
        <v>46192</v>
      </c>
      <c r="R27" s="36"/>
      <c r="S27" s="36">
        <v>46189</v>
      </c>
      <c r="T27" s="70"/>
      <c r="U27" s="55" t="s">
        <v>84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8" t="s">
        <v>47</v>
      </c>
      <c r="AE27" s="36">
        <v>46192</v>
      </c>
      <c r="AF27" s="39" t="s">
        <v>113</v>
      </c>
      <c r="AG27" s="33"/>
      <c r="AH27" s="40" t="s">
        <v>50</v>
      </c>
      <c r="AI27" s="74" t="str">
        <f>IF($B27="","",IF(AND(LEFT($AH27,3)="Yes",SUMPRODUCT(('Rework Log'!$A$3:$A$500=$B27)*('Rework Log'!$G$3:$G$500&lt;&gt;"Yes")*('Rework Log'!$G$3:$G$500&lt;&gt;"Did not pass re-test"))=0),"Blocked - log it on Rework Log",IF(AND(LEFT($AH27,3)&lt;&gt;"Yes",SUMPRODUCT(('Rework Log'!$A$3:$A$500=$B27)*('Rework Log'!$G$3:$G$500&lt;&gt;"Yes")*('Rework Log'!$G$3:$G$500&lt;&gt;"Did not pass re-test"))&gt;0),"Open rework row - mark Blocked? or close it",IF(AND($AH27="Yes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H)",IF(AND($AH27="Yes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H)",IF(AND($AH27="Yes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target",IF(AND(AE27&lt;&gt;"",Z27&lt;&gt;"",AE27&lt;Z27),"Confirmed Deployed date is before DPO Approval target",""))))))))))))</f>
        <v>Confirmed Deployed date is before DPO Approval target</v>
      </c>
      <c r="AJ27" s="41"/>
      <c r="AK27" s="31" t="str" cm="1">
        <f t="array" ref="AK27">_xlfn.LET(_xlpm.rep,$B27,_xlpm.sent,_xlfn.MAXIFS('Rework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7" s="31" t="str" cm="1">
        <f t="array" ref="AL27">_xlfn.LET(_xlpm.rep,$B27,_xlpm.sent,_xlfn.MAXIFS('Rework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8" spans="1:38" ht="14.45">
      <c r="A28" s="33" t="s">
        <v>38</v>
      </c>
      <c r="B28" s="33" t="s">
        <v>114</v>
      </c>
      <c r="C28" s="33" t="s">
        <v>40</v>
      </c>
      <c r="D28" t="str" cm="1">
        <f t="array" aca="1" ref="D28" ca="1">IF($B28="","",IF(LEFT($AH28,3)="Yes","Blocked - "&amp;MID($AH28,7,100)&amp;IF(SUMPRODUCT(('Rework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track")),IF(C28="QA",_xlfn.LET(_xlpm.tgt,IF(AK28&lt;&gt;"",AK28,IF(W28&lt;&gt;"",W28,V28)),_xlpm.sent,_xlfn.MAXIFS('Rework Log'!$B$3:$B$500,'Rework Log'!$A$3:$A$500,$B28,'Rework Log'!$C$3:$C$500,"QA"),_xlpm.act,IF(AND(X28&lt;&gt;"",X28&gt;_xlpm.sent),X28,""),IF(_xlpm.tgt="","No target set",IF(AND(_xlpm.tgt&lt;TODAY(),_xlpm.act=""),"Overdue","On track"))),IF(C28="DPO Approval",_xlfn.LET(_xlpm.tgt,IF(AL28&lt;&gt;"",AL28,IF(AA28&lt;&gt;"",AA28,Z28)),_xlpm.sent,_xlfn.MAXIFS('Rework Log'!$B$3:$B$500,'Rework Log'!$A$3:$A$500,$B28,'Rework Log'!$C$3:$C$500,"DPO*"),_xlpm.act,IF(AND(AB28&lt;&gt;"",AB28&gt;_xlpm.sent),AB28,""),IF(_xlpm.tgt="","No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97</v>
      </c>
      <c r="J28" s="33" t="s">
        <v>80</v>
      </c>
      <c r="K28" s="4">
        <v>46185</v>
      </c>
      <c r="L28" s="36"/>
      <c r="M28" s="36">
        <v>46169</v>
      </c>
      <c r="N28" s="36" t="s">
        <v>43</v>
      </c>
      <c r="O28" s="36"/>
      <c r="P28" s="64" t="s">
        <v>73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/>
      <c r="AD28" s="38" t="s">
        <v>47</v>
      </c>
      <c r="AE28" s="36">
        <v>46197</v>
      </c>
      <c r="AF28" s="39"/>
      <c r="AG28" s="33"/>
      <c r="AH28" s="40" t="s">
        <v>50</v>
      </c>
      <c r="AI28" s="74" t="str">
        <f>IF($B28="","",IF(AND(LEFT($AH28,3)="Yes",SUMPRODUCT(('Rework Log'!$A$3:$A$500=$B28)*('Rework Log'!$G$3:$G$500&lt;&gt;"Yes")*('Rework Log'!$G$3:$G$500&lt;&gt;"Did not pass re-test"))=0),"Blocked - log it on Rework Log",IF(AND(LEFT($AH28,3)&lt;&gt;"Yes",SUMPRODUCT(('Rework Log'!$A$3:$A$500=$B28)*('Rework Log'!$G$3:$G$500&lt;&gt;"Yes")*('Rework Log'!$G$3:$G$500&lt;&gt;"Did not pass re-test"))&gt;0),"Open rework row - mark Blocked? or close it",IF(AND($AH28="Yes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H)",IF(AND($AH28="Yes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H)",IF(AND($AH28="Yes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target",IF(AND(AE28&lt;&gt;"",Z28&lt;&gt;"",AE28&lt;Z28),"Confirmed Deployed date is before DPO Approval target",""))))))))))))</f>
        <v>Confirmed Deployed date is before DPO Approval target</v>
      </c>
      <c r="AJ28" s="41" t="s">
        <v>115</v>
      </c>
      <c r="AK28" s="31" t="str" cm="1">
        <f t="array" ref="AK28">_xlfn.LET(_xlpm.rep,$B28,_xlpm.sent,_xlfn.MAXIFS('Rework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8" s="31" t="str" cm="1">
        <f t="array" ref="AL28">_xlfn.LET(_xlpm.rep,$B28,_xlpm.sent,_xlfn.MAXIFS('Rework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9" spans="1:38" ht="14.45">
      <c r="A29" s="33" t="s">
        <v>116</v>
      </c>
      <c r="B29" s="33" t="s">
        <v>117</v>
      </c>
      <c r="C29" s="33" t="s">
        <v>118</v>
      </c>
      <c r="D29" t="str" cm="1">
        <f t="array" aca="1" ref="D29" ca="1">IF($B29="","",IF(LEFT($AH29,3)="Yes","Blocked - "&amp;MID($AH29,7,100)&amp;IF(SUMPRODUCT(('Rework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Dev",_xlfn.LET(_xlpm.sent,_xlfn.MAXIFS('Rework Log'!$B$3:$B$500,'Rework Log'!$A$3:$A$500,$B29,'Rework Log'!$D$3:$D$500,"DB Dev"),_xlpm.expfix,_xlfn.MAXIFS('Rework Log'!$I$3:$I$500,'Rework Log'!$A$3:$A$500,$B29,'Rework Log'!$D$3:$D$500,"DB Dev",'Rework Log'!$B$3:$B$500,_xlpm.sent),_xlpm.tgt,IF(_xlpm.expfix&gt;0,_xlpm.expfix,IF(L29&lt;&gt;"",L29,K29)),_xlpm.act,IF(AND(M29&lt;&gt;"",M29&gt;=_xlpm.sent),M29,""),IF(_xlpm.tgt="","No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Log'!$B$3:$B$500,'Rework Log'!$A$3:$A$500,$B29,'Rework Log'!$D$3:$D$500,"PBI Dev"),_xlpm.expfix,_xlfn.MAXIFS('Rework Log'!$I$3:$I$500,'Rework Log'!$A$3:$A$500,$B29,'Rework Log'!$D$3:$D$500,"PBI Dev",'Rework Log'!$B$3:$B$500,_xlpm.sent),_xlpm.tgt,IF(_xlpm.expfix&gt;0,_xlpm.expfix,IF(R29&lt;&gt;"",R29,Q29)),_xlpm.act,IF(AND(S29&lt;&gt;"",S29&gt;=_xlpm.sent),S29,""),IF(_xlpm.tgt="","No target set",IF(AND(_xlpm.tgt&lt;TODAY(),_xlpm.act=""),"Overdue","On track"))),IF(C29="QA",_xlfn.LET(_xlpm.tgt,IF(AK29&lt;&gt;"",AK29,IF(W29&lt;&gt;"",W29,V29)),_xlpm.sent,_xlfn.MAXIFS('Rework Log'!$B$3:$B$500,'Rework Log'!$A$3:$A$500,$B29,'Rework Log'!$C$3:$C$500,"QA"),_xlpm.act,IF(AND(X29&lt;&gt;"",X29&gt;=_xlpm.sent),X29,""),IF(_xlpm.tgt="","No target set",IF(AND(_xlpm.tgt&lt;TODAY(),_xlpm.act=""),"Overdue","On track"))),IF(C29="DPO Approval",_xlfn.LET(_xlpm.tgt,IF(AL29&lt;&gt;"",AL29,IF(AA29&lt;&gt;"",AA29,Z29)),_xlpm.sent,_xlfn.MAXIFS('Rework Log'!$B$3:$B$500,'Rework Log'!$A$3:$A$500,$B29,'Rework Log'!$C$3:$C$500,"DPO*"),_xlpm.act,IF(AND(AB29&lt;&gt;"",AB29&gt;=_xlpm.sent),AB29,""),IF(_xlpm.tgt="","No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119</v>
      </c>
      <c r="G29" s="33"/>
      <c r="H29" s="50">
        <v>46234</v>
      </c>
      <c r="I29" s="62" t="s">
        <v>120</v>
      </c>
      <c r="J29" s="33" t="s">
        <v>72</v>
      </c>
      <c r="K29" s="4">
        <v>46213</v>
      </c>
      <c r="L29" s="36">
        <v>46244</v>
      </c>
      <c r="M29" s="37">
        <v>46245</v>
      </c>
      <c r="N29" s="47" t="s">
        <v>43</v>
      </c>
      <c r="O29" s="36" t="s">
        <v>121</v>
      </c>
      <c r="P29" s="66" t="s">
        <v>57</v>
      </c>
      <c r="Q29" s="4">
        <v>46220</v>
      </c>
      <c r="R29" s="36">
        <v>46245</v>
      </c>
      <c r="S29" s="75">
        <v>46245</v>
      </c>
      <c r="T29" s="70"/>
      <c r="U29" s="55" t="s">
        <v>119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46261</v>
      </c>
      <c r="AB29" s="36"/>
      <c r="AC29" s="33"/>
      <c r="AD29" s="38"/>
      <c r="AE29" s="36"/>
      <c r="AF29" s="39"/>
      <c r="AG29" s="33"/>
      <c r="AH29" s="40" t="s">
        <v>50</v>
      </c>
      <c r="AI29" s="74" t="str">
        <f>IF($B29="","",IF(AND(LEFT($AH29,3)="Yes",SUMPRODUCT(('Rework Log'!$A$3:$A$500=$B29)*('Rework Log'!$G$3:$G$500&lt;&gt;"Yes")*('Rework Log'!$G$3:$G$500&lt;&gt;"Did not pass re-test"))=0),"Blocked - log it on Rework Log",IF(AND(LEFT($AH29,3)&lt;&gt;"Yes",SUMPRODUCT(('Rework Log'!$A$3:$A$500=$B29)*('Rework Log'!$G$3:$G$500&lt;&gt;"Yes")*('Rework Log'!$G$3:$G$500&lt;&gt;"Did not pass re-test"))&gt;0),"Open rework row - mark Blocked? or close it",IF(AND($AH29="Yes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H)",IF(AND($AH29="Yes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H)",IF(AND($AH29="Yes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target",IF(AND(AE29&lt;&gt;"",Z29&lt;&gt;"",AE29&lt;Z29),"Confirmed Deployed date is before DPO Approval target",""))))))))))))</f>
        <v/>
      </c>
      <c r="AJ29" s="41" t="s">
        <v>122</v>
      </c>
      <c r="AK29" s="32" cm="1">
        <f t="array" ref="AK29">_xlfn.LET(_xlpm.rep,$B29,_xlpm.sent,_xlfn.MAXIFS('Rework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46248</v>
      </c>
      <c r="AL29" s="32" t="str" cm="1">
        <f t="array" ref="AL29">_xlfn.LET(_xlpm.rep,$B29,_xlpm.sent,_xlfn.MAXIFS('Rework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0" spans="1:38" ht="14.45">
      <c r="A30" s="33" t="s">
        <v>116</v>
      </c>
      <c r="B30" s="33" t="s">
        <v>123</v>
      </c>
      <c r="C30" s="33" t="s">
        <v>118</v>
      </c>
      <c r="D30" t="str" cm="1">
        <f t="array" aca="1" ref="D30" ca="1">IF($B30="","",IF(LEFT($AH30,3)="Yes","Blocked - "&amp;MID($AH30,7,100)&amp;IF(SUMPRODUCT(('Rework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track")),IF(C30="QA",_xlfn.LET(_xlpm.tgt,IF(AK30&lt;&gt;"",AK30,IF(W30&lt;&gt;"",W30,V30)),_xlpm.sent,_xlfn.MAXIFS('Rework Log'!$B$3:$B$500,'Rework Log'!$A$3:$A$500,$B30,'Rework Log'!$C$3:$C$500,"QA"),_xlpm.act,IF(AND(X30&lt;&gt;"",X30&gt;_xlpm.sent),X30,""),IF(_xlpm.tgt="","No target set",IF(AND(_xlpm.tgt&lt;TODAY(),_xlpm.act=""),"Overdue","On track"))),IF(C30="DPO Approval",_xlfn.LET(_xlpm.tgt,IF(AL30&lt;&gt;"",AL30,IF(AA30&lt;&gt;"",AA30,Z30)),_xlpm.sent,_xlfn.MAXIFS('Rework Log'!$B$3:$B$500,'Rework Log'!$A$3:$A$500,$B30,'Rework Log'!$C$3:$C$500,"DPO*"),_xlpm.act,IF(AND(AB30&lt;&gt;"",AB30&gt;_xlpm.sent),AB30,""),IF(_xlpm.tgt="","No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119</v>
      </c>
      <c r="G30" s="33"/>
      <c r="H30" s="50">
        <v>46234</v>
      </c>
      <c r="I30" s="62" t="s">
        <v>120</v>
      </c>
      <c r="J30" s="33" t="s">
        <v>109</v>
      </c>
      <c r="K30" s="4">
        <v>46213</v>
      </c>
      <c r="L30" s="36">
        <v>46244</v>
      </c>
      <c r="M30" s="35">
        <v>46255</v>
      </c>
      <c r="N30" s="47" t="s">
        <v>43</v>
      </c>
      <c r="O30" s="36" t="s">
        <v>121</v>
      </c>
      <c r="P30" s="66" t="s">
        <v>73</v>
      </c>
      <c r="Q30" s="4">
        <v>46220</v>
      </c>
      <c r="R30" s="36">
        <v>46245</v>
      </c>
      <c r="S30" s="36">
        <v>46246</v>
      </c>
      <c r="T30" s="70"/>
      <c r="U30" s="55" t="s">
        <v>119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46266</v>
      </c>
      <c r="AB30" s="36"/>
      <c r="AC30" s="33"/>
      <c r="AD30" s="38"/>
      <c r="AE30" s="36"/>
      <c r="AF30" s="39"/>
      <c r="AG30" s="33"/>
      <c r="AH30" s="40" t="s">
        <v>50</v>
      </c>
      <c r="AI30" s="74" t="str">
        <f>IF($B30="","",IF(AND(LEFT($AH30,3)="Yes",SUMPRODUCT(('Rework Log'!$A$3:$A$500=$B30)*('Rework Log'!$G$3:$G$500&lt;&gt;"Yes")*('Rework Log'!$G$3:$G$500&lt;&gt;"Did not pass re-test"))=0),"Blocked - log it on Rework Log",IF(AND(LEFT($AH30,3)&lt;&gt;"Yes",SUMPRODUCT(('Rework Log'!$A$3:$A$500=$B30)*('Rework Log'!$G$3:$G$500&lt;&gt;"Yes")*('Rework Log'!$G$3:$G$500&lt;&gt;"Did not pass re-test"))&gt;0),"Open rework row - mark Blocked? or close it",IF(AND($AH30="Yes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H)",IF(AND($AH30="Yes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H)",IF(AND($AH30="Yes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target",IF(AND(AE30&lt;&gt;"",Z30&lt;&gt;"",AE30&lt;Z30),"Confirmed Deployed date is before DPO Approval target",""))))))))))))</f>
        <v/>
      </c>
      <c r="AJ30" s="41" t="s">
        <v>124</v>
      </c>
      <c r="AK30" s="32" cm="1">
        <f t="array" ref="AK30">_xlfn.LET(_xlpm.rep,$B30,_xlpm.sent,_xlfn.MAXIFS('Rework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L30" s="32" t="str" cm="1">
        <f t="array" ref="AL30">_xlfn.LET(_xlpm.rep,$B30,_xlpm.sent,_xlfn.MAXIFS('Rework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1" spans="1:38" ht="14.45">
      <c r="A31" s="33" t="s">
        <v>116</v>
      </c>
      <c r="B31" s="33" t="s">
        <v>125</v>
      </c>
      <c r="C31" s="33" t="s">
        <v>118</v>
      </c>
      <c r="D31" t="str" cm="1">
        <f t="array" aca="1" ref="D31" ca="1">IF($B31="","",IF(LEFT($AH31,3)="Yes","Blocked - "&amp;MID($AH31,7,100)&amp;IF(SUMPRODUCT(('Rework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track")),IF(C31="QA",_xlfn.LET(_xlpm.tgt,IF(AK31&lt;&gt;"",AK31,IF(W31&lt;&gt;"",W31,V31)),_xlpm.sent,_xlfn.MAXIFS('Rework Log'!$B$3:$B$500,'Rework Log'!$A$3:$A$500,$B31,'Rework Log'!$C$3:$C$500,"QA"),_xlpm.act,IF(AND(X31&lt;&gt;"",X31&gt;_xlpm.sent),X31,""),IF(_xlpm.tgt="","No target set",IF(AND(_xlpm.tgt&lt;TODAY(),_xlpm.act=""),"Overdue","On track"))),IF(C31="DPO Approval",_xlfn.LET(_xlpm.tgt,IF(AL31&lt;&gt;"",AL31,IF(AA31&lt;&gt;"",AA31,Z31)),_xlpm.sent,_xlfn.MAXIFS('Rework Log'!$B$3:$B$500,'Rework Log'!$A$3:$A$500,$B31,'Rework Log'!$C$3:$C$500,"DPO*"),_xlpm.act,IF(AND(AB31&lt;&gt;"",AB31&gt;_xlpm.sent),AB31,""),IF(_xlpm.tgt="","No target set",IF(AND(_xlpm.tgt&lt;TODAY(),_xlpm.act=""),"Overdue","On track"))),IF(C31="RELEASED IN PROD","Delivered",""))))))))</f>
        <v>Overdue</v>
      </c>
      <c r="E31" s="33">
        <v>3</v>
      </c>
      <c r="F31" s="34" t="s">
        <v>119</v>
      </c>
      <c r="G31" s="33"/>
      <c r="H31" s="50">
        <v>46234</v>
      </c>
      <c r="I31" s="62" t="s">
        <v>120</v>
      </c>
      <c r="J31" s="33" t="s">
        <v>109</v>
      </c>
      <c r="K31" s="4">
        <v>46213</v>
      </c>
      <c r="L31" s="36">
        <v>46245</v>
      </c>
      <c r="M31" s="35">
        <v>46246</v>
      </c>
      <c r="N31" s="47" t="s">
        <v>43</v>
      </c>
      <c r="O31" s="36" t="s">
        <v>121</v>
      </c>
      <c r="P31" s="66" t="s">
        <v>73</v>
      </c>
      <c r="Q31" s="4">
        <v>46220</v>
      </c>
      <c r="R31" s="36">
        <v>46246</v>
      </c>
      <c r="S31" s="36">
        <v>46251</v>
      </c>
      <c r="T31" s="70"/>
      <c r="U31" s="55" t="s">
        <v>119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46259</v>
      </c>
      <c r="AB31" s="36"/>
      <c r="AC31" s="33"/>
      <c r="AD31" s="38"/>
      <c r="AE31" s="36"/>
      <c r="AF31" s="39"/>
      <c r="AG31" s="33"/>
      <c r="AH31" s="40" t="s">
        <v>50</v>
      </c>
      <c r="AI31" s="74" t="str">
        <f>IF($B31="","",IF(AND(LEFT($AH31,3)="Yes",SUMPRODUCT(('Rework Log'!$A$3:$A$500=$B31)*('Rework Log'!$G$3:$G$500&lt;&gt;"Yes")*('Rework Log'!$G$3:$G$500&lt;&gt;"Did not pass re-test"))=0),"Blocked - log it on Rework Log",IF(AND(LEFT($AH31,3)&lt;&gt;"Yes",SUMPRODUCT(('Rework Log'!$A$3:$A$500=$B31)*('Rework Log'!$G$3:$G$500&lt;&gt;"Yes")*('Rework Log'!$G$3:$G$500&lt;&gt;"Did not pass re-test"))&gt;0),"Open rework row - mark Blocked? or close it",IF(AND($AH31="Yes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H)",IF(AND($AH31="Yes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H)",IF(AND($AH31="Yes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target",IF(AND(AE31&lt;&gt;"",Z31&lt;&gt;"",AE31&lt;Z31),"Confirmed Deployed date is before DPO Approval target",""))))))))))))</f>
        <v/>
      </c>
      <c r="AJ31" s="41" t="s">
        <v>126</v>
      </c>
      <c r="AK31" s="32" t="str" cm="1">
        <f t="array" ref="AK31">_xlfn.LET(_xlpm.rep,$B31,_xlpm.sent,_xlfn.MAXIFS('Rework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31" s="32" t="str" cm="1">
        <f t="array" ref="AL31">_xlfn.LET(_xlpm.rep,$B31,_xlpm.sent,_xlfn.MAXIFS('Rework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2" spans="1:38" ht="14.45">
      <c r="A32" s="33" t="s">
        <v>116</v>
      </c>
      <c r="B32" s="33" t="s">
        <v>127</v>
      </c>
      <c r="C32" s="33" t="s">
        <v>128</v>
      </c>
      <c r="D32" t="str" cm="1">
        <f t="array" aca="1" ref="D32" ca="1">IF($B32="","",IF(LEFT($AH32,3)="Yes","Blocked - "&amp;MID($AH32,7,100)&amp;IF(SUMPRODUCT(('Rework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track")),IF(C32="QA",_xlfn.LET(_xlpm.tgt,IF(AK32&lt;&gt;"",AK32,IF(W32&lt;&gt;"",W32,V32)),_xlpm.sent,_xlfn.MAXIFS('Rework Log'!$B$3:$B$500,'Rework Log'!$A$3:$A$500,$B32,'Rework Log'!$C$3:$C$500,"QA"),_xlpm.act,IF(AND(X32&lt;&gt;"",X32&gt;_xlpm.sent),X32,""),IF(_xlpm.tgt="","No target set",IF(AND(_xlpm.tgt&lt;TODAY(),_xlpm.act=""),"Overdue","On track"))),IF(C32="DPO Approval",_xlfn.LET(_xlpm.tgt,IF(AL32&lt;&gt;"",AL32,IF(AA32&lt;&gt;"",AA32,Z32)),_xlpm.sent,_xlfn.MAXIFS('Rework Log'!$B$3:$B$500,'Rework Log'!$A$3:$A$500,$B32,'Rework Log'!$C$3:$C$500,"DPO*"),_xlpm.act,IF(AND(AB32&lt;&gt;"",AB32&gt;_xlpm.sent),AB32,""),IF(_xlpm.tgt="","No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119</v>
      </c>
      <c r="G32" s="33"/>
      <c r="H32" s="50">
        <v>46234</v>
      </c>
      <c r="I32" s="62" t="s">
        <v>120</v>
      </c>
      <c r="J32" s="33" t="s">
        <v>56</v>
      </c>
      <c r="K32" s="4">
        <v>46213</v>
      </c>
      <c r="L32" s="36"/>
      <c r="M32" s="37">
        <v>46258</v>
      </c>
      <c r="N32" s="47" t="s">
        <v>43</v>
      </c>
      <c r="O32" s="36" t="s">
        <v>121</v>
      </c>
      <c r="P32" s="66" t="s">
        <v>44</v>
      </c>
      <c r="Q32" s="4">
        <v>46220</v>
      </c>
      <c r="R32" s="36">
        <v>46251</v>
      </c>
      <c r="S32" s="36">
        <v>46253</v>
      </c>
      <c r="T32" s="70"/>
      <c r="U32" s="55" t="s">
        <v>45</v>
      </c>
      <c r="V32" s="60">
        <v>46227</v>
      </c>
      <c r="W32" s="36">
        <v>46261</v>
      </c>
      <c r="X32" s="36"/>
      <c r="Y32" s="36"/>
      <c r="Z32" s="53">
        <v>46232</v>
      </c>
      <c r="AA32" s="36">
        <v>46273</v>
      </c>
      <c r="AB32" s="36"/>
      <c r="AC32" s="33"/>
      <c r="AD32" s="38"/>
      <c r="AE32" s="36"/>
      <c r="AF32" s="39"/>
      <c r="AG32" s="33"/>
      <c r="AH32" s="40" t="s">
        <v>50</v>
      </c>
      <c r="AI32" s="74" t="str">
        <f>IF($B32="","",IF(AND(LEFT($AH32,3)="Yes",SUMPRODUCT(('Rework Log'!$A$3:$A$500=$B32)*('Rework Log'!$G$3:$G$500&lt;&gt;"Yes")*('Rework Log'!$G$3:$G$500&lt;&gt;"Did not pass re-test"))=0),"Blocked - log it on Rework Log",IF(AND(LEFT($AH32,3)&lt;&gt;"Yes",SUMPRODUCT(('Rework Log'!$A$3:$A$500=$B32)*('Rework Log'!$G$3:$G$500&lt;&gt;"Yes")*('Rework Log'!$G$3:$G$500&lt;&gt;"Did not pass re-test"))&gt;0),"Open rework row - mark Blocked? or close it",IF(AND($AH32="Yes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H)",IF(AND($AH32="Yes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H)",IF(AND($AH32="Yes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target",IF(AND(AE32&lt;&gt;"",Z32&lt;&gt;"",AE32&lt;Z32),"Confirmed Deployed date is before DPO Approval target",""))))))))))))</f>
        <v>Open rework row - mark Blocked? or close it</v>
      </c>
      <c r="AJ32" s="41" t="s">
        <v>129</v>
      </c>
      <c r="AK32" s="32" cm="1">
        <f t="array" ref="AK32">_xlfn.LET(_xlpm.rep,$B32,_xlpm.sent,_xlfn.MAXIFS('Rework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2" s="32" t="str" cm="1">
        <f t="array" ref="AL32">_xlfn.LET(_xlpm.rep,$B32,_xlpm.sent,_xlfn.MAXIFS('Rework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3" spans="1:38" ht="14.45">
      <c r="A33" s="33" t="s">
        <v>116</v>
      </c>
      <c r="B33" s="33" t="s">
        <v>130</v>
      </c>
      <c r="C33" s="33" t="s">
        <v>118</v>
      </c>
      <c r="D33" t="str" cm="1">
        <f t="array" aca="1" ref="D33" ca="1">IF($B33="","",IF(LEFT($AH33,3)="Yes","Blocked - "&amp;MID($AH33,7,100)&amp;IF(SUMPRODUCT(('Rework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track")),IF(C33="QA",_xlfn.LET(_xlpm.tgt,IF(AK33&lt;&gt;"",AK33,IF(W33&lt;&gt;"",W33,V33)),_xlpm.sent,_xlfn.MAXIFS('Rework Log'!$B$3:$B$500,'Rework Log'!$A$3:$A$500,$B33,'Rework Log'!$C$3:$C$500,"QA"),_xlpm.act,IF(AND(X33&lt;&gt;"",X33&gt;_xlpm.sent),X33,""),IF(_xlpm.tgt="","No target set",IF(AND(_xlpm.tgt&lt;TODAY(),_xlpm.act=""),"Overdue","On track"))),IF(C33="DPO Approval",_xlfn.LET(_xlpm.tgt,IF(AL33&lt;&gt;"",AL33,IF(AA33&lt;&gt;"",AA33,Z33)),_xlpm.sent,_xlfn.MAXIFS('Rework Log'!$B$3:$B$500,'Rework Log'!$A$3:$A$500,$B33,'Rework Log'!$C$3:$C$500,"DPO*"),_xlpm.act,IF(AND(AB33&lt;&gt;"",AB33&gt;_xlpm.sent),AB33,""),IF(_xlpm.tgt="","No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119</v>
      </c>
      <c r="G33" s="33"/>
      <c r="H33" s="50">
        <v>46234</v>
      </c>
      <c r="I33" s="62" t="s">
        <v>120</v>
      </c>
      <c r="J33" s="33" t="s">
        <v>98</v>
      </c>
      <c r="K33" s="4">
        <v>46213</v>
      </c>
      <c r="L33" s="36">
        <v>46246</v>
      </c>
      <c r="M33" s="37">
        <v>46251</v>
      </c>
      <c r="N33" s="47" t="s">
        <v>43</v>
      </c>
      <c r="O33" s="36" t="s">
        <v>121</v>
      </c>
      <c r="P33" s="66" t="s">
        <v>73</v>
      </c>
      <c r="Q33" s="4">
        <v>46220</v>
      </c>
      <c r="R33" s="36">
        <v>46246</v>
      </c>
      <c r="S33" s="36">
        <v>46244</v>
      </c>
      <c r="T33" s="70"/>
      <c r="U33" s="55" t="s">
        <v>45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46265</v>
      </c>
      <c r="AB33" s="36"/>
      <c r="AC33" s="33"/>
      <c r="AD33" s="38"/>
      <c r="AE33" s="36"/>
      <c r="AF33" s="39"/>
      <c r="AG33" s="33"/>
      <c r="AH33" s="40" t="s">
        <v>50</v>
      </c>
      <c r="AI33" s="74"/>
      <c r="AJ33" s="41" t="s">
        <v>131</v>
      </c>
      <c r="AK33" s="32" cm="1">
        <f t="array" ref="AK33">_xlfn.LET(_xlpm.rep,$B33,_xlpm.sent,_xlfn.MAXIFS('Rework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46254</v>
      </c>
      <c r="AL33" s="32" t="str" cm="1">
        <f t="array" ref="AL33">_xlfn.LET(_xlpm.rep,$B33,_xlpm.sent,_xlfn.MAXIFS('Rework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4" spans="1:38" ht="14.45">
      <c r="A34" s="33" t="s">
        <v>116</v>
      </c>
      <c r="B34" s="33" t="s">
        <v>132</v>
      </c>
      <c r="C34" s="33" t="s">
        <v>118</v>
      </c>
      <c r="D34" t="str" cm="1">
        <f t="array" aca="1" ref="D34" ca="1">IF($B34="","",IF(LEFT($AH34,3)="Yes","Blocked - "&amp;MID($AH34,7,100)&amp;IF(SUMPRODUCT(('Rework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track")),IF(C34="QA",_xlfn.LET(_xlpm.tgt,IF(AK34&lt;&gt;"",AK34,IF(W34&lt;&gt;"",W34,V34)),_xlpm.sent,_xlfn.MAXIFS('Rework Log'!$B$3:$B$500,'Rework Log'!$A$3:$A$500,$B34,'Rework Log'!$C$3:$C$500,"QA"),_xlpm.act,IF(AND(X34&lt;&gt;"",X34&gt;_xlpm.sent),X34,""),IF(_xlpm.tgt="","No target set",IF(AND(_xlpm.tgt&lt;TODAY(),_xlpm.act=""),"Overdue","On track"))),IF(C34="DPO Approval",_xlfn.LET(_xlpm.tgt,IF(AL34&lt;&gt;"",AL34,IF(AA34&lt;&gt;"",AA34,Z34)),_xlpm.sent,_xlfn.MAXIFS('Rework Log'!$B$3:$B$500,'Rework Log'!$A$3:$A$500,$B34,'Rework Log'!$C$3:$C$500,"DPO*"),_xlpm.act,IF(AND(AB34&lt;&gt;"",AB34&gt;_xlpm.sent),AB34,""),IF(_xlpm.tgt="","No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133</v>
      </c>
      <c r="G34" s="33"/>
      <c r="H34" s="50">
        <v>46234</v>
      </c>
      <c r="I34" s="62" t="s">
        <v>120</v>
      </c>
      <c r="J34" s="33" t="s">
        <v>80</v>
      </c>
      <c r="K34" s="4">
        <v>46213</v>
      </c>
      <c r="L34" s="36">
        <v>46246</v>
      </c>
      <c r="M34" s="36">
        <v>46252</v>
      </c>
      <c r="N34" s="36" t="s">
        <v>43</v>
      </c>
      <c r="O34" s="36" t="s">
        <v>121</v>
      </c>
      <c r="P34" s="66" t="s">
        <v>57</v>
      </c>
      <c r="Q34" s="4">
        <v>46220</v>
      </c>
      <c r="R34" s="36">
        <v>46246</v>
      </c>
      <c r="S34" s="36">
        <v>46251</v>
      </c>
      <c r="T34" s="70"/>
      <c r="U34" s="55" t="s">
        <v>133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46266</v>
      </c>
      <c r="AB34" s="36"/>
      <c r="AC34" s="33"/>
      <c r="AD34" s="38"/>
      <c r="AE34" s="36"/>
      <c r="AF34" s="39"/>
      <c r="AG34" s="33"/>
      <c r="AH34" s="40" t="s">
        <v>50</v>
      </c>
      <c r="AI34" s="74" t="str">
        <f>IF($B34="","",IF(AND(LEFT($AH34,3)="Yes",SUMPRODUCT(('Rework Log'!$A$3:$A$500=$B34)*('Rework Log'!$G$3:$G$500&lt;&gt;"Yes")*('Rework Log'!$G$3:$G$500&lt;&gt;"Did not pass re-test"))=0),"Blocked - log it on Rework Log",IF(AND(LEFT($AH34,3)&lt;&gt;"Yes",SUMPRODUCT(('Rework Log'!$A$3:$A$500=$B34)*('Rework Log'!$G$3:$G$500&lt;&gt;"Yes")*('Rework Log'!$G$3:$G$500&lt;&gt;"Did not pass re-test"))&gt;0),"Open rework row - mark Blocked? or close it",IF(AND($AH34="Yes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H)",IF(AND($AH34="Yes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H)",IF(AND($AH34="Yes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target",IF(AND(AE34&lt;&gt;"",Z34&lt;&gt;"",AE34&lt;Z34),"Confirmed Deployed date is before DPO Approval target",""))))))))))))</f>
        <v/>
      </c>
      <c r="AJ34" s="41" t="s">
        <v>134</v>
      </c>
      <c r="AK34" s="32" cm="1">
        <f t="array" ref="AK34">_xlfn.LET(_xlpm.rep,$B34,_xlpm.sent,_xlfn.MAXIFS('Rework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46255</v>
      </c>
      <c r="AL34" s="32" t="str" cm="1">
        <f t="array" ref="AL34">_xlfn.LET(_xlpm.rep,$B34,_xlpm.sent,_xlfn.MAXIFS('Rework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5" spans="1:38" ht="14.45">
      <c r="A35" s="33" t="s">
        <v>116</v>
      </c>
      <c r="B35" s="33" t="s">
        <v>135</v>
      </c>
      <c r="C35" s="33" t="s">
        <v>128</v>
      </c>
      <c r="D35" t="str" cm="1">
        <f t="array" aca="1" ref="D35" ca="1">IF($B35="","",IF(LEFT($AH35,3)="Yes","Blocked - "&amp;MID($AH35,7,100)&amp;IF(SUMPRODUCT(('Rework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track")),IF(C35="QA",_xlfn.LET(_xlpm.tgt,IF(AK35&lt;&gt;"",AK35,IF(W35&lt;&gt;"",W35,V35)),_xlpm.sent,_xlfn.MAXIFS('Rework Log'!$B$3:$B$500,'Rework Log'!$A$3:$A$500,$B35,'Rework Log'!$C$3:$C$500,"QA"),_xlpm.act,IF(AND(X35&lt;&gt;"",X35&gt;_xlpm.sent),X35,""),IF(_xlpm.tgt="","No target set",IF(AND(_xlpm.tgt&lt;TODAY(),_xlpm.act=""),"Overdue","On track"))),IF(C35="DPO Approval",_xlfn.LET(_xlpm.tgt,IF(AL35&lt;&gt;"",AL35,IF(AA35&lt;&gt;"",AA35,Z35)),_xlpm.sent,_xlfn.MAXIFS('Rework Log'!$B$3:$B$500,'Rework Log'!$A$3:$A$500,$B35,'Rework Log'!$C$3:$C$500,"DPO*"),_xlpm.act,IF(AND(AB35&lt;&gt;"",AB35&gt;_xlpm.sent),AB35,""),IF(_xlpm.tgt="","No target set",IF(AND(_xlpm.tgt&lt;TODAY(),_xlpm.act=""),"Overdue","On track"))),IF(C35="RELEASED IN PROD","Delivered",""))))))))</f>
        <v>On track</v>
      </c>
      <c r="E35" s="33">
        <v>7</v>
      </c>
      <c r="F35" s="34" t="s">
        <v>133</v>
      </c>
      <c r="G35" s="33"/>
      <c r="H35" s="50">
        <v>46234</v>
      </c>
      <c r="I35" s="62" t="s">
        <v>120</v>
      </c>
      <c r="J35" s="33" t="s">
        <v>109</v>
      </c>
      <c r="K35" s="4">
        <v>46213</v>
      </c>
      <c r="L35" s="36">
        <v>46244</v>
      </c>
      <c r="M35" s="35">
        <v>46258</v>
      </c>
      <c r="N35" s="47" t="s">
        <v>43</v>
      </c>
      <c r="O35" s="36" t="s">
        <v>121</v>
      </c>
      <c r="P35" s="66" t="s">
        <v>44</v>
      </c>
      <c r="Q35" s="4">
        <v>46220</v>
      </c>
      <c r="R35" s="36">
        <v>46251</v>
      </c>
      <c r="S35" s="36">
        <v>46258</v>
      </c>
      <c r="T35" s="70"/>
      <c r="U35" s="55" t="s">
        <v>133</v>
      </c>
      <c r="V35" s="60">
        <v>46227</v>
      </c>
      <c r="W35" s="36">
        <v>46261</v>
      </c>
      <c r="X35" s="36"/>
      <c r="Y35" s="36"/>
      <c r="Z35" s="53">
        <v>46232</v>
      </c>
      <c r="AA35" s="36">
        <v>46273</v>
      </c>
      <c r="AB35" s="36"/>
      <c r="AC35" s="33"/>
      <c r="AD35" s="38"/>
      <c r="AE35" s="36"/>
      <c r="AF35" s="39"/>
      <c r="AG35" s="33"/>
      <c r="AH35" s="40" t="s">
        <v>50</v>
      </c>
      <c r="AI35" s="74" t="str">
        <f>IF($B35="","",IF(AND(LEFT($AH35,3)="Yes",SUMPRODUCT(('Rework Log'!$A$3:$A$500=$B35)*('Rework Log'!$G$3:$G$500&lt;&gt;"Yes")*('Rework Log'!$G$3:$G$500&lt;&gt;"Did not pass re-test"))=0),"Blocked - log it on Rework Log",IF(AND(LEFT($AH35,3)&lt;&gt;"Yes",SUMPRODUCT(('Rework Log'!$A$3:$A$500=$B35)*('Rework Log'!$G$3:$G$500&lt;&gt;"Yes")*('Rework Log'!$G$3:$G$500&lt;&gt;"Did not pass re-test"))&gt;0),"Open rework row - mark Blocked? or close it",IF(AND($AH35="Yes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H)",IF(AND($AH35="Yes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H)",IF(AND($AH35="Yes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target",IF(AND(AE35&lt;&gt;"",Z35&lt;&gt;"",AE35&lt;Z35),"Confirmed Deployed date is before DPO Approval target",""))))))))))))</f>
        <v>Open rework row - mark Blocked? or close it</v>
      </c>
      <c r="AJ35" s="41" t="s">
        <v>136</v>
      </c>
      <c r="AK35" s="32" cm="1">
        <f t="array" ref="AK35">_xlfn.LET(_xlpm.rep,$B35,_xlpm.sent,_xlfn.MAXIFS('Rework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5" s="32" t="str" cm="1">
        <f t="array" ref="AL35">_xlfn.LET(_xlpm.rep,$B35,_xlpm.sent,_xlfn.MAXIFS('Rework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6" spans="1:38" ht="14.45">
      <c r="A36" s="33" t="s">
        <v>116</v>
      </c>
      <c r="B36" s="33" t="s">
        <v>137</v>
      </c>
      <c r="C36" s="33" t="s">
        <v>128</v>
      </c>
      <c r="D36" t="str" cm="1">
        <f t="array" aca="1" ref="D36" ca="1">IF($B36="","",IF(LEFT($AH36,3)="Yes","Blocked - "&amp;MID($AH36,7,100)&amp;IF(SUMPRODUCT(('Rework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track")),IF(C36="QA",_xlfn.LET(_xlpm.tgt,IF(AK36&lt;&gt;"",AK36,IF(W36&lt;&gt;"",W36,V36)),_xlpm.sent,_xlfn.MAXIFS('Rework Log'!$B$3:$B$500,'Rework Log'!$A$3:$A$500,$B36,'Rework Log'!$C$3:$C$500,"QA"),_xlpm.act,IF(AND(X36&lt;&gt;"",X36&gt;_xlpm.sent),X36,""),IF(_xlpm.tgt="","No target set",IF(AND(_xlpm.tgt&lt;TODAY(),_xlpm.act=""),"Overdue","On track"))),IF(C36="DPO Approval",_xlfn.LET(_xlpm.tgt,IF(AL36&lt;&gt;"",AL36,IF(AA36&lt;&gt;"",AA36,Z36)),_xlpm.sent,_xlfn.MAXIFS('Rework Log'!$B$3:$B$500,'Rework Log'!$A$3:$A$500,$B36,'Rework Log'!$C$3:$C$500,"DPO*"),_xlpm.act,IF(AND(AB36&lt;&gt;"",AB36&gt;_xlpm.sent),AB36,""),IF(_xlpm.tgt="","No target set",IF(AND(_xlpm.tgt&lt;TODAY(),_xlpm.act=""),"Overdue","On track"))),IF(C36="RELEASED IN PROD","Delivered",""))))))))</f>
        <v>On track</v>
      </c>
      <c r="E36" s="33">
        <v>8</v>
      </c>
      <c r="F36" s="34" t="s">
        <v>133</v>
      </c>
      <c r="G36" s="33"/>
      <c r="H36" s="50">
        <v>46234</v>
      </c>
      <c r="I36" s="62" t="s">
        <v>120</v>
      </c>
      <c r="J36" s="33" t="s">
        <v>109</v>
      </c>
      <c r="K36" s="4">
        <v>46213</v>
      </c>
      <c r="L36" s="36">
        <v>46245</v>
      </c>
      <c r="M36" s="36">
        <v>46258</v>
      </c>
      <c r="N36" s="36" t="s">
        <v>43</v>
      </c>
      <c r="O36" s="36" t="s">
        <v>121</v>
      </c>
      <c r="P36" s="66" t="s">
        <v>73</v>
      </c>
      <c r="Q36" s="4">
        <v>46220</v>
      </c>
      <c r="R36" s="36">
        <v>46246</v>
      </c>
      <c r="S36" s="36">
        <v>46246</v>
      </c>
      <c r="T36" s="70"/>
      <c r="U36" s="55" t="s">
        <v>133</v>
      </c>
      <c r="V36" s="60">
        <v>46227</v>
      </c>
      <c r="W36" s="36">
        <v>46261</v>
      </c>
      <c r="X36" s="36"/>
      <c r="Y36" s="36"/>
      <c r="Z36" s="53">
        <v>46232</v>
      </c>
      <c r="AA36" s="36">
        <v>46273</v>
      </c>
      <c r="AB36" s="36"/>
      <c r="AC36" s="33"/>
      <c r="AD36" s="38"/>
      <c r="AE36" s="36"/>
      <c r="AF36" s="39"/>
      <c r="AG36" s="33"/>
      <c r="AH36" s="40" t="s">
        <v>50</v>
      </c>
      <c r="AI36" s="74" t="str">
        <f>IF($B36="","",IF(AND(LEFT($AH36,3)="Yes",SUMPRODUCT(('Rework Log'!$A$3:$A$500=$B36)*('Rework Log'!$G$3:$G$500&lt;&gt;"Yes")*('Rework Log'!$G$3:$G$500&lt;&gt;"Did not pass re-test"))=0),"Blocked - log it on Rework Log",IF(AND(LEFT($AH36,3)&lt;&gt;"Yes",SUMPRODUCT(('Rework Log'!$A$3:$A$500=$B36)*('Rework Log'!$G$3:$G$500&lt;&gt;"Yes")*('Rework Log'!$G$3:$G$500&lt;&gt;"Did not pass re-test"))&gt;0),"Open rework row - mark Blocked? or close it",IF(AND($AH36="Yes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H)",IF(AND($AH36="Yes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H)",IF(AND($AH36="Yes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target",IF(AND(AE36&lt;&gt;"",Z36&lt;&gt;"",AE36&lt;Z36),"Confirmed Deployed date is before DPO Approval target",""))))))))))))</f>
        <v>Open rework row - mark Blocked? or close it</v>
      </c>
      <c r="AJ36" s="41" t="s">
        <v>136</v>
      </c>
      <c r="AK36" s="32" cm="1">
        <f t="array" ref="AK36">_xlfn.LET(_xlpm.rep,$B36,_xlpm.sent,_xlfn.MAXIFS('Rework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6" s="32" t="str" cm="1">
        <f t="array" ref="AL36">_xlfn.LET(_xlpm.rep,$B36,_xlpm.sent,_xlfn.MAXIFS('Rework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7" spans="1:38" ht="14.45">
      <c r="A37" s="33" t="s">
        <v>116</v>
      </c>
      <c r="B37" s="33" t="s">
        <v>138</v>
      </c>
      <c r="C37" s="33" t="s">
        <v>118</v>
      </c>
      <c r="D37" t="str" cm="1">
        <f t="array" aca="1" ref="D37" ca="1">IF($B37="","",IF(LEFT($AH37,3)="Yes","Blocked - "&amp;MID($AH37,7,100)&amp;IF(SUMPRODUCT(('Rework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track")),IF(C37="QA",_xlfn.LET(_xlpm.tgt,IF(AK37&lt;&gt;"",AK37,IF(W37&lt;&gt;"",W37,V37)),_xlpm.sent,_xlfn.MAXIFS('Rework Log'!$B$3:$B$500,'Rework Log'!$A$3:$A$500,$B37,'Rework Log'!$C$3:$C$500,"QA"),_xlpm.act,IF(AND(X37&lt;&gt;"",X37&gt;_xlpm.sent),X37,""),IF(_xlpm.tgt="","No target set",IF(AND(_xlpm.tgt&lt;TODAY(),_xlpm.act=""),"Overdue","On track"))),IF(C37="DPO Approval",_xlfn.LET(_xlpm.tgt,IF(AL37&lt;&gt;"",AL37,IF(AA37&lt;&gt;"",AA37,Z37)),_xlpm.sent,_xlfn.MAXIFS('Rework Log'!$B$3:$B$500,'Rework Log'!$A$3:$A$500,$B37,'Rework Log'!$C$3:$C$500,"DPO*"),_xlpm.act,IF(AND(AB37&lt;&gt;"",AB37&gt;_xlpm.sent),AB37,""),IF(_xlpm.tgt="","No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133</v>
      </c>
      <c r="G37" s="33"/>
      <c r="H37" s="50">
        <v>46234</v>
      </c>
      <c r="I37" s="62" t="s">
        <v>120</v>
      </c>
      <c r="J37" s="33" t="s">
        <v>80</v>
      </c>
      <c r="K37" s="4">
        <v>46213</v>
      </c>
      <c r="L37" s="36">
        <v>46246</v>
      </c>
      <c r="M37" s="36">
        <v>46255</v>
      </c>
      <c r="N37" s="36" t="s">
        <v>43</v>
      </c>
      <c r="O37" s="36" t="s">
        <v>121</v>
      </c>
      <c r="P37" s="66" t="s">
        <v>57</v>
      </c>
      <c r="Q37" s="4">
        <v>46220</v>
      </c>
      <c r="R37" s="36">
        <v>46255</v>
      </c>
      <c r="S37" s="36">
        <v>46255</v>
      </c>
      <c r="T37" s="70"/>
      <c r="U37" s="55" t="s">
        <v>133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46266</v>
      </c>
      <c r="AB37" s="36"/>
      <c r="AC37" s="33"/>
      <c r="AD37" s="38"/>
      <c r="AE37" s="36"/>
      <c r="AF37" s="39"/>
      <c r="AG37" s="33"/>
      <c r="AH37" s="40" t="s">
        <v>50</v>
      </c>
      <c r="AI37" s="74" t="str">
        <f>IF($B37="","",IF(AND(LEFT($AH37,3)="Yes",SUMPRODUCT(('Rework Log'!$A$3:$A$500=$B37)*('Rework Log'!$G$3:$G$500&lt;&gt;"Yes")*('Rework Log'!$G$3:$G$500&lt;&gt;"Did not pass re-test"))=0),"Blocked - log it on Rework Log",IF(AND(LEFT($AH37,3)&lt;&gt;"Yes",SUMPRODUCT(('Rework Log'!$A$3:$A$500=$B37)*('Rework Log'!$G$3:$G$500&lt;&gt;"Yes")*('Rework Log'!$G$3:$G$500&lt;&gt;"Did not pass re-test"))&gt;0),"Open rework row - mark Blocked? or close it",IF(AND($AH37="Yes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H)",IF(AND($AH37="Yes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H)",IF(AND($AH37="Yes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target",IF(AND(AE37&lt;&gt;"",Z37&lt;&gt;"",AE37&lt;Z37),"Confirmed Deployed date is before DPO Approval target",""))))))))))))</f>
        <v/>
      </c>
      <c r="AJ37" s="41" t="s">
        <v>139</v>
      </c>
      <c r="AK37" s="32" cm="1">
        <f t="array" ref="AK37">_xlfn.LET(_xlpm.rep,$B37,_xlpm.sent,_xlfn.MAXIFS('Rework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L37" s="32" t="str" cm="1">
        <f t="array" ref="AL37">_xlfn.LET(_xlpm.rep,$B37,_xlpm.sent,_xlfn.MAXIFS('Rework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8" spans="1:38" ht="14.45">
      <c r="A38" s="33" t="s">
        <v>116</v>
      </c>
      <c r="B38" s="33" t="s">
        <v>140</v>
      </c>
      <c r="C38" s="33" t="s">
        <v>118</v>
      </c>
      <c r="D38" t="str" cm="1">
        <f t="array" aca="1" ref="D38" ca="1">IF($B38="","",IF(LEFT($AH38,3)="Yes","Blocked - "&amp;MID($AH38,7,100)&amp;IF(SUMPRODUCT(('Rework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track")),IF(C38="QA",_xlfn.LET(_xlpm.tgt,IF(AK38&lt;&gt;"",AK38,IF(W38&lt;&gt;"",W38,V38)),_xlpm.sent,_xlfn.MAXIFS('Rework Log'!$B$3:$B$500,'Rework Log'!$A$3:$A$500,$B38,'Rework Log'!$C$3:$C$500,"QA"),_xlpm.act,IF(AND(X38&lt;&gt;"",X38&gt;_xlpm.sent),X38,""),IF(_xlpm.tgt="","No target set",IF(AND(_xlpm.tgt&lt;TODAY(),_xlpm.act=""),"Overdue","On track"))),IF(C38="DPO Approval",_xlfn.LET(_xlpm.tgt,IF(AL38&lt;&gt;"",AL38,IF(AA38&lt;&gt;"",AA38,Z38)),_xlpm.sent,_xlfn.MAXIFS('Rework Log'!$B$3:$B$500,'Rework Log'!$A$3:$A$500,$B38,'Rework Log'!$C$3:$C$500,"DPO*"),_xlpm.act,IF(AND(AB38&lt;&gt;"",AB38&gt;_xlpm.sent),AB38,""),IF(_xlpm.tgt="","No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141</v>
      </c>
      <c r="F38" s="34" t="s">
        <v>133</v>
      </c>
      <c r="G38" s="33"/>
      <c r="H38" s="50">
        <v>46234</v>
      </c>
      <c r="I38" s="62" t="s">
        <v>120</v>
      </c>
      <c r="J38" s="33" t="s">
        <v>142</v>
      </c>
      <c r="K38" s="4">
        <v>46213</v>
      </c>
      <c r="L38" s="36">
        <v>46246</v>
      </c>
      <c r="M38" s="35">
        <v>46254</v>
      </c>
      <c r="N38" s="47" t="s">
        <v>43</v>
      </c>
      <c r="O38" s="36" t="s">
        <v>121</v>
      </c>
      <c r="P38" s="66" t="s">
        <v>57</v>
      </c>
      <c r="Q38" s="4">
        <v>46220</v>
      </c>
      <c r="R38" s="36">
        <v>46254</v>
      </c>
      <c r="S38" s="36">
        <v>46254</v>
      </c>
      <c r="T38" s="70"/>
      <c r="U38" s="55" t="s">
        <v>133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46265</v>
      </c>
      <c r="AB38" s="36"/>
      <c r="AC38" s="33"/>
      <c r="AD38" s="38"/>
      <c r="AE38" s="36"/>
      <c r="AF38" s="39"/>
      <c r="AG38" s="33"/>
      <c r="AH38" s="40" t="s">
        <v>50</v>
      </c>
      <c r="AI38" s="74" t="str">
        <f>IF($B38="","",IF(AND(LEFT($AH38,3)="Yes",SUMPRODUCT(('Rework Log'!$A$3:$A$500=$B38)*('Rework Log'!$G$3:$G$500&lt;&gt;"Yes")*('Rework Log'!$G$3:$G$500&lt;&gt;"Did not pass re-test"))=0),"Blocked - log it on Rework Log",IF(AND(LEFT($AH38,3)&lt;&gt;"Yes",SUMPRODUCT(('Rework Log'!$A$3:$A$500=$B38)*('Rework Log'!$G$3:$G$500&lt;&gt;"Yes")*('Rework Log'!$G$3:$G$500&lt;&gt;"Did not pass re-test"))&gt;0),"Open rework row - mark Blocked? or close it",IF(AND($AH38="Yes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H)",IF(AND($AH38="Yes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H)",IF(AND($AH38="Yes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target",IF(AND(AE38&lt;&gt;"",Z38&lt;&gt;"",AE38&lt;Z38),"Confirmed Deployed date is before DPO Approval target",""))))))))))))</f>
        <v/>
      </c>
      <c r="AJ38" s="41"/>
      <c r="AK38" s="32" cm="1">
        <f t="array" ref="AK38">_xlfn.LET(_xlpm.rep,$B38,_xlpm.sent,_xlfn.MAXIFS('Rework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46259</v>
      </c>
      <c r="AL38" s="32" t="str" cm="1">
        <f t="array" ref="AL38">_xlfn.LET(_xlpm.rep,$B38,_xlpm.sent,_xlfn.MAXIFS('Rework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9" spans="1:38" ht="14.45">
      <c r="A39" s="33" t="s">
        <v>116</v>
      </c>
      <c r="B39" s="33" t="s">
        <v>143</v>
      </c>
      <c r="C39" s="33" t="s">
        <v>118</v>
      </c>
      <c r="D39" t="str" cm="1">
        <f t="array" aca="1" ref="D39" ca="1">IF($B39="","",IF(LEFT($AH39,3)="Yes","Blocked - "&amp;MID($AH39,7,100)&amp;IF(SUMPRODUCT(('Rework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track")),IF(C39="QA",_xlfn.LET(_xlpm.tgt,IF(AK39&lt;&gt;"",AK39,IF(W39&lt;&gt;"",W39,V39)),_xlpm.sent,_xlfn.MAXIFS('Rework Log'!$B$3:$B$500,'Rework Log'!$A$3:$A$500,$B39,'Rework Log'!$C$3:$C$500,"QA"),_xlpm.act,IF(AND(X39&lt;&gt;"",X39&gt;_xlpm.sent),X39,""),IF(_xlpm.tgt="","No target set",IF(AND(_xlpm.tgt&lt;TODAY(),_xlpm.act=""),"Overdue","On track"))),IF(C39="DPO Approval",_xlfn.LET(_xlpm.tgt,IF(AL39&lt;&gt;"",AL39,IF(AA39&lt;&gt;"",AA39,Z39)),_xlpm.sent,_xlfn.MAXIFS('Rework Log'!$B$3:$B$500,'Rework Log'!$A$3:$A$500,$B39,'Rework Log'!$C$3:$C$500,"DPO*"),_xlpm.act,IF(AND(AB39&lt;&gt;"",AB39&gt;_xlpm.sent),AB39,""),IF(_xlpm.tgt="","No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133</v>
      </c>
      <c r="G39" s="33"/>
      <c r="H39" s="50">
        <v>46234</v>
      </c>
      <c r="I39" s="62" t="s">
        <v>120</v>
      </c>
      <c r="J39" s="33" t="s">
        <v>142</v>
      </c>
      <c r="K39" s="4">
        <v>46213</v>
      </c>
      <c r="L39" s="36">
        <v>46246</v>
      </c>
      <c r="M39" s="36">
        <v>46245</v>
      </c>
      <c r="N39" s="36" t="s">
        <v>43</v>
      </c>
      <c r="O39" s="36" t="s">
        <v>121</v>
      </c>
      <c r="P39" s="66" t="s">
        <v>73</v>
      </c>
      <c r="Q39" s="4">
        <v>46220</v>
      </c>
      <c r="R39" s="36">
        <v>46247</v>
      </c>
      <c r="S39" s="36">
        <v>46259</v>
      </c>
      <c r="T39" s="70"/>
      <c r="U39" s="55" t="s">
        <v>45</v>
      </c>
      <c r="V39" s="60">
        <v>46227</v>
      </c>
      <c r="W39" s="36">
        <v>46247</v>
      </c>
      <c r="X39" s="36">
        <v>46258</v>
      </c>
      <c r="Y39" s="36"/>
      <c r="Z39" s="53">
        <v>46232</v>
      </c>
      <c r="AA39" s="36">
        <v>46267</v>
      </c>
      <c r="AB39" s="36"/>
      <c r="AC39" s="33"/>
      <c r="AD39" s="38"/>
      <c r="AE39" s="36"/>
      <c r="AF39" s="39"/>
      <c r="AG39" s="33"/>
      <c r="AH39" s="40" t="s">
        <v>50</v>
      </c>
      <c r="AI39" s="74" t="str">
        <f>IF($B39="","",IF(AND(LEFT($AH39,3)="Yes",SUMPRODUCT(('Rework Log'!$A$3:$A$500=$B39)*('Rework Log'!$G$3:$G$500&lt;&gt;"Yes")*('Rework Log'!$G$3:$G$500&lt;&gt;"Did not pass re-test"))=0),"Blocked - log it on Rework Log",IF(AND(LEFT($AH39,3)&lt;&gt;"Yes",SUMPRODUCT(('Rework Log'!$A$3:$A$500=$B39)*('Rework Log'!$G$3:$G$500&lt;&gt;"Yes")*('Rework Log'!$G$3:$G$500&lt;&gt;"Did not pass re-test"))&gt;0),"Open rework row - mark Blocked? or close it",IF(AND($AH39="Yes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H)",IF(AND($AH39="Yes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H)",IF(AND($AH39="Yes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target",IF(AND(AE39&lt;&gt;"",Z39&lt;&gt;"",AE39&lt;Z39),"Confirmed Deployed date is before DPO Approval target",""))))))))))))</f>
        <v/>
      </c>
      <c r="AJ39" s="41" t="s">
        <v>136</v>
      </c>
      <c r="AK39" s="32" cm="1">
        <f t="array" ref="AK39">_xlfn.LET(_xlpm.rep,$B39,_xlpm.sent,_xlfn.MAXIFS('Rework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9" s="32" t="str" cm="1">
        <f t="array" ref="AL39">_xlfn.LET(_xlpm.rep,$B39,_xlpm.sent,_xlfn.MAXIFS('Rework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0" spans="1:38" ht="14.45">
      <c r="A40" s="33" t="s">
        <v>116</v>
      </c>
      <c r="B40" s="33" t="s">
        <v>144</v>
      </c>
      <c r="C40" s="33" t="s">
        <v>118</v>
      </c>
      <c r="D40" t="str" cm="1">
        <f t="array" aca="1" ref="D40" ca="1">IF($B40="","",IF(LEFT($AH40,3)="Yes","Blocked - "&amp;MID($AH40,7,100)&amp;IF(SUMPRODUCT(('Rework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track")),IF(C40="QA",_xlfn.LET(_xlpm.tgt,IF(AK40&lt;&gt;"",AK40,IF(W40&lt;&gt;"",W40,V40)),_xlpm.sent,_xlfn.MAXIFS('Rework Log'!$B$3:$B$500,'Rework Log'!$A$3:$A$500,$B40,'Rework Log'!$C$3:$C$500,"QA"),_xlpm.act,IF(AND(X40&lt;&gt;"",X40&gt;_xlpm.sent),X40,""),IF(_xlpm.tgt="","No target set",IF(AND(_xlpm.tgt&lt;TODAY(),_xlpm.act=""),"Overdue","On track"))),IF(C40="DPO Approval",_xlfn.LET(_xlpm.tgt,IF(AL40&lt;&gt;"",AL40,IF(AA40&lt;&gt;"",AA40,Z40)),_xlpm.sent,_xlfn.MAXIFS('Rework Log'!$B$3:$B$500,'Rework Log'!$A$3:$A$500,$B40,'Rework Log'!$C$3:$C$500,"DPO*"),_xlpm.act,IF(AND(AB40&lt;&gt;"",AB40&gt;_xlpm.sent),AB40,""),IF(_xlpm.tgt="","No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119</v>
      </c>
      <c r="G40" s="33"/>
      <c r="H40" s="50">
        <v>46234</v>
      </c>
      <c r="I40" s="62" t="s">
        <v>120</v>
      </c>
      <c r="J40" s="33" t="s">
        <v>72</v>
      </c>
      <c r="K40" s="4">
        <v>46213</v>
      </c>
      <c r="L40" s="36">
        <v>46251</v>
      </c>
      <c r="M40" s="37"/>
      <c r="N40" s="47" t="s">
        <v>43</v>
      </c>
      <c r="O40" s="36" t="s">
        <v>121</v>
      </c>
      <c r="P40" s="66" t="s">
        <v>73</v>
      </c>
      <c r="Q40" s="4">
        <v>46220</v>
      </c>
      <c r="R40" s="36">
        <v>46251</v>
      </c>
      <c r="S40" s="36">
        <v>46255</v>
      </c>
      <c r="T40" s="70"/>
      <c r="U40" s="55" t="s">
        <v>45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6"/>
      <c r="AC40" s="33"/>
      <c r="AD40" s="38"/>
      <c r="AE40" s="36"/>
      <c r="AF40" s="39"/>
      <c r="AG40" s="33"/>
      <c r="AH40" s="40" t="s">
        <v>50</v>
      </c>
      <c r="AI40" s="74" t="str">
        <f>IF($B40="","",IF(AND(LEFT($AH40,3)="Yes",SUMPRODUCT(('Rework Log'!$A$3:$A$500=$B40)*('Rework Log'!$G$3:$G$500&lt;&gt;"Yes")*('Rework Log'!$G$3:$G$500&lt;&gt;"Did not pass re-test"))=0),"Blocked - log it on Rework Log",IF(AND(LEFT($AH40,3)&lt;&gt;"Yes",SUMPRODUCT(('Rework Log'!$A$3:$A$500=$B40)*('Rework Log'!$G$3:$G$500&lt;&gt;"Yes")*('Rework Log'!$G$3:$G$500&lt;&gt;"Did not pass re-test"))&gt;0),"Open rework row - mark Blocked? or close it",IF(AND($AH40="Yes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H)",IF(AND($AH40="Yes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H)",IF(AND($AH40="Yes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target",IF(AND(AE40&lt;&gt;"",Z40&lt;&gt;"",AE40&lt;Z40),"Confirmed Deployed date is before DPO Approval target",""))))))))))))</f>
        <v/>
      </c>
      <c r="AJ40" s="41" t="s">
        <v>145</v>
      </c>
      <c r="AK40" s="32" t="str" cm="1">
        <f t="array" ref="AK40">_xlfn.LET(_xlpm.rep,$B40,_xlpm.sent,_xlfn.MAXIFS('Rework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0" s="32" t="str" cm="1">
        <f t="array" ref="AL40">_xlfn.LET(_xlpm.rep,$B40,_xlpm.sent,_xlfn.MAXIFS('Rework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1" spans="1:38" ht="14.45">
      <c r="A41" s="33" t="s">
        <v>116</v>
      </c>
      <c r="B41" s="33" t="s">
        <v>146</v>
      </c>
      <c r="C41" s="33" t="s">
        <v>118</v>
      </c>
      <c r="D41" t="str" cm="1">
        <f t="array" aca="1" ref="D41" ca="1">IF($B41="","",IF(LEFT($AH41,3)="Yes","Blocked - "&amp;MID($AH41,7,100)&amp;IF(SUMPRODUCT(('Rework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track")),IF(C41="QA",_xlfn.LET(_xlpm.tgt,IF(AK41&lt;&gt;"",AK41,IF(W41&lt;&gt;"",W41,V41)),_xlpm.sent,_xlfn.MAXIFS('Rework Log'!$B$3:$B$500,'Rework Log'!$A$3:$A$500,$B41,'Rework Log'!$C$3:$C$500,"QA"),_xlpm.act,IF(AND(X41&lt;&gt;"",X41&gt;_xlpm.sent),X41,""),IF(_xlpm.tgt="","No target set",IF(AND(_xlpm.tgt&lt;TODAY(),_xlpm.act=""),"Overdue","On track"))),IF(C41="DPO Approval",_xlfn.LET(_xlpm.tgt,IF(AL41&lt;&gt;"",AL41,IF(AA41&lt;&gt;"",AA41,Z41)),_xlpm.sent,_xlfn.MAXIFS('Rework Log'!$B$3:$B$500,'Rework Log'!$A$3:$A$500,$B41,'Rework Log'!$C$3:$C$500,"DPO*"),_xlpm.act,IF(AND(AB41&lt;&gt;"",AB41&gt;_xlpm.sent),AB41,""),IF(_xlpm.tgt="","No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119</v>
      </c>
      <c r="G41" s="33"/>
      <c r="H41" s="50">
        <v>46234</v>
      </c>
      <c r="I41" s="62" t="s">
        <v>120</v>
      </c>
      <c r="J41" s="33" t="s">
        <v>56</v>
      </c>
      <c r="K41" s="4">
        <v>46213</v>
      </c>
      <c r="L41" s="35">
        <v>46248</v>
      </c>
      <c r="M41" s="37">
        <v>46248</v>
      </c>
      <c r="N41" s="47" t="s">
        <v>43</v>
      </c>
      <c r="O41" s="36" t="s">
        <v>121</v>
      </c>
      <c r="P41" s="66" t="s">
        <v>57</v>
      </c>
      <c r="Q41" s="4">
        <v>46220</v>
      </c>
      <c r="R41" s="36">
        <v>46251</v>
      </c>
      <c r="S41" s="36">
        <v>46251</v>
      </c>
      <c r="T41" s="70"/>
      <c r="U41" s="55" t="s">
        <v>45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6"/>
      <c r="AC41" s="33"/>
      <c r="AD41" s="38"/>
      <c r="AE41" s="36"/>
      <c r="AF41" s="39"/>
      <c r="AG41" s="33"/>
      <c r="AH41" s="40" t="s">
        <v>50</v>
      </c>
      <c r="AI41" s="74" t="str">
        <f>IF($B41="","",IF(AND(LEFT($AH41,3)="Yes",SUMPRODUCT(('Rework Log'!$A$3:$A$500=$B41)*('Rework Log'!$G$3:$G$500&lt;&gt;"Yes")*('Rework Log'!$G$3:$G$500&lt;&gt;"Did not pass re-test"))=0),"Blocked - log it on Rework Log",IF(AND(LEFT($AH41,3)&lt;&gt;"Yes",SUMPRODUCT(('Rework Log'!$A$3:$A$500=$B41)*('Rework Log'!$G$3:$G$500&lt;&gt;"Yes")*('Rework Log'!$G$3:$G$500&lt;&gt;"Did not pass re-test"))&gt;0),"Open rework row - mark Blocked? or close it",IF(AND($AH41="Yes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H)",IF(AND($AH41="Yes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H)",IF(AND($AH41="Yes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target",IF(AND(AE41&lt;&gt;"",Z41&lt;&gt;"",AE41&lt;Z41),"Confirmed Deployed date is before DPO Approval target",""))))))))))))</f>
        <v/>
      </c>
      <c r="AJ41" s="41" t="s">
        <v>147</v>
      </c>
      <c r="AK41" s="32" t="str" cm="1">
        <f t="array" ref="AK41">_xlfn.LET(_xlpm.rep,$B41,_xlpm.sent,_xlfn.MAXIFS('Rework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1" s="32" t="str" cm="1">
        <f t="array" ref="AL41">_xlfn.LET(_xlpm.rep,$B41,_xlpm.sent,_xlfn.MAXIFS('Rework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2" spans="1:38" ht="14.45">
      <c r="A42" s="33" t="s">
        <v>116</v>
      </c>
      <c r="B42" s="33" t="s">
        <v>148</v>
      </c>
      <c r="C42" s="33" t="s">
        <v>149</v>
      </c>
      <c r="D42" t="str" cm="1">
        <f t="array" aca="1" ref="D42" ca="1">IF($B42="","",IF(LEFT($AH42,3)="Yes","Blocked - "&amp;MID($AH42,7,100)&amp;IF(SUMPRODUCT(('Rework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track")),IF(C42="QA",_xlfn.LET(_xlpm.tgt,IF(AK42&lt;&gt;"",AK42,IF(W42&lt;&gt;"",W42,V42)),_xlpm.sent,_xlfn.MAXIFS('Rework Log'!$B$3:$B$500,'Rework Log'!$A$3:$A$500,$B42,'Rework Log'!$C$3:$C$500,"QA"),_xlpm.act,IF(AND(X42&lt;&gt;"",X42&gt;_xlpm.sent),X42,""),IF(_xlpm.tgt="","No target set",IF(AND(_xlpm.tgt&lt;TODAY(),_xlpm.act=""),"Overdue","On track"))),IF(C42="DPO Approval",_xlfn.LET(_xlpm.tgt,IF(AL42&lt;&gt;"",AL42,IF(AA42&lt;&gt;"",AA42,Z42)),_xlpm.sent,_xlfn.MAXIFS('Rework Log'!$B$3:$B$500,'Rework Log'!$A$3:$A$500,$B42,'Rework Log'!$C$3:$C$500,"DPO*"),_xlpm.act,IF(AND(AB42&lt;&gt;"",AB42&gt;_xlpm.sent),AB42,""),IF(_xlpm.tgt="","No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133</v>
      </c>
      <c r="G42" s="33"/>
      <c r="H42" s="50">
        <v>46234</v>
      </c>
      <c r="I42" s="62" t="s">
        <v>120</v>
      </c>
      <c r="J42" s="33" t="s">
        <v>72</v>
      </c>
      <c r="K42" s="4">
        <v>46213</v>
      </c>
      <c r="L42" s="36">
        <v>46245</v>
      </c>
      <c r="M42" s="36">
        <v>46245</v>
      </c>
      <c r="N42" s="36" t="s">
        <v>43</v>
      </c>
      <c r="O42" s="36" t="s">
        <v>150</v>
      </c>
      <c r="P42" s="66" t="s">
        <v>44</v>
      </c>
      <c r="Q42" s="4">
        <v>46220</v>
      </c>
      <c r="R42" s="36">
        <v>46248</v>
      </c>
      <c r="S42" s="36">
        <v>46248</v>
      </c>
      <c r="T42" s="70"/>
      <c r="U42" s="55" t="s">
        <v>45</v>
      </c>
      <c r="V42" s="60">
        <v>46227</v>
      </c>
      <c r="W42" s="36">
        <v>46255</v>
      </c>
      <c r="X42" s="36"/>
      <c r="Y42" s="36"/>
      <c r="Z42" s="53">
        <v>46232</v>
      </c>
      <c r="AA42" s="36">
        <v>46267</v>
      </c>
      <c r="AB42" s="36"/>
      <c r="AC42" s="33"/>
      <c r="AD42" s="38"/>
      <c r="AE42" s="36"/>
      <c r="AF42" s="39"/>
      <c r="AG42" s="33"/>
      <c r="AH42" s="40" t="s">
        <v>50</v>
      </c>
      <c r="AI42" s="48"/>
      <c r="AJ42" s="45" t="s">
        <v>151</v>
      </c>
      <c r="AK42" s="32" t="str" cm="1">
        <f t="array" ref="AK42">_xlfn.LET(_xlpm.rep,$B42,_xlpm.sent,_xlfn.MAXIFS('Rework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2" s="32" t="str" cm="1">
        <f t="array" ref="AL42">_xlfn.LET(_xlpm.rep,$B42,_xlpm.sent,_xlfn.MAXIFS('Rework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3" spans="1:38" ht="14.45">
      <c r="A43" s="33" t="s">
        <v>116</v>
      </c>
      <c r="B43" s="33" t="s">
        <v>152</v>
      </c>
      <c r="C43" s="33" t="s">
        <v>153</v>
      </c>
      <c r="D43" t="str" cm="1">
        <f t="array" aca="1" ref="D43" ca="1">IF($B43="","",IF(LEFT($AH43,3)="Yes","Blocked - "&amp;MID($AH43,7,100)&amp;IF(SUMPRODUCT(('Rework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track")),IF(C43="QA",_xlfn.LET(_xlpm.tgt,IF(AK43&lt;&gt;"",AK43,IF(W43&lt;&gt;"",W43,V43)),_xlpm.sent,_xlfn.MAXIFS('Rework Log'!$B$3:$B$500,'Rework Log'!$A$3:$A$500,$B43,'Rework Log'!$C$3:$C$500,"QA"),_xlpm.act,IF(AND(X43&lt;&gt;"",X43&gt;_xlpm.sent),X43,""),IF(_xlpm.tgt="","No target set",IF(AND(_xlpm.tgt&lt;TODAY(),_xlpm.act=""),"Overdue","On track"))),IF(C43="DPO Approval",_xlfn.LET(_xlpm.tgt,IF(AL43&lt;&gt;"",AL43,IF(AA43&lt;&gt;"",AA43,Z43)),_xlpm.sent,_xlfn.MAXIFS('Rework Log'!$B$3:$B$500,'Rework Log'!$A$3:$A$500,$B43,'Rework Log'!$C$3:$C$500,"DPO*"),_xlpm.act,IF(AND(AB43&lt;&gt;"",AB43&gt;_xlpm.sent),AB43,""),IF(_xlpm.tgt="","No target set",IF(AND(_xlpm.tgt&lt;TODAY(),_xlpm.act=""),"Overdue","On track"))),IF(C43="RELEASED IN PROD","Delivered",""))))))))</f>
        <v>On track</v>
      </c>
      <c r="E43" s="33" t="s">
        <v>154</v>
      </c>
      <c r="F43" s="34" t="s">
        <v>133</v>
      </c>
      <c r="G43" s="33"/>
      <c r="H43" s="50">
        <v>46265</v>
      </c>
      <c r="I43" s="62" t="s">
        <v>155</v>
      </c>
      <c r="J43" s="33" t="s">
        <v>98</v>
      </c>
      <c r="K43" s="4">
        <v>46234</v>
      </c>
      <c r="L43" s="36">
        <v>46251</v>
      </c>
      <c r="M43" s="36">
        <v>46252</v>
      </c>
      <c r="N43" s="36" t="s">
        <v>43</v>
      </c>
      <c r="O43" s="36" t="s">
        <v>156</v>
      </c>
      <c r="P43" s="66" t="s">
        <v>57</v>
      </c>
      <c r="Q43" s="4">
        <v>46241</v>
      </c>
      <c r="R43" s="36">
        <v>46259</v>
      </c>
      <c r="S43" s="36"/>
      <c r="T43" s="70"/>
      <c r="U43" s="55" t="s">
        <v>45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/>
      <c r="AD43" s="38"/>
      <c r="AE43" s="36"/>
      <c r="AF43" s="39"/>
      <c r="AG43" s="33"/>
      <c r="AH43" s="40" t="s">
        <v>50</v>
      </c>
      <c r="AI43" s="74" t="str">
        <f>IF($B43="","",IF(AND(LEFT($AH43,3)="Yes",SUMPRODUCT(('Rework Log'!$A$3:$A$500=$B43)*('Rework Log'!$G$3:$G$500&lt;&gt;"Yes")*('Rework Log'!$G$3:$G$500&lt;&gt;"Did not pass re-test"))=0),"Blocked - log it on Rework Log",IF(AND(LEFT($AH43,3)&lt;&gt;"Yes",SUMPRODUCT(('Rework Log'!$A$3:$A$500=$B43)*('Rework Log'!$G$3:$G$500&lt;&gt;"Yes")*('Rework Log'!$G$3:$G$500&lt;&gt;"Did not pass re-test"))&gt;0),"Open rework row - mark Blocked? or close it",IF(AND($AH43="Yes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H)",IF(AND($AH43="Yes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H)",IF(AND($AH43="Yes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target",IF(AND(AE43&lt;&gt;"",Z43&lt;&gt;"",AE43&lt;Z43),"Confirmed Deployed date is before DPO Approval target",""))))))))))))</f>
        <v/>
      </c>
      <c r="AJ43" s="41" t="s">
        <v>157</v>
      </c>
      <c r="AK43" s="32" t="str" cm="1">
        <f t="array" ref="AK43">_xlfn.LET(_xlpm.rep,$B43,_xlpm.sent,_xlfn.MAXIFS('Rework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3" s="32" t="str" cm="1">
        <f t="array" ref="AL43">_xlfn.LET(_xlpm.rep,$B43,_xlpm.sent,_xlfn.MAXIFS('Rework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4" spans="1:38" ht="14.45">
      <c r="A44" s="33" t="s">
        <v>116</v>
      </c>
      <c r="B44" s="33" t="s">
        <v>158</v>
      </c>
      <c r="C44" s="33" t="s">
        <v>128</v>
      </c>
      <c r="D44" t="str" cm="1">
        <f t="array" aca="1" ref="D44" ca="1">IF($B44="","",IF(LEFT($AH44,3)="Yes","Blocked - "&amp;MID($AH44,7,100)&amp;IF(SUMPRODUCT(('Rework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track")),IF(C44="QA",_xlfn.LET(_xlpm.tgt,IF(AK44&lt;&gt;"",AK44,IF(W44&lt;&gt;"",W44,V44)),_xlpm.sent,_xlfn.MAXIFS('Rework Log'!$B$3:$B$500,'Rework Log'!$A$3:$A$500,$B44,'Rework Log'!$C$3:$C$500,"QA"),_xlpm.act,IF(AND(X44&lt;&gt;"",X44&gt;_xlpm.sent),X44,""),IF(_xlpm.tgt="","No target set",IF(AND(_xlpm.tgt&lt;TODAY(),_xlpm.act=""),"Overdue","On track"))),IF(C44="DPO Approval",_xlfn.LET(_xlpm.tgt,IF(AL44&lt;&gt;"",AL44,IF(AA44&lt;&gt;"",AA44,Z44)),_xlpm.sent,_xlfn.MAXIFS('Rework Log'!$B$3:$B$500,'Rework Log'!$A$3:$A$500,$B44,'Rework Log'!$C$3:$C$500,"DPO*"),_xlpm.act,IF(AND(AB44&lt;&gt;"",AB44&gt;_xlpm.sent),AB44,""),IF(_xlpm.tgt="","No target set",IF(AND(_xlpm.tgt&lt;TODAY(),_xlpm.act=""),"Overdue","On track"))),IF(C44="RELEASED IN PROD","Delivered",""))))))))</f>
        <v>On track</v>
      </c>
      <c r="E44" s="33">
        <v>18</v>
      </c>
      <c r="F44" s="34" t="s">
        <v>133</v>
      </c>
      <c r="G44" s="33"/>
      <c r="H44" s="50">
        <v>46265</v>
      </c>
      <c r="I44" s="62" t="s">
        <v>155</v>
      </c>
      <c r="J44" s="33" t="s">
        <v>56</v>
      </c>
      <c r="K44" s="4">
        <v>46234</v>
      </c>
      <c r="L44" s="36">
        <v>46255</v>
      </c>
      <c r="M44" s="36"/>
      <c r="N44" s="36" t="s">
        <v>43</v>
      </c>
      <c r="O44" s="36" t="s">
        <v>156</v>
      </c>
      <c r="P44" s="66" t="s">
        <v>44</v>
      </c>
      <c r="Q44" s="4">
        <v>46241</v>
      </c>
      <c r="R44" s="36">
        <v>46258</v>
      </c>
      <c r="S44" s="36">
        <v>46258</v>
      </c>
      <c r="T44" s="70"/>
      <c r="U44" s="55" t="s">
        <v>133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/>
      <c r="AD44" s="38"/>
      <c r="AE44" s="36"/>
      <c r="AF44" s="39"/>
      <c r="AG44" s="33"/>
      <c r="AH44" s="40" t="s">
        <v>50</v>
      </c>
      <c r="AI44" s="74" t="str">
        <f>IF($B44="","",IF(AND(LEFT($AH44,3)="Yes",SUMPRODUCT(('Rework Log'!$A$3:$A$500=$B44)*('Rework Log'!$G$3:$G$500&lt;&gt;"Yes")*('Rework Log'!$G$3:$G$500&lt;&gt;"Did not pass re-test"))=0),"Blocked - log it on Rework Log",IF(AND(LEFT($AH44,3)&lt;&gt;"Yes",SUMPRODUCT(('Rework Log'!$A$3:$A$500=$B44)*('Rework Log'!$G$3:$G$500&lt;&gt;"Yes")*('Rework Log'!$G$3:$G$500&lt;&gt;"Did not pass re-test"))&gt;0),"Open rework row - mark Blocked? or close it",IF(AND($AH44="Yes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H)",IF(AND($AH44="Yes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H)",IF(AND($AH44="Yes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target",IF(AND(AE44&lt;&gt;"",Z44&lt;&gt;"",AE44&lt;Z44),"Confirmed Deployed date is before DPO Approval target",""))))))))))))</f>
        <v/>
      </c>
      <c r="AJ44" s="78" t="s">
        <v>159</v>
      </c>
      <c r="AK44" s="32" t="str" cm="1">
        <f t="array" ref="AK44">_xlfn.LET(_xlpm.rep,$B44,_xlpm.sent,_xlfn.MAXIFS('Rework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4" s="32" t="str" cm="1">
        <f t="array" ref="AL44">_xlfn.LET(_xlpm.rep,$B44,_xlpm.sent,_xlfn.MAXIFS('Rework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5" spans="1:38" ht="14.45">
      <c r="A45" s="33" t="s">
        <v>116</v>
      </c>
      <c r="B45" s="33" t="s">
        <v>160</v>
      </c>
      <c r="C45" s="33" t="s">
        <v>128</v>
      </c>
      <c r="D45" t="str" cm="1">
        <f t="array" aca="1" ref="D45" ca="1">IF($B45="","",IF(LEFT($AH45,3)="Yes","Blocked - "&amp;MID($AH45,7,100)&amp;IF(SUMPRODUCT(('Rework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track")),IF(C45="QA",_xlfn.LET(_xlpm.tgt,IF(AK45&lt;&gt;"",AK45,IF(W45&lt;&gt;"",W45,V45)),_xlpm.sent,_xlfn.MAXIFS('Rework Log'!$B$3:$B$500,'Rework Log'!$A$3:$A$500,$B45,'Rework Log'!$C$3:$C$500,"QA"),_xlpm.act,IF(AND(X45&lt;&gt;"",X45&gt;_xlpm.sent),X45,""),IF(_xlpm.tgt="","No target set",IF(AND(_xlpm.tgt&lt;TODAY(),_xlpm.act=""),"Overdue","On track"))),IF(C45="DPO Approval",_xlfn.LET(_xlpm.tgt,IF(AL45&lt;&gt;"",AL45,IF(AA45&lt;&gt;"",AA45,Z45)),_xlpm.sent,_xlfn.MAXIFS('Rework Log'!$B$3:$B$500,'Rework Log'!$A$3:$A$500,$B45,'Rework Log'!$C$3:$C$500,"DPO*"),_xlpm.act,IF(AND(AB45&lt;&gt;"",AB45&gt;_xlpm.sent),AB45,""),IF(_xlpm.tgt="","No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119</v>
      </c>
      <c r="G45" s="33"/>
      <c r="H45" s="50">
        <v>46265</v>
      </c>
      <c r="I45" s="62" t="s">
        <v>155</v>
      </c>
      <c r="J45" s="33" t="s">
        <v>42</v>
      </c>
      <c r="K45" s="4">
        <v>46234</v>
      </c>
      <c r="L45" s="36">
        <v>46249</v>
      </c>
      <c r="M45" s="36">
        <v>46244</v>
      </c>
      <c r="N45" s="36"/>
      <c r="O45" s="36" t="s">
        <v>156</v>
      </c>
      <c r="P45" s="66" t="s">
        <v>73</v>
      </c>
      <c r="Q45" s="4">
        <v>46241</v>
      </c>
      <c r="R45" s="36">
        <v>46252</v>
      </c>
      <c r="S45" s="36">
        <v>46251</v>
      </c>
      <c r="T45" s="70"/>
      <c r="U45" s="55" t="s">
        <v>119</v>
      </c>
      <c r="V45" s="60">
        <v>46255</v>
      </c>
      <c r="W45" s="36">
        <v>46254</v>
      </c>
      <c r="X45" s="36"/>
      <c r="Y45" s="36"/>
      <c r="Z45" s="53">
        <v>46260</v>
      </c>
      <c r="AA45" s="36">
        <v>46265</v>
      </c>
      <c r="AB45" s="36"/>
      <c r="AC45" s="33"/>
      <c r="AD45" s="38"/>
      <c r="AE45" s="36"/>
      <c r="AF45" s="39"/>
      <c r="AG45" s="33"/>
      <c r="AH45" s="40" t="s">
        <v>50</v>
      </c>
      <c r="AI45" s="74" t="str">
        <f>IF($B45="","",IF(AND(LEFT($AH45,3)="Yes",SUMPRODUCT(('Rework Log'!$A$3:$A$500=$B45)*('Rework Log'!$G$3:$G$500&lt;&gt;"Yes")*('Rework Log'!$G$3:$G$500&lt;&gt;"Did not pass re-test"))=0),"Blocked - log it on Rework Log",IF(AND(LEFT($AH45,3)&lt;&gt;"Yes",SUMPRODUCT(('Rework Log'!$A$3:$A$500=$B45)*('Rework Log'!$G$3:$G$500&lt;&gt;"Yes")*('Rework Log'!$G$3:$G$500&lt;&gt;"Did not pass re-test"))&gt;0),"Open rework row - mark Blocked? or close it",IF(AND($AH45="Yes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H)",IF(AND($AH45="Yes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H)",IF(AND($AH45="Yes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target",IF(AND(AE45&lt;&gt;"",Z45&lt;&gt;"",AE45&lt;Z45),"Confirmed Deployed date is before DPO Approval target",""))))))))))))</f>
        <v/>
      </c>
      <c r="AJ45" s="41"/>
      <c r="AK45" s="32" t="str" cm="1">
        <f t="array" ref="AK45">_xlfn.LET(_xlpm.rep,$B45,_xlpm.sent,_xlfn.MAXIFS('Rework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5" s="32" t="str" cm="1">
        <f t="array" ref="AL45">_xlfn.LET(_xlpm.rep,$B45,_xlpm.sent,_xlfn.MAXIFS('Rework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6" spans="1:38" ht="14.45">
      <c r="A46" s="33" t="s">
        <v>116</v>
      </c>
      <c r="B46" s="33" t="s">
        <v>161</v>
      </c>
      <c r="C46" s="33" t="s">
        <v>149</v>
      </c>
      <c r="D46" t="str" cm="1">
        <f t="array" aca="1" ref="D46" ca="1">IF($B46="","",IF(LEFT($AH46,3)="Yes","Blocked - "&amp;MID($AH46,7,100)&amp;IF(SUMPRODUCT(('Rework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track")),IF(C46="QA",_xlfn.LET(_xlpm.tgt,IF(AK46&lt;&gt;"",AK46,IF(W46&lt;&gt;"",W46,V46)),_xlpm.sent,_xlfn.MAXIFS('Rework Log'!$B$3:$B$500,'Rework Log'!$A$3:$A$500,$B46,'Rework Log'!$C$3:$C$500,"QA"),_xlpm.act,IF(AND(X46&lt;&gt;"",X46&gt;_xlpm.sent),X46,""),IF(_xlpm.tgt="","No target set",IF(AND(_xlpm.tgt&lt;TODAY(),_xlpm.act=""),"Overdue","On track"))),IF(C46="DPO Approval",_xlfn.LET(_xlpm.tgt,IF(AL46&lt;&gt;"",AL46,IF(AA46&lt;&gt;"",AA46,Z46)),_xlpm.sent,_xlfn.MAXIFS('Rework Log'!$B$3:$B$500,'Rework Log'!$A$3:$A$500,$B46,'Rework Log'!$C$3:$C$500,"DPO*"),_xlpm.act,IF(AND(AB46&lt;&gt;"",AB46&gt;_xlpm.sent),AB46,""),IF(_xlpm.tgt="","No target set",IF(AND(_xlpm.tgt&lt;TODAY(),_xlpm.act=""),"Overdue","On track"))),IF(C46="RELEASED IN PROD","Delivered",""))))))))</f>
        <v>Overdue</v>
      </c>
      <c r="E46" s="33">
        <v>20</v>
      </c>
      <c r="F46" s="34" t="s">
        <v>119</v>
      </c>
      <c r="G46" s="33"/>
      <c r="H46" s="50">
        <v>46265</v>
      </c>
      <c r="I46" s="62" t="s">
        <v>155</v>
      </c>
      <c r="J46" s="33" t="s">
        <v>80</v>
      </c>
      <c r="K46" s="4">
        <v>46234</v>
      </c>
      <c r="L46" s="36">
        <v>46213</v>
      </c>
      <c r="M46" s="36">
        <v>46244</v>
      </c>
      <c r="N46" s="36"/>
      <c r="O46" s="36" t="s">
        <v>162</v>
      </c>
      <c r="P46" s="66" t="s">
        <v>57</v>
      </c>
      <c r="Q46" s="4">
        <v>46241</v>
      </c>
      <c r="R46" s="36">
        <v>46259</v>
      </c>
      <c r="S46" s="36"/>
      <c r="T46" s="70"/>
      <c r="U46" s="55" t="s">
        <v>119</v>
      </c>
      <c r="V46" s="60">
        <v>46255</v>
      </c>
      <c r="W46" s="36">
        <v>46262</v>
      </c>
      <c r="X46" s="36"/>
      <c r="Y46" s="36"/>
      <c r="Z46" s="53">
        <v>46260</v>
      </c>
      <c r="AA46" s="36">
        <v>46274</v>
      </c>
      <c r="AB46" s="36"/>
      <c r="AC46" s="33"/>
      <c r="AD46" s="38"/>
      <c r="AE46" s="36"/>
      <c r="AF46" s="39"/>
      <c r="AG46" s="33"/>
      <c r="AH46" s="40" t="s">
        <v>50</v>
      </c>
      <c r="AI46" s="74" t="str">
        <f>IF($B46="","",IF(AND(LEFT($AH46,3)="Yes",SUMPRODUCT(('Rework Log'!$A$3:$A$500=$B46)*('Rework Log'!$G$3:$G$500&lt;&gt;"Yes")*('Rework Log'!$G$3:$G$500&lt;&gt;"Did not pass re-test"))=0),"Blocked - log it on Rework Log",IF(AND(LEFT($AH46,3)&lt;&gt;"Yes",SUMPRODUCT(('Rework Log'!$A$3:$A$500=$B46)*('Rework Log'!$G$3:$G$500&lt;&gt;"Yes")*('Rework Log'!$G$3:$G$500&lt;&gt;"Did not pass re-test"))&gt;0),"Open rework row - mark Blocked? or close it",IF(AND($AH46="Yes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H)",IF(AND($AH46="Yes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H)",IF(AND($AH46="Yes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target",IF(AND(AE46&lt;&gt;"",Z46&lt;&gt;"",AE46&lt;Z46),"Confirmed Deployed date is before DPO Approval target",""))))))))))))</f>
        <v/>
      </c>
      <c r="AJ46" s="41"/>
      <c r="AK46" s="32" t="str" cm="1">
        <f t="array" ref="AK46">_xlfn.LET(_xlpm.rep,$B46,_xlpm.sent,_xlfn.MAXIFS('Rework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6" s="32" t="str" cm="1">
        <f t="array" ref="AL46">_xlfn.LET(_xlpm.rep,$B46,_xlpm.sent,_xlfn.MAXIFS('Rework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7" spans="1:38" ht="14.45">
      <c r="A47" s="33" t="s">
        <v>116</v>
      </c>
      <c r="B47" s="33" t="s">
        <v>163</v>
      </c>
      <c r="C47" s="33" t="s">
        <v>149</v>
      </c>
      <c r="D47" t="str" cm="1">
        <f t="array" aca="1" ref="D47" ca="1">IF($B47="","",IF(LEFT($AH47,3)="Yes","Blocked - "&amp;MID($AH47,7,100)&amp;IF(SUMPRODUCT(('Rework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track")),IF(C47="QA",_xlfn.LET(_xlpm.tgt,IF(AK47&lt;&gt;"",AK47,IF(W47&lt;&gt;"",W47,V47)),_xlpm.sent,_xlfn.MAXIFS('Rework Log'!$B$3:$B$500,'Rework Log'!$A$3:$A$500,$B47,'Rework Log'!$C$3:$C$500,"QA"),_xlpm.act,IF(AND(X47&lt;&gt;"",X47&gt;_xlpm.sent),X47,""),IF(_xlpm.tgt="","No target set",IF(AND(_xlpm.tgt&lt;TODAY(),_xlpm.act=""),"Overdue","On track"))),IF(C47="DPO Approval",_xlfn.LET(_xlpm.tgt,IF(AL47&lt;&gt;"",AL47,IF(AA47&lt;&gt;"",AA47,Z47)),_xlpm.sent,_xlfn.MAXIFS('Rework Log'!$B$3:$B$500,'Rework Log'!$A$3:$A$500,$B47,'Rework Log'!$C$3:$C$500,"DPO*"),_xlpm.act,IF(AND(AB47&lt;&gt;"",AB47&gt;_xlpm.sent),AB47,""),IF(_xlpm.tgt="","No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119</v>
      </c>
      <c r="G47" s="33"/>
      <c r="H47" s="50">
        <v>46265</v>
      </c>
      <c r="I47" s="62" t="s">
        <v>155</v>
      </c>
      <c r="J47" s="33" t="s">
        <v>142</v>
      </c>
      <c r="K47" s="4">
        <v>46234</v>
      </c>
      <c r="L47" s="36">
        <v>46246</v>
      </c>
      <c r="M47" s="36">
        <v>46246</v>
      </c>
      <c r="N47" s="36"/>
      <c r="O47" s="36" t="s">
        <v>164</v>
      </c>
      <c r="P47" s="66" t="s">
        <v>73</v>
      </c>
      <c r="Q47" s="4">
        <v>46241</v>
      </c>
      <c r="R47" s="36">
        <v>46261</v>
      </c>
      <c r="S47" s="36"/>
      <c r="T47" s="70"/>
      <c r="U47" s="55" t="s">
        <v>119</v>
      </c>
      <c r="V47" s="60">
        <v>46255</v>
      </c>
      <c r="W47" s="36">
        <v>46266</v>
      </c>
      <c r="X47" s="36"/>
      <c r="Y47" s="36"/>
      <c r="Z47" s="53">
        <v>46260</v>
      </c>
      <c r="AA47" s="36">
        <v>46276</v>
      </c>
      <c r="AB47" s="36"/>
      <c r="AC47" s="33"/>
      <c r="AD47" s="38"/>
      <c r="AE47" s="36"/>
      <c r="AF47" s="39"/>
      <c r="AG47" s="33"/>
      <c r="AH47" s="40" t="s">
        <v>50</v>
      </c>
      <c r="AI47" s="74" t="str">
        <f>IF($B47="","",IF(AND(LEFT($AH47,3)="Yes",SUMPRODUCT(('Rework Log'!$A$3:$A$500=$B47)*('Rework Log'!$G$3:$G$500&lt;&gt;"Yes")*('Rework Log'!$G$3:$G$500&lt;&gt;"Did not pass re-test"))=0),"Blocked - log it on Rework Log",IF(AND(LEFT($AH47,3)&lt;&gt;"Yes",SUMPRODUCT(('Rework Log'!$A$3:$A$500=$B47)*('Rework Log'!$G$3:$G$500&lt;&gt;"Yes")*('Rework Log'!$G$3:$G$500&lt;&gt;"Did not pass re-test"))&gt;0),"Open rework row - mark Blocked? or close it",IF(AND($AH47="Yes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H)",IF(AND($AH47="Yes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H)",IF(AND($AH47="Yes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target",IF(AND(AE47&lt;&gt;"",Z47&lt;&gt;"",AE47&lt;Z47),"Confirmed Deployed date is before DPO Approval target",""))))))))))))</f>
        <v/>
      </c>
      <c r="AJ47" s="41" t="s">
        <v>165</v>
      </c>
      <c r="AK47" s="32" t="str" cm="1">
        <f t="array" ref="AK47">_xlfn.LET(_xlpm.rep,$B47,_xlpm.sent,_xlfn.MAXIFS('Rework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7" s="32" t="str" cm="1">
        <f t="array" ref="AL47">_xlfn.LET(_xlpm.rep,$B47,_xlpm.sent,_xlfn.MAXIFS('Rework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8" spans="1:38" ht="14.45">
      <c r="A48" s="33" t="s">
        <v>116</v>
      </c>
      <c r="B48" s="33" t="s">
        <v>166</v>
      </c>
      <c r="C48" s="33" t="s">
        <v>128</v>
      </c>
      <c r="D48" t="str" cm="1">
        <f t="array" aca="1" ref="D48" ca="1">IF($B48="","",IF(LEFT($AH48,3)="Yes","Blocked - "&amp;MID($AH48,7,100)&amp;IF(SUMPRODUCT(('Rework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track")),IF(C48="QA",_xlfn.LET(_xlpm.tgt,IF(AK48&lt;&gt;"",AK48,IF(W48&lt;&gt;"",W48,V48)),_xlpm.sent,_xlfn.MAXIFS('Rework Log'!$B$3:$B$500,'Rework Log'!$A$3:$A$500,$B48,'Rework Log'!$C$3:$C$500,"QA"),_xlpm.act,IF(AND(X48&lt;&gt;"",X48&gt;_xlpm.sent),X48,""),IF(_xlpm.tgt="","No target set",IF(AND(_xlpm.tgt&lt;TODAY(),_xlpm.act=""),"Overdue","On track"))),IF(C48="DPO Approval",_xlfn.LET(_xlpm.tgt,IF(AL48&lt;&gt;"",AL48,IF(AA48&lt;&gt;"",AA48,Z48)),_xlpm.sent,_xlfn.MAXIFS('Rework Log'!$B$3:$B$500,'Rework Log'!$A$3:$A$500,$B48,'Rework Log'!$C$3:$C$500,"DPO*"),_xlpm.act,IF(AND(AB48&lt;&gt;"",AB48&gt;_xlpm.sent),AB48,""),IF(_xlpm.tgt="","No target set",IF(AND(_xlpm.tgt&lt;TODAY(),_xlpm.act=""),"Overdue","On track"))),IF(C48="RELEASED IN PROD","Delivered",""))))))))</f>
        <v>Overdue</v>
      </c>
      <c r="E48" s="33">
        <v>22</v>
      </c>
      <c r="F48" s="34" t="s">
        <v>133</v>
      </c>
      <c r="G48" s="33"/>
      <c r="H48" s="50">
        <v>46265</v>
      </c>
      <c r="I48" s="62" t="s">
        <v>155</v>
      </c>
      <c r="J48" s="33" t="s">
        <v>98</v>
      </c>
      <c r="K48" s="4">
        <v>46234</v>
      </c>
      <c r="L48" s="36">
        <v>46255</v>
      </c>
      <c r="M48" s="36">
        <v>46253</v>
      </c>
      <c r="N48" s="36"/>
      <c r="O48" s="36" t="s">
        <v>164</v>
      </c>
      <c r="P48" s="66" t="s">
        <v>44</v>
      </c>
      <c r="Q48" s="4">
        <v>46241</v>
      </c>
      <c r="R48" s="36">
        <v>46255</v>
      </c>
      <c r="S48" s="36">
        <v>46255</v>
      </c>
      <c r="T48" s="70"/>
      <c r="U48" s="55" t="s">
        <v>133</v>
      </c>
      <c r="V48" s="60">
        <v>46255</v>
      </c>
      <c r="W48" s="36">
        <v>46259</v>
      </c>
      <c r="X48" s="36"/>
      <c r="Y48" s="36"/>
      <c r="Z48" s="53">
        <v>46260</v>
      </c>
      <c r="AA48" s="36">
        <v>46268</v>
      </c>
      <c r="AB48" s="36"/>
      <c r="AC48" s="33"/>
      <c r="AD48" s="38"/>
      <c r="AE48" s="36"/>
      <c r="AF48" s="39"/>
      <c r="AG48" s="33"/>
      <c r="AH48" s="40" t="s">
        <v>50</v>
      </c>
      <c r="AI48" s="74" t="str">
        <f>IF($B48="","",IF(AND(LEFT($AH48,3)="Yes",SUMPRODUCT(('Rework Log'!$A$3:$A$500=$B48)*('Rework Log'!$G$3:$G$500&lt;&gt;"Yes")*('Rework Log'!$G$3:$G$500&lt;&gt;"Did not pass re-test"))=0),"Blocked - log it on Rework Log",IF(AND(LEFT($AH48,3)&lt;&gt;"Yes",SUMPRODUCT(('Rework Log'!$A$3:$A$500=$B48)*('Rework Log'!$G$3:$G$500&lt;&gt;"Yes")*('Rework Log'!$G$3:$G$500&lt;&gt;"Did not pass re-test"))&gt;0),"Open rework row - mark Blocked? or close it",IF(AND($AH48="Yes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H)",IF(AND($AH48="Yes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H)",IF(AND($AH48="Yes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target",IF(AND(AE48&lt;&gt;"",Z48&lt;&gt;"",AE48&lt;Z48),"Confirmed Deployed date is before DPO Approval target",""))))))))))))</f>
        <v/>
      </c>
      <c r="AJ48" s="41" t="s">
        <v>167</v>
      </c>
      <c r="AK48" s="32" t="str" cm="1">
        <f t="array" ref="AK48">_xlfn.LET(_xlpm.rep,$B48,_xlpm.sent,_xlfn.MAXIFS('Rework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8" s="32" t="str" cm="1">
        <f t="array" ref="AL48">_xlfn.LET(_xlpm.rep,$B48,_xlpm.sent,_xlfn.MAXIFS('Rework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9" spans="1:38" ht="14.45">
      <c r="A49" s="33" t="s">
        <v>116</v>
      </c>
      <c r="B49" s="33" t="s">
        <v>168</v>
      </c>
      <c r="C49" s="33" t="s">
        <v>149</v>
      </c>
      <c r="D49" t="str" cm="1">
        <f t="array" aca="1" ref="D49" ca="1">IF($B49="","",IF(LEFT($AH49,3)="Yes","Blocked - "&amp;MID($AH49,7,100)&amp;IF(SUMPRODUCT(('Rework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track")),IF(C49="QA",_xlfn.LET(_xlpm.tgt,IF(AK49&lt;&gt;"",AK49,IF(W49&lt;&gt;"",W49,V49)),_xlpm.sent,_xlfn.MAXIFS('Rework Log'!$B$3:$B$500,'Rework Log'!$A$3:$A$500,$B49,'Rework Log'!$C$3:$C$500,"QA"),_xlpm.act,IF(AND(X49&lt;&gt;"",X49&gt;_xlpm.sent),X49,""),IF(_xlpm.tgt="","No target set",IF(AND(_xlpm.tgt&lt;TODAY(),_xlpm.act=""),"Overdue","On track"))),IF(C49="DPO Approval",_xlfn.LET(_xlpm.tgt,IF(AL49&lt;&gt;"",AL49,IF(AA49&lt;&gt;"",AA49,Z49)),_xlpm.sent,_xlfn.MAXIFS('Rework Log'!$B$3:$B$500,'Rework Log'!$A$3:$A$500,$B49,'Rework Log'!$C$3:$C$500,"DPO*"),_xlpm.act,IF(AND(AB49&lt;&gt;"",AB49&gt;_xlpm.sent),AB49,""),IF(_xlpm.tgt="","No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119</v>
      </c>
      <c r="G49" s="33"/>
      <c r="H49" s="50">
        <v>46265</v>
      </c>
      <c r="I49" s="62" t="s">
        <v>155</v>
      </c>
      <c r="J49" s="33" t="s">
        <v>142</v>
      </c>
      <c r="K49" s="4">
        <v>46234</v>
      </c>
      <c r="L49" s="36">
        <v>46253</v>
      </c>
      <c r="M49" s="36">
        <v>46252</v>
      </c>
      <c r="N49" s="36"/>
      <c r="O49" s="36" t="s">
        <v>121</v>
      </c>
      <c r="P49" s="66" t="s">
        <v>44</v>
      </c>
      <c r="Q49" s="4">
        <v>46241</v>
      </c>
      <c r="R49" s="36">
        <v>46259</v>
      </c>
      <c r="S49" s="36">
        <v>46260</v>
      </c>
      <c r="T49" s="70"/>
      <c r="U49" s="55" t="s">
        <v>119</v>
      </c>
      <c r="V49" s="60">
        <v>46255</v>
      </c>
      <c r="W49" s="36">
        <v>46262</v>
      </c>
      <c r="X49" s="36"/>
      <c r="Y49" s="36"/>
      <c r="Z49" s="53">
        <v>46260</v>
      </c>
      <c r="AA49" s="36">
        <v>46274</v>
      </c>
      <c r="AB49" s="36"/>
      <c r="AC49" s="33"/>
      <c r="AD49" s="38"/>
      <c r="AE49" s="36"/>
      <c r="AF49" s="39"/>
      <c r="AG49" s="33"/>
      <c r="AH49" s="40" t="s">
        <v>50</v>
      </c>
      <c r="AI49" s="74" t="str">
        <f>IF($B49="","",IF(AND(LEFT($AH49,3)="Yes",SUMPRODUCT(('Rework Log'!$A$3:$A$500=$B49)*('Rework Log'!$G$3:$G$500&lt;&gt;"Yes")*('Rework Log'!$G$3:$G$500&lt;&gt;"Did not pass re-test"))=0),"Blocked - log it on Rework Log",IF(AND(LEFT($AH49,3)&lt;&gt;"Yes",SUMPRODUCT(('Rework Log'!$A$3:$A$500=$B49)*('Rework Log'!$G$3:$G$500&lt;&gt;"Yes")*('Rework Log'!$G$3:$G$500&lt;&gt;"Did not pass re-test"))&gt;0),"Open rework row - mark Blocked? or close it",IF(AND($AH49="Yes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H)",IF(AND($AH49="Yes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H)",IF(AND($AH49="Yes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target",IF(AND(AE49&lt;&gt;"",Z49&lt;&gt;"",AE49&lt;Z49),"Confirmed Deployed date is before DPO Approval target",""))))))))))))</f>
        <v/>
      </c>
      <c r="AJ49" s="41"/>
      <c r="AK49" s="32" t="str" cm="1">
        <f t="array" ref="AK49">_xlfn.LET(_xlpm.rep,$B49,_xlpm.sent,_xlfn.MAXIFS('Rework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9" s="32" t="str" cm="1">
        <f t="array" ref="AL49">_xlfn.LET(_xlpm.rep,$B49,_xlpm.sent,_xlfn.MAXIFS('Rework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0" spans="1:38" ht="15" customHeight="1">
      <c r="A50" s="33" t="s">
        <v>116</v>
      </c>
      <c r="B50" s="33" t="s">
        <v>169</v>
      </c>
      <c r="C50" s="33" t="s">
        <v>128</v>
      </c>
      <c r="D50" t="str" cm="1">
        <f t="array" aca="1" ref="D50" ca="1">IF($B50="","",IF(LEFT($AH50,3)="Yes","Blocked - "&amp;MID($AH50,7,100)&amp;IF(SUMPRODUCT(('Rework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track")),IF(C50="QA",_xlfn.LET(_xlpm.tgt,IF(AK50&lt;&gt;"",AK50,IF(W50&lt;&gt;"",W50,V50)),_xlpm.sent,_xlfn.MAXIFS('Rework Log'!$B$3:$B$500,'Rework Log'!$A$3:$A$500,$B50,'Rework Log'!$C$3:$C$500,"QA"),_xlpm.act,IF(AND(X50&lt;&gt;"",X50&gt;_xlpm.sent),X50,""),IF(_xlpm.tgt="","No target set",IF(AND(_xlpm.tgt&lt;TODAY(),_xlpm.act=""),"Overdue","On track"))),IF(C50="DPO Approval",_xlfn.LET(_xlpm.tgt,IF(AL50&lt;&gt;"",AL50,IF(AA50&lt;&gt;"",AA50,Z50)),_xlpm.sent,_xlfn.MAXIFS('Rework Log'!$B$3:$B$500,'Rework Log'!$A$3:$A$500,$B50,'Rework Log'!$C$3:$C$500,"DPO*"),_xlpm.act,IF(AND(AB50&lt;&gt;"",AB50&gt;_xlpm.sent),AB50,""),IF(_xlpm.tgt="","No target set",IF(AND(_xlpm.tgt&lt;TODAY(),_xlpm.act=""),"Overdue","On track"))),IF(C50="RELEASED IN PROD","Delivered",""))))))))</f>
        <v>Overdue</v>
      </c>
      <c r="E50" s="33">
        <v>25</v>
      </c>
      <c r="F50" s="34" t="s">
        <v>133</v>
      </c>
      <c r="G50" s="33"/>
      <c r="H50" s="50">
        <v>46265</v>
      </c>
      <c r="I50" s="62" t="s">
        <v>155</v>
      </c>
      <c r="J50" s="33" t="s">
        <v>42</v>
      </c>
      <c r="K50" s="4">
        <v>46234</v>
      </c>
      <c r="L50" s="36">
        <v>46249</v>
      </c>
      <c r="M50" s="36">
        <v>46245</v>
      </c>
      <c r="N50" s="36"/>
      <c r="O50" s="36" t="s">
        <v>164</v>
      </c>
      <c r="P50" s="66" t="s">
        <v>57</v>
      </c>
      <c r="Q50" s="4">
        <v>46241</v>
      </c>
      <c r="R50" s="36">
        <v>46252</v>
      </c>
      <c r="S50" s="36">
        <v>46252</v>
      </c>
      <c r="T50" s="70"/>
      <c r="U50" s="55" t="s">
        <v>133</v>
      </c>
      <c r="V50" s="60">
        <v>46255</v>
      </c>
      <c r="W50" s="36">
        <v>46255</v>
      </c>
      <c r="X50" s="36"/>
      <c r="Y50" s="36"/>
      <c r="Z50" s="53">
        <v>46260</v>
      </c>
      <c r="AA50" s="36">
        <v>46266</v>
      </c>
      <c r="AB50" s="36"/>
      <c r="AC50" s="33"/>
      <c r="AD50" s="38"/>
      <c r="AE50" s="36"/>
      <c r="AF50" s="39"/>
      <c r="AG50" s="33"/>
      <c r="AH50" s="40" t="s">
        <v>50</v>
      </c>
      <c r="AI50" s="74" t="str">
        <f>IF($B50="","",IF(AND(LEFT($AH50,3)="Yes",SUMPRODUCT(('Rework Log'!$A$3:$A$500=$B50)*('Rework Log'!$G$3:$G$500&lt;&gt;"Yes")*('Rework Log'!$G$3:$G$500&lt;&gt;"Did not pass re-test"))=0),"Blocked - log it on Rework Log",IF(AND(LEFT($AH50,3)&lt;&gt;"Yes",SUMPRODUCT(('Rework Log'!$A$3:$A$500=$B50)*('Rework Log'!$G$3:$G$500&lt;&gt;"Yes")*('Rework Log'!$G$3:$G$500&lt;&gt;"Did not pass re-test"))&gt;0),"Open rework row - mark Blocked? or close it",IF(AND($AH50="Yes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H)",IF(AND($AH50="Yes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H)",IF(AND($AH50="Yes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target",IF(AND(AE50&lt;&gt;"",Z50&lt;&gt;"",AE50&lt;Z50),"Confirmed Deployed date is before DPO Approval target",""))))))))))))</f>
        <v/>
      </c>
      <c r="AJ50" s="41"/>
      <c r="AK50" s="32" t="str" cm="1">
        <f t="array" ref="AK50">_xlfn.LET(_xlpm.rep,$B50,_xlpm.sent,_xlfn.MAXIFS('Rework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0" s="32" t="str" cm="1">
        <f t="array" ref="AL50">_xlfn.LET(_xlpm.rep,$B50,_xlpm.sent,_xlfn.MAXIFS('Rework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1" spans="1:38" ht="14.45">
      <c r="A51" s="33" t="s">
        <v>116</v>
      </c>
      <c r="B51" s="33" t="s">
        <v>170</v>
      </c>
      <c r="C51" s="33" t="s">
        <v>149</v>
      </c>
      <c r="D51" t="str" cm="1">
        <f t="array" aca="1" ref="D51" ca="1">IF($B51="","",IF(LEFT($AH51,3)="Yes","Blocked - "&amp;MID($AH51,7,100)&amp;IF(SUMPRODUCT(('Rework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track")),IF(C51="QA",_xlfn.LET(_xlpm.tgt,IF(AK51&lt;&gt;"",AK51,IF(W51&lt;&gt;"",W51,V51)),_xlpm.sent,_xlfn.MAXIFS('Rework Log'!$B$3:$B$500,'Rework Log'!$A$3:$A$500,$B51,'Rework Log'!$C$3:$C$500,"QA"),_xlpm.act,IF(AND(X51&lt;&gt;"",X51&gt;_xlpm.sent),X51,""),IF(_xlpm.tgt="","No target set",IF(AND(_xlpm.tgt&lt;TODAY(),_xlpm.act=""),"Overdue","On track"))),IF(C51="DPO Approval",_xlfn.LET(_xlpm.tgt,IF(AL51&lt;&gt;"",AL51,IF(AA51&lt;&gt;"",AA51,Z51)),_xlpm.sent,_xlfn.MAXIFS('Rework Log'!$B$3:$B$500,'Rework Log'!$A$3:$A$500,$B51,'Rework Log'!$C$3:$C$500,"DPO*"),_xlpm.act,IF(AND(AB51&lt;&gt;"",AB51&gt;_xlpm.sent),AB51,""),IF(_xlpm.tgt="","No target set",IF(AND(_xlpm.tgt&lt;TODAY(),_xlpm.act=""),"Overdue","On track"))),IF(C51="RELEASED IN PROD","Delivered",""))))))))</f>
        <v>Overdue</v>
      </c>
      <c r="E51" s="33">
        <v>26</v>
      </c>
      <c r="F51" s="34" t="s">
        <v>133</v>
      </c>
      <c r="G51" s="33"/>
      <c r="H51" s="50">
        <v>46265</v>
      </c>
      <c r="I51" s="62" t="s">
        <v>155</v>
      </c>
      <c r="J51" s="33" t="s">
        <v>72</v>
      </c>
      <c r="K51" s="4">
        <v>46234</v>
      </c>
      <c r="L51" s="36">
        <v>46248</v>
      </c>
      <c r="M51" s="36">
        <v>46248</v>
      </c>
      <c r="N51" s="36"/>
      <c r="O51" s="36" t="s">
        <v>164</v>
      </c>
      <c r="P51" s="66" t="s">
        <v>73</v>
      </c>
      <c r="Q51" s="4">
        <v>46241</v>
      </c>
      <c r="R51" s="36">
        <v>46255</v>
      </c>
      <c r="S51" s="36"/>
      <c r="T51" s="70"/>
      <c r="U51" s="55" t="s">
        <v>133</v>
      </c>
      <c r="V51" s="60">
        <v>46255</v>
      </c>
      <c r="W51" s="36">
        <v>46260</v>
      </c>
      <c r="X51" s="36"/>
      <c r="Y51" s="36"/>
      <c r="Z51" s="53">
        <v>46260</v>
      </c>
      <c r="AA51" s="36">
        <v>46269</v>
      </c>
      <c r="AB51" s="36"/>
      <c r="AC51" s="33"/>
      <c r="AD51" s="38"/>
      <c r="AE51" s="36"/>
      <c r="AF51" s="39"/>
      <c r="AG51" s="33"/>
      <c r="AH51" s="40" t="s">
        <v>50</v>
      </c>
      <c r="AI51" s="74" t="str">
        <f>IF($B51="","",IF(AND(LEFT($AH51,3)="Yes",SUMPRODUCT(('Rework Log'!$A$3:$A$500=$B51)*('Rework Log'!$G$3:$G$500&lt;&gt;"Yes")*('Rework Log'!$G$3:$G$500&lt;&gt;"Did not pass re-test"))=0),"Blocked - log it on Rework Log",IF(AND(LEFT($AH51,3)&lt;&gt;"Yes",SUMPRODUCT(('Rework Log'!$A$3:$A$500=$B51)*('Rework Log'!$G$3:$G$500&lt;&gt;"Yes")*('Rework Log'!$G$3:$G$500&lt;&gt;"Did not pass re-test"))&gt;0),"Open rework row - mark Blocked? or close it",IF(AND($AH51="Yes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H)",IF(AND($AH51="Yes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H)",IF(AND($AH51="Yes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target",IF(AND(AE51&lt;&gt;"",Z51&lt;&gt;"",AE51&lt;Z51),"Confirmed Deployed date is before DPO Approval target",""))))))))))))</f>
        <v/>
      </c>
      <c r="AJ51" s="31"/>
      <c r="AK51" s="32" t="str" cm="1">
        <f t="array" ref="AK51">_xlfn.LET(_xlpm.rep,$B51,_xlpm.sent,_xlfn.MAXIFS('Rework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1" s="32" t="str" cm="1">
        <f t="array" ref="AL51">_xlfn.LET(_xlpm.rep,$B51,_xlpm.sent,_xlfn.MAXIFS('Rework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2" spans="1:38" ht="14.45">
      <c r="A52" s="33" t="s">
        <v>116</v>
      </c>
      <c r="B52" s="33" t="s">
        <v>171</v>
      </c>
      <c r="C52" s="33" t="s">
        <v>149</v>
      </c>
      <c r="D52" t="str" cm="1">
        <f t="array" aca="1" ref="D52" ca="1">IF($B52="","",IF(LEFT($AH52,3)="Yes","Blocked - "&amp;MID($AH52,7,100)&amp;IF(SUMPRODUCT(('Rework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track")),IF(C52="QA",_xlfn.LET(_xlpm.tgt,IF(AK52&lt;&gt;"",AK52,IF(W52&lt;&gt;"",W52,V52)),_xlpm.sent,_xlfn.MAXIFS('Rework Log'!$B$3:$B$500,'Rework Log'!$A$3:$A$500,$B52,'Rework Log'!$C$3:$C$500,"QA"),_xlpm.act,IF(AND(X52&lt;&gt;"",X52&gt;_xlpm.sent),X52,""),IF(_xlpm.tgt="","No target set",IF(AND(_xlpm.tgt&lt;TODAY(),_xlpm.act=""),"Overdue","On track"))),IF(C52="DPO Approval",_xlfn.LET(_xlpm.tgt,IF(AL52&lt;&gt;"",AL52,IF(AA52&lt;&gt;"",AA52,Z52)),_xlpm.sent,_xlfn.MAXIFS('Rework Log'!$B$3:$B$500,'Rework Log'!$A$3:$A$500,$B52,'Rework Log'!$C$3:$C$500,"DPO*"),_xlpm.act,IF(AND(AB52&lt;&gt;"",AB52&gt;_xlpm.sent),AB52,""),IF(_xlpm.tgt="","No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119</v>
      </c>
      <c r="G52" s="33"/>
      <c r="H52" s="50">
        <v>46265</v>
      </c>
      <c r="I52" s="62" t="s">
        <v>155</v>
      </c>
      <c r="J52" s="33" t="s">
        <v>109</v>
      </c>
      <c r="K52" s="4">
        <v>46234</v>
      </c>
      <c r="L52" s="36">
        <v>46253</v>
      </c>
      <c r="M52" s="36">
        <v>46252</v>
      </c>
      <c r="N52" s="36"/>
      <c r="O52" s="36" t="s">
        <v>164</v>
      </c>
      <c r="P52" s="66" t="s">
        <v>44</v>
      </c>
      <c r="Q52" s="4">
        <v>46241</v>
      </c>
      <c r="R52" s="36">
        <v>46265</v>
      </c>
      <c r="S52" s="36"/>
      <c r="T52" s="70"/>
      <c r="U52" s="55" t="s">
        <v>45</v>
      </c>
      <c r="V52" s="60">
        <v>46255</v>
      </c>
      <c r="W52" s="36"/>
      <c r="X52" s="36"/>
      <c r="Y52" s="36"/>
      <c r="Z52" s="53">
        <v>46260</v>
      </c>
      <c r="AA52" s="36"/>
      <c r="AB52" s="36"/>
      <c r="AC52" s="33"/>
      <c r="AD52" s="38"/>
      <c r="AE52" s="36"/>
      <c r="AF52" s="39"/>
      <c r="AG52" s="33"/>
      <c r="AH52" s="40" t="s">
        <v>50</v>
      </c>
      <c r="AI52" s="74" t="str">
        <f>IF($B52="","",IF(AND(LEFT($AH52,3)="Yes",SUMPRODUCT(('Rework Log'!$A$3:$A$500=$B52)*('Rework Log'!$G$3:$G$500&lt;&gt;"Yes")*('Rework Log'!$G$3:$G$500&lt;&gt;"Did not pass re-test"))=0),"Blocked - log it on Rework Log",IF(AND(LEFT($AH52,3)&lt;&gt;"Yes",SUMPRODUCT(('Rework Log'!$A$3:$A$500=$B52)*('Rework Log'!$G$3:$G$500&lt;&gt;"Yes")*('Rework Log'!$G$3:$G$500&lt;&gt;"Did not pass re-test"))&gt;0),"Open rework row - mark Blocked? or close it",IF(AND($AH52="Yes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H)",IF(AND($AH52="Yes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H)",IF(AND($AH52="Yes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target",IF(AND(AE52&lt;&gt;"",Z52&lt;&gt;"",AE52&lt;Z52),"Confirmed Deployed date is before DPO Approval target",""))))))))))))</f>
        <v/>
      </c>
      <c r="AJ52" s="41" t="s">
        <v>172</v>
      </c>
      <c r="AK52" s="32" t="str" cm="1">
        <f t="array" ref="AK52">_xlfn.LET(_xlpm.rep,$B52,_xlpm.sent,_xlfn.MAXIFS('Rework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2" s="32" t="str" cm="1">
        <f t="array" ref="AL52">_xlfn.LET(_xlpm.rep,$B52,_xlpm.sent,_xlfn.MAXIFS('Rework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3" spans="1:38" ht="14.45">
      <c r="A53" s="33" t="s">
        <v>116</v>
      </c>
      <c r="B53" s="33" t="s">
        <v>173</v>
      </c>
      <c r="C53" s="33" t="s">
        <v>149</v>
      </c>
      <c r="D53" t="str" cm="1">
        <f t="array" aca="1" ref="D53" ca="1">IF($B53="","",IF(LEFT($AH53,3)="Yes","Blocked - "&amp;MID($AH53,7,100)&amp;IF(SUMPRODUCT(('Rework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track")),IF(C53="QA",_xlfn.LET(_xlpm.tgt,IF(AK53&lt;&gt;"",AK53,IF(W53&lt;&gt;"",W53,V53)),_xlpm.sent,_xlfn.MAXIFS('Rework Log'!$B$3:$B$500,'Rework Log'!$A$3:$A$500,$B53,'Rework Log'!$C$3:$C$500,"QA"),_xlpm.act,IF(AND(X53&lt;&gt;"",X53&gt;_xlpm.sent),X53,""),IF(_xlpm.tgt="","No target set",IF(AND(_xlpm.tgt&lt;TODAY(),_xlpm.act=""),"Overdue","On track"))),IF(C53="DPO Approval",_xlfn.LET(_xlpm.tgt,IF(AL53&lt;&gt;"",AL53,IF(AA53&lt;&gt;"",AA53,Z53)),_xlpm.sent,_xlfn.MAXIFS('Rework Log'!$B$3:$B$500,'Rework Log'!$A$3:$A$500,$B53,'Rework Log'!$C$3:$C$500,"DPO*"),_xlpm.act,IF(AND(AB53&lt;&gt;"",AB53&gt;_xlpm.sent),AB53,""),IF(_xlpm.tgt="","No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133</v>
      </c>
      <c r="G53" s="33"/>
      <c r="H53" s="50">
        <v>46265</v>
      </c>
      <c r="I53" s="62" t="s">
        <v>155</v>
      </c>
      <c r="J53" s="33" t="s">
        <v>72</v>
      </c>
      <c r="K53" s="4">
        <v>46234</v>
      </c>
      <c r="L53" s="36">
        <v>46251</v>
      </c>
      <c r="M53" s="36">
        <v>46251</v>
      </c>
      <c r="N53" s="36"/>
      <c r="O53" s="36" t="s">
        <v>121</v>
      </c>
      <c r="P53" s="66" t="s">
        <v>73</v>
      </c>
      <c r="Q53" s="4">
        <v>46241</v>
      </c>
      <c r="R53" s="36">
        <v>46265</v>
      </c>
      <c r="S53" s="36"/>
      <c r="T53" s="70"/>
      <c r="U53" s="55" t="s">
        <v>45</v>
      </c>
      <c r="V53" s="60">
        <v>46255</v>
      </c>
      <c r="W53" s="36">
        <v>46268</v>
      </c>
      <c r="X53" s="36"/>
      <c r="Y53" s="36"/>
      <c r="Z53" s="53">
        <v>46260</v>
      </c>
      <c r="AA53" s="36">
        <v>46280</v>
      </c>
      <c r="AB53" s="36"/>
      <c r="AC53" s="33"/>
      <c r="AD53" s="38"/>
      <c r="AE53" s="36"/>
      <c r="AF53" s="39"/>
      <c r="AG53" s="33"/>
      <c r="AH53" s="40" t="s">
        <v>50</v>
      </c>
      <c r="AI53" s="74" t="str">
        <f>IF($B53="","",IF(AND(LEFT($AH53,3)="Yes",SUMPRODUCT(('Rework Log'!$A$3:$A$500=$B53)*('Rework Log'!$G$3:$G$500&lt;&gt;"Yes")*('Rework Log'!$G$3:$G$500&lt;&gt;"Did not pass re-test"))=0),"Blocked - log it on Rework Log",IF(AND(LEFT($AH53,3)&lt;&gt;"Yes",SUMPRODUCT(('Rework Log'!$A$3:$A$500=$B53)*('Rework Log'!$G$3:$G$500&lt;&gt;"Yes")*('Rework Log'!$G$3:$G$500&lt;&gt;"Did not pass re-test"))&gt;0),"Open rework row - mark Blocked? or close it",IF(AND($AH53="Yes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H)",IF(AND($AH53="Yes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H)",IF(AND($AH53="Yes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target",IF(AND(AE53&lt;&gt;"",Z53&lt;&gt;"",AE53&lt;Z53),"Confirmed Deployed date is before DPO Approval target",""))))))))))))</f>
        <v/>
      </c>
      <c r="AJ53" s="41"/>
      <c r="AK53" s="32" t="str" cm="1">
        <f t="array" ref="AK53">_xlfn.LET(_xlpm.rep,$B53,_xlpm.sent,_xlfn.MAXIFS('Rework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3" s="32" t="str" cm="1">
        <f t="array" ref="AL53">_xlfn.LET(_xlpm.rep,$B53,_xlpm.sent,_xlfn.MAXIFS('Rework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4" spans="1:38" ht="14.45">
      <c r="A54" s="33" t="s">
        <v>116</v>
      </c>
      <c r="B54" s="33" t="s">
        <v>174</v>
      </c>
      <c r="C54" s="33" t="s">
        <v>149</v>
      </c>
      <c r="D54" t="str" cm="1">
        <f t="array" aca="1" ref="D54" ca="1">IF($B54="","",IF(LEFT($AH54,3)="Yes","Blocked - "&amp;MID($AH54,7,100)&amp;IF(SUMPRODUCT(('Rework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track")),IF(C54="QA",_xlfn.LET(_xlpm.tgt,IF(AK54&lt;&gt;"",AK54,IF(W54&lt;&gt;"",W54,V54)),_xlpm.sent,_xlfn.MAXIFS('Rework Log'!$B$3:$B$500,'Rework Log'!$A$3:$A$500,$B54,'Rework Log'!$C$3:$C$500,"QA"),_xlpm.act,IF(AND(X54&lt;&gt;"",X54&gt;_xlpm.sent),X54,""),IF(_xlpm.tgt="","No target set",IF(AND(_xlpm.tgt&lt;TODAY(),_xlpm.act=""),"Overdue","On track"))),IF(C54="DPO Approval",_xlfn.LET(_xlpm.tgt,IF(AL54&lt;&gt;"",AL54,IF(AA54&lt;&gt;"",AA54,Z54)),_xlpm.sent,_xlfn.MAXIFS('Rework Log'!$B$3:$B$500,'Rework Log'!$A$3:$A$500,$B54,'Rework Log'!$C$3:$C$500,"DPO*"),_xlpm.act,IF(AND(AB54&lt;&gt;"",AB54&gt;_xlpm.sent),AB54,""),IF(_xlpm.tgt="","No target set",IF(AND(_xlpm.tgt&lt;TODAY(),_xlpm.act=""),"Overdue","On track"))),IF(C54="RELEASED IN PROD","Delivered",""))))))))</f>
        <v>Overdue</v>
      </c>
      <c r="E54" s="33">
        <v>30</v>
      </c>
      <c r="F54" s="34" t="s">
        <v>119</v>
      </c>
      <c r="G54" s="33"/>
      <c r="H54" s="50">
        <v>46265</v>
      </c>
      <c r="I54" s="62" t="s">
        <v>155</v>
      </c>
      <c r="J54" s="33" t="s">
        <v>80</v>
      </c>
      <c r="K54" s="4">
        <v>46234</v>
      </c>
      <c r="L54" s="36">
        <v>46255</v>
      </c>
      <c r="M54" s="36">
        <v>46253</v>
      </c>
      <c r="N54" s="36"/>
      <c r="O54" s="36" t="s">
        <v>121</v>
      </c>
      <c r="P54" s="66" t="s">
        <v>57</v>
      </c>
      <c r="Q54" s="4">
        <v>46241</v>
      </c>
      <c r="R54" s="36"/>
      <c r="S54" s="36"/>
      <c r="T54" s="70"/>
      <c r="U54" s="55" t="s">
        <v>45</v>
      </c>
      <c r="V54" s="60">
        <v>46255</v>
      </c>
      <c r="W54" s="36"/>
      <c r="X54" s="36"/>
      <c r="Y54" s="36"/>
      <c r="Z54" s="53">
        <v>46260</v>
      </c>
      <c r="AA54" s="36"/>
      <c r="AB54" s="36"/>
      <c r="AC54" s="33"/>
      <c r="AD54" s="38"/>
      <c r="AE54" s="36"/>
      <c r="AF54" s="39"/>
      <c r="AG54" s="33"/>
      <c r="AH54" s="40" t="s">
        <v>50</v>
      </c>
      <c r="AI54" s="74" t="str">
        <f>IF($B54="","",IF(AND(LEFT($AH54,3)="Yes",SUMPRODUCT(('Rework Log'!$A$3:$A$500=$B54)*('Rework Log'!$G$3:$G$500&lt;&gt;"Yes")*('Rework Log'!$G$3:$G$500&lt;&gt;"Did not pass re-test"))=0),"Blocked - log it on Rework Log",IF(AND(LEFT($AH54,3)&lt;&gt;"Yes",SUMPRODUCT(('Rework Log'!$A$3:$A$500=$B54)*('Rework Log'!$G$3:$G$500&lt;&gt;"Yes")*('Rework Log'!$G$3:$G$500&lt;&gt;"Did not pass re-test"))&gt;0),"Open rework row - mark Blocked? or close it",IF(AND($AH54="Yes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H)",IF(AND($AH54="Yes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H)",IF(AND($AH54="Yes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target",IF(AND(AE54&lt;&gt;"",Z54&lt;&gt;"",AE54&lt;Z54),"Confirmed Deployed date is before DPO Approval target",""))))))))))))</f>
        <v/>
      </c>
      <c r="AJ54" s="41"/>
      <c r="AK54" s="32" t="str" cm="1">
        <f t="array" ref="AK54">_xlfn.LET(_xlpm.rep,$B54,_xlpm.sent,_xlfn.MAXIFS('Rework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4" s="32" t="str" cm="1">
        <f t="array" ref="AL54">_xlfn.LET(_xlpm.rep,$B54,_xlpm.sent,_xlfn.MAXIFS('Rework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5" spans="1:38" ht="14.45">
      <c r="A55" s="33" t="s">
        <v>116</v>
      </c>
      <c r="B55" s="33" t="s">
        <v>175</v>
      </c>
      <c r="C55" s="33" t="s">
        <v>149</v>
      </c>
      <c r="D55" t="str" cm="1">
        <f t="array" aca="1" ref="D55" ca="1">IF($B55="","",IF(LEFT($AH55,3)="Yes","Blocked - "&amp;MID($AH55,7,100)&amp;IF(SUMPRODUCT(('Rework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track")),IF(C55="QA",_xlfn.LET(_xlpm.tgt,IF(AK55&lt;&gt;"",AK55,IF(W55&lt;&gt;"",W55,V55)),_xlpm.sent,_xlfn.MAXIFS('Rework Log'!$B$3:$B$500,'Rework Log'!$A$3:$A$500,$B55,'Rework Log'!$C$3:$C$500,"QA"),_xlpm.act,IF(AND(X55&lt;&gt;"",X55&gt;_xlpm.sent),X55,""),IF(_xlpm.tgt="","No target set",IF(AND(_xlpm.tgt&lt;TODAY(),_xlpm.act=""),"Overdue","On track"))),IF(C55="DPO Approval",_xlfn.LET(_xlpm.tgt,IF(AL55&lt;&gt;"",AL55,IF(AA55&lt;&gt;"",AA55,Z55)),_xlpm.sent,_xlfn.MAXIFS('Rework Log'!$B$3:$B$500,'Rework Log'!$A$3:$A$500,$B55,'Rework Log'!$C$3:$C$500,"DPO*"),_xlpm.act,IF(AND(AB55&lt;&gt;"",AB55&gt;_xlpm.sent),AB55,""),IF(_xlpm.tgt="","No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133</v>
      </c>
      <c r="G55" s="33"/>
      <c r="H55" s="50">
        <v>46295</v>
      </c>
      <c r="I55" s="56" t="s">
        <v>176</v>
      </c>
      <c r="J55" s="33" t="s">
        <v>72</v>
      </c>
      <c r="K55" s="4">
        <v>46262</v>
      </c>
      <c r="L55" s="36">
        <v>46253</v>
      </c>
      <c r="M55" s="36">
        <v>46253</v>
      </c>
      <c r="N55" s="36"/>
      <c r="O55" s="36" t="s">
        <v>177</v>
      </c>
      <c r="P55" s="64" t="s">
        <v>73</v>
      </c>
      <c r="Q55" s="4">
        <v>46269</v>
      </c>
      <c r="R55" s="36"/>
      <c r="S55" s="36"/>
      <c r="T55" s="70" t="s">
        <v>178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/>
      <c r="AD55" s="38"/>
      <c r="AE55" s="36"/>
      <c r="AF55" s="39"/>
      <c r="AG55" s="33"/>
      <c r="AH55" s="40" t="s">
        <v>50</v>
      </c>
      <c r="AI55" s="74" t="str">
        <f>IF($B55="","",IF(AND(LEFT($AH55,3)="Yes",SUMPRODUCT(('Rework Log'!$A$3:$A$500=$B55)*('Rework Log'!$G$3:$G$500&lt;&gt;"Yes")*('Rework Log'!$G$3:$G$500&lt;&gt;"Did not pass re-test"))=0),"Blocked - log it on Rework Log",IF(AND(LEFT($AH55,3)&lt;&gt;"Yes",SUMPRODUCT(('Rework Log'!$A$3:$A$500=$B55)*('Rework Log'!$G$3:$G$500&lt;&gt;"Yes")*('Rework Log'!$G$3:$G$500&lt;&gt;"Did not pass re-test"))&gt;0),"Open rework row - mark Blocked? or close it",IF(AND($AH55="Yes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H)",IF(AND($AH55="Yes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H)",IF(AND($AH55="Yes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target",IF(AND(AE55&lt;&gt;"",Z55&lt;&gt;"",AE55&lt;Z55),"Confirmed Deployed date is before DPO Approval target",""))))))))))))</f>
        <v/>
      </c>
      <c r="AJ55" s="41"/>
      <c r="AK55" s="32" t="str" cm="1">
        <f t="array" ref="AK55">_xlfn.LET(_xlpm.rep,$B55,_xlpm.sent,_xlfn.MAXIFS('Rework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5" s="32" t="str" cm="1">
        <f t="array" ref="AL55">_xlfn.LET(_xlpm.rep,$B55,_xlpm.sent,_xlfn.MAXIFS('Rework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6" spans="1:38" ht="14.45">
      <c r="A56" s="33" t="s">
        <v>116</v>
      </c>
      <c r="B56" s="33" t="s">
        <v>179</v>
      </c>
      <c r="C56" s="33" t="s">
        <v>149</v>
      </c>
      <c r="D56" t="str" cm="1">
        <f t="array" aca="1" ref="D56" ca="1">IF($B56="","",IF(LEFT($AH56,3)="Yes","Blocked - "&amp;MID($AH56,7,100)&amp;IF(SUMPRODUCT(('Rework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track")),IF(C56="QA",_xlfn.LET(_xlpm.tgt,IF(AK56&lt;&gt;"",AK56,IF(W56&lt;&gt;"",W56,V56)),_xlpm.sent,_xlfn.MAXIFS('Rework Log'!$B$3:$B$500,'Rework Log'!$A$3:$A$500,$B56,'Rework Log'!$C$3:$C$500,"QA"),_xlpm.act,IF(AND(X56&lt;&gt;"",X56&gt;_xlpm.sent),X56,""),IF(_xlpm.tgt="","No target set",IF(AND(_xlpm.tgt&lt;TODAY(),_xlpm.act=""),"Overdue","On track"))),IF(C56="DPO Approval",_xlfn.LET(_xlpm.tgt,IF(AL56&lt;&gt;"",AL56,IF(AA56&lt;&gt;"",AA56,Z56)),_xlpm.sent,_xlfn.MAXIFS('Rework Log'!$B$3:$B$500,'Rework Log'!$A$3:$A$500,$B56,'Rework Log'!$C$3:$C$500,"DPO*"),_xlpm.act,IF(AND(AB56&lt;&gt;"",AB56&gt;_xlpm.sent),AB56,""),IF(_xlpm.tgt="","No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119</v>
      </c>
      <c r="G56" s="33"/>
      <c r="H56" s="50">
        <v>46295</v>
      </c>
      <c r="I56" s="56" t="s">
        <v>176</v>
      </c>
      <c r="J56" s="33" t="s">
        <v>72</v>
      </c>
      <c r="K56" s="4">
        <v>46262</v>
      </c>
      <c r="L56" s="36">
        <v>46253</v>
      </c>
      <c r="M56" s="36">
        <v>46253</v>
      </c>
      <c r="N56" s="36"/>
      <c r="O56" s="36" t="s">
        <v>177</v>
      </c>
      <c r="P56" s="64" t="s">
        <v>57</v>
      </c>
      <c r="Q56" s="4">
        <v>46269</v>
      </c>
      <c r="R56" s="36"/>
      <c r="S56" s="36"/>
      <c r="T56" s="70" t="s">
        <v>178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/>
      <c r="AD56" s="38"/>
      <c r="AE56" s="36"/>
      <c r="AF56" s="39"/>
      <c r="AG56" s="33"/>
      <c r="AH56" s="40" t="s">
        <v>50</v>
      </c>
      <c r="AI56" s="74" t="str">
        <f>IF($B56="","",IF(AND(LEFT($AH56,3)="Yes",SUMPRODUCT(('Rework Log'!$A$3:$A$500=$B56)*('Rework Log'!$G$3:$G$500&lt;&gt;"Yes")*('Rework Log'!$G$3:$G$500&lt;&gt;"Did not pass re-test"))=0),"Blocked - log it on Rework Log",IF(AND(LEFT($AH56,3)&lt;&gt;"Yes",SUMPRODUCT(('Rework Log'!$A$3:$A$500=$B56)*('Rework Log'!$G$3:$G$500&lt;&gt;"Yes")*('Rework Log'!$G$3:$G$500&lt;&gt;"Did not pass re-test"))&gt;0),"Open rework row - mark Blocked? or close it",IF(AND($AH56="Yes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H)",IF(AND($AH56="Yes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H)",IF(AND($AH56="Yes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target",IF(AND(AE56&lt;&gt;"",Z56&lt;&gt;"",AE56&lt;Z56),"Confirmed Deployed date is before DPO Approval target",""))))))))))))</f>
        <v/>
      </c>
      <c r="AJ56" s="41" t="s">
        <v>172</v>
      </c>
      <c r="AK56" s="32" t="str" cm="1">
        <f t="array" ref="AK56">_xlfn.LET(_xlpm.rep,$B56,_xlpm.sent,_xlfn.MAXIFS('Rework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6" s="32" t="str" cm="1">
        <f t="array" ref="AL56">_xlfn.LET(_xlpm.rep,$B56,_xlpm.sent,_xlfn.MAXIFS('Rework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7" spans="1:38" ht="14.45">
      <c r="A57" s="33" t="s">
        <v>116</v>
      </c>
      <c r="B57" s="33" t="s">
        <v>180</v>
      </c>
      <c r="C57" s="33" t="s">
        <v>181</v>
      </c>
      <c r="D57" t="str" cm="1">
        <f t="array" aca="1" ref="D57" ca="1">IF($B57="","",IF(LEFT($AH57,3)="Yes","Blocked - "&amp;MID($AH57,7,100)&amp;IF(SUMPRODUCT(('Rework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track")),IF(C57="QA",_xlfn.LET(_xlpm.tgt,IF(AK57&lt;&gt;"",AK57,IF(W57&lt;&gt;"",W57,V57)),_xlpm.sent,_xlfn.MAXIFS('Rework Log'!$B$3:$B$500,'Rework Log'!$A$3:$A$500,$B57,'Rework Log'!$C$3:$C$500,"QA"),_xlpm.act,IF(AND(X57&lt;&gt;"",X57&gt;_xlpm.sent),X57,""),IF(_xlpm.tgt="","No target set",IF(AND(_xlpm.tgt&lt;TODAY(),_xlpm.act=""),"Overdue","On track"))),IF(C57="DPO Approval",_xlfn.LET(_xlpm.tgt,IF(AL57&lt;&gt;"",AL57,IF(AA57&lt;&gt;"",AA57,Z57)),_xlpm.sent,_xlfn.MAXIFS('Rework Log'!$B$3:$B$500,'Rework Log'!$A$3:$A$500,$B57,'Rework Log'!$C$3:$C$500,"DPO*"),_xlpm.act,IF(AND(AB57&lt;&gt;"",AB57&gt;_xlpm.sent),AB57,""),IF(_xlpm.tgt="","No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133</v>
      </c>
      <c r="G57" s="33"/>
      <c r="H57" s="50">
        <v>46295</v>
      </c>
      <c r="I57" s="56" t="s">
        <v>176</v>
      </c>
      <c r="J57" s="33" t="s">
        <v>109</v>
      </c>
      <c r="K57" s="4">
        <v>46262</v>
      </c>
      <c r="L57" s="36">
        <v>46254</v>
      </c>
      <c r="M57" s="36"/>
      <c r="N57" s="36"/>
      <c r="O57" s="36" t="s">
        <v>177</v>
      </c>
      <c r="P57" s="64" t="s">
        <v>44</v>
      </c>
      <c r="Q57" s="4">
        <v>46269</v>
      </c>
      <c r="R57" s="36"/>
      <c r="S57" s="36"/>
      <c r="T57" s="70" t="s">
        <v>178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/>
      <c r="AD57" s="38"/>
      <c r="AE57" s="36"/>
      <c r="AF57" s="39"/>
      <c r="AG57" s="33"/>
      <c r="AH57" s="40" t="s">
        <v>50</v>
      </c>
      <c r="AI57" s="74" t="str">
        <f>IF($B57="","",IF(AND(LEFT($AH57,3)="Yes",SUMPRODUCT(('Rework Log'!$A$3:$A$500=$B57)*('Rework Log'!$G$3:$G$500&lt;&gt;"Yes")*('Rework Log'!$G$3:$G$500&lt;&gt;"Did not pass re-test"))=0),"Blocked - log it on Rework Log",IF(AND(LEFT($AH57,3)&lt;&gt;"Yes",SUMPRODUCT(('Rework Log'!$A$3:$A$500=$B57)*('Rework Log'!$G$3:$G$500&lt;&gt;"Yes")*('Rework Log'!$G$3:$G$500&lt;&gt;"Did not pass re-test"))&gt;0),"Open rework row - mark Blocked? or close it",IF(AND($AH57="Yes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H)",IF(AND($AH57="Yes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H)",IF(AND($AH57="Yes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target",IF(AND(AE57&lt;&gt;"",Z57&lt;&gt;"",AE57&lt;Z57),"Confirmed Deployed date is before DPO Approval target",""))))))))))))</f>
        <v/>
      </c>
      <c r="AJ57" s="41" t="s">
        <v>172</v>
      </c>
      <c r="AK57" s="32" t="str" cm="1">
        <f t="array" ref="AK57">_xlfn.LET(_xlpm.rep,$B57,_xlpm.sent,_xlfn.MAXIFS('Rework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7" s="32" t="str" cm="1">
        <f t="array" ref="AL57">_xlfn.LET(_xlpm.rep,$B57,_xlpm.sent,_xlfn.MAXIFS('Rework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8" spans="1:38" ht="14.45">
      <c r="A58" s="33" t="s">
        <v>116</v>
      </c>
      <c r="B58" s="33" t="s">
        <v>182</v>
      </c>
      <c r="C58" s="33" t="s">
        <v>181</v>
      </c>
      <c r="D58" t="str" cm="1">
        <f t="array" aca="1" ref="D58" ca="1">IF($B58="","",IF(LEFT($AH58,3)="Yes","Blocked - "&amp;MID($AH58,7,100)&amp;IF(SUMPRODUCT(('Rework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track")),IF(C58="QA",_xlfn.LET(_xlpm.tgt,IF(AK58&lt;&gt;"",AK58,IF(W58&lt;&gt;"",W58,V58)),_xlpm.sent,_xlfn.MAXIFS('Rework Log'!$B$3:$B$500,'Rework Log'!$A$3:$A$500,$B58,'Rework Log'!$C$3:$C$500,"QA"),_xlpm.act,IF(AND(X58&lt;&gt;"",X58&gt;_xlpm.sent),X58,""),IF(_xlpm.tgt="","No target set",IF(AND(_xlpm.tgt&lt;TODAY(),_xlpm.act=""),"Overdue","On track"))),IF(C58="DPO Approval",_xlfn.LET(_xlpm.tgt,IF(AL58&lt;&gt;"",AL58,IF(AA58&lt;&gt;"",AA58,Z58)),_xlpm.sent,_xlfn.MAXIFS('Rework Log'!$B$3:$B$500,'Rework Log'!$A$3:$A$500,$B58,'Rework Log'!$C$3:$C$500,"DPO*"),_xlpm.act,IF(AND(AB58&lt;&gt;"",AB58&gt;_xlpm.sent),AB58,""),IF(_xlpm.tgt="","No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119</v>
      </c>
      <c r="G58" s="33"/>
      <c r="H58" s="50">
        <v>46295</v>
      </c>
      <c r="I58" s="56" t="s">
        <v>176</v>
      </c>
      <c r="J58" s="33" t="s">
        <v>109</v>
      </c>
      <c r="K58" s="4">
        <v>46262</v>
      </c>
      <c r="L58" s="36">
        <v>46254</v>
      </c>
      <c r="M58" s="36"/>
      <c r="N58" s="36"/>
      <c r="O58" s="36" t="s">
        <v>177</v>
      </c>
      <c r="P58" s="64" t="s">
        <v>73</v>
      </c>
      <c r="Q58" s="4">
        <v>46269</v>
      </c>
      <c r="R58" s="36"/>
      <c r="S58" s="36"/>
      <c r="T58" s="70" t="s">
        <v>178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/>
      <c r="AD58" s="38"/>
      <c r="AE58" s="36"/>
      <c r="AF58" s="39"/>
      <c r="AG58" s="33"/>
      <c r="AH58" s="40" t="s">
        <v>50</v>
      </c>
      <c r="AI58" s="74" t="str">
        <f>IF($B58="","",IF(AND(LEFT($AH58,3)="Yes",SUMPRODUCT(('Rework Log'!$A$3:$A$500=$B58)*('Rework Log'!$G$3:$G$500&lt;&gt;"Yes")*('Rework Log'!$G$3:$G$500&lt;&gt;"Did not pass re-test"))=0),"Blocked - log it on Rework Log",IF(AND(LEFT($AH58,3)&lt;&gt;"Yes",SUMPRODUCT(('Rework Log'!$A$3:$A$500=$B58)*('Rework Log'!$G$3:$G$500&lt;&gt;"Yes")*('Rework Log'!$G$3:$G$500&lt;&gt;"Did not pass re-test"))&gt;0),"Open rework row - mark Blocked? or close it",IF(AND($AH58="Yes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H)",IF(AND($AH58="Yes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H)",IF(AND($AH58="Yes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target",IF(AND(AE58&lt;&gt;"",Z58&lt;&gt;"",AE58&lt;Z58),"Confirmed Deployed date is before DPO Approval target",""))))))))))))</f>
        <v/>
      </c>
      <c r="AJ58" s="41"/>
      <c r="AK58" s="32" t="str" cm="1">
        <f t="array" ref="AK58">_xlfn.LET(_xlpm.rep,$B58,_xlpm.sent,_xlfn.MAXIFS('Rework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8" s="32" t="str" cm="1">
        <f t="array" ref="AL58">_xlfn.LET(_xlpm.rep,$B58,_xlpm.sent,_xlfn.MAXIFS('Rework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9" spans="1:38" ht="14.45">
      <c r="A59" s="33" t="s">
        <v>116</v>
      </c>
      <c r="B59" s="33" t="s">
        <v>183</v>
      </c>
      <c r="C59" s="33" t="s">
        <v>149</v>
      </c>
      <c r="D59" t="str" cm="1">
        <f t="array" aca="1" ref="D59" ca="1">IF($B59="","",IF(LEFT($AH59,3)="Yes","Blocked - "&amp;MID($AH59,7,100)&amp;IF(SUMPRODUCT(('Rework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track")),IF(C59="QA",_xlfn.LET(_xlpm.tgt,IF(AK59&lt;&gt;"",AK59,IF(W59&lt;&gt;"",W59,V59)),_xlpm.sent,_xlfn.MAXIFS('Rework Log'!$B$3:$B$500,'Rework Log'!$A$3:$A$500,$B59,'Rework Log'!$C$3:$C$500,"QA"),_xlpm.act,IF(AND(X59&lt;&gt;"",X59&gt;_xlpm.sent),X59,""),IF(_xlpm.tgt="","No target set",IF(AND(_xlpm.tgt&lt;TODAY(),_xlpm.act=""),"Overdue","On track"))),IF(C59="DPO Approval",_xlfn.LET(_xlpm.tgt,IF(AL59&lt;&gt;"",AL59,IF(AA59&lt;&gt;"",AA59,Z59)),_xlpm.sent,_xlfn.MAXIFS('Rework Log'!$B$3:$B$500,'Rework Log'!$A$3:$A$500,$B59,'Rework Log'!$C$3:$C$500,"DPO*"),_xlpm.act,IF(AND(AB59&lt;&gt;"",AB59&gt;_xlpm.sent),AB59,""),IF(_xlpm.tgt="","No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133</v>
      </c>
      <c r="G59" s="33"/>
      <c r="H59" s="50">
        <v>46295</v>
      </c>
      <c r="I59" s="56" t="s">
        <v>176</v>
      </c>
      <c r="J59" s="33" t="s">
        <v>42</v>
      </c>
      <c r="K59" s="4">
        <v>46262</v>
      </c>
      <c r="L59" s="36">
        <v>46253</v>
      </c>
      <c r="M59" s="36">
        <v>46253</v>
      </c>
      <c r="N59" s="36"/>
      <c r="O59" s="36" t="s">
        <v>177</v>
      </c>
      <c r="P59" s="64" t="s">
        <v>57</v>
      </c>
      <c r="Q59" s="4">
        <v>46269</v>
      </c>
      <c r="R59" s="36"/>
      <c r="S59" s="36"/>
      <c r="T59" s="70" t="s">
        <v>178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/>
      <c r="AD59" s="38"/>
      <c r="AE59" s="36"/>
      <c r="AF59" s="39"/>
      <c r="AG59" s="33"/>
      <c r="AH59" s="40" t="s">
        <v>50</v>
      </c>
      <c r="AI59" s="74" t="str">
        <f>IF($B59="","",IF(AND(LEFT($AH59,3)="Yes",SUMPRODUCT(('Rework Log'!$A$3:$A$500=$B59)*('Rework Log'!$G$3:$G$500&lt;&gt;"Yes")*('Rework Log'!$G$3:$G$500&lt;&gt;"Did not pass re-test"))=0),"Blocked - log it on Rework Log",IF(AND(LEFT($AH59,3)&lt;&gt;"Yes",SUMPRODUCT(('Rework Log'!$A$3:$A$500=$B59)*('Rework Log'!$G$3:$G$500&lt;&gt;"Yes")*('Rework Log'!$G$3:$G$500&lt;&gt;"Did not pass re-test"))&gt;0),"Open rework row - mark Blocked? or close it",IF(AND($AH59="Yes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H)",IF(AND($AH59="Yes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H)",IF(AND($AH59="Yes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target",IF(AND(AE59&lt;&gt;"",Z59&lt;&gt;"",AE59&lt;Z59),"Confirmed Deployed date is before DPO Approval target",""))))))))))))</f>
        <v/>
      </c>
      <c r="AJ59" s="41"/>
      <c r="AK59" s="32" t="str" cm="1">
        <f t="array" ref="AK59">_xlfn.LET(_xlpm.rep,$B59,_xlpm.sent,_xlfn.MAXIFS('Rework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9" s="32" t="str" cm="1">
        <f t="array" ref="AL59">_xlfn.LET(_xlpm.rep,$B59,_xlpm.sent,_xlfn.MAXIFS('Rework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0" spans="1:38" ht="14.45">
      <c r="A60" s="33" t="s">
        <v>116</v>
      </c>
      <c r="B60" s="33" t="s">
        <v>184</v>
      </c>
      <c r="C60" s="33" t="s">
        <v>149</v>
      </c>
      <c r="D60" t="str" cm="1">
        <f t="array" aca="1" ref="D60" ca="1">IF($B60="","",IF(LEFT($AH60,3)="Yes","Blocked - "&amp;MID($AH60,7,100)&amp;IF(SUMPRODUCT(('Rework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track")),IF(C60="QA",_xlfn.LET(_xlpm.tgt,IF(AK60&lt;&gt;"",AK60,IF(W60&lt;&gt;"",W60,V60)),_xlpm.sent,_xlfn.MAXIFS('Rework Log'!$B$3:$B$500,'Rework Log'!$A$3:$A$500,$B60,'Rework Log'!$C$3:$C$500,"QA"),_xlpm.act,IF(AND(X60&lt;&gt;"",X60&gt;_xlpm.sent),X60,""),IF(_xlpm.tgt="","No target set",IF(AND(_xlpm.tgt&lt;TODAY(),_xlpm.act=""),"Overdue","On track"))),IF(C60="DPO Approval",_xlfn.LET(_xlpm.tgt,IF(AL60&lt;&gt;"",AL60,IF(AA60&lt;&gt;"",AA60,Z60)),_xlpm.sent,_xlfn.MAXIFS('Rework Log'!$B$3:$B$500,'Rework Log'!$A$3:$A$500,$B60,'Rework Log'!$C$3:$C$500,"DPO*"),_xlpm.act,IF(AND(AB60&lt;&gt;"",AB60&gt;_xlpm.sent),AB60,""),IF(_xlpm.tgt="","No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133</v>
      </c>
      <c r="G60" s="33"/>
      <c r="H60" s="50">
        <v>46295</v>
      </c>
      <c r="I60" s="56" t="s">
        <v>176</v>
      </c>
      <c r="J60" s="33" t="s">
        <v>142</v>
      </c>
      <c r="K60" s="4">
        <v>46262</v>
      </c>
      <c r="L60" s="36">
        <v>46255</v>
      </c>
      <c r="M60" s="36">
        <v>46255</v>
      </c>
      <c r="N60" s="36"/>
      <c r="O60" s="36" t="s">
        <v>177</v>
      </c>
      <c r="P60" s="64" t="s">
        <v>44</v>
      </c>
      <c r="Q60" s="4">
        <v>46269</v>
      </c>
      <c r="R60" s="36"/>
      <c r="S60" s="36"/>
      <c r="T60" s="70" t="s">
        <v>178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/>
      <c r="AD60" s="38"/>
      <c r="AE60" s="36"/>
      <c r="AF60" s="39"/>
      <c r="AG60" s="33"/>
      <c r="AH60" s="40" t="s">
        <v>50</v>
      </c>
      <c r="AI60" s="74" t="str">
        <f>IF($B60="","",IF(AND(LEFT($AH60,3)="Yes",SUMPRODUCT(('Rework Log'!$A$3:$A$500=$B60)*('Rework Log'!$G$3:$G$500&lt;&gt;"Yes")*('Rework Log'!$G$3:$G$500&lt;&gt;"Did not pass re-test"))=0),"Blocked - log it on Rework Log",IF(AND(LEFT($AH60,3)&lt;&gt;"Yes",SUMPRODUCT(('Rework Log'!$A$3:$A$500=$B60)*('Rework Log'!$G$3:$G$500&lt;&gt;"Yes")*('Rework Log'!$G$3:$G$500&lt;&gt;"Did not pass re-test"))&gt;0),"Open rework row - mark Blocked? or close it",IF(AND($AH60="Yes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H)",IF(AND($AH60="Yes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H)",IF(AND($AH60="Yes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target",IF(AND(AE60&lt;&gt;"",Z60&lt;&gt;"",AE60&lt;Z60),"Confirmed Deployed date is before DPO Approval target",""))))))))))))</f>
        <v/>
      </c>
      <c r="AJ60" s="41"/>
      <c r="AK60" s="32" t="str" cm="1">
        <f t="array" ref="AK60">_xlfn.LET(_xlpm.rep,$B60,_xlpm.sent,_xlfn.MAXIFS('Rework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0" s="32" t="str" cm="1">
        <f t="array" ref="AL60">_xlfn.LET(_xlpm.rep,$B60,_xlpm.sent,_xlfn.MAXIFS('Rework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1" spans="1:38" ht="14.45">
      <c r="A61" s="33" t="s">
        <v>116</v>
      </c>
      <c r="B61" s="33" t="s">
        <v>185</v>
      </c>
      <c r="C61" s="33" t="s">
        <v>128</v>
      </c>
      <c r="D61" t="str" cm="1">
        <f t="array" aca="1" ref="D61" ca="1">IF($B61="","",IF(LEFT($AH61,3)="Yes","Blocked - "&amp;MID($AH61,7,100)&amp;IF(SUMPRODUCT(('Rework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track")),IF(C61="QA",_xlfn.LET(_xlpm.tgt,IF(AK61&lt;&gt;"",AK61,IF(W61&lt;&gt;"",W61,V61)),_xlpm.sent,_xlfn.MAXIFS('Rework Log'!$B$3:$B$500,'Rework Log'!$A$3:$A$500,$B61,'Rework Log'!$C$3:$C$500,"QA"),_xlpm.act,IF(AND(X61&lt;&gt;"",X61&gt;_xlpm.sent),X61,""),IF(_xlpm.tgt="","No target set",IF(AND(_xlpm.tgt&lt;TODAY(),_xlpm.act=""),"Overdue","On track"))),IF(C61="DPO Approval",_xlfn.LET(_xlpm.tgt,IF(AL61&lt;&gt;"",AL61,IF(AA61&lt;&gt;"",AA61,Z61)),_xlpm.sent,_xlfn.MAXIFS('Rework Log'!$B$3:$B$500,'Rework Log'!$A$3:$A$500,$B61,'Rework Log'!$C$3:$C$500,"DPO*"),_xlpm.act,IF(AND(AB61&lt;&gt;"",AB61&gt;_xlpm.sent),AB61,""),IF(_xlpm.tgt="","No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119</v>
      </c>
      <c r="G61" s="33"/>
      <c r="H61" s="50">
        <v>46295</v>
      </c>
      <c r="I61" s="56" t="s">
        <v>176</v>
      </c>
      <c r="J61" s="33" t="s">
        <v>42</v>
      </c>
      <c r="K61" s="4">
        <v>46262</v>
      </c>
      <c r="L61" s="36">
        <v>46255</v>
      </c>
      <c r="M61" s="36"/>
      <c r="N61" s="36"/>
      <c r="O61" s="36" t="s">
        <v>177</v>
      </c>
      <c r="P61" s="64" t="s">
        <v>57</v>
      </c>
      <c r="Q61" s="4">
        <v>46269</v>
      </c>
      <c r="R61" s="36"/>
      <c r="S61" s="36"/>
      <c r="T61" s="70" t="s">
        <v>178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/>
      <c r="AD61" s="38"/>
      <c r="AE61" s="36"/>
      <c r="AF61" s="39"/>
      <c r="AG61" s="33"/>
      <c r="AH61" s="40" t="s">
        <v>50</v>
      </c>
      <c r="AI61" s="74" t="str">
        <f>IF($B61="","",IF(AND(LEFT($AH61,3)="Yes",SUMPRODUCT(('Rework Log'!$A$3:$A$500=$B61)*('Rework Log'!$G$3:$G$500&lt;&gt;"Yes")*('Rework Log'!$G$3:$G$500&lt;&gt;"Did not pass re-test"))=0),"Blocked - log it on Rework Log",IF(AND(LEFT($AH61,3)&lt;&gt;"Yes",SUMPRODUCT(('Rework Log'!$A$3:$A$500=$B61)*('Rework Log'!$G$3:$G$500&lt;&gt;"Yes")*('Rework Log'!$G$3:$G$500&lt;&gt;"Did not pass re-test"))&gt;0),"Open rework row - mark Blocked? or close it",IF(AND($AH61="Yes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H)",IF(AND($AH61="Yes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H)",IF(AND($AH61="Yes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target",IF(AND(AE61&lt;&gt;"",Z61&lt;&gt;"",AE61&lt;Z61),"Confirmed Deployed date is before DPO Approval target",""))))))))))))</f>
        <v/>
      </c>
      <c r="AJ61" s="41"/>
      <c r="AK61" s="32" t="str" cm="1">
        <f t="array" ref="AK61">_xlfn.LET(_xlpm.rep,$B61,_xlpm.sent,_xlfn.MAXIFS('Rework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1" s="32" t="str" cm="1">
        <f t="array" ref="AL61">_xlfn.LET(_xlpm.rep,$B61,_xlpm.sent,_xlfn.MAXIFS('Rework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2" spans="1:38" ht="14.45">
      <c r="A62" s="33" t="s">
        <v>116</v>
      </c>
      <c r="B62" s="33" t="s">
        <v>186</v>
      </c>
      <c r="C62" s="33" t="s">
        <v>181</v>
      </c>
      <c r="D62" t="str" cm="1">
        <f t="array" aca="1" ref="D62" ca="1">IF($B62="","",IF(LEFT($AH62,3)="Yes","Blocked - "&amp;MID($AH62,7,100)&amp;IF(SUMPRODUCT(('Rework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track")),IF(C62="QA",_xlfn.LET(_xlpm.tgt,IF(AK62&lt;&gt;"",AK62,IF(W62&lt;&gt;"",W62,V62)),_xlpm.sent,_xlfn.MAXIFS('Rework Log'!$B$3:$B$500,'Rework Log'!$A$3:$A$500,$B62,'Rework Log'!$C$3:$C$500,"QA"),_xlpm.act,IF(AND(X62&lt;&gt;"",X62&gt;_xlpm.sent),X62,""),IF(_xlpm.tgt="","No target set",IF(AND(_xlpm.tgt&lt;TODAY(),_xlpm.act=""),"Overdue","On track"))),IF(C62="DPO Approval",_xlfn.LET(_xlpm.tgt,IF(AL62&lt;&gt;"",AL62,IF(AA62&lt;&gt;"",AA62,Z62)),_xlpm.sent,_xlfn.MAXIFS('Rework Log'!$B$3:$B$500,'Rework Log'!$A$3:$A$500,$B62,'Rework Log'!$C$3:$C$500,"DPO*"),_xlpm.act,IF(AND(AB62&lt;&gt;"",AB62&gt;_xlpm.sent),AB62,""),IF(_xlpm.tgt="","No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133</v>
      </c>
      <c r="G62" s="33"/>
      <c r="H62" s="50">
        <v>46295</v>
      </c>
      <c r="I62" s="56" t="s">
        <v>176</v>
      </c>
      <c r="J62" s="33" t="s">
        <v>80</v>
      </c>
      <c r="K62" s="4">
        <v>46262</v>
      </c>
      <c r="L62" s="36">
        <v>46260</v>
      </c>
      <c r="M62" s="36">
        <v>46259</v>
      </c>
      <c r="N62" s="36"/>
      <c r="O62" s="36" t="s">
        <v>177</v>
      </c>
      <c r="P62" s="64" t="s">
        <v>73</v>
      </c>
      <c r="Q62" s="4">
        <v>46269</v>
      </c>
      <c r="R62" s="36"/>
      <c r="S62" s="36"/>
      <c r="T62" s="70" t="s">
        <v>178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/>
      <c r="AD62" s="38"/>
      <c r="AE62" s="36"/>
      <c r="AF62" s="39"/>
      <c r="AG62" s="33"/>
      <c r="AH62" s="40" t="s">
        <v>50</v>
      </c>
      <c r="AI62" s="74" t="str">
        <f>IF($B62="","",IF(AND(LEFT($AH62,3)="Yes",SUMPRODUCT(('Rework Log'!$A$3:$A$500=$B62)*('Rework Log'!$G$3:$G$500&lt;&gt;"Yes")*('Rework Log'!$G$3:$G$500&lt;&gt;"Did not pass re-test"))=0),"Blocked - log it on Rework Log",IF(AND(LEFT($AH62,3)&lt;&gt;"Yes",SUMPRODUCT(('Rework Log'!$A$3:$A$500=$B62)*('Rework Log'!$G$3:$G$500&lt;&gt;"Yes")*('Rework Log'!$G$3:$G$500&lt;&gt;"Did not pass re-test"))&gt;0),"Open rework row - mark Blocked? or close it",IF(AND($AH62="Yes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H)",IF(AND($AH62="Yes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H)",IF(AND($AH62="Yes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target",IF(AND(AE62&lt;&gt;"",Z62&lt;&gt;"",AE62&lt;Z62),"Confirmed Deployed date is before DPO Approval target",""))))))))))))</f>
        <v/>
      </c>
      <c r="AJ62" s="41"/>
      <c r="AK62" s="32" t="str" cm="1">
        <f t="array" ref="AK62">_xlfn.LET(_xlpm.rep,$B62,_xlpm.sent,_xlfn.MAXIFS('Rework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2" s="32" t="str" cm="1">
        <f t="array" ref="AL62">_xlfn.LET(_xlpm.rep,$B62,_xlpm.sent,_xlfn.MAXIFS('Rework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3" spans="1:38" ht="14.45">
      <c r="A63" s="33" t="s">
        <v>116</v>
      </c>
      <c r="B63" s="33" t="s">
        <v>187</v>
      </c>
      <c r="C63" s="33" t="s">
        <v>181</v>
      </c>
      <c r="D63" t="str" cm="1">
        <f t="array" aca="1" ref="D63" ca="1">IF($B63="","",IF(LEFT($AH63,3)="Yes","Blocked - "&amp;MID($AH63,7,100)&amp;IF(SUMPRODUCT(('Rework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track")),IF(C63="QA",_xlfn.LET(_xlpm.tgt,IF(AK63&lt;&gt;"",AK63,IF(W63&lt;&gt;"",W63,V63)),_xlpm.sent,_xlfn.MAXIFS('Rework Log'!$B$3:$B$500,'Rework Log'!$A$3:$A$500,$B63,'Rework Log'!$C$3:$C$500,"QA"),_xlpm.act,IF(AND(X63&lt;&gt;"",X63&gt;_xlpm.sent),X63,""),IF(_xlpm.tgt="","No target set",IF(AND(_xlpm.tgt&lt;TODAY(),_xlpm.act=""),"Overdue","On track"))),IF(C63="DPO Approval",_xlfn.LET(_xlpm.tgt,IF(AL63&lt;&gt;"",AL63,IF(AA63&lt;&gt;"",AA63,Z63)),_xlpm.sent,_xlfn.MAXIFS('Rework Log'!$B$3:$B$500,'Rework Log'!$A$3:$A$500,$B63,'Rework Log'!$C$3:$C$500,"DPO*"),_xlpm.act,IF(AND(AB63&lt;&gt;"",AB63&gt;_xlpm.sent),AB63,""),IF(_xlpm.tgt="","No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133</v>
      </c>
      <c r="G63" s="33"/>
      <c r="H63" s="50">
        <v>46295</v>
      </c>
      <c r="I63" s="56" t="s">
        <v>176</v>
      </c>
      <c r="J63" s="33" t="s">
        <v>80</v>
      </c>
      <c r="K63" s="4">
        <v>46276</v>
      </c>
      <c r="L63" s="36">
        <v>46276</v>
      </c>
      <c r="M63" s="36"/>
      <c r="N63" s="36"/>
      <c r="O63" s="36" t="s">
        <v>177</v>
      </c>
      <c r="P63" s="64" t="s">
        <v>44</v>
      </c>
      <c r="Q63" s="4">
        <v>46286</v>
      </c>
      <c r="R63" s="36"/>
      <c r="S63" s="36"/>
      <c r="T63" s="70" t="s">
        <v>178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/>
      <c r="AD63" s="38"/>
      <c r="AE63" s="36"/>
      <c r="AF63" s="39"/>
      <c r="AG63" s="33"/>
      <c r="AH63" s="40" t="s">
        <v>50</v>
      </c>
      <c r="AI63" s="74" t="str">
        <f>IF($B63="","",IF(AND(LEFT($AH63,3)="Yes",SUMPRODUCT(('Rework Log'!$A$3:$A$500=$B63)*('Rework Log'!$G$3:$G$500&lt;&gt;"Yes")*('Rework Log'!$G$3:$G$500&lt;&gt;"Did not pass re-test"))=0),"Blocked - log it on Rework Log",IF(AND(LEFT($AH63,3)&lt;&gt;"Yes",SUMPRODUCT(('Rework Log'!$A$3:$A$500=$B63)*('Rework Log'!$G$3:$G$500&lt;&gt;"Yes")*('Rework Log'!$G$3:$G$500&lt;&gt;"Did not pass re-test"))&gt;0),"Open rework row - mark Blocked? or close it",IF(AND($AH63="Yes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H)",IF(AND($AH63="Yes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H)",IF(AND($AH63="Yes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target",IF(AND(AE63&lt;&gt;"",Z63&lt;&gt;"",AE63&lt;Z63),"Confirmed Deployed date is before DPO Approval target",""))))))))))))</f>
        <v/>
      </c>
      <c r="AJ63" s="41"/>
      <c r="AK63" s="32" t="str" cm="1">
        <f t="array" ref="AK63">_xlfn.LET(_xlpm.rep,$B63,_xlpm.sent,_xlfn.MAXIFS('Rework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3" s="32" t="str" cm="1">
        <f t="array" ref="AL63">_xlfn.LET(_xlpm.rep,$B63,_xlpm.sent,_xlfn.MAXIFS('Rework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4" spans="1:38" ht="14.45">
      <c r="A64" s="33" t="s">
        <v>116</v>
      </c>
      <c r="B64" s="33" t="s">
        <v>188</v>
      </c>
      <c r="C64" s="33" t="s">
        <v>181</v>
      </c>
      <c r="D64" t="str" cm="1">
        <f t="array" aca="1" ref="D64" ca="1">IF($B64="","",IF(LEFT($AH64,3)="Yes","Blocked - "&amp;MID($AH64,7,100)&amp;IF(SUMPRODUCT(('Rework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track")),IF(C64="QA",_xlfn.LET(_xlpm.tgt,IF(AK64&lt;&gt;"",AK64,IF(W64&lt;&gt;"",W64,V64)),_xlpm.sent,_xlfn.MAXIFS('Rework Log'!$B$3:$B$500,'Rework Log'!$A$3:$A$500,$B64,'Rework Log'!$C$3:$C$500,"QA"),_xlpm.act,IF(AND(X64&lt;&gt;"",X64&gt;_xlpm.sent),X64,""),IF(_xlpm.tgt="","No target set",IF(AND(_xlpm.tgt&lt;TODAY(),_xlpm.act=""),"Overdue","On track"))),IF(C64="DPO Approval",_xlfn.LET(_xlpm.tgt,IF(AL64&lt;&gt;"",AL64,IF(AA64&lt;&gt;"",AA64,Z64)),_xlpm.sent,_xlfn.MAXIFS('Rework Log'!$B$3:$B$500,'Rework Log'!$A$3:$A$500,$B64,'Rework Log'!$C$3:$C$500,"DPO*"),_xlpm.act,IF(AND(AB64&lt;&gt;"",AB64&gt;_xlpm.sent),AB64,""),IF(_xlpm.tgt="","No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119</v>
      </c>
      <c r="G64" s="33"/>
      <c r="H64" s="50">
        <v>46295</v>
      </c>
      <c r="I64" s="56" t="s">
        <v>176</v>
      </c>
      <c r="J64" s="33" t="s">
        <v>98</v>
      </c>
      <c r="K64" s="4">
        <v>46276</v>
      </c>
      <c r="L64" s="36">
        <v>46265</v>
      </c>
      <c r="M64" s="36"/>
      <c r="N64" s="36"/>
      <c r="O64" s="36" t="s">
        <v>177</v>
      </c>
      <c r="P64" s="64" t="s">
        <v>57</v>
      </c>
      <c r="Q64" s="4">
        <v>46286</v>
      </c>
      <c r="R64" s="36"/>
      <c r="S64" s="36"/>
      <c r="T64" s="70" t="s">
        <v>178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/>
      <c r="AD64" s="38"/>
      <c r="AE64" s="36"/>
      <c r="AF64" s="39"/>
      <c r="AG64" s="33"/>
      <c r="AH64" s="40" t="s">
        <v>50</v>
      </c>
      <c r="AI64" s="74" t="str">
        <f>IF($B64="","",IF(AND(LEFT($AH64,3)="Yes",SUMPRODUCT(('Rework Log'!$A$3:$A$500=$B64)*('Rework Log'!$G$3:$G$500&lt;&gt;"Yes")*('Rework Log'!$G$3:$G$500&lt;&gt;"Did not pass re-test"))=0),"Blocked - log it on Rework Log",IF(AND(LEFT($AH64,3)&lt;&gt;"Yes",SUMPRODUCT(('Rework Log'!$A$3:$A$500=$B64)*('Rework Log'!$G$3:$G$500&lt;&gt;"Yes")*('Rework Log'!$G$3:$G$500&lt;&gt;"Did not pass re-test"))&gt;0),"Open rework row - mark Blocked? or close it",IF(AND($AH64="Yes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H)",IF(AND($AH64="Yes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H)",IF(AND($AH64="Yes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target",IF(AND(AE64&lt;&gt;"",Z64&lt;&gt;"",AE64&lt;Z64),"Confirmed Deployed date is before DPO Approval target",""))))))))))))</f>
        <v/>
      </c>
      <c r="AJ64" s="41"/>
      <c r="AK64" s="32" t="str" cm="1">
        <f t="array" ref="AK64">_xlfn.LET(_xlpm.rep,$B64,_xlpm.sent,_xlfn.MAXIFS('Rework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4" s="32" t="str" cm="1">
        <f t="array" ref="AL64">_xlfn.LET(_xlpm.rep,$B64,_xlpm.sent,_xlfn.MAXIFS('Rework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5" spans="1:38" ht="14.45">
      <c r="A65" s="33" t="s">
        <v>116</v>
      </c>
      <c r="B65" s="33" t="s">
        <v>189</v>
      </c>
      <c r="C65" s="33" t="s">
        <v>153</v>
      </c>
      <c r="D65" t="str" cm="1">
        <f t="array" aca="1" ref="D65" ca="1">IF($B65="","",IF(LEFT($AH65,3)="Yes","Blocked - "&amp;MID($AH65,7,100)&amp;IF(SUMPRODUCT(('Rework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track")),IF(C65="QA",_xlfn.LET(_xlpm.tgt,IF(AK65&lt;&gt;"",AK65,IF(W65&lt;&gt;"",W65,V65)),_xlpm.sent,_xlfn.MAXIFS('Rework Log'!$B$3:$B$500,'Rework Log'!$A$3:$A$500,$B65,'Rework Log'!$C$3:$C$500,"QA"),_xlpm.act,IF(AND(X65&lt;&gt;"",X65&gt;_xlpm.sent),X65,""),IF(_xlpm.tgt="","No target set",IF(AND(_xlpm.tgt&lt;TODAY(),_xlpm.act=""),"Overdue","On track"))),IF(C65="DPO Approval",_xlfn.LET(_xlpm.tgt,IF(AL65&lt;&gt;"",AL65,IF(AA65&lt;&gt;"",AA65,Z65)),_xlpm.sent,_xlfn.MAXIFS('Rework Log'!$B$3:$B$500,'Rework Log'!$A$3:$A$500,$B65,'Rework Log'!$C$3:$C$500,"DPO*"),_xlpm.act,IF(AND(AB65&lt;&gt;"",AB65&gt;_xlpm.sent),AB65,""),IF(_xlpm.tgt="","No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119</v>
      </c>
      <c r="G65" s="33"/>
      <c r="H65" s="50">
        <v>46295</v>
      </c>
      <c r="I65" s="56" t="s">
        <v>176</v>
      </c>
      <c r="J65" s="33" t="s">
        <v>142</v>
      </c>
      <c r="K65" s="4">
        <v>46276</v>
      </c>
      <c r="L65" s="36"/>
      <c r="M65" s="36"/>
      <c r="N65" s="36"/>
      <c r="O65" s="36" t="s">
        <v>177</v>
      </c>
      <c r="P65" s="64" t="s">
        <v>73</v>
      </c>
      <c r="Q65" s="4">
        <v>46286</v>
      </c>
      <c r="R65" s="36"/>
      <c r="S65" s="36"/>
      <c r="T65" s="70" t="s">
        <v>178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/>
      <c r="AD65" s="38"/>
      <c r="AE65" s="36"/>
      <c r="AF65" s="39"/>
      <c r="AG65" s="33"/>
      <c r="AH65" s="40" t="s">
        <v>50</v>
      </c>
      <c r="AI65" s="74" t="str">
        <f>IF($B65="","",IF(AND(LEFT($AH65,3)="Yes",SUMPRODUCT(('Rework Log'!$A$3:$A$500=$B65)*('Rework Log'!$G$3:$G$500&lt;&gt;"Yes")*('Rework Log'!$G$3:$G$500&lt;&gt;"Did not pass re-test"))=0),"Blocked - log it on Rework Log",IF(AND(LEFT($AH65,3)&lt;&gt;"Yes",SUMPRODUCT(('Rework Log'!$A$3:$A$500=$B65)*('Rework Log'!$G$3:$G$500&lt;&gt;"Yes")*('Rework Log'!$G$3:$G$500&lt;&gt;"Did not pass re-test"))&gt;0),"Open rework row - mark Blocked? or close it",IF(AND($AH65="Yes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H)",IF(AND($AH65="Yes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H)",IF(AND($AH65="Yes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target",IF(AND(AE65&lt;&gt;"",Z65&lt;&gt;"",AE65&lt;Z65),"Confirmed Deployed date is before DPO Approval target",""))))))))))))</f>
        <v/>
      </c>
      <c r="AJ65" s="41"/>
      <c r="AK65" s="32" t="str" cm="1">
        <f t="array" ref="AK65">_xlfn.LET(_xlpm.rep,$B65,_xlpm.sent,_xlfn.MAXIFS('Rework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5" s="32" t="str" cm="1">
        <f t="array" ref="AL65">_xlfn.LET(_xlpm.rep,$B65,_xlpm.sent,_xlfn.MAXIFS('Rework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6" spans="1:38" ht="14.45">
      <c r="A66" s="33" t="s">
        <v>116</v>
      </c>
      <c r="B66" s="33" t="s">
        <v>190</v>
      </c>
      <c r="C66" s="33" t="s">
        <v>181</v>
      </c>
      <c r="D66" t="str" cm="1">
        <f t="array" aca="1" ref="D66" ca="1">IF($B66="","",IF(LEFT($AH66,3)="Yes","Blocked - "&amp;MID($AH66,7,100)&amp;IF(SUMPRODUCT(('Rework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track")),IF(C66="QA",_xlfn.LET(_xlpm.tgt,IF(AK66&lt;&gt;"",AK66,IF(W66&lt;&gt;"",W66,V66)),_xlpm.sent,_xlfn.MAXIFS('Rework Log'!$B$3:$B$500,'Rework Log'!$A$3:$A$500,$B66,'Rework Log'!$C$3:$C$500,"QA"),_xlpm.act,IF(AND(X66&lt;&gt;"",X66&gt;_xlpm.sent),X66,""),IF(_xlpm.tgt="","No target set",IF(AND(_xlpm.tgt&lt;TODAY(),_xlpm.act=""),"Overdue","On track"))),IF(C66="DPO Approval",_xlfn.LET(_xlpm.tgt,IF(AL66&lt;&gt;"",AL66,IF(AA66&lt;&gt;"",AA66,Z66)),_xlpm.sent,_xlfn.MAXIFS('Rework Log'!$B$3:$B$500,'Rework Log'!$A$3:$A$500,$B66,'Rework Log'!$C$3:$C$500,"DPO*"),_xlpm.act,IF(AND(AB66&lt;&gt;"",AB66&gt;_xlpm.sent),AB66,""),IF(_xlpm.tgt="","No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119</v>
      </c>
      <c r="G66" s="33"/>
      <c r="H66" s="50">
        <v>46295</v>
      </c>
      <c r="I66" s="56" t="s">
        <v>176</v>
      </c>
      <c r="J66" s="33" t="s">
        <v>42</v>
      </c>
      <c r="K66" s="4">
        <v>46276</v>
      </c>
      <c r="L66" s="36"/>
      <c r="M66" s="36"/>
      <c r="N66" s="36"/>
      <c r="O66" s="36" t="s">
        <v>177</v>
      </c>
      <c r="P66" s="64" t="s">
        <v>44</v>
      </c>
      <c r="Q66" s="4">
        <v>46286</v>
      </c>
      <c r="R66" s="36"/>
      <c r="S66" s="36"/>
      <c r="T66" s="70" t="s">
        <v>178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/>
      <c r="AD66" s="38"/>
      <c r="AE66" s="36"/>
      <c r="AF66" s="39"/>
      <c r="AG66" s="33"/>
      <c r="AH66" s="40" t="s">
        <v>50</v>
      </c>
      <c r="AI66" s="74" t="str">
        <f>IF($B66="","",IF(AND(LEFT($AH66,3)="Yes",SUMPRODUCT(('Rework Log'!$A$3:$A$500=$B66)*('Rework Log'!$G$3:$G$500&lt;&gt;"Yes")*('Rework Log'!$G$3:$G$500&lt;&gt;"Did not pass re-test"))=0),"Blocked - log it on Rework Log",IF(AND(LEFT($AH66,3)&lt;&gt;"Yes",SUMPRODUCT(('Rework Log'!$A$3:$A$500=$B66)*('Rework Log'!$G$3:$G$500&lt;&gt;"Yes")*('Rework Log'!$G$3:$G$500&lt;&gt;"Did not pass re-test"))&gt;0),"Open rework row - mark Blocked? or close it",IF(AND($AH66="Yes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H)",IF(AND($AH66="Yes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H)",IF(AND($AH66="Yes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target",IF(AND(AE66&lt;&gt;"",Z66&lt;&gt;"",AE66&lt;Z66),"Confirmed Deployed date is before DPO Approval target",""))))))))))))</f>
        <v/>
      </c>
      <c r="AJ66" s="41"/>
      <c r="AK66" s="32" t="str" cm="1">
        <f t="array" ref="AK66">_xlfn.LET(_xlpm.rep,$B66,_xlpm.sent,_xlfn.MAXIFS('Rework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6" s="32" t="str" cm="1">
        <f t="array" ref="AL66">_xlfn.LET(_xlpm.rep,$B66,_xlpm.sent,_xlfn.MAXIFS('Rework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7" spans="1:38" ht="14.45">
      <c r="A67" s="33" t="s">
        <v>116</v>
      </c>
      <c r="B67" s="33" t="s">
        <v>191</v>
      </c>
      <c r="C67" s="33" t="s">
        <v>181</v>
      </c>
      <c r="D67" t="str" cm="1">
        <f t="array" aca="1" ref="D67" ca="1">IF($B67="","",IF(LEFT($AH67,3)="Yes","Blocked - "&amp;MID($AH67,7,100)&amp;IF(SUMPRODUCT(('Rework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track")),IF(C67="QA",_xlfn.LET(_xlpm.tgt,IF(AK67&lt;&gt;"",AK67,IF(W67&lt;&gt;"",W67,V67)),_xlpm.sent,_xlfn.MAXIFS('Rework Log'!$B$3:$B$500,'Rework Log'!$A$3:$A$500,$B67,'Rework Log'!$C$3:$C$500,"QA"),_xlpm.act,IF(AND(X67&lt;&gt;"",X67&gt;_xlpm.sent),X67,""),IF(_xlpm.tgt="","No target set",IF(AND(_xlpm.tgt&lt;TODAY(),_xlpm.act=""),"Overdue","On track"))),IF(C67="DPO Approval",_xlfn.LET(_xlpm.tgt,IF(AL67&lt;&gt;"",AL67,IF(AA67&lt;&gt;"",AA67,Z67)),_xlpm.sent,_xlfn.MAXIFS('Rework Log'!$B$3:$B$500,'Rework Log'!$A$3:$A$500,$B67,'Rework Log'!$C$3:$C$500,"DPO*"),_xlpm.act,IF(AND(AB67&lt;&gt;"",AB67&gt;_xlpm.sent),AB67,""),IF(_xlpm.tgt="","No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119</v>
      </c>
      <c r="G67" s="33"/>
      <c r="H67" s="50">
        <v>46295</v>
      </c>
      <c r="I67" s="56" t="s">
        <v>176</v>
      </c>
      <c r="J67" s="33" t="s">
        <v>42</v>
      </c>
      <c r="K67" s="4">
        <v>46276</v>
      </c>
      <c r="L67" s="36">
        <v>46254</v>
      </c>
      <c r="M67" s="36">
        <v>46254</v>
      </c>
      <c r="N67" s="36"/>
      <c r="O67" s="36" t="s">
        <v>177</v>
      </c>
      <c r="P67" s="64" t="s">
        <v>57</v>
      </c>
      <c r="Q67" s="4">
        <v>46286</v>
      </c>
      <c r="R67" s="36">
        <v>46254</v>
      </c>
      <c r="S67" s="36"/>
      <c r="T67" s="70" t="s">
        <v>178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/>
      <c r="AD67" s="38"/>
      <c r="AE67" s="36"/>
      <c r="AF67" s="39"/>
      <c r="AG67" s="33"/>
      <c r="AH67" s="40" t="s">
        <v>50</v>
      </c>
      <c r="AI67" s="74" t="str">
        <f>IF($B67="","",IF(AND(LEFT($AH67,3)="Yes",SUMPRODUCT(('Rework Log'!$A$3:$A$500=$B67)*('Rework Log'!$G$3:$G$500&lt;&gt;"Yes")*('Rework Log'!$G$3:$G$500&lt;&gt;"Did not pass re-test"))=0),"Blocked - log it on Rework Log",IF(AND(LEFT($AH67,3)&lt;&gt;"Yes",SUMPRODUCT(('Rework Log'!$A$3:$A$500=$B67)*('Rework Log'!$G$3:$G$500&lt;&gt;"Yes")*('Rework Log'!$G$3:$G$500&lt;&gt;"Did not pass re-test"))&gt;0),"Open rework row - mark Blocked? or close it",IF(AND($AH67="Yes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H)",IF(AND($AH67="Yes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H)",IF(AND($AH67="Yes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target",IF(AND(AE67&lt;&gt;"",Z67&lt;&gt;"",AE67&lt;Z67),"Confirmed Deployed date is before DPO Approval target",""))))))))))))</f>
        <v/>
      </c>
      <c r="AJ67" s="41"/>
      <c r="AK67" s="32" t="str" cm="1">
        <f t="array" ref="AK67">_xlfn.LET(_xlpm.rep,$B67,_xlpm.sent,_xlfn.MAXIFS('Rework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7" s="32" t="str" cm="1">
        <f t="array" ref="AL67">_xlfn.LET(_xlpm.rep,$B67,_xlpm.sent,_xlfn.MAXIFS('Rework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8" spans="1:38" ht="14.45">
      <c r="A68" s="33" t="s">
        <v>116</v>
      </c>
      <c r="B68" s="33" t="s">
        <v>192</v>
      </c>
      <c r="C68" s="33" t="s">
        <v>149</v>
      </c>
      <c r="D68" t="str" cm="1">
        <f t="array" aca="1" ref="D68" ca="1">IF($B68="","",IF(LEFT($AH68,3)="Yes","Blocked - "&amp;MID($AH68,7,100)&amp;IF(SUMPRODUCT(('Rework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track")),IF(C68="QA",_xlfn.LET(_xlpm.tgt,IF(AK68&lt;&gt;"",AK68,IF(W68&lt;&gt;"",W68,V68)),_xlpm.sent,_xlfn.MAXIFS('Rework Log'!$B$3:$B$500,'Rework Log'!$A$3:$A$500,$B68,'Rework Log'!$C$3:$C$500,"QA"),_xlpm.act,IF(AND(X68&lt;&gt;"",X68&gt;_xlpm.sent),X68,""),IF(_xlpm.tgt="","No target set",IF(AND(_xlpm.tgt&lt;TODAY(),_xlpm.act=""),"Overdue","On track"))),IF(C68="DPO Approval",_xlfn.LET(_xlpm.tgt,IF(AL68&lt;&gt;"",AL68,IF(AA68&lt;&gt;"",AA68,Z68)),_xlpm.sent,_xlfn.MAXIFS('Rework Log'!$B$3:$B$500,'Rework Log'!$A$3:$A$500,$B68,'Rework Log'!$C$3:$C$500,"DPO*"),_xlpm.act,IF(AND(AB68&lt;&gt;"",AB68&gt;_xlpm.sent),AB68,""),IF(_xlpm.tgt="","No target set",IF(AND(_xlpm.tgt&lt;TODAY(),_xlpm.act=""),"Overdue","On track"))),IF(C68="RELEASED IN PROD","Delivered",""))))))))</f>
        <v>On track</v>
      </c>
      <c r="E68" s="33">
        <v>44</v>
      </c>
      <c r="F68" s="34" t="s">
        <v>119</v>
      </c>
      <c r="G68" s="33"/>
      <c r="H68" s="50">
        <v>46295</v>
      </c>
      <c r="I68" s="56" t="s">
        <v>176</v>
      </c>
      <c r="J68" s="33" t="s">
        <v>193</v>
      </c>
      <c r="K68" s="4">
        <v>46276</v>
      </c>
      <c r="L68" s="36">
        <v>46258</v>
      </c>
      <c r="M68" s="36">
        <v>46258</v>
      </c>
      <c r="N68" s="36"/>
      <c r="O68" s="36" t="s">
        <v>177</v>
      </c>
      <c r="P68" s="64" t="s">
        <v>73</v>
      </c>
      <c r="Q68" s="4">
        <v>46286</v>
      </c>
      <c r="R68" s="36"/>
      <c r="S68" s="36"/>
      <c r="T68" s="70" t="s">
        <v>194</v>
      </c>
      <c r="U68" s="33"/>
      <c r="V68" s="60">
        <v>46290</v>
      </c>
      <c r="W68" s="36"/>
      <c r="X68" s="36"/>
      <c r="Y68" s="36"/>
      <c r="Z68" s="53">
        <v>46295</v>
      </c>
      <c r="AA68" s="36"/>
      <c r="AB68" s="36"/>
      <c r="AC68" s="33"/>
      <c r="AD68" s="38"/>
      <c r="AE68" s="36"/>
      <c r="AF68" s="39"/>
      <c r="AG68" s="33"/>
      <c r="AH68" s="40" t="s">
        <v>50</v>
      </c>
      <c r="AI68" s="74" t="str">
        <f>IF($B68="","",IF(AND(LEFT($AH68,3)="Yes",SUMPRODUCT(('Rework Log'!$A$3:$A$500=$B68)*('Rework Log'!$G$3:$G$500&lt;&gt;"Yes")*('Rework Log'!$G$3:$G$500&lt;&gt;"Did not pass re-test"))=0),"Blocked - log it on Rework Log",IF(AND(LEFT($AH68,3)&lt;&gt;"Yes",SUMPRODUCT(('Rework Log'!$A$3:$A$500=$B68)*('Rework Log'!$G$3:$G$500&lt;&gt;"Yes")*('Rework Log'!$G$3:$G$500&lt;&gt;"Did not pass re-test"))&gt;0),"Open rework row - mark Blocked? or close it",IF(AND($AH68="Yes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H)",IF(AND($AH68="Yes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H)",IF(AND($AH68="Yes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target",IF(AND(AE68&lt;&gt;"",Z68&lt;&gt;"",AE68&lt;Z68),"Confirmed Deployed date is before DPO Approval target",""))))))))))))</f>
        <v/>
      </c>
      <c r="AJ68" s="41"/>
      <c r="AK68" s="32" t="str" cm="1">
        <f t="array" ref="AK68">_xlfn.LET(_xlpm.rep,$B68,_xlpm.sent,_xlfn.MAXIFS('Rework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8" s="32" t="str" cm="1">
        <f t="array" ref="AL68">_xlfn.LET(_xlpm.rep,$B68,_xlpm.sent,_xlfn.MAXIFS('Rework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9" spans="1:38" ht="14.45">
      <c r="A69" s="33" t="s">
        <v>116</v>
      </c>
      <c r="B69" s="33" t="s">
        <v>195</v>
      </c>
      <c r="C69" s="33" t="s">
        <v>181</v>
      </c>
      <c r="D69" t="str" cm="1">
        <f t="array" aca="1" ref="D69" ca="1">IF($B69="","",IF(LEFT($AH69,3)="Yes","Blocked - "&amp;MID($AH69,7,100)&amp;IF(SUMPRODUCT(('Rework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track")),IF(C69="QA",_xlfn.LET(_xlpm.tgt,IF(AK69&lt;&gt;"",AK69,IF(W69&lt;&gt;"",W69,V69)),_xlpm.sent,_xlfn.MAXIFS('Rework Log'!$B$3:$B$500,'Rework Log'!$A$3:$A$500,$B69,'Rework Log'!$C$3:$C$500,"QA"),_xlpm.act,IF(AND(X69&lt;&gt;"",X69&gt;_xlpm.sent),X69,""),IF(_xlpm.tgt="","No target set",IF(AND(_xlpm.tgt&lt;TODAY(),_xlpm.act=""),"Overdue","On track"))),IF(C69="DPO Approval",_xlfn.LET(_xlpm.tgt,IF(AL69&lt;&gt;"",AL69,IF(AA69&lt;&gt;"",AA69,Z69)),_xlpm.sent,_xlfn.MAXIFS('Rework Log'!$B$3:$B$500,'Rework Log'!$A$3:$A$500,$B69,'Rework Log'!$C$3:$C$500,"DPO*"),_xlpm.act,IF(AND(AB69&lt;&gt;"",AB69&gt;_xlpm.sent),AB69,""),IF(_xlpm.tgt="","No target set",IF(AND(_xlpm.tgt&lt;TODAY(),_xlpm.act=""),"Overdue","On track"))),IF(C69="RELEASED IN PROD","Delivered",""))))))))</f>
        <v>On track</v>
      </c>
      <c r="E69" s="33">
        <v>45</v>
      </c>
      <c r="F69" s="34" t="s">
        <v>133</v>
      </c>
      <c r="G69" s="33"/>
      <c r="H69" s="50">
        <v>46295</v>
      </c>
      <c r="I69" s="56" t="s">
        <v>176</v>
      </c>
      <c r="J69" s="33" t="s">
        <v>56</v>
      </c>
      <c r="K69" s="4">
        <v>46276</v>
      </c>
      <c r="L69" s="36"/>
      <c r="M69" s="36"/>
      <c r="N69" s="36"/>
      <c r="O69" s="36" t="s">
        <v>177</v>
      </c>
      <c r="P69" s="64" t="s">
        <v>44</v>
      </c>
      <c r="Q69" s="4">
        <v>46286</v>
      </c>
      <c r="R69" s="36"/>
      <c r="S69" s="36"/>
      <c r="T69" s="70" t="s">
        <v>194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33"/>
      <c r="AD69" s="38"/>
      <c r="AE69" s="36"/>
      <c r="AF69" s="39"/>
      <c r="AG69" s="33"/>
      <c r="AH69" s="40" t="s">
        <v>50</v>
      </c>
      <c r="AI69" s="74" t="str">
        <f>IF($B69="","",IF(AND(LEFT($AH69,3)="Yes",SUMPRODUCT(('Rework Log'!$A$3:$A$500=$B69)*('Rework Log'!$G$3:$G$500&lt;&gt;"Yes")*('Rework Log'!$G$3:$G$500&lt;&gt;"Did not pass re-test"))=0),"Blocked - log it on Rework Log",IF(AND(LEFT($AH69,3)&lt;&gt;"Yes",SUMPRODUCT(('Rework Log'!$A$3:$A$500=$B69)*('Rework Log'!$G$3:$G$500&lt;&gt;"Yes")*('Rework Log'!$G$3:$G$500&lt;&gt;"Did not pass re-test"))&gt;0),"Open rework row - mark Blocked? or close it",IF(AND($AH69="Yes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H)",IF(AND($AH69="Yes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H)",IF(AND($AH69="Yes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target",IF(AND(AE69&lt;&gt;"",Z69&lt;&gt;"",AE69&lt;Z69),"Confirmed Deployed date is before DPO Approval target",""))))))))))))</f>
        <v/>
      </c>
      <c r="AJ69" s="41"/>
      <c r="AK69" s="32" t="str" cm="1">
        <f t="array" ref="AK69">_xlfn.LET(_xlpm.rep,$B69,_xlpm.sent,_xlfn.MAXIFS('Rework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9" s="32" t="str" cm="1">
        <f t="array" ref="AL69">_xlfn.LET(_xlpm.rep,$B69,_xlpm.sent,_xlfn.MAXIFS('Rework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0" spans="1:38" ht="14.45">
      <c r="A70" s="33" t="s">
        <v>116</v>
      </c>
      <c r="B70" s="33" t="s">
        <v>196</v>
      </c>
      <c r="C70" s="33" t="s">
        <v>181</v>
      </c>
      <c r="D70" t="str" cm="1">
        <f t="array" aca="1" ref="D70" ca="1">IF($B70="","",IF(LEFT($AH70,3)="Yes","Blocked - "&amp;MID($AH70,7,100)&amp;IF(SUMPRODUCT(('Rework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track")),IF(C70="QA",_xlfn.LET(_xlpm.tgt,IF(AK70&lt;&gt;"",AK70,IF(W70&lt;&gt;"",W70,V70)),_xlpm.sent,_xlfn.MAXIFS('Rework Log'!$B$3:$B$500,'Rework Log'!$A$3:$A$500,$B70,'Rework Log'!$C$3:$C$500,"QA"),_xlpm.act,IF(AND(X70&lt;&gt;"",X70&gt;_xlpm.sent),X70,""),IF(_xlpm.tgt="","No target set",IF(AND(_xlpm.tgt&lt;TODAY(),_xlpm.act=""),"Overdue","On track"))),IF(C70="DPO Approval",_xlfn.LET(_xlpm.tgt,IF(AL70&lt;&gt;"",AL70,IF(AA70&lt;&gt;"",AA70,Z70)),_xlpm.sent,_xlfn.MAXIFS('Rework Log'!$B$3:$B$500,'Rework Log'!$A$3:$A$500,$B70,'Rework Log'!$C$3:$C$500,"DPO*"),_xlpm.act,IF(AND(AB70&lt;&gt;"",AB70&gt;_xlpm.sent),AB70,""),IF(_xlpm.tgt="","No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133</v>
      </c>
      <c r="G70" s="33"/>
      <c r="H70" s="50">
        <v>46295</v>
      </c>
      <c r="I70" s="56" t="s">
        <v>176</v>
      </c>
      <c r="J70" s="33" t="s">
        <v>109</v>
      </c>
      <c r="K70" s="4">
        <v>46276</v>
      </c>
      <c r="L70" s="36">
        <v>46262</v>
      </c>
      <c r="M70" s="36"/>
      <c r="N70" s="36"/>
      <c r="O70" s="36" t="s">
        <v>177</v>
      </c>
      <c r="P70" s="64" t="s">
        <v>44</v>
      </c>
      <c r="Q70" s="4">
        <v>46286</v>
      </c>
      <c r="R70" s="36"/>
      <c r="S70" s="36"/>
      <c r="T70" s="70" t="s">
        <v>194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/>
      <c r="AD70" s="38"/>
      <c r="AE70" s="36"/>
      <c r="AF70" s="39"/>
      <c r="AG70" s="33"/>
      <c r="AH70" s="40" t="s">
        <v>50</v>
      </c>
      <c r="AI70" s="74" t="str">
        <f>IF($B70="","",IF(AND(LEFT($AH70,3)="Yes",SUMPRODUCT(('Rework Log'!$A$3:$A$500=$B70)*('Rework Log'!$G$3:$G$500&lt;&gt;"Yes")*('Rework Log'!$G$3:$G$500&lt;&gt;"Did not pass re-test"))=0),"Blocked - log it on Rework Log",IF(AND(LEFT($AH70,3)&lt;&gt;"Yes",SUMPRODUCT(('Rework Log'!$A$3:$A$500=$B70)*('Rework Log'!$G$3:$G$500&lt;&gt;"Yes")*('Rework Log'!$G$3:$G$500&lt;&gt;"Did not pass re-test"))&gt;0),"Open rework row - mark Blocked? or close it",IF(AND($AH70="Yes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H)",IF(AND($AH70="Yes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H)",IF(AND($AH70="Yes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target",IF(AND(AE70&lt;&gt;"",Z70&lt;&gt;"",AE70&lt;Z70),"Confirmed Deployed date is before DPO Approval target",""))))))))))))</f>
        <v/>
      </c>
      <c r="AJ70" s="41"/>
      <c r="AK70" s="32" t="str" cm="1">
        <f t="array" ref="AK70">_xlfn.LET(_xlpm.rep,$B70,_xlpm.sent,_xlfn.MAXIFS('Rework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0" s="32" t="str" cm="1">
        <f t="array" ref="AL70">_xlfn.LET(_xlpm.rep,$B70,_xlpm.sent,_xlfn.MAXIFS('Rework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1" spans="1:38" ht="14.45">
      <c r="A71" s="33" t="s">
        <v>116</v>
      </c>
      <c r="B71" s="33" t="s">
        <v>197</v>
      </c>
      <c r="C71" s="33" t="s">
        <v>181</v>
      </c>
      <c r="D71" t="str" cm="1">
        <f t="array" aca="1" ref="D71" ca="1">IF($B71="","",IF(LEFT($AH71,3)="Yes","Blocked - "&amp;MID($AH71,7,100)&amp;IF(SUMPRODUCT(('Rework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track")),IF(C71="QA",_xlfn.LET(_xlpm.tgt,IF(AK71&lt;&gt;"",AK71,IF(W71&lt;&gt;"",W71,V71)),_xlpm.sent,_xlfn.MAXIFS('Rework Log'!$B$3:$B$500,'Rework Log'!$A$3:$A$500,$B71,'Rework Log'!$C$3:$C$500,"QA"),_xlpm.act,IF(AND(X71&lt;&gt;"",X71&gt;_xlpm.sent),X71,""),IF(_xlpm.tgt="","No target set",IF(AND(_xlpm.tgt&lt;TODAY(),_xlpm.act=""),"Overdue","On track"))),IF(C71="DPO Approval",_xlfn.LET(_xlpm.tgt,IF(AL71&lt;&gt;"",AL71,IF(AA71&lt;&gt;"",AA71,Z71)),_xlpm.sent,_xlfn.MAXIFS('Rework Log'!$B$3:$B$500,'Rework Log'!$A$3:$A$500,$B71,'Rework Log'!$C$3:$C$500,"DPO*"),_xlpm.act,IF(AND(AB71&lt;&gt;"",AB71&gt;_xlpm.sent),AB71,""),IF(_xlpm.tgt="","No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133</v>
      </c>
      <c r="G71" s="33"/>
      <c r="H71" s="50">
        <v>46295</v>
      </c>
      <c r="I71" s="56" t="s">
        <v>176</v>
      </c>
      <c r="J71" s="33" t="s">
        <v>42</v>
      </c>
      <c r="K71" s="4">
        <v>46276</v>
      </c>
      <c r="L71" s="36">
        <v>46259</v>
      </c>
      <c r="M71" s="36">
        <v>46259</v>
      </c>
      <c r="N71" s="36"/>
      <c r="O71" s="36" t="s">
        <v>177</v>
      </c>
      <c r="P71" s="64" t="s">
        <v>57</v>
      </c>
      <c r="Q71" s="4">
        <v>46286</v>
      </c>
      <c r="R71" s="36"/>
      <c r="S71" s="36"/>
      <c r="T71" s="70" t="s">
        <v>194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/>
      <c r="AD71" s="38"/>
      <c r="AE71" s="36"/>
      <c r="AF71" s="39"/>
      <c r="AG71" s="33"/>
      <c r="AH71" s="40" t="s">
        <v>50</v>
      </c>
      <c r="AI71" s="74" t="str">
        <f>IF($B71="","",IF(AND(LEFT($AH71,3)="Yes",SUMPRODUCT(('Rework Log'!$A$3:$A$500=$B71)*('Rework Log'!$G$3:$G$500&lt;&gt;"Yes")*('Rework Log'!$G$3:$G$500&lt;&gt;"Did not pass re-test"))=0),"Blocked - log it on Rework Log",IF(AND(LEFT($AH71,3)&lt;&gt;"Yes",SUMPRODUCT(('Rework Log'!$A$3:$A$500=$B71)*('Rework Log'!$G$3:$G$500&lt;&gt;"Yes")*('Rework Log'!$G$3:$G$500&lt;&gt;"Did not pass re-test"))&gt;0),"Open rework row - mark Blocked? or close it",IF(AND($AH71="Yes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H)",IF(AND($AH71="Yes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H)",IF(AND($AH71="Yes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target",IF(AND(AE71&lt;&gt;"",Z71&lt;&gt;"",AE71&lt;Z71),"Confirmed Deployed date is before DPO Approval target",""))))))))))))</f>
        <v/>
      </c>
      <c r="AJ71" s="41"/>
      <c r="AK71" s="32" t="str" cm="1">
        <f t="array" ref="AK71">_xlfn.LET(_xlpm.rep,$B71,_xlpm.sent,_xlfn.MAXIFS('Rework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1" s="32" t="str" cm="1">
        <f t="array" ref="AL71">_xlfn.LET(_xlpm.rep,$B71,_xlpm.sent,_xlfn.MAXIFS('Rework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2" spans="1:38" ht="14.45">
      <c r="A72" s="33" t="s">
        <v>116</v>
      </c>
      <c r="B72" s="33" t="s">
        <v>198</v>
      </c>
      <c r="C72" s="33" t="s">
        <v>149</v>
      </c>
      <c r="D72" t="str" cm="1">
        <f t="array" aca="1" ref="D72" ca="1">IF($B72="","",IF(LEFT($AH72,3)="Yes","Blocked - "&amp;MID($AH72,7,100)&amp;IF(SUMPRODUCT(('Rework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track")),IF(C72="QA",_xlfn.LET(_xlpm.tgt,IF(AK72&lt;&gt;"",AK72,IF(W72&lt;&gt;"",W72,V72)),_xlpm.sent,_xlfn.MAXIFS('Rework Log'!$B$3:$B$500,'Rework Log'!$A$3:$A$500,$B72,'Rework Log'!$C$3:$C$500,"QA"),_xlpm.act,IF(AND(X72&lt;&gt;"",X72&gt;_xlpm.sent),X72,""),IF(_xlpm.tgt="","No target set",IF(AND(_xlpm.tgt&lt;TODAY(),_xlpm.act=""),"Overdue","On track"))),IF(C72="DPO Approval",_xlfn.LET(_xlpm.tgt,IF(AL72&lt;&gt;"",AL72,IF(AA72&lt;&gt;"",AA72,Z72)),_xlpm.sent,_xlfn.MAXIFS('Rework Log'!$B$3:$B$500,'Rework Log'!$A$3:$A$500,$B72,'Rework Log'!$C$3:$C$500,"DPO*"),_xlpm.act,IF(AND(AB72&lt;&gt;"",AB72&gt;_xlpm.sent),AB72,""),IF(_xlpm.tgt="","No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119</v>
      </c>
      <c r="G72" s="33"/>
      <c r="H72" s="50">
        <v>46295</v>
      </c>
      <c r="I72" s="56" t="s">
        <v>176</v>
      </c>
      <c r="J72" s="33" t="s">
        <v>72</v>
      </c>
      <c r="K72" s="4">
        <v>46276</v>
      </c>
      <c r="L72" s="36">
        <v>46258</v>
      </c>
      <c r="M72" s="36">
        <v>46258</v>
      </c>
      <c r="N72" s="36"/>
      <c r="O72" s="36" t="s">
        <v>177</v>
      </c>
      <c r="P72" s="64" t="s">
        <v>73</v>
      </c>
      <c r="Q72" s="4">
        <v>46286</v>
      </c>
      <c r="R72" s="36"/>
      <c r="S72" s="36"/>
      <c r="T72" s="70" t="s">
        <v>194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/>
      <c r="AD72" s="38"/>
      <c r="AE72" s="36"/>
      <c r="AF72" s="39"/>
      <c r="AG72" s="33"/>
      <c r="AH72" s="40" t="s">
        <v>50</v>
      </c>
      <c r="AI72" s="74" t="str">
        <f>IF($B72="","",IF(AND(LEFT($AH72,3)="Yes",SUMPRODUCT(('Rework Log'!$A$3:$A$500=$B72)*('Rework Log'!$G$3:$G$500&lt;&gt;"Yes")*('Rework Log'!$G$3:$G$500&lt;&gt;"Did not pass re-test"))=0),"Blocked - log it on Rework Log",IF(AND(LEFT($AH72,3)&lt;&gt;"Yes",SUMPRODUCT(('Rework Log'!$A$3:$A$500=$B72)*('Rework Log'!$G$3:$G$500&lt;&gt;"Yes")*('Rework Log'!$G$3:$G$500&lt;&gt;"Did not pass re-test"))&gt;0),"Open rework row - mark Blocked? or close it",IF(AND($AH72="Yes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H)",IF(AND($AH72="Yes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H)",IF(AND($AH72="Yes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target",IF(AND(AE72&lt;&gt;"",Z72&lt;&gt;"",AE72&lt;Z72),"Confirmed Deployed date is before DPO Approval target",""))))))))))))</f>
        <v/>
      </c>
      <c r="AJ72" s="41"/>
      <c r="AK72" s="32" t="str" cm="1">
        <f t="array" ref="AK72">_xlfn.LET(_xlpm.rep,$B72,_xlpm.sent,_xlfn.MAXIFS('Rework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2" s="32" t="str" cm="1">
        <f t="array" ref="AL72">_xlfn.LET(_xlpm.rep,$B72,_xlpm.sent,_xlfn.MAXIFS('Rework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3" spans="1:38" ht="14.45">
      <c r="A73" s="79" t="s">
        <v>116</v>
      </c>
      <c r="B73" s="31" t="s">
        <v>199</v>
      </c>
      <c r="C73" s="31" t="s">
        <v>149</v>
      </c>
      <c r="D73" t="str" cm="1">
        <f t="array" aca="1" ref="D73" ca="1">IF($B73="","",IF(LEFT($AH73,3)="Yes","Blocked - "&amp;MID($AH73,7,100)&amp;IF(SUMPRODUCT(('Rework Log'!$A$3:$A$500=$B73)*('Rework Log'!$G$3:$G$500&lt;&gt;"Yes")*('Rework Log'!$G$3:$G$500&lt;&gt;"Did not pass re-test"))=0,"",IF(SUMPRODUCT(MAX((('Rework Log'!$A$3:$A$500=$B73)*('Rework Log'!$G$3:$G$500&lt;&gt;"Yes")*('Rework Log'!$G$3:$G$500&lt;&gt;"Did not pass re-test"))*'Rework Log'!$I$3:$I$500))=0," - unclaimed"," - promised "&amp;TEXT(SUMPRODUCT(MAX((('Rework Log'!$A$3:$A$500=$B73)*('Rework Log'!$G$3:$G$500&lt;&gt;"Yes")*('Rework Log'!$G$3:$G$500&lt;&gt;"Did not pass re-test"))*'Rework Log'!$I$3:$I$500)),"m/d"))),IF(C73="NOT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track")),IF(C73="QA",_xlfn.LET(_xlpm.tgt,IF(AK73&lt;&gt;"",AK73,IF(W73&lt;&gt;"",W73,V73)),_xlpm.sent,_xlfn.MAXIFS('Rework Log'!$B$3:$B$500,'Rework Log'!$A$3:$A$500,$B73,'Rework Log'!$C$3:$C$500,"QA"),_xlpm.act,IF(AND(X73&lt;&gt;"",X73&gt;_xlpm.sent),X73,""),IF(_xlpm.tgt="","No target set",IF(AND(_xlpm.tgt&lt;TODAY(),_xlpm.act=""),"Overdue","On track"))),IF(C73="DPO Approval",_xlfn.LET(_xlpm.tgt,IF(AL73&lt;&gt;"",AL73,IF(AA73&lt;&gt;"",AA73,Z73)),_xlpm.sent,_xlfn.MAXIFS('Rework Log'!$B$3:$B$500,'Rework Log'!$A$3:$A$500,$B73,'Rework Log'!$C$3:$C$500,"DPO*"),_xlpm.act,IF(AND(AB73&lt;&gt;"",AB73&gt;_xlpm.sent),AB73,""),IF(_xlpm.tgt="","No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200</v>
      </c>
      <c r="J73" s="31" t="s">
        <v>72</v>
      </c>
      <c r="K73" s="51"/>
      <c r="L73" s="43">
        <v>46259</v>
      </c>
      <c r="M73" s="47">
        <v>46259</v>
      </c>
      <c r="N73" s="44"/>
      <c r="O73" s="44" t="s">
        <v>177</v>
      </c>
      <c r="P73" s="67"/>
      <c r="Q73" s="51"/>
      <c r="R73" s="43"/>
      <c r="S73" s="44"/>
      <c r="T73" s="71" t="s">
        <v>201</v>
      </c>
      <c r="U73" s="31"/>
      <c r="W73" s="43"/>
      <c r="X73" s="31"/>
      <c r="Y73" s="31"/>
      <c r="AA73" s="43"/>
      <c r="AB73" s="43"/>
      <c r="AC73" s="31"/>
      <c r="AD73" s="31"/>
      <c r="AE73" s="31"/>
      <c r="AF73" s="31"/>
      <c r="AG73" s="31"/>
      <c r="AH73" s="31"/>
      <c r="AI73" s="31"/>
      <c r="AJ73" s="31"/>
      <c r="AK73" s="32" t="str" cm="1">
        <f t="array" ref="AK73">_xlfn.LET(_xlpm.rep,$B73,_xlpm.sent,_xlfn.MAXIFS('Rework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3" s="32" t="str" cm="1">
        <f t="array" ref="AL73">_xlfn.LET(_xlpm.rep,$B73,_xlpm.sent,_xlfn.MAXIFS('Rework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4" spans="1:38" ht="14.45">
      <c r="A74" s="31" t="s">
        <v>116</v>
      </c>
      <c r="B74" s="31" t="s">
        <v>202</v>
      </c>
      <c r="C74" s="31" t="s">
        <v>181</v>
      </c>
      <c r="D74" t="str" cm="1">
        <f t="array" aca="1" ref="D74" ca="1">IF($B74="","",IF(LEFT($AH74,3)="Yes","Blocked - "&amp;MID($AH74,7,100)&amp;IF(SUMPRODUCT(('Rework Log'!$A$3:$A$500=$B74)*('Rework Log'!$G$3:$G$500&lt;&gt;"Yes")*('Rework Log'!$G$3:$G$500&lt;&gt;"Did not pass re-test"))=0,"",IF(SUMPRODUCT(MAX((('Rework Log'!$A$3:$A$500=$B74)*('Rework Log'!$G$3:$G$500&lt;&gt;"Yes")*('Rework Log'!$G$3:$G$500&lt;&gt;"Did not pass re-test"))*'Rework Log'!$I$3:$I$500))=0," - unclaimed"," - promised "&amp;TEXT(SUMPRODUCT(MAX((('Rework Log'!$A$3:$A$500=$B74)*('Rework Log'!$G$3:$G$500&lt;&gt;"Yes")*('Rework Log'!$G$3:$G$500&lt;&gt;"Did not pass re-test"))*'Rework Log'!$I$3:$I$500)),"m/d"))),IF(C74="NOT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track")),IF(C74="QA",_xlfn.LET(_xlpm.tgt,IF(AK74&lt;&gt;"",AK74,IF(W74&lt;&gt;"",W74,V74)),_xlpm.sent,_xlfn.MAXIFS('Rework Log'!$B$3:$B$500,'Rework Log'!$A$3:$A$500,$B74,'Rework Log'!$C$3:$C$500,"QA"),_xlpm.act,IF(AND(X74&lt;&gt;"",X74&gt;_xlpm.sent),X74,""),IF(_xlpm.tgt="","No target set",IF(AND(_xlpm.tgt&lt;TODAY(),_xlpm.act=""),"Overdue","On track"))),IF(C74="DPO Approval",_xlfn.LET(_xlpm.tgt,IF(AL74&lt;&gt;"",AL74,IF(AA74&lt;&gt;"",AA74,Z74)),_xlpm.sent,_xlfn.MAXIFS('Rework Log'!$B$3:$B$500,'Rework Log'!$A$3:$A$500,$B74,'Rework Log'!$C$3:$C$500,"DPO*"),_xlpm.act,IF(AND(AB74&lt;&gt;"",AB74&gt;_xlpm.sent),AB74,""),IF(_xlpm.tgt="","No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200</v>
      </c>
      <c r="J74" s="55"/>
      <c r="K74" s="51"/>
      <c r="L74" s="43"/>
      <c r="M74" s="44"/>
      <c r="N74" s="44"/>
      <c r="O74" s="44" t="s">
        <v>203</v>
      </c>
      <c r="P74" s="76"/>
      <c r="Q74" s="51"/>
      <c r="R74" s="43"/>
      <c r="S74" s="44"/>
      <c r="T74" s="71" t="s">
        <v>201</v>
      </c>
      <c r="U74" s="47"/>
      <c r="W74" s="43"/>
      <c r="X74" s="31"/>
      <c r="Y74" s="36"/>
      <c r="AA74" s="43"/>
      <c r="AB74" s="43"/>
      <c r="AC74" s="31"/>
      <c r="AD74" s="31"/>
      <c r="AE74" s="31"/>
      <c r="AF74" s="31"/>
      <c r="AG74" s="31"/>
      <c r="AH74" s="31"/>
      <c r="AI74" s="31"/>
      <c r="AJ74" s="31"/>
      <c r="AK74" s="32" t="str" cm="1">
        <f t="array" ref="AK74">_xlfn.LET(_xlpm.rep,$B74,_xlpm.sent,_xlfn.MAXIFS('Rework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4" s="32" t="str" cm="1">
        <f t="array" ref="AL74">_xlfn.LET(_xlpm.rep,$B74,_xlpm.sent,_xlfn.MAXIFS('Rework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5" spans="1:38" ht="14.45">
      <c r="A75" s="31" t="s">
        <v>116</v>
      </c>
      <c r="B75" s="31" t="s">
        <v>204</v>
      </c>
      <c r="C75" s="31" t="s">
        <v>181</v>
      </c>
      <c r="D75" t="str" cm="1">
        <f t="array" aca="1" ref="D75" ca="1">IF($B75="","",IF(LEFT($AH75,3)="Yes","Blocked - "&amp;MID($AH75,7,100)&amp;IF(SUMPRODUCT(('Rework Log'!$A$3:$A$500=$B75)*('Rework Log'!$G$3:$G$500&lt;&gt;"Yes")*('Rework Log'!$G$3:$G$500&lt;&gt;"Did not pass re-test"))=0,"",IF(SUMPRODUCT(MAX((('Rework Log'!$A$3:$A$500=$B75)*('Rework Log'!$G$3:$G$500&lt;&gt;"Yes")*('Rework Log'!$G$3:$G$500&lt;&gt;"Did not pass re-test"))*'Rework Log'!$I$3:$I$500))=0," - unclaimed"," - promised "&amp;TEXT(SUMPRODUCT(MAX((('Rework Log'!$A$3:$A$500=$B75)*('Rework Log'!$G$3:$G$500&lt;&gt;"Yes")*('Rework Log'!$G$3:$G$500&lt;&gt;"Did not pass re-test"))*'Rework Log'!$I$3:$I$500)),"m/d"))),IF(C75="NOT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track")),IF(C75="QA",_xlfn.LET(_xlpm.tgt,IF(AK75&lt;&gt;"",AK75,IF(W75&lt;&gt;"",W75,V75)),_xlpm.sent,_xlfn.MAXIFS('Rework Log'!$B$3:$B$500,'Rework Log'!$A$3:$A$500,$B75,'Rework Log'!$C$3:$C$500,"QA"),_xlpm.act,IF(AND(X75&lt;&gt;"",X75&gt;_xlpm.sent),X75,""),IF(_xlpm.tgt="","No target set",IF(AND(_xlpm.tgt&lt;TODAY(),_xlpm.act=""),"Overdue","On track"))),IF(C75="DPO Approval",_xlfn.LET(_xlpm.tgt,IF(AL75&lt;&gt;"",AL75,IF(AA75&lt;&gt;"",AA75,Z75)),_xlpm.sent,_xlfn.MAXIFS('Rework Log'!$B$3:$B$500,'Rework Log'!$A$3:$A$500,$B75,'Rework Log'!$C$3:$C$500,"DPO*"),_xlpm.act,IF(AND(AB75&lt;&gt;"",AB75&gt;_xlpm.sent),AB75,""),IF(_xlpm.tgt="","No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200</v>
      </c>
      <c r="J75" s="55"/>
      <c r="K75" s="51"/>
      <c r="L75" s="43"/>
      <c r="M75" s="44"/>
      <c r="N75" s="44"/>
      <c r="O75" s="44" t="s">
        <v>203</v>
      </c>
      <c r="P75" s="76"/>
      <c r="Q75" s="51"/>
      <c r="R75" s="43"/>
      <c r="S75" s="44"/>
      <c r="T75" s="71" t="s">
        <v>201</v>
      </c>
      <c r="U75" s="47"/>
      <c r="W75" s="43"/>
      <c r="X75" s="31"/>
      <c r="Y75" s="36"/>
      <c r="AA75" s="43"/>
      <c r="AB75" s="43"/>
      <c r="AC75" s="31"/>
      <c r="AD75" s="31"/>
      <c r="AE75" s="31"/>
      <c r="AF75" s="31"/>
      <c r="AG75" s="31"/>
      <c r="AH75" s="31"/>
      <c r="AI75" s="31"/>
      <c r="AJ75" s="31"/>
      <c r="AK75" s="32" t="str" cm="1">
        <f t="array" ref="AK75">_xlfn.LET(_xlpm.rep,$B75,_xlpm.sent,_xlfn.MAXIFS('Rework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5" s="32" t="str" cm="1">
        <f t="array" ref="AL75">_xlfn.LET(_xlpm.rep,$B75,_xlpm.sent,_xlfn.MAXIFS('Rework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6" spans="1:38" ht="14.45">
      <c r="A76" s="31" t="s">
        <v>116</v>
      </c>
      <c r="B76" s="31" t="s">
        <v>205</v>
      </c>
      <c r="C76" s="31" t="s">
        <v>181</v>
      </c>
      <c r="D76" t="str" cm="1">
        <f t="array" aca="1" ref="D76" ca="1">IF($B76="","",IF(LEFT($AH76,3)="Yes","Blocked - "&amp;MID($AH76,7,100)&amp;IF(SUMPRODUCT(('Rework Log'!$A$3:$A$500=$B76)*('Rework Log'!$G$3:$G$500&lt;&gt;"Yes")*('Rework Log'!$G$3:$G$500&lt;&gt;"Did not pass re-test"))=0,"",IF(SUMPRODUCT(MAX((('Rework Log'!$A$3:$A$500=$B76)*('Rework Log'!$G$3:$G$500&lt;&gt;"Yes")*('Rework Log'!$G$3:$G$500&lt;&gt;"Did not pass re-test"))*'Rework Log'!$I$3:$I$500))=0," - unclaimed"," - promised "&amp;TEXT(SUMPRODUCT(MAX((('Rework Log'!$A$3:$A$500=$B76)*('Rework Log'!$G$3:$G$500&lt;&gt;"Yes")*('Rework Log'!$G$3:$G$500&lt;&gt;"Did not pass re-test"))*'Rework Log'!$I$3:$I$500)),"m/d"))),IF(C76="NOT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track")),IF(C76="QA",_xlfn.LET(_xlpm.tgt,IF(AK76&lt;&gt;"",AK76,IF(W76&lt;&gt;"",W76,V76)),_xlpm.sent,_xlfn.MAXIFS('Rework Log'!$B$3:$B$500,'Rework Log'!$A$3:$A$500,$B76,'Rework Log'!$C$3:$C$500,"QA"),_xlpm.act,IF(AND(X76&lt;&gt;"",X76&gt;_xlpm.sent),X76,""),IF(_xlpm.tgt="","No target set",IF(AND(_xlpm.tgt&lt;TODAY(),_xlpm.act=""),"Overdue","On track"))),IF(C76="DPO Approval",_xlfn.LET(_xlpm.tgt,IF(AL76&lt;&gt;"",AL76,IF(AA76&lt;&gt;"",AA76,Z76)),_xlpm.sent,_xlfn.MAXIFS('Rework Log'!$B$3:$B$500,'Rework Log'!$A$3:$A$500,$B76,'Rework Log'!$C$3:$C$500,"DPO*"),_xlpm.act,IF(AND(AB76&lt;&gt;"",AB76&gt;_xlpm.sent),AB76,""),IF(_xlpm.tgt="","No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200</v>
      </c>
      <c r="J76" s="55"/>
      <c r="K76" s="51"/>
      <c r="L76" s="43"/>
      <c r="M76" s="44"/>
      <c r="N76" s="44"/>
      <c r="O76" s="44" t="s">
        <v>203</v>
      </c>
      <c r="P76" s="76"/>
      <c r="Q76" s="51"/>
      <c r="R76" s="43"/>
      <c r="S76" s="44"/>
      <c r="T76" s="71" t="s">
        <v>201</v>
      </c>
      <c r="U76" s="47"/>
      <c r="W76" s="43"/>
      <c r="X76" s="31"/>
      <c r="Y76" s="36"/>
      <c r="AA76" s="43"/>
      <c r="AB76" s="43"/>
      <c r="AC76" s="31"/>
      <c r="AD76" s="31"/>
      <c r="AE76" s="31"/>
      <c r="AF76" s="31"/>
      <c r="AG76" s="31"/>
      <c r="AH76" s="31"/>
      <c r="AI76" s="31"/>
      <c r="AJ76" s="31"/>
      <c r="AK76" s="32" t="str" cm="1">
        <f t="array" ref="AK76">_xlfn.LET(_xlpm.rep,$B76,_xlpm.sent,_xlfn.MAXIFS('Rework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6" s="32" t="str" cm="1">
        <f t="array" ref="AL76">_xlfn.LET(_xlpm.rep,$B76,_xlpm.sent,_xlfn.MAXIFS('Rework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7" spans="1:38" ht="14.45">
      <c r="A77" s="31" t="s">
        <v>116</v>
      </c>
      <c r="B77" s="31" t="s">
        <v>206</v>
      </c>
      <c r="C77" s="31" t="s">
        <v>181</v>
      </c>
      <c r="D77" t="str" cm="1">
        <f t="array" aca="1" ref="D77" ca="1">IF($B77="","",IF(LEFT($AH77,3)="Yes","Blocked - "&amp;MID($AH77,7,100)&amp;IF(SUMPRODUCT(('Rework Log'!$A$3:$A$500=$B77)*('Rework Log'!$G$3:$G$500&lt;&gt;"Yes")*('Rework Log'!$G$3:$G$500&lt;&gt;"Did not pass re-test"))=0,"",IF(SUMPRODUCT(MAX((('Rework Log'!$A$3:$A$500=$B77)*('Rework Log'!$G$3:$G$500&lt;&gt;"Yes")*('Rework Log'!$G$3:$G$500&lt;&gt;"Did not pass re-test"))*'Rework Log'!$I$3:$I$500))=0," - unclaimed"," - promised "&amp;TEXT(SUMPRODUCT(MAX((('Rework Log'!$A$3:$A$500=$B77)*('Rework Log'!$G$3:$G$500&lt;&gt;"Yes")*('Rework Log'!$G$3:$G$500&lt;&gt;"Did not pass re-test"))*'Rework Log'!$I$3:$I$500)),"m/d"))),IF(C77="NOT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track")),IF(C77="QA",_xlfn.LET(_xlpm.tgt,IF(AK77&lt;&gt;"",AK77,IF(W77&lt;&gt;"",W77,V77)),_xlpm.sent,_xlfn.MAXIFS('Rework Log'!$B$3:$B$500,'Rework Log'!$A$3:$A$500,$B77,'Rework Log'!$C$3:$C$500,"QA"),_xlpm.act,IF(AND(X77&lt;&gt;"",X77&gt;_xlpm.sent),X77,""),IF(_xlpm.tgt="","No target set",IF(AND(_xlpm.tgt&lt;TODAY(),_xlpm.act=""),"Overdue","On track"))),IF(C77="DPO Approval",_xlfn.LET(_xlpm.tgt,IF(AL77&lt;&gt;"",AL77,IF(AA77&lt;&gt;"",AA77,Z77)),_xlpm.sent,_xlfn.MAXIFS('Rework Log'!$B$3:$B$500,'Rework Log'!$A$3:$A$500,$B77,'Rework Log'!$C$3:$C$500,"DPO*"),_xlpm.act,IF(AND(AB77&lt;&gt;"",AB77&gt;_xlpm.sent),AB77,""),IF(_xlpm.tgt="","No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200</v>
      </c>
      <c r="J77" s="55"/>
      <c r="K77" s="51"/>
      <c r="L77" s="43"/>
      <c r="M77" s="44"/>
      <c r="N77" s="44"/>
      <c r="O77" s="44" t="s">
        <v>203</v>
      </c>
      <c r="P77" s="76"/>
      <c r="Q77" s="51"/>
      <c r="R77" s="43"/>
      <c r="S77" s="44"/>
      <c r="T77" s="71" t="s">
        <v>201</v>
      </c>
      <c r="U77" s="47"/>
      <c r="W77" s="43"/>
      <c r="X77" s="31"/>
      <c r="Y77" s="36"/>
      <c r="AA77" s="43"/>
      <c r="AB77" s="43"/>
      <c r="AC77" s="31"/>
      <c r="AD77" s="31"/>
      <c r="AE77" s="31"/>
      <c r="AF77" s="31"/>
      <c r="AG77" s="31"/>
      <c r="AH77" s="31"/>
      <c r="AI77" s="31"/>
      <c r="AJ77" s="31"/>
      <c r="AK77" s="32" t="str" cm="1">
        <f t="array" ref="AK77">_xlfn.LET(_xlpm.rep,$B77,_xlpm.sent,_xlfn.MAXIFS('Rework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7" s="32" t="str" cm="1">
        <f t="array" ref="AL77">_xlfn.LET(_xlpm.rep,$B77,_xlpm.sent,_xlfn.MAXIFS('Rework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8" spans="1:38" ht="14.45">
      <c r="A78" s="31" t="s">
        <v>116</v>
      </c>
      <c r="B78" s="31" t="s">
        <v>207</v>
      </c>
      <c r="C78" s="31" t="s">
        <v>181</v>
      </c>
      <c r="D78" t="str" cm="1">
        <f t="array" aca="1" ref="D78" ca="1">IF($B78="","",IF(LEFT($AH78,3)="Yes","Blocked - "&amp;MID($AH78,7,100)&amp;IF(SUMPRODUCT(('Rework Log'!$A$3:$A$500=$B78)*('Rework Log'!$G$3:$G$500&lt;&gt;"Yes")*('Rework Log'!$G$3:$G$500&lt;&gt;"Did not pass re-test"))=0,"",IF(SUMPRODUCT(MAX((('Rework Log'!$A$3:$A$500=$B78)*('Rework Log'!$G$3:$G$500&lt;&gt;"Yes")*('Rework Log'!$G$3:$G$500&lt;&gt;"Did not pass re-test"))*'Rework Log'!$I$3:$I$500))=0," - unclaimed"," - promised "&amp;TEXT(SUMPRODUCT(MAX((('Rework Log'!$A$3:$A$500=$B78)*('Rework Log'!$G$3:$G$500&lt;&gt;"Yes")*('Rework Log'!$G$3:$G$500&lt;&gt;"Did not pass re-test"))*'Rework Log'!$I$3:$I$500)),"m/d"))),IF(C78="NOT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track")),IF(C78="QA",_xlfn.LET(_xlpm.tgt,IF(AK78&lt;&gt;"",AK78,IF(W78&lt;&gt;"",W78,V78)),_xlpm.sent,_xlfn.MAXIFS('Rework Log'!$B$3:$B$500,'Rework Log'!$A$3:$A$500,$B78,'Rework Log'!$C$3:$C$500,"QA"),_xlpm.act,IF(AND(X78&lt;&gt;"",X78&gt;_xlpm.sent),X78,""),IF(_xlpm.tgt="","No target set",IF(AND(_xlpm.tgt&lt;TODAY(),_xlpm.act=""),"Overdue","On track"))),IF(C78="DPO Approval",_xlfn.LET(_xlpm.tgt,IF(AL78&lt;&gt;"",AL78,IF(AA78&lt;&gt;"",AA78,Z78)),_xlpm.sent,_xlfn.MAXIFS('Rework Log'!$B$3:$B$500,'Rework Log'!$A$3:$A$500,$B78,'Rework Log'!$C$3:$C$500,"DPO*"),_xlpm.act,IF(AND(AB78&lt;&gt;"",AB78&gt;_xlpm.sent),AB78,""),IF(_xlpm.tgt="","No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200</v>
      </c>
      <c r="J78" s="55" t="s">
        <v>42</v>
      </c>
      <c r="K78" s="51"/>
      <c r="L78" s="43"/>
      <c r="M78" s="44"/>
      <c r="N78" s="44"/>
      <c r="O78" s="44" t="s">
        <v>203</v>
      </c>
      <c r="P78" s="76"/>
      <c r="Q78" s="51"/>
      <c r="R78" s="43"/>
      <c r="S78" s="44"/>
      <c r="T78" s="71" t="s">
        <v>201</v>
      </c>
      <c r="U78" s="47"/>
      <c r="W78" s="43"/>
      <c r="X78" s="31"/>
      <c r="Y78" s="36"/>
      <c r="AA78" s="43"/>
      <c r="AB78" s="43"/>
      <c r="AC78" s="31"/>
      <c r="AD78" s="31"/>
      <c r="AE78" s="31"/>
      <c r="AF78" s="31"/>
      <c r="AG78" s="31"/>
      <c r="AH78" s="31"/>
      <c r="AI78" s="31"/>
      <c r="AJ78" s="31"/>
      <c r="AK78" s="32" t="str" cm="1">
        <f t="array" ref="AK78">_xlfn.LET(_xlpm.rep,$B78,_xlpm.sent,_xlfn.MAXIFS('Rework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8" s="32" t="str" cm="1">
        <f t="array" ref="AL78">_xlfn.LET(_xlpm.rep,$B78,_xlpm.sent,_xlfn.MAXIFS('Rework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9" spans="1:38" ht="14.45">
      <c r="A79" s="31" t="s">
        <v>116</v>
      </c>
      <c r="B79" s="31" t="s">
        <v>208</v>
      </c>
      <c r="C79" s="31" t="s">
        <v>181</v>
      </c>
      <c r="D79" t="str" cm="1">
        <f t="array" aca="1" ref="D79" ca="1">IF($B79="","",IF(LEFT($AH79,3)="Yes","Blocked - "&amp;MID($AH79,7,100)&amp;IF(SUMPRODUCT(('Rework Log'!$A$3:$A$500=$B79)*('Rework Log'!$G$3:$G$500&lt;&gt;"Yes")*('Rework Log'!$G$3:$G$500&lt;&gt;"Did not pass re-test"))=0,"",IF(SUMPRODUCT(MAX((('Rework Log'!$A$3:$A$500=$B79)*('Rework Log'!$G$3:$G$500&lt;&gt;"Yes")*('Rework Log'!$G$3:$G$500&lt;&gt;"Did not pass re-test"))*'Rework Log'!$I$3:$I$500))=0," - unclaimed"," - promised "&amp;TEXT(SUMPRODUCT(MAX((('Rework Log'!$A$3:$A$500=$B79)*('Rework Log'!$G$3:$G$500&lt;&gt;"Yes")*('Rework Log'!$G$3:$G$500&lt;&gt;"Did not pass re-test"))*'Rework Log'!$I$3:$I$500)),"m/d"))),IF(C79="NOT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track")),IF(C79="QA",_xlfn.LET(_xlpm.tgt,IF(AK79&lt;&gt;"",AK79,IF(W79&lt;&gt;"",W79,V79)),_xlpm.sent,_xlfn.MAXIFS('Rework Log'!$B$3:$B$500,'Rework Log'!$A$3:$A$500,$B79,'Rework Log'!$C$3:$C$500,"QA"),_xlpm.act,IF(AND(X79&lt;&gt;"",X79&gt;_xlpm.sent),X79,""),IF(_xlpm.tgt="","No target set",IF(AND(_xlpm.tgt&lt;TODAY(),_xlpm.act=""),"Overdue","On track"))),IF(C79="DPO Approval",_xlfn.LET(_xlpm.tgt,IF(AL79&lt;&gt;"",AL79,IF(AA79&lt;&gt;"",AA79,Z79)),_xlpm.sent,_xlfn.MAXIFS('Rework Log'!$B$3:$B$500,'Rework Log'!$A$3:$A$500,$B79,'Rework Log'!$C$3:$C$500,"DPO*"),_xlpm.act,IF(AND(AB79&lt;&gt;"",AB79&gt;_xlpm.sent),AB79,""),IF(_xlpm.tgt="","No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200</v>
      </c>
      <c r="J79" s="55" t="s">
        <v>72</v>
      </c>
      <c r="K79" s="51"/>
      <c r="L79" s="43"/>
      <c r="M79" s="44"/>
      <c r="N79" s="44"/>
      <c r="O79" s="44" t="s">
        <v>177</v>
      </c>
      <c r="P79" s="76"/>
      <c r="Q79" s="51"/>
      <c r="R79" s="43"/>
      <c r="S79" s="44"/>
      <c r="T79" s="71" t="s">
        <v>201</v>
      </c>
      <c r="U79" s="47"/>
      <c r="W79" s="43"/>
      <c r="X79" s="31"/>
      <c r="Y79" s="36"/>
      <c r="AA79" s="43"/>
      <c r="AB79" s="43"/>
      <c r="AC79" s="31"/>
      <c r="AD79" s="31"/>
      <c r="AE79" s="31"/>
      <c r="AF79" s="31"/>
      <c r="AG79" s="31"/>
      <c r="AH79" s="31"/>
      <c r="AI79" s="31"/>
      <c r="AJ79" s="31"/>
      <c r="AK79" s="32" t="str" cm="1">
        <f t="array" ref="AK79">_xlfn.LET(_xlpm.rep,$B79,_xlpm.sent,_xlfn.MAXIFS('Rework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9" s="32" t="str" cm="1">
        <f t="array" ref="AL79">_xlfn.LET(_xlpm.rep,$B79,_xlpm.sent,_xlfn.MAXIFS('Rework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0" spans="1:38" ht="14.45">
      <c r="A80" s="31" t="s">
        <v>116</v>
      </c>
      <c r="B80" s="31" t="s">
        <v>209</v>
      </c>
      <c r="C80" s="31" t="s">
        <v>181</v>
      </c>
      <c r="D80" t="str" cm="1">
        <f t="array" aca="1" ref="D80" ca="1">IF($B80="","",IF(LEFT($AH80,3)="Yes","Blocked - "&amp;MID($AH80,7,100)&amp;IF(SUMPRODUCT(('Rework Log'!$A$3:$A$500=$B80)*('Rework Log'!$G$3:$G$500&lt;&gt;"Yes")*('Rework Log'!$G$3:$G$500&lt;&gt;"Did not pass re-test"))=0,"",IF(SUMPRODUCT(MAX((('Rework Log'!$A$3:$A$500=$B80)*('Rework Log'!$G$3:$G$500&lt;&gt;"Yes")*('Rework Log'!$G$3:$G$500&lt;&gt;"Did not pass re-test"))*'Rework Log'!$I$3:$I$500))=0," - unclaimed"," - promised "&amp;TEXT(SUMPRODUCT(MAX((('Rework Log'!$A$3:$A$500=$B80)*('Rework Log'!$G$3:$G$500&lt;&gt;"Yes")*('Rework Log'!$G$3:$G$500&lt;&gt;"Did not pass re-test"))*'Rework Log'!$I$3:$I$500)),"m/d"))),IF(C80="NOT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track")),IF(C80="QA",_xlfn.LET(_xlpm.tgt,IF(AK80&lt;&gt;"",AK80,IF(W80&lt;&gt;"",W80,V80)),_xlpm.sent,_xlfn.MAXIFS('Rework Log'!$B$3:$B$500,'Rework Log'!$A$3:$A$500,$B80,'Rework Log'!$C$3:$C$500,"QA"),_xlpm.act,IF(AND(X80&lt;&gt;"",X80&gt;_xlpm.sent),X80,""),IF(_xlpm.tgt="","No target set",IF(AND(_xlpm.tgt&lt;TODAY(),_xlpm.act=""),"Overdue","On track"))),IF(C80="DPO Approval",_xlfn.LET(_xlpm.tgt,IF(AL80&lt;&gt;"",AL80,IF(AA80&lt;&gt;"",AA80,Z80)),_xlpm.sent,_xlfn.MAXIFS('Rework Log'!$B$3:$B$500,'Rework Log'!$A$3:$A$500,$B80,'Rework Log'!$C$3:$C$500,"DPO*"),_xlpm.act,IF(AND(AB80&lt;&gt;"",AB80&gt;_xlpm.sent),AB80,""),IF(_xlpm.tgt="","No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200</v>
      </c>
      <c r="J80" s="55"/>
      <c r="K80" s="51"/>
      <c r="L80" s="43"/>
      <c r="M80" s="44"/>
      <c r="N80" s="44"/>
      <c r="O80" s="44" t="s">
        <v>203</v>
      </c>
      <c r="P80" s="76"/>
      <c r="Q80" s="51"/>
      <c r="R80" s="43"/>
      <c r="S80" s="44"/>
      <c r="T80" s="71" t="s">
        <v>201</v>
      </c>
      <c r="U80" s="47"/>
      <c r="W80" s="43"/>
      <c r="X80" s="31"/>
      <c r="Y80" s="36"/>
      <c r="AA80" s="43"/>
      <c r="AB80" s="43"/>
      <c r="AC80" s="31"/>
      <c r="AD80" s="31"/>
      <c r="AE80" s="31"/>
      <c r="AF80" s="31"/>
      <c r="AG80" s="31"/>
      <c r="AH80" s="31"/>
      <c r="AI80" s="31"/>
      <c r="AJ80" s="31"/>
      <c r="AK80" s="32" t="str" cm="1">
        <f t="array" ref="AK80">_xlfn.LET(_xlpm.rep,$B80,_xlpm.sent,_xlfn.MAXIFS('Rework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0" s="32" t="str" cm="1">
        <f t="array" ref="AL80">_xlfn.LET(_xlpm.rep,$B80,_xlpm.sent,_xlfn.MAXIFS('Rework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1" spans="1:38" ht="14.45">
      <c r="A81" s="31" t="s">
        <v>116</v>
      </c>
      <c r="B81" s="31" t="s">
        <v>210</v>
      </c>
      <c r="C81" s="31" t="s">
        <v>181</v>
      </c>
      <c r="D81" t="str" cm="1">
        <f t="array" aca="1" ref="D81" ca="1">IF($B81="","",IF(LEFT($AH81,3)="Yes","Blocked - "&amp;MID($AH81,7,100)&amp;IF(SUMPRODUCT(('Rework Log'!$A$3:$A$500=$B81)*('Rework Log'!$G$3:$G$500&lt;&gt;"Yes")*('Rework Log'!$G$3:$G$500&lt;&gt;"Did not pass re-test"))=0,"",IF(SUMPRODUCT(MAX((('Rework Log'!$A$3:$A$500=$B81)*('Rework Log'!$G$3:$G$500&lt;&gt;"Yes")*('Rework Log'!$G$3:$G$500&lt;&gt;"Did not pass re-test"))*'Rework Log'!$I$3:$I$500))=0," - unclaimed"," - promised "&amp;TEXT(SUMPRODUCT(MAX((('Rework Log'!$A$3:$A$500=$B81)*('Rework Log'!$G$3:$G$500&lt;&gt;"Yes")*('Rework Log'!$G$3:$G$500&lt;&gt;"Did not pass re-test"))*'Rework Log'!$I$3:$I$500)),"m/d"))),IF(C81="NOT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track")),IF(C81="QA",_xlfn.LET(_xlpm.tgt,IF(AK81&lt;&gt;"",AK81,IF(W81&lt;&gt;"",W81,V81)),_xlpm.sent,_xlfn.MAXIFS('Rework Log'!$B$3:$B$500,'Rework Log'!$A$3:$A$500,$B81,'Rework Log'!$C$3:$C$500,"QA"),_xlpm.act,IF(AND(X81&lt;&gt;"",X81&gt;_xlpm.sent),X81,""),IF(_xlpm.tgt="","No target set",IF(AND(_xlpm.tgt&lt;TODAY(),_xlpm.act=""),"Overdue","On track"))),IF(C81="DPO Approval",_xlfn.LET(_xlpm.tgt,IF(AL81&lt;&gt;"",AL81,IF(AA81&lt;&gt;"",AA81,Z81)),_xlpm.sent,_xlfn.MAXIFS('Rework Log'!$B$3:$B$500,'Rework Log'!$A$3:$A$500,$B81,'Rework Log'!$C$3:$C$500,"DPO*"),_xlpm.act,IF(AND(AB81&lt;&gt;"",AB81&gt;_xlpm.sent),AB81,""),IF(_xlpm.tgt="","No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200</v>
      </c>
      <c r="J81" s="55"/>
      <c r="K81" s="51"/>
      <c r="L81" s="43"/>
      <c r="M81" s="44"/>
      <c r="N81" s="44"/>
      <c r="O81" s="44" t="s">
        <v>203</v>
      </c>
      <c r="P81" s="76"/>
      <c r="Q81" s="51"/>
      <c r="R81" s="43"/>
      <c r="S81" s="44"/>
      <c r="T81" s="70" t="s">
        <v>211</v>
      </c>
      <c r="U81" s="47"/>
      <c r="W81" s="43"/>
      <c r="X81" s="31"/>
      <c r="Y81" s="36"/>
      <c r="AA81" s="43"/>
      <c r="AB81" s="43"/>
      <c r="AC81" s="31"/>
      <c r="AD81" s="31"/>
      <c r="AE81" s="31"/>
      <c r="AF81" s="31"/>
      <c r="AG81" s="31"/>
      <c r="AH81" s="31"/>
      <c r="AI81" s="31"/>
      <c r="AJ81" s="31"/>
      <c r="AK81" s="32" t="str" cm="1">
        <f t="array" ref="AK81">_xlfn.LET(_xlpm.rep,$B81,_xlpm.sent,_xlfn.MAXIFS('Rework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1" s="32" t="str" cm="1">
        <f t="array" ref="AL81">_xlfn.LET(_xlpm.rep,$B81,_xlpm.sent,_xlfn.MAXIFS('Rework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2" spans="1:38" ht="14.45">
      <c r="A82" s="31" t="s">
        <v>116</v>
      </c>
      <c r="B82" s="31" t="s">
        <v>212</v>
      </c>
      <c r="C82" s="31" t="s">
        <v>181</v>
      </c>
      <c r="D82" t="str" cm="1">
        <f t="array" aca="1" ref="D82" ca="1">IF($B82="","",IF(LEFT($AH82,3)="Yes","Blocked - "&amp;MID($AH82,7,100)&amp;IF(SUMPRODUCT(('Rework Log'!$A$3:$A$500=$B82)*('Rework Log'!$G$3:$G$500&lt;&gt;"Yes")*('Rework Log'!$G$3:$G$500&lt;&gt;"Did not pass re-test"))=0,"",IF(SUMPRODUCT(MAX((('Rework Log'!$A$3:$A$500=$B82)*('Rework Log'!$G$3:$G$500&lt;&gt;"Yes")*('Rework Log'!$G$3:$G$500&lt;&gt;"Did not pass re-test"))*'Rework Log'!$I$3:$I$500))=0," - unclaimed"," - promised "&amp;TEXT(SUMPRODUCT(MAX((('Rework Log'!$A$3:$A$500=$B82)*('Rework Log'!$G$3:$G$500&lt;&gt;"Yes")*('Rework Log'!$G$3:$G$500&lt;&gt;"Did not pass re-test"))*'Rework Log'!$I$3:$I$500)),"m/d"))),IF(C82="NOT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track")),IF(C82="QA",_xlfn.LET(_xlpm.tgt,IF(AK82&lt;&gt;"",AK82,IF(W82&lt;&gt;"",W82,V82)),_xlpm.sent,_xlfn.MAXIFS('Rework Log'!$B$3:$B$500,'Rework Log'!$A$3:$A$500,$B82,'Rework Log'!$C$3:$C$500,"QA"),_xlpm.act,IF(AND(X82&lt;&gt;"",X82&gt;_xlpm.sent),X82,""),IF(_xlpm.tgt="","No target set",IF(AND(_xlpm.tgt&lt;TODAY(),_xlpm.act=""),"Overdue","On track"))),IF(C82="DPO Approval",_xlfn.LET(_xlpm.tgt,IF(AL82&lt;&gt;"",AL82,IF(AA82&lt;&gt;"",AA82,Z82)),_xlpm.sent,_xlfn.MAXIFS('Rework Log'!$B$3:$B$500,'Rework Log'!$A$3:$A$500,$B82,'Rework Log'!$C$3:$C$500,"DPO*"),_xlpm.act,IF(AND(AB82&lt;&gt;"",AB82&gt;_xlpm.sent),AB82,""),IF(_xlpm.tgt="","No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200</v>
      </c>
      <c r="J82" s="55"/>
      <c r="K82" s="51"/>
      <c r="L82" s="43"/>
      <c r="M82" s="44"/>
      <c r="N82" s="44"/>
      <c r="O82" s="36" t="s">
        <v>213</v>
      </c>
      <c r="P82" s="76"/>
      <c r="Q82" s="51"/>
      <c r="R82" s="43"/>
      <c r="S82" s="44"/>
      <c r="T82" s="70" t="s">
        <v>211</v>
      </c>
      <c r="U82" s="47"/>
      <c r="W82" s="43"/>
      <c r="X82" s="31"/>
      <c r="Y82" s="36"/>
      <c r="AA82" s="43"/>
      <c r="AB82" s="43"/>
      <c r="AC82" s="31"/>
      <c r="AD82" s="31"/>
      <c r="AE82" s="31"/>
      <c r="AF82" s="31"/>
      <c r="AG82" s="31"/>
      <c r="AH82" s="31"/>
      <c r="AI82" s="31"/>
      <c r="AJ82" s="31"/>
      <c r="AK82" s="32" t="str" cm="1">
        <f t="array" ref="AK82">_xlfn.LET(_xlpm.rep,$B82,_xlpm.sent,_xlfn.MAXIFS('Rework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2" s="32" t="str" cm="1">
        <f t="array" ref="AL82">_xlfn.LET(_xlpm.rep,$B82,_xlpm.sent,_xlfn.MAXIFS('Rework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3" spans="1:38" ht="14.45">
      <c r="A83" s="31" t="s">
        <v>116</v>
      </c>
      <c r="B83" s="31" t="s">
        <v>214</v>
      </c>
      <c r="C83" s="31" t="s">
        <v>181</v>
      </c>
      <c r="D83" t="str" cm="1">
        <f t="array" aca="1" ref="D83" ca="1">IF($B83="","",IF(LEFT($AH83,3)="Yes","Blocked - "&amp;MID($AH83,7,100)&amp;IF(SUMPRODUCT(('Rework Log'!$A$3:$A$500=$B83)*('Rework Log'!$G$3:$G$500&lt;&gt;"Yes")*('Rework Log'!$G$3:$G$500&lt;&gt;"Did not pass re-test"))=0,"",IF(SUMPRODUCT(MAX((('Rework Log'!$A$3:$A$500=$B83)*('Rework Log'!$G$3:$G$500&lt;&gt;"Yes")*('Rework Log'!$G$3:$G$500&lt;&gt;"Did not pass re-test"))*'Rework Log'!$I$3:$I$500))=0," - unclaimed"," - promised "&amp;TEXT(SUMPRODUCT(MAX((('Rework Log'!$A$3:$A$500=$B83)*('Rework Log'!$G$3:$G$500&lt;&gt;"Yes")*('Rework Log'!$G$3:$G$500&lt;&gt;"Did not pass re-test"))*'Rework Log'!$I$3:$I$500)),"m/d"))),IF(C83="NOT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track")),IF(C83="QA",_xlfn.LET(_xlpm.tgt,IF(AK83&lt;&gt;"",AK83,IF(W83&lt;&gt;"",W83,V83)),_xlpm.sent,_xlfn.MAXIFS('Rework Log'!$B$3:$B$500,'Rework Log'!$A$3:$A$500,$B83,'Rework Log'!$C$3:$C$500,"QA"),_xlpm.act,IF(AND(X83&lt;&gt;"",X83&gt;_xlpm.sent),X83,""),IF(_xlpm.tgt="","No target set",IF(AND(_xlpm.tgt&lt;TODAY(),_xlpm.act=""),"Overdue","On track"))),IF(C83="DPO Approval",_xlfn.LET(_xlpm.tgt,IF(AL83&lt;&gt;"",AL83,IF(AA83&lt;&gt;"",AA83,Z83)),_xlpm.sent,_xlfn.MAXIFS('Rework Log'!$B$3:$B$500,'Rework Log'!$A$3:$A$500,$B83,'Rework Log'!$C$3:$C$500,"DPO*"),_xlpm.act,IF(AND(AB83&lt;&gt;"",AB83&gt;_xlpm.sent),AB83,""),IF(_xlpm.tgt="","No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200</v>
      </c>
      <c r="J83" s="55"/>
      <c r="K83" s="51"/>
      <c r="L83" s="43"/>
      <c r="M83" s="44"/>
      <c r="N83" s="44"/>
      <c r="O83" s="36" t="s">
        <v>213</v>
      </c>
      <c r="P83" s="76"/>
      <c r="Q83" s="51"/>
      <c r="R83" s="43"/>
      <c r="S83" s="44"/>
      <c r="T83" s="70" t="s">
        <v>211</v>
      </c>
      <c r="U83" s="47"/>
      <c r="W83" s="43"/>
      <c r="X83" s="31"/>
      <c r="Y83" s="36"/>
      <c r="AA83" s="43"/>
      <c r="AB83" s="43"/>
      <c r="AC83" s="31"/>
      <c r="AD83" s="31"/>
      <c r="AE83" s="31"/>
      <c r="AF83" s="31"/>
      <c r="AG83" s="31"/>
      <c r="AH83" s="31"/>
      <c r="AI83" s="31"/>
      <c r="AJ83" s="31"/>
      <c r="AK83" s="32" t="str" cm="1">
        <f t="array" ref="AK83">_xlfn.LET(_xlpm.rep,$B83,_xlpm.sent,_xlfn.MAXIFS('Rework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3" s="32" t="str" cm="1">
        <f t="array" ref="AL83">_xlfn.LET(_xlpm.rep,$B83,_xlpm.sent,_xlfn.MAXIFS('Rework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4" spans="1:38" ht="14.45">
      <c r="A84" s="31" t="s">
        <v>116</v>
      </c>
      <c r="B84" s="31" t="s">
        <v>215</v>
      </c>
      <c r="C84" s="31" t="s">
        <v>181</v>
      </c>
      <c r="D84" t="str" cm="1">
        <f t="array" aca="1" ref="D84" ca="1">IF($B84="","",IF(LEFT($AH84,3)="Yes","Blocked - "&amp;MID($AH84,7,100)&amp;IF(SUMPRODUCT(('Rework Log'!$A$3:$A$500=$B84)*('Rework Log'!$G$3:$G$500&lt;&gt;"Yes")*('Rework Log'!$G$3:$G$500&lt;&gt;"Did not pass re-test"))=0,"",IF(SUMPRODUCT(MAX((('Rework Log'!$A$3:$A$500=$B84)*('Rework Log'!$G$3:$G$500&lt;&gt;"Yes")*('Rework Log'!$G$3:$G$500&lt;&gt;"Did not pass re-test"))*'Rework Log'!$I$3:$I$500))=0," - unclaimed"," - promised "&amp;TEXT(SUMPRODUCT(MAX((('Rework Log'!$A$3:$A$500=$B84)*('Rework Log'!$G$3:$G$500&lt;&gt;"Yes")*('Rework Log'!$G$3:$G$500&lt;&gt;"Did not pass re-test"))*'Rework Log'!$I$3:$I$500)),"m/d"))),IF(C84="NOT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track")),IF(C84="QA",_xlfn.LET(_xlpm.tgt,IF(AK84&lt;&gt;"",AK84,IF(W84&lt;&gt;"",W84,V84)),_xlpm.sent,_xlfn.MAXIFS('Rework Log'!$B$3:$B$500,'Rework Log'!$A$3:$A$500,$B84,'Rework Log'!$C$3:$C$500,"QA"),_xlpm.act,IF(AND(X84&lt;&gt;"",X84&gt;_xlpm.sent),X84,""),IF(_xlpm.tgt="","No target set",IF(AND(_xlpm.tgt&lt;TODAY(),_xlpm.act=""),"Overdue","On track"))),IF(C84="DPO Approval",_xlfn.LET(_xlpm.tgt,IF(AL84&lt;&gt;"",AL84,IF(AA84&lt;&gt;"",AA84,Z84)),_xlpm.sent,_xlfn.MAXIFS('Rework Log'!$B$3:$B$500,'Rework Log'!$A$3:$A$500,$B84,'Rework Log'!$C$3:$C$500,"DPO*"),_xlpm.act,IF(AND(AB84&lt;&gt;"",AB84&gt;_xlpm.sent),AB84,""),IF(_xlpm.tgt="","No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200</v>
      </c>
      <c r="J84" s="55"/>
      <c r="K84" s="51"/>
      <c r="L84" s="43"/>
      <c r="M84" s="44"/>
      <c r="N84" s="44"/>
      <c r="O84" s="36" t="s">
        <v>213</v>
      </c>
      <c r="P84" s="76"/>
      <c r="Q84" s="51"/>
      <c r="R84" s="43"/>
      <c r="S84" s="44"/>
      <c r="T84" s="70" t="s">
        <v>211</v>
      </c>
      <c r="U84" s="47"/>
      <c r="W84" s="43"/>
      <c r="X84" s="31"/>
      <c r="Y84" s="36"/>
      <c r="AA84" s="43"/>
      <c r="AB84" s="43"/>
      <c r="AC84" s="31"/>
      <c r="AD84" s="31"/>
      <c r="AE84" s="31"/>
      <c r="AF84" s="31"/>
      <c r="AG84" s="31"/>
      <c r="AH84" s="31"/>
      <c r="AI84" s="31"/>
      <c r="AJ84" s="31"/>
      <c r="AK84" s="32" t="str" cm="1">
        <f t="array" ref="AK84">_xlfn.LET(_xlpm.rep,$B84,_xlpm.sent,_xlfn.MAXIFS('Rework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4" s="32" t="str" cm="1">
        <f t="array" ref="AL84">_xlfn.LET(_xlpm.rep,$B84,_xlpm.sent,_xlfn.MAXIFS('Rework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5" spans="1:38" ht="14.45">
      <c r="A85" s="31" t="s">
        <v>116</v>
      </c>
      <c r="B85" s="31" t="s">
        <v>216</v>
      </c>
      <c r="C85" s="31" t="s">
        <v>181</v>
      </c>
      <c r="D85" t="str" cm="1">
        <f t="array" aca="1" ref="D85" ca="1">IF($B85="","",IF(LEFT($AH85,3)="Yes","Blocked - "&amp;MID($AH85,7,100)&amp;IF(SUMPRODUCT(('Rework Log'!$A$3:$A$500=$B85)*('Rework Log'!$G$3:$G$500&lt;&gt;"Yes")*('Rework Log'!$G$3:$G$500&lt;&gt;"Did not pass re-test"))=0,"",IF(SUMPRODUCT(MAX((('Rework Log'!$A$3:$A$500=$B85)*('Rework Log'!$G$3:$G$500&lt;&gt;"Yes")*('Rework Log'!$G$3:$G$500&lt;&gt;"Did not pass re-test"))*'Rework Log'!$I$3:$I$500))=0," - unclaimed"," - promised "&amp;TEXT(SUMPRODUCT(MAX((('Rework Log'!$A$3:$A$500=$B85)*('Rework Log'!$G$3:$G$500&lt;&gt;"Yes")*('Rework Log'!$G$3:$G$500&lt;&gt;"Did not pass re-test"))*'Rework Log'!$I$3:$I$500)),"m/d"))),IF(C85="NOT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track")),IF(C85="QA",_xlfn.LET(_xlpm.tgt,IF(AK85&lt;&gt;"",AK85,IF(W85&lt;&gt;"",W85,V85)),_xlpm.sent,_xlfn.MAXIFS('Rework Log'!$B$3:$B$500,'Rework Log'!$A$3:$A$500,$B85,'Rework Log'!$C$3:$C$500,"QA"),_xlpm.act,IF(AND(X85&lt;&gt;"",X85&gt;_xlpm.sent),X85,""),IF(_xlpm.tgt="","No target set",IF(AND(_xlpm.tgt&lt;TODAY(),_xlpm.act=""),"Overdue","On track"))),IF(C85="DPO Approval",_xlfn.LET(_xlpm.tgt,IF(AL85&lt;&gt;"",AL85,IF(AA85&lt;&gt;"",AA85,Z85)),_xlpm.sent,_xlfn.MAXIFS('Rework Log'!$B$3:$B$500,'Rework Log'!$A$3:$A$500,$B85,'Rework Log'!$C$3:$C$500,"DPO*"),_xlpm.act,IF(AND(AB85&lt;&gt;"",AB85&gt;_xlpm.sent),AB85,""),IF(_xlpm.tgt="","No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217</v>
      </c>
      <c r="F85" s="31"/>
      <c r="G85" s="31"/>
      <c r="H85" s="50">
        <v>46325</v>
      </c>
      <c r="I85" s="57" t="s">
        <v>200</v>
      </c>
      <c r="J85" s="55"/>
      <c r="K85" s="51"/>
      <c r="L85" s="43"/>
      <c r="M85" s="44"/>
      <c r="N85" s="44"/>
      <c r="O85" s="36" t="s">
        <v>218</v>
      </c>
      <c r="P85" s="76"/>
      <c r="Q85" s="51"/>
      <c r="R85" s="43"/>
      <c r="S85" s="44"/>
      <c r="T85" s="70" t="s">
        <v>211</v>
      </c>
      <c r="U85" s="47"/>
      <c r="W85" s="43"/>
      <c r="X85" s="31"/>
      <c r="Y85" s="36"/>
      <c r="AA85" s="43"/>
      <c r="AB85" s="43"/>
      <c r="AC85" s="31"/>
      <c r="AD85" s="31"/>
      <c r="AE85" s="31"/>
      <c r="AF85" s="31"/>
      <c r="AG85" s="31"/>
      <c r="AH85" s="31"/>
      <c r="AI85" s="31"/>
      <c r="AJ85" s="31"/>
      <c r="AK85" s="32" t="str" cm="1">
        <f t="array" ref="AK85">_xlfn.LET(_xlpm.rep,$B85,_xlpm.sent,_xlfn.MAXIFS('Rework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5" s="32" t="str" cm="1">
        <f t="array" ref="AL85">_xlfn.LET(_xlpm.rep,$B85,_xlpm.sent,_xlfn.MAXIFS('Rework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6" spans="1:38" ht="14.45">
      <c r="A86" s="31" t="s">
        <v>116</v>
      </c>
      <c r="B86" s="31" t="s">
        <v>219</v>
      </c>
      <c r="C86" s="31" t="s">
        <v>181</v>
      </c>
      <c r="D86" t="str" cm="1">
        <f t="array" aca="1" ref="D86" ca="1">IF($B86="","",IF(LEFT($AH86,3)="Yes","Blocked - "&amp;MID($AH86,7,100)&amp;IF(SUMPRODUCT(('Rework Log'!$A$3:$A$500=$B86)*('Rework Log'!$G$3:$G$500&lt;&gt;"Yes")*('Rework Log'!$G$3:$G$500&lt;&gt;"Did not pass re-test"))=0,"",IF(SUMPRODUCT(MAX((('Rework Log'!$A$3:$A$500=$B86)*('Rework Log'!$G$3:$G$500&lt;&gt;"Yes")*('Rework Log'!$G$3:$G$500&lt;&gt;"Did not pass re-test"))*'Rework Log'!$I$3:$I$500))=0," - unclaimed"," - promised "&amp;TEXT(SUMPRODUCT(MAX((('Rework Log'!$A$3:$A$500=$B86)*('Rework Log'!$G$3:$G$500&lt;&gt;"Yes")*('Rework Log'!$G$3:$G$500&lt;&gt;"Did not pass re-test"))*'Rework Log'!$I$3:$I$500)),"m/d"))),IF(C86="NOT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track")),IF(C86="QA",_xlfn.LET(_xlpm.tgt,IF(AK86&lt;&gt;"",AK86,IF(W86&lt;&gt;"",W86,V86)),_xlpm.sent,_xlfn.MAXIFS('Rework Log'!$B$3:$B$500,'Rework Log'!$A$3:$A$500,$B86,'Rework Log'!$C$3:$C$500,"QA"),_xlpm.act,IF(AND(X86&lt;&gt;"",X86&gt;_xlpm.sent),X86,""),IF(_xlpm.tgt="","No target set",IF(AND(_xlpm.tgt&lt;TODAY(),_xlpm.act=""),"Overdue","On track"))),IF(C86="DPO Approval",_xlfn.LET(_xlpm.tgt,IF(AL86&lt;&gt;"",AL86,IF(AA86&lt;&gt;"",AA86,Z86)),_xlpm.sent,_xlfn.MAXIFS('Rework Log'!$B$3:$B$500,'Rework Log'!$A$3:$A$500,$B86,'Rework Log'!$C$3:$C$500,"DPO*"),_xlpm.act,IF(AND(AB86&lt;&gt;"",AB86&gt;_xlpm.sent),AB86,""),IF(_xlpm.tgt="","No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220</v>
      </c>
      <c r="J86" s="55"/>
      <c r="K86" s="51"/>
      <c r="L86" s="43"/>
      <c r="M86" s="44"/>
      <c r="N86" s="44"/>
      <c r="O86" s="36" t="s">
        <v>218</v>
      </c>
      <c r="P86" s="76"/>
      <c r="Q86" s="51"/>
      <c r="R86" s="43"/>
      <c r="S86" s="44"/>
      <c r="T86" s="70" t="s">
        <v>211</v>
      </c>
      <c r="U86" s="47"/>
      <c r="W86" s="43"/>
      <c r="X86" s="31"/>
      <c r="Y86" s="36"/>
      <c r="AA86" s="43"/>
      <c r="AB86" s="43"/>
      <c r="AC86" s="31"/>
      <c r="AD86" s="31"/>
      <c r="AE86" s="31"/>
      <c r="AF86" s="31"/>
      <c r="AG86" s="31"/>
      <c r="AH86" s="31"/>
      <c r="AI86" s="31"/>
      <c r="AJ86" s="31"/>
      <c r="AK86" s="32" t="str" cm="1">
        <f t="array" ref="AK86">_xlfn.LET(_xlpm.rep,$B86,_xlpm.sent,_xlfn.MAXIFS('Rework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6" s="32" t="str" cm="1">
        <f t="array" ref="AL86">_xlfn.LET(_xlpm.rep,$B86,_xlpm.sent,_xlfn.MAXIFS('Rework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7" spans="1:38" ht="14.45">
      <c r="A87" s="31" t="s">
        <v>116</v>
      </c>
      <c r="B87" s="31" t="s">
        <v>221</v>
      </c>
      <c r="C87" s="31" t="s">
        <v>181</v>
      </c>
      <c r="D87" t="str" cm="1">
        <f t="array" aca="1" ref="D87" ca="1">IF($B87="","",IF(LEFT($AH87,3)="Yes","Blocked - "&amp;MID($AH87,7,100)&amp;IF(SUMPRODUCT(('Rework Log'!$A$3:$A$500=$B87)*('Rework Log'!$G$3:$G$500&lt;&gt;"Yes")*('Rework Log'!$G$3:$G$500&lt;&gt;"Did not pass re-test"))=0,"",IF(SUMPRODUCT(MAX((('Rework Log'!$A$3:$A$500=$B87)*('Rework Log'!$G$3:$G$500&lt;&gt;"Yes")*('Rework Log'!$G$3:$G$500&lt;&gt;"Did not pass re-test"))*'Rework Log'!$I$3:$I$500))=0," - unclaimed"," - promised "&amp;TEXT(SUMPRODUCT(MAX((('Rework Log'!$A$3:$A$500=$B87)*('Rework Log'!$G$3:$G$500&lt;&gt;"Yes")*('Rework Log'!$G$3:$G$500&lt;&gt;"Did not pass re-test"))*'Rework Log'!$I$3:$I$500)),"m/d"))),IF(C87="NOT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track")),IF(C87="QA",_xlfn.LET(_xlpm.tgt,IF(AK87&lt;&gt;"",AK87,IF(W87&lt;&gt;"",W87,V87)),_xlpm.sent,_xlfn.MAXIFS('Rework Log'!$B$3:$B$500,'Rework Log'!$A$3:$A$500,$B87,'Rework Log'!$C$3:$C$500,"QA"),_xlpm.act,IF(AND(X87&lt;&gt;"",X87&gt;_xlpm.sent),X87,""),IF(_xlpm.tgt="","No target set",IF(AND(_xlpm.tgt&lt;TODAY(),_xlpm.act=""),"Overdue","On track"))),IF(C87="DPO Approval",_xlfn.LET(_xlpm.tgt,IF(AL87&lt;&gt;"",AL87,IF(AA87&lt;&gt;"",AA87,Z87)),_xlpm.sent,_xlfn.MAXIFS('Rework Log'!$B$3:$B$500,'Rework Log'!$A$3:$A$500,$B87,'Rework Log'!$C$3:$C$500,"DPO*"),_xlpm.act,IF(AND(AB87&lt;&gt;"",AB87&gt;_xlpm.sent),AB87,""),IF(_xlpm.tgt="","No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220</v>
      </c>
      <c r="J87" s="55"/>
      <c r="K87" s="51"/>
      <c r="L87" s="43"/>
      <c r="M87" s="44"/>
      <c r="N87" s="44"/>
      <c r="O87" s="36" t="s">
        <v>218</v>
      </c>
      <c r="P87" s="76"/>
      <c r="Q87" s="51"/>
      <c r="R87" s="43"/>
      <c r="S87" s="44"/>
      <c r="T87" s="70" t="s">
        <v>211</v>
      </c>
      <c r="U87" s="47"/>
      <c r="W87" s="43"/>
      <c r="X87" s="31"/>
      <c r="Y87" s="36"/>
      <c r="AA87" s="43"/>
      <c r="AB87" s="43"/>
      <c r="AC87" s="31"/>
      <c r="AD87" s="31"/>
      <c r="AE87" s="31"/>
      <c r="AF87" s="31"/>
      <c r="AG87" s="31"/>
      <c r="AH87" s="31"/>
      <c r="AI87" s="31"/>
      <c r="AJ87" s="31"/>
      <c r="AK87" s="32" t="str" cm="1">
        <f t="array" ref="AK87">_xlfn.LET(_xlpm.rep,$B87,_xlpm.sent,_xlfn.MAXIFS('Rework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7" s="32" t="str" cm="1">
        <f t="array" ref="AL87">_xlfn.LET(_xlpm.rep,$B87,_xlpm.sent,_xlfn.MAXIFS('Rework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8" spans="1:38" ht="14.45">
      <c r="A88" s="31" t="s">
        <v>116</v>
      </c>
      <c r="B88" s="31" t="s">
        <v>222</v>
      </c>
      <c r="C88" s="31" t="s">
        <v>181</v>
      </c>
      <c r="D88" t="str" cm="1">
        <f t="array" aca="1" ref="D88" ca="1">IF($B88="","",IF(LEFT($AH88,3)="Yes","Blocked - "&amp;MID($AH88,7,100)&amp;IF(SUMPRODUCT(('Rework Log'!$A$3:$A$500=$B88)*('Rework Log'!$G$3:$G$500&lt;&gt;"Yes")*('Rework Log'!$G$3:$G$500&lt;&gt;"Did not pass re-test"))=0,"",IF(SUMPRODUCT(MAX((('Rework Log'!$A$3:$A$500=$B88)*('Rework Log'!$G$3:$G$500&lt;&gt;"Yes")*('Rework Log'!$G$3:$G$500&lt;&gt;"Did not pass re-test"))*'Rework Log'!$I$3:$I$500))=0," - unclaimed"," - promised "&amp;TEXT(SUMPRODUCT(MAX((('Rework Log'!$A$3:$A$500=$B88)*('Rework Log'!$G$3:$G$500&lt;&gt;"Yes")*('Rework Log'!$G$3:$G$500&lt;&gt;"Did not pass re-test"))*'Rework Log'!$I$3:$I$500)),"m/d"))),IF(C88="NOT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track")),IF(C88="QA",_xlfn.LET(_xlpm.tgt,IF(AK88&lt;&gt;"",AK88,IF(W88&lt;&gt;"",W88,V88)),_xlpm.sent,_xlfn.MAXIFS('Rework Log'!$B$3:$B$500,'Rework Log'!$A$3:$A$500,$B88,'Rework Log'!$C$3:$C$500,"QA"),_xlpm.act,IF(AND(X88&lt;&gt;"",X88&gt;_xlpm.sent),X88,""),IF(_xlpm.tgt="","No target set",IF(AND(_xlpm.tgt&lt;TODAY(),_xlpm.act=""),"Overdue","On track"))),IF(C88="DPO Approval",_xlfn.LET(_xlpm.tgt,IF(AL88&lt;&gt;"",AL88,IF(AA88&lt;&gt;"",AA88,Z88)),_xlpm.sent,_xlfn.MAXIFS('Rework Log'!$B$3:$B$500,'Rework Log'!$A$3:$A$500,$B88,'Rework Log'!$C$3:$C$500,"DPO*"),_xlpm.act,IF(AND(AB88&lt;&gt;"",AB88&gt;_xlpm.sent),AB88,""),IF(_xlpm.tgt="","No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220</v>
      </c>
      <c r="J88" s="55"/>
      <c r="K88" s="51"/>
      <c r="L88" s="43"/>
      <c r="M88" s="44"/>
      <c r="N88" s="44"/>
      <c r="O88" s="36" t="s">
        <v>218</v>
      </c>
      <c r="P88" s="76"/>
      <c r="Q88" s="51"/>
      <c r="R88" s="43"/>
      <c r="S88" s="44"/>
      <c r="T88" s="70" t="s">
        <v>223</v>
      </c>
      <c r="U88" s="47"/>
      <c r="W88" s="43"/>
      <c r="X88" s="31"/>
      <c r="Y88" s="36"/>
      <c r="AA88" s="43"/>
      <c r="AB88" s="43"/>
      <c r="AC88" s="31"/>
      <c r="AD88" s="31"/>
      <c r="AE88" s="31"/>
      <c r="AF88" s="31"/>
      <c r="AG88" s="31"/>
      <c r="AH88" s="31"/>
      <c r="AI88" s="31"/>
      <c r="AJ88" s="31"/>
      <c r="AK88" s="32" t="str" cm="1">
        <f t="array" ref="AK88">_xlfn.LET(_xlpm.rep,$B88,_xlpm.sent,_xlfn.MAXIFS('Rework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8" s="32" t="str" cm="1">
        <f t="array" ref="AL88">_xlfn.LET(_xlpm.rep,$B88,_xlpm.sent,_xlfn.MAXIFS('Rework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9" spans="1:38" ht="14.45">
      <c r="A89" s="31" t="s">
        <v>116</v>
      </c>
      <c r="B89" s="31" t="s">
        <v>224</v>
      </c>
      <c r="C89" s="31" t="s">
        <v>181</v>
      </c>
      <c r="D89" t="str" cm="1">
        <f t="array" aca="1" ref="D89" ca="1">IF($B89="","",IF(LEFT($AH89,3)="Yes","Blocked - "&amp;MID($AH89,7,100)&amp;IF(SUMPRODUCT(('Rework Log'!$A$3:$A$500=$B89)*('Rework Log'!$G$3:$G$500&lt;&gt;"Yes")*('Rework Log'!$G$3:$G$500&lt;&gt;"Did not pass re-test"))=0,"",IF(SUMPRODUCT(MAX((('Rework Log'!$A$3:$A$500=$B89)*('Rework Log'!$G$3:$G$500&lt;&gt;"Yes")*('Rework Log'!$G$3:$G$500&lt;&gt;"Did not pass re-test"))*'Rework Log'!$I$3:$I$500))=0," - unclaimed"," - promised "&amp;TEXT(SUMPRODUCT(MAX((('Rework Log'!$A$3:$A$500=$B89)*('Rework Log'!$G$3:$G$500&lt;&gt;"Yes")*('Rework Log'!$G$3:$G$500&lt;&gt;"Did not pass re-test"))*'Rework Log'!$I$3:$I$500)),"m/d"))),IF(C89="NOT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track")),IF(C89="QA",_xlfn.LET(_xlpm.tgt,IF(AK89&lt;&gt;"",AK89,IF(W89&lt;&gt;"",W89,V89)),_xlpm.sent,_xlfn.MAXIFS('Rework Log'!$B$3:$B$500,'Rework Log'!$A$3:$A$500,$B89,'Rework Log'!$C$3:$C$500,"QA"),_xlpm.act,IF(AND(X89&lt;&gt;"",X89&gt;_xlpm.sent),X89,""),IF(_xlpm.tgt="","No target set",IF(AND(_xlpm.tgt&lt;TODAY(),_xlpm.act=""),"Overdue","On track"))),IF(C89="DPO Approval",_xlfn.LET(_xlpm.tgt,IF(AL89&lt;&gt;"",AL89,IF(AA89&lt;&gt;"",AA89,Z89)),_xlpm.sent,_xlfn.MAXIFS('Rework Log'!$B$3:$B$500,'Rework Log'!$A$3:$A$500,$B89,'Rework Log'!$C$3:$C$500,"DPO*"),_xlpm.act,IF(AND(AB89&lt;&gt;"",AB89&gt;_xlpm.sent),AB89,""),IF(_xlpm.tgt="","No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220</v>
      </c>
      <c r="J89" s="55"/>
      <c r="K89" s="51"/>
      <c r="L89" s="43"/>
      <c r="M89" s="44"/>
      <c r="N89" s="44"/>
      <c r="O89" s="36" t="s">
        <v>218</v>
      </c>
      <c r="P89" s="76"/>
      <c r="Q89" s="51"/>
      <c r="R89" s="43"/>
      <c r="S89" s="44"/>
      <c r="T89" s="70" t="s">
        <v>223</v>
      </c>
      <c r="U89" s="47"/>
      <c r="W89" s="43"/>
      <c r="X89" s="31"/>
      <c r="Y89" s="36"/>
      <c r="AA89" s="43"/>
      <c r="AB89" s="43"/>
      <c r="AC89" s="31"/>
      <c r="AD89" s="31"/>
      <c r="AE89" s="31"/>
      <c r="AF89" s="31"/>
      <c r="AG89" s="31"/>
      <c r="AH89" s="31"/>
      <c r="AI89" s="31"/>
      <c r="AJ89" s="31"/>
      <c r="AK89" s="32" t="str" cm="1">
        <f t="array" ref="AK89">_xlfn.LET(_xlpm.rep,$B89,_xlpm.sent,_xlfn.MAXIFS('Rework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9" s="32" t="str" cm="1">
        <f t="array" ref="AL89">_xlfn.LET(_xlpm.rep,$B89,_xlpm.sent,_xlfn.MAXIFS('Rework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0" spans="1:38" ht="14.45">
      <c r="A90" s="31" t="s">
        <v>116</v>
      </c>
      <c r="B90" s="31" t="s">
        <v>225</v>
      </c>
      <c r="C90" s="31" t="s">
        <v>181</v>
      </c>
      <c r="D90" t="str" cm="1">
        <f t="array" aca="1" ref="D90" ca="1">IF($B90="","",IF(LEFT($AH90,3)="Yes","Blocked - "&amp;MID($AH90,7,100)&amp;IF(SUMPRODUCT(('Rework Log'!$A$3:$A$500=$B90)*('Rework Log'!$G$3:$G$500&lt;&gt;"Yes")*('Rework Log'!$G$3:$G$500&lt;&gt;"Did not pass re-test"))=0,"",IF(SUMPRODUCT(MAX((('Rework Log'!$A$3:$A$500=$B90)*('Rework Log'!$G$3:$G$500&lt;&gt;"Yes")*('Rework Log'!$G$3:$G$500&lt;&gt;"Did not pass re-test"))*'Rework Log'!$I$3:$I$500))=0," - unclaimed"," - promised "&amp;TEXT(SUMPRODUCT(MAX((('Rework Log'!$A$3:$A$500=$B90)*('Rework Log'!$G$3:$G$500&lt;&gt;"Yes")*('Rework Log'!$G$3:$G$500&lt;&gt;"Did not pass re-test"))*'Rework Log'!$I$3:$I$500)),"m/d"))),IF(C90="NOT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track")),IF(C90="QA",_xlfn.LET(_xlpm.tgt,IF(AK90&lt;&gt;"",AK90,IF(W90&lt;&gt;"",W90,V90)),_xlpm.sent,_xlfn.MAXIFS('Rework Log'!$B$3:$B$500,'Rework Log'!$A$3:$A$500,$B90,'Rework Log'!$C$3:$C$500,"QA"),_xlpm.act,IF(AND(X90&lt;&gt;"",X90&gt;_xlpm.sent),X90,""),IF(_xlpm.tgt="","No target set",IF(AND(_xlpm.tgt&lt;TODAY(),_xlpm.act=""),"Overdue","On track"))),IF(C90="DPO Approval",_xlfn.LET(_xlpm.tgt,IF(AL90&lt;&gt;"",AL90,IF(AA90&lt;&gt;"",AA90,Z90)),_xlpm.sent,_xlfn.MAXIFS('Rework Log'!$B$3:$B$500,'Rework Log'!$A$3:$A$500,$B90,'Rework Log'!$C$3:$C$500,"DPO*"),_xlpm.act,IF(AND(AB90&lt;&gt;"",AB90&gt;_xlpm.sent),AB90,""),IF(_xlpm.tgt="","No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220</v>
      </c>
      <c r="J90" s="55"/>
      <c r="K90" s="51"/>
      <c r="L90" s="43"/>
      <c r="M90" s="44"/>
      <c r="N90" s="44"/>
      <c r="O90" s="36" t="s">
        <v>218</v>
      </c>
      <c r="P90" s="76"/>
      <c r="Q90" s="51"/>
      <c r="R90" s="43"/>
      <c r="S90" s="44"/>
      <c r="T90" s="70" t="s">
        <v>223</v>
      </c>
      <c r="U90" s="47"/>
      <c r="W90" s="43"/>
      <c r="X90" s="31"/>
      <c r="Y90" s="36"/>
      <c r="AA90" s="43"/>
      <c r="AB90" s="43"/>
      <c r="AC90" s="31"/>
      <c r="AD90" s="31"/>
      <c r="AE90" s="31"/>
      <c r="AF90" s="31"/>
      <c r="AG90" s="31"/>
      <c r="AH90" s="31"/>
      <c r="AI90" s="31"/>
      <c r="AJ90" s="31"/>
      <c r="AK90" s="32" t="str" cm="1">
        <f t="array" ref="AK90">_xlfn.LET(_xlpm.rep,$B90,_xlpm.sent,_xlfn.MAXIFS('Rework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0" s="32" t="str" cm="1">
        <f t="array" ref="AL90">_xlfn.LET(_xlpm.rep,$B90,_xlpm.sent,_xlfn.MAXIFS('Rework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1" spans="1:38" ht="14.45">
      <c r="A91" s="31" t="s">
        <v>116</v>
      </c>
      <c r="B91" s="31" t="s">
        <v>226</v>
      </c>
      <c r="C91" s="31" t="s">
        <v>181</v>
      </c>
      <c r="D91" t="str" cm="1">
        <f t="array" aca="1" ref="D91" ca="1">IF($B91="","",IF(LEFT($AH91,3)="Yes","Blocked - "&amp;MID($AH91,7,100)&amp;IF(SUMPRODUCT(('Rework Log'!$A$3:$A$500=$B91)*('Rework Log'!$G$3:$G$500&lt;&gt;"Yes")*('Rework Log'!$G$3:$G$500&lt;&gt;"Did not pass re-test"))=0,"",IF(SUMPRODUCT(MAX((('Rework Log'!$A$3:$A$500=$B91)*('Rework Log'!$G$3:$G$500&lt;&gt;"Yes")*('Rework Log'!$G$3:$G$500&lt;&gt;"Did not pass re-test"))*'Rework Log'!$I$3:$I$500))=0," - unclaimed"," - promised "&amp;TEXT(SUMPRODUCT(MAX((('Rework Log'!$A$3:$A$500=$B91)*('Rework Log'!$G$3:$G$500&lt;&gt;"Yes")*('Rework Log'!$G$3:$G$500&lt;&gt;"Did not pass re-test"))*'Rework Log'!$I$3:$I$500)),"m/d"))),IF(C91="NOT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track")),IF(C91="QA",_xlfn.LET(_xlpm.tgt,IF(AK91&lt;&gt;"",AK91,IF(W91&lt;&gt;"",W91,V91)),_xlpm.sent,_xlfn.MAXIFS('Rework Log'!$B$3:$B$500,'Rework Log'!$A$3:$A$500,$B91,'Rework Log'!$C$3:$C$500,"QA"),_xlpm.act,IF(AND(X91&lt;&gt;"",X91&gt;_xlpm.sent),X91,""),IF(_xlpm.tgt="","No target set",IF(AND(_xlpm.tgt&lt;TODAY(),_xlpm.act=""),"Overdue","On track"))),IF(C91="DPO Approval",_xlfn.LET(_xlpm.tgt,IF(AL91&lt;&gt;"",AL91,IF(AA91&lt;&gt;"",AA91,Z91)),_xlpm.sent,_xlfn.MAXIFS('Rework Log'!$B$3:$B$500,'Rework Log'!$A$3:$A$500,$B91,'Rework Log'!$C$3:$C$500,"DPO*"),_xlpm.act,IF(AND(AB91&lt;&gt;"",AB91&gt;_xlpm.sent),AB91,""),IF(_xlpm.tgt="","No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220</v>
      </c>
      <c r="J91" s="55"/>
      <c r="K91" s="51"/>
      <c r="L91" s="43"/>
      <c r="M91" s="44"/>
      <c r="N91" s="44"/>
      <c r="O91" s="36" t="s">
        <v>218</v>
      </c>
      <c r="P91" s="76"/>
      <c r="Q91" s="51"/>
      <c r="R91" s="43"/>
      <c r="S91" s="44"/>
      <c r="T91" s="70" t="s">
        <v>223</v>
      </c>
      <c r="U91" s="47"/>
      <c r="W91" s="43"/>
      <c r="X91" s="31"/>
      <c r="Y91" s="36"/>
      <c r="AA91" s="43"/>
      <c r="AB91" s="43"/>
      <c r="AC91" s="31"/>
      <c r="AD91" s="31"/>
      <c r="AE91" s="31"/>
      <c r="AF91" s="31"/>
      <c r="AG91" s="31"/>
      <c r="AH91" s="31"/>
      <c r="AI91" s="31"/>
      <c r="AJ91" s="31"/>
      <c r="AK91" s="32" t="str" cm="1">
        <f t="array" ref="AK91">_xlfn.LET(_xlpm.rep,$B91,_xlpm.sent,_xlfn.MAXIFS('Rework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1" s="32" t="str" cm="1">
        <f t="array" ref="AL91">_xlfn.LET(_xlpm.rep,$B91,_xlpm.sent,_xlfn.MAXIFS('Rework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2" spans="1:38" ht="14.45">
      <c r="A92" s="31" t="s">
        <v>116</v>
      </c>
      <c r="B92" s="31" t="s">
        <v>227</v>
      </c>
      <c r="C92" s="31" t="s">
        <v>181</v>
      </c>
      <c r="D92" t="str" cm="1">
        <f t="array" aca="1" ref="D92" ca="1">IF($B92="","",IF(LEFT($AH92,3)="Yes","Blocked - "&amp;MID($AH92,7,100)&amp;IF(SUMPRODUCT(('Rework Log'!$A$3:$A$500=$B92)*('Rework Log'!$G$3:$G$500&lt;&gt;"Yes")*('Rework Log'!$G$3:$G$500&lt;&gt;"Did not pass re-test"))=0,"",IF(SUMPRODUCT(MAX((('Rework Log'!$A$3:$A$500=$B92)*('Rework Log'!$G$3:$G$500&lt;&gt;"Yes")*('Rework Log'!$G$3:$G$500&lt;&gt;"Did not pass re-test"))*'Rework Log'!$I$3:$I$500))=0," - unclaimed"," - promised "&amp;TEXT(SUMPRODUCT(MAX((('Rework Log'!$A$3:$A$500=$B92)*('Rework Log'!$G$3:$G$500&lt;&gt;"Yes")*('Rework Log'!$G$3:$G$500&lt;&gt;"Did not pass re-test"))*'Rework Log'!$I$3:$I$500)),"m/d"))),IF(C92="NOT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track")),IF(C92="QA",_xlfn.LET(_xlpm.tgt,IF(AK92&lt;&gt;"",AK92,IF(W92&lt;&gt;"",W92,V92)),_xlpm.sent,_xlfn.MAXIFS('Rework Log'!$B$3:$B$500,'Rework Log'!$A$3:$A$500,$B92,'Rework Log'!$C$3:$C$500,"QA"),_xlpm.act,IF(AND(X92&lt;&gt;"",X92&gt;_xlpm.sent),X92,""),IF(_xlpm.tgt="","No target set",IF(AND(_xlpm.tgt&lt;TODAY(),_xlpm.act=""),"Overdue","On track"))),IF(C92="DPO Approval",_xlfn.LET(_xlpm.tgt,IF(AL92&lt;&gt;"",AL92,IF(AA92&lt;&gt;"",AA92,Z92)),_xlpm.sent,_xlfn.MAXIFS('Rework Log'!$B$3:$B$500,'Rework Log'!$A$3:$A$500,$B92,'Rework Log'!$C$3:$C$500,"DPO*"),_xlpm.act,IF(AND(AB92&lt;&gt;"",AB92&gt;_xlpm.sent),AB92,""),IF(_xlpm.tgt="","No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220</v>
      </c>
      <c r="J92" s="55"/>
      <c r="K92" s="51"/>
      <c r="L92" s="43"/>
      <c r="M92" s="44"/>
      <c r="N92" s="44"/>
      <c r="O92" s="36" t="s">
        <v>228</v>
      </c>
      <c r="P92" s="76"/>
      <c r="Q92" s="51"/>
      <c r="R92" s="43"/>
      <c r="S92" s="44"/>
      <c r="T92" s="70" t="s">
        <v>223</v>
      </c>
      <c r="U92" s="47"/>
      <c r="W92" s="43"/>
      <c r="X92" s="31"/>
      <c r="Y92" s="36"/>
      <c r="AA92" s="43"/>
      <c r="AB92" s="43"/>
      <c r="AC92" s="31"/>
      <c r="AD92" s="31"/>
      <c r="AE92" s="31"/>
      <c r="AF92" s="31"/>
      <c r="AG92" s="31"/>
      <c r="AH92" s="31"/>
      <c r="AI92" s="31"/>
      <c r="AJ92" s="31"/>
      <c r="AK92" s="32" t="str" cm="1">
        <f t="array" ref="AK92">_xlfn.LET(_xlpm.rep,$B92,_xlpm.sent,_xlfn.MAXIFS('Rework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2" s="32" t="str" cm="1">
        <f t="array" ref="AL92">_xlfn.LET(_xlpm.rep,$B92,_xlpm.sent,_xlfn.MAXIFS('Rework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3" spans="1:38" ht="14.45">
      <c r="A93" s="31" t="s">
        <v>116</v>
      </c>
      <c r="B93" s="31" t="s">
        <v>229</v>
      </c>
      <c r="C93" s="31" t="s">
        <v>181</v>
      </c>
      <c r="D93" t="str" cm="1">
        <f t="array" aca="1" ref="D93" ca="1">IF($B93="","",IF(LEFT($AH93,3)="Yes","Blocked - "&amp;MID($AH93,7,100)&amp;IF(SUMPRODUCT(('Rework Log'!$A$3:$A$500=$B93)*('Rework Log'!$G$3:$G$500&lt;&gt;"Yes")*('Rework Log'!$G$3:$G$500&lt;&gt;"Did not pass re-test"))=0,"",IF(SUMPRODUCT(MAX((('Rework Log'!$A$3:$A$500=$B93)*('Rework Log'!$G$3:$G$500&lt;&gt;"Yes")*('Rework Log'!$G$3:$G$500&lt;&gt;"Did not pass re-test"))*'Rework Log'!$I$3:$I$500))=0," - unclaimed"," - promised "&amp;TEXT(SUMPRODUCT(MAX((('Rework Log'!$A$3:$A$500=$B93)*('Rework Log'!$G$3:$G$500&lt;&gt;"Yes")*('Rework Log'!$G$3:$G$500&lt;&gt;"Did not pass re-test"))*'Rework Log'!$I$3:$I$500)),"m/d"))),IF(C93="NOT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track")),IF(C93="QA",_xlfn.LET(_xlpm.tgt,IF(AK93&lt;&gt;"",AK93,IF(W93&lt;&gt;"",W93,V93)),_xlpm.sent,_xlfn.MAXIFS('Rework Log'!$B$3:$B$500,'Rework Log'!$A$3:$A$500,$B93,'Rework Log'!$C$3:$C$500,"QA"),_xlpm.act,IF(AND(X93&lt;&gt;"",X93&gt;_xlpm.sent),X93,""),IF(_xlpm.tgt="","No target set",IF(AND(_xlpm.tgt&lt;TODAY(),_xlpm.act=""),"Overdue","On track"))),IF(C93="DPO Approval",_xlfn.LET(_xlpm.tgt,IF(AL93&lt;&gt;"",AL93,IF(AA93&lt;&gt;"",AA93,Z93)),_xlpm.sent,_xlfn.MAXIFS('Rework Log'!$B$3:$B$500,'Rework Log'!$A$3:$A$500,$B93,'Rework Log'!$C$3:$C$500,"DPO*"),_xlpm.act,IF(AND(AB93&lt;&gt;"",AB93&gt;_xlpm.sent),AB93,""),IF(_xlpm.tgt="","No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220</v>
      </c>
      <c r="J93" s="55"/>
      <c r="K93" s="51"/>
      <c r="L93" s="43"/>
      <c r="M93" s="44"/>
      <c r="N93" s="44"/>
      <c r="O93" s="36" t="s">
        <v>228</v>
      </c>
      <c r="P93" s="76"/>
      <c r="Q93" s="51"/>
      <c r="R93" s="43"/>
      <c r="S93" s="44"/>
      <c r="T93" s="70" t="s">
        <v>223</v>
      </c>
      <c r="U93" s="47"/>
      <c r="W93" s="43"/>
      <c r="X93" s="31"/>
      <c r="Y93" s="36"/>
      <c r="AA93" s="43"/>
      <c r="AB93" s="43"/>
      <c r="AC93" s="31"/>
      <c r="AD93" s="31"/>
      <c r="AE93" s="31"/>
      <c r="AF93" s="31"/>
      <c r="AG93" s="31"/>
      <c r="AH93" s="31"/>
      <c r="AI93" s="31"/>
      <c r="AJ93" s="31"/>
      <c r="AK93" s="32" t="str" cm="1">
        <f t="array" ref="AK93">_xlfn.LET(_xlpm.rep,$B93,_xlpm.sent,_xlfn.MAXIFS('Rework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3" s="32" t="str" cm="1">
        <f t="array" ref="AL93">_xlfn.LET(_xlpm.rep,$B93,_xlpm.sent,_xlfn.MAXIFS('Rework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4" spans="1:38" ht="14.45">
      <c r="A94" s="31" t="s">
        <v>116</v>
      </c>
      <c r="B94" s="31" t="s">
        <v>230</v>
      </c>
      <c r="C94" s="31" t="s">
        <v>181</v>
      </c>
      <c r="D94" t="str" cm="1">
        <f t="array" aca="1" ref="D94" ca="1">IF($B94="","",IF(LEFT($AH94,3)="Yes","Blocked - "&amp;MID($AH94,7,100)&amp;IF(SUMPRODUCT(('Rework Log'!$A$3:$A$500=$B94)*('Rework Log'!$G$3:$G$500&lt;&gt;"Yes")*('Rework Log'!$G$3:$G$500&lt;&gt;"Did not pass re-test"))=0,"",IF(SUMPRODUCT(MAX((('Rework Log'!$A$3:$A$500=$B94)*('Rework Log'!$G$3:$G$500&lt;&gt;"Yes")*('Rework Log'!$G$3:$G$500&lt;&gt;"Did not pass re-test"))*'Rework Log'!$I$3:$I$500))=0," - unclaimed"," - promised "&amp;TEXT(SUMPRODUCT(MAX((('Rework Log'!$A$3:$A$500=$B94)*('Rework Log'!$G$3:$G$500&lt;&gt;"Yes")*('Rework Log'!$G$3:$G$500&lt;&gt;"Did not pass re-test"))*'Rework Log'!$I$3:$I$500)),"m/d"))),IF(C94="NOT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track")),IF(C94="QA",_xlfn.LET(_xlpm.tgt,IF(AK94&lt;&gt;"",AK94,IF(W94&lt;&gt;"",W94,V94)),_xlpm.sent,_xlfn.MAXIFS('Rework Log'!$B$3:$B$500,'Rework Log'!$A$3:$A$500,$B94,'Rework Log'!$C$3:$C$500,"QA"),_xlpm.act,IF(AND(X94&lt;&gt;"",X94&gt;_xlpm.sent),X94,""),IF(_xlpm.tgt="","No target set",IF(AND(_xlpm.tgt&lt;TODAY(),_xlpm.act=""),"Overdue","On track"))),IF(C94="DPO Approval",_xlfn.LET(_xlpm.tgt,IF(AL94&lt;&gt;"",AL94,IF(AA94&lt;&gt;"",AA94,Z94)),_xlpm.sent,_xlfn.MAXIFS('Rework Log'!$B$3:$B$500,'Rework Log'!$A$3:$A$500,$B94,'Rework Log'!$C$3:$C$500,"DPO*"),_xlpm.act,IF(AND(AB94&lt;&gt;"",AB94&gt;_xlpm.sent),AB94,""),IF(_xlpm.tgt="","No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220</v>
      </c>
      <c r="J94" s="55"/>
      <c r="K94" s="51"/>
      <c r="L94" s="43"/>
      <c r="M94" s="44"/>
      <c r="N94" s="44"/>
      <c r="O94" s="36" t="s">
        <v>228</v>
      </c>
      <c r="P94" s="76"/>
      <c r="Q94" s="51"/>
      <c r="R94" s="43"/>
      <c r="S94" s="44"/>
      <c r="T94" s="70" t="s">
        <v>223</v>
      </c>
      <c r="U94" s="47"/>
      <c r="W94" s="43"/>
      <c r="X94" s="31"/>
      <c r="Y94" s="36"/>
      <c r="AA94" s="43"/>
      <c r="AB94" s="43"/>
      <c r="AC94" s="31"/>
      <c r="AD94" s="31"/>
      <c r="AE94" s="31"/>
      <c r="AF94" s="31"/>
      <c r="AG94" s="31"/>
      <c r="AH94" s="31"/>
      <c r="AI94" s="31"/>
      <c r="AJ94" s="31"/>
      <c r="AK94" s="32" t="str" cm="1">
        <f t="array" ref="AK94">_xlfn.LET(_xlpm.rep,$B94,_xlpm.sent,_xlfn.MAXIFS('Rework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4" s="32" t="str" cm="1">
        <f t="array" ref="AL94">_xlfn.LET(_xlpm.rep,$B94,_xlpm.sent,_xlfn.MAXIFS('Rework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5" spans="1:38" ht="14.45">
      <c r="A95" s="31" t="s">
        <v>116</v>
      </c>
      <c r="B95" s="31" t="s">
        <v>231</v>
      </c>
      <c r="C95" s="31" t="s">
        <v>181</v>
      </c>
      <c r="D95" t="str" cm="1">
        <f t="array" aca="1" ref="D95" ca="1">IF($B95="","",IF(LEFT($AH95,3)="Yes","Blocked - "&amp;MID($AH95,7,100)&amp;IF(SUMPRODUCT(('Rework Log'!$A$3:$A$500=$B95)*('Rework Log'!$G$3:$G$500&lt;&gt;"Yes")*('Rework Log'!$G$3:$G$500&lt;&gt;"Did not pass re-test"))=0,"",IF(SUMPRODUCT(MAX((('Rework Log'!$A$3:$A$500=$B95)*('Rework Log'!$G$3:$G$500&lt;&gt;"Yes")*('Rework Log'!$G$3:$G$500&lt;&gt;"Did not pass re-test"))*'Rework Log'!$I$3:$I$500))=0," - unclaimed"," - promised "&amp;TEXT(SUMPRODUCT(MAX((('Rework Log'!$A$3:$A$500=$B95)*('Rework Log'!$G$3:$G$500&lt;&gt;"Yes")*('Rework Log'!$G$3:$G$500&lt;&gt;"Did not pass re-test"))*'Rework Log'!$I$3:$I$500)),"m/d"))),IF(C95="NOT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track")),IF(C95="QA",_xlfn.LET(_xlpm.tgt,IF(AK95&lt;&gt;"",AK95,IF(W95&lt;&gt;"",W95,V95)),_xlpm.sent,_xlfn.MAXIFS('Rework Log'!$B$3:$B$500,'Rework Log'!$A$3:$A$500,$B95,'Rework Log'!$C$3:$C$500,"QA"),_xlpm.act,IF(AND(X95&lt;&gt;"",X95&gt;_xlpm.sent),X95,""),IF(_xlpm.tgt="","No target set",IF(AND(_xlpm.tgt&lt;TODAY(),_xlpm.act=""),"Overdue","On track"))),IF(C95="DPO Approval",_xlfn.LET(_xlpm.tgt,IF(AL95&lt;&gt;"",AL95,IF(AA95&lt;&gt;"",AA95,Z95)),_xlpm.sent,_xlfn.MAXIFS('Rework Log'!$B$3:$B$500,'Rework Log'!$A$3:$A$500,$B95,'Rework Log'!$C$3:$C$500,"DPO*"),_xlpm.act,IF(AND(AB95&lt;&gt;"",AB95&gt;_xlpm.sent),AB95,""),IF(_xlpm.tgt="","No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220</v>
      </c>
      <c r="J95" s="55"/>
      <c r="K95" s="51"/>
      <c r="L95" s="43"/>
      <c r="M95" s="44"/>
      <c r="N95" s="44"/>
      <c r="O95" s="36" t="s">
        <v>228</v>
      </c>
      <c r="P95" s="76"/>
      <c r="Q95" s="51"/>
      <c r="R95" s="43"/>
      <c r="S95" s="44"/>
      <c r="T95" s="70" t="s">
        <v>232</v>
      </c>
      <c r="U95" s="47"/>
      <c r="W95" s="43"/>
      <c r="X95" s="31"/>
      <c r="Y95" s="36"/>
      <c r="AA95" s="43"/>
      <c r="AB95" s="43"/>
      <c r="AC95" s="31"/>
      <c r="AD95" s="31"/>
      <c r="AE95" s="31"/>
      <c r="AF95" s="31"/>
      <c r="AG95" s="31"/>
      <c r="AH95" s="31"/>
      <c r="AI95" s="31"/>
      <c r="AJ95" s="31"/>
      <c r="AK95" s="32" t="str" cm="1">
        <f t="array" ref="AK95">_xlfn.LET(_xlpm.rep,$B95,_xlpm.sent,_xlfn.MAXIFS('Rework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5" s="32" t="str" cm="1">
        <f t="array" ref="AL95">_xlfn.LET(_xlpm.rep,$B95,_xlpm.sent,_xlfn.MAXIFS('Rework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6" spans="1:38" ht="14.45">
      <c r="A96" s="31" t="s">
        <v>116</v>
      </c>
      <c r="B96" s="31" t="s">
        <v>233</v>
      </c>
      <c r="C96" s="31" t="s">
        <v>181</v>
      </c>
      <c r="D96" t="str" cm="1">
        <f t="array" aca="1" ref="D96" ca="1">IF($B96="","",IF(LEFT($AH96,3)="Yes","Blocked - "&amp;MID($AH96,7,100)&amp;IF(SUMPRODUCT(('Rework Log'!$A$3:$A$500=$B96)*('Rework Log'!$G$3:$G$500&lt;&gt;"Yes")*('Rework Log'!$G$3:$G$500&lt;&gt;"Did not pass re-test"))=0,"",IF(SUMPRODUCT(MAX((('Rework Log'!$A$3:$A$500=$B96)*('Rework Log'!$G$3:$G$500&lt;&gt;"Yes")*('Rework Log'!$G$3:$G$500&lt;&gt;"Did not pass re-test"))*'Rework Log'!$I$3:$I$500))=0," - unclaimed"," - promised "&amp;TEXT(SUMPRODUCT(MAX((('Rework Log'!$A$3:$A$500=$B96)*('Rework Log'!$G$3:$G$500&lt;&gt;"Yes")*('Rework Log'!$G$3:$G$500&lt;&gt;"Did not pass re-test"))*'Rework Log'!$I$3:$I$500)),"m/d"))),IF(C96="NOT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track")),IF(C96="QA",_xlfn.LET(_xlpm.tgt,IF(AK96&lt;&gt;"",AK96,IF(W96&lt;&gt;"",W96,V96)),_xlpm.sent,_xlfn.MAXIFS('Rework Log'!$B$3:$B$500,'Rework Log'!$A$3:$A$500,$B96,'Rework Log'!$C$3:$C$500,"QA"),_xlpm.act,IF(AND(X96&lt;&gt;"",X96&gt;_xlpm.sent),X96,""),IF(_xlpm.tgt="","No target set",IF(AND(_xlpm.tgt&lt;TODAY(),_xlpm.act=""),"Overdue","On track"))),IF(C96="DPO Approval",_xlfn.LET(_xlpm.tgt,IF(AL96&lt;&gt;"",AL96,IF(AA96&lt;&gt;"",AA96,Z96)),_xlpm.sent,_xlfn.MAXIFS('Rework Log'!$B$3:$B$500,'Rework Log'!$A$3:$A$500,$B96,'Rework Log'!$C$3:$C$500,"DPO*"),_xlpm.act,IF(AND(AB96&lt;&gt;"",AB96&gt;_xlpm.sent),AB96,""),IF(_xlpm.tgt="","No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220</v>
      </c>
      <c r="J96" s="55"/>
      <c r="K96" s="51"/>
      <c r="L96" s="43"/>
      <c r="M96" s="44"/>
      <c r="N96" s="44"/>
      <c r="O96" s="36" t="s">
        <v>228</v>
      </c>
      <c r="P96" s="76"/>
      <c r="Q96" s="51"/>
      <c r="R96" s="43"/>
      <c r="S96" s="44"/>
      <c r="T96" s="70" t="s">
        <v>232</v>
      </c>
      <c r="U96" s="47"/>
      <c r="W96" s="43"/>
      <c r="X96" s="31"/>
      <c r="Y96" s="36"/>
      <c r="AA96" s="43"/>
      <c r="AB96" s="43"/>
      <c r="AC96" s="31"/>
      <c r="AD96" s="31"/>
      <c r="AE96" s="31"/>
      <c r="AF96" s="31"/>
      <c r="AG96" s="31"/>
      <c r="AH96" s="31"/>
      <c r="AI96" s="31"/>
      <c r="AJ96" s="31"/>
      <c r="AK96" s="32" t="str" cm="1">
        <f t="array" ref="AK96">_xlfn.LET(_xlpm.rep,$B96,_xlpm.sent,_xlfn.MAXIFS('Rework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6" s="32" t="str" cm="1">
        <f t="array" ref="AL96">_xlfn.LET(_xlpm.rep,$B96,_xlpm.sent,_xlfn.MAXIFS('Rework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7" spans="1:38" ht="14.45">
      <c r="A97" s="31" t="s">
        <v>116</v>
      </c>
      <c r="B97" s="31" t="s">
        <v>234</v>
      </c>
      <c r="C97" s="31" t="s">
        <v>181</v>
      </c>
      <c r="D97" t="str" cm="1">
        <f t="array" aca="1" ref="D97" ca="1">IF($B97="","",IF(LEFT($AH97,3)="Yes","Blocked - "&amp;MID($AH97,7,100)&amp;IF(SUMPRODUCT(('Rework Log'!$A$3:$A$500=$B97)*('Rework Log'!$G$3:$G$500&lt;&gt;"Yes")*('Rework Log'!$G$3:$G$500&lt;&gt;"Did not pass re-test"))=0,"",IF(SUMPRODUCT(MAX((('Rework Log'!$A$3:$A$500=$B97)*('Rework Log'!$G$3:$G$500&lt;&gt;"Yes")*('Rework Log'!$G$3:$G$500&lt;&gt;"Did not pass re-test"))*'Rework Log'!$I$3:$I$500))=0," - unclaimed"," - promised "&amp;TEXT(SUMPRODUCT(MAX((('Rework Log'!$A$3:$A$500=$B97)*('Rework Log'!$G$3:$G$500&lt;&gt;"Yes")*('Rework Log'!$G$3:$G$500&lt;&gt;"Did not pass re-test"))*'Rework Log'!$I$3:$I$500)),"m/d"))),IF(C97="NOT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track")),IF(C97="QA",_xlfn.LET(_xlpm.tgt,IF(AK97&lt;&gt;"",AK97,IF(W97&lt;&gt;"",W97,V97)),_xlpm.sent,_xlfn.MAXIFS('Rework Log'!$B$3:$B$500,'Rework Log'!$A$3:$A$500,$B97,'Rework Log'!$C$3:$C$500,"QA"),_xlpm.act,IF(AND(X97&lt;&gt;"",X97&gt;_xlpm.sent),X97,""),IF(_xlpm.tgt="","No target set",IF(AND(_xlpm.tgt&lt;TODAY(),_xlpm.act=""),"Overdue","On track"))),IF(C97="DPO Approval",_xlfn.LET(_xlpm.tgt,IF(AL97&lt;&gt;"",AL97,IF(AA97&lt;&gt;"",AA97,Z97)),_xlpm.sent,_xlfn.MAXIFS('Rework Log'!$B$3:$B$500,'Rework Log'!$A$3:$A$500,$B97,'Rework Log'!$C$3:$C$500,"DPO*"),_xlpm.act,IF(AND(AB97&lt;&gt;"",AB97&gt;_xlpm.sent),AB97,""),IF(_xlpm.tgt="","No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220</v>
      </c>
      <c r="J97" s="55"/>
      <c r="K97" s="51"/>
      <c r="L97" s="43"/>
      <c r="M97" s="44"/>
      <c r="N97" s="44"/>
      <c r="O97" s="36" t="s">
        <v>228</v>
      </c>
      <c r="P97" s="76"/>
      <c r="Q97" s="51"/>
      <c r="R97" s="43"/>
      <c r="S97" s="44"/>
      <c r="T97" s="70" t="s">
        <v>232</v>
      </c>
      <c r="U97" s="47"/>
      <c r="W97" s="43"/>
      <c r="X97" s="31"/>
      <c r="Y97" s="36"/>
      <c r="AA97" s="43"/>
      <c r="AB97" s="43"/>
      <c r="AC97" s="31"/>
      <c r="AD97" s="31"/>
      <c r="AE97" s="31"/>
      <c r="AF97" s="31"/>
      <c r="AG97" s="31"/>
      <c r="AH97" s="31"/>
      <c r="AI97" s="31"/>
      <c r="AJ97" s="31"/>
      <c r="AK97" s="32" t="str" cm="1">
        <f t="array" ref="AK97">_xlfn.LET(_xlpm.rep,$B97,_xlpm.sent,_xlfn.MAXIFS('Rework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7" s="32" t="str" cm="1">
        <f t="array" ref="AL97">_xlfn.LET(_xlpm.rep,$B97,_xlpm.sent,_xlfn.MAXIFS('Rework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8" spans="1:38" ht="14.45">
      <c r="A98" s="31" t="s">
        <v>116</v>
      </c>
      <c r="B98" s="31" t="s">
        <v>235</v>
      </c>
      <c r="C98" s="31" t="s">
        <v>181</v>
      </c>
      <c r="D98" t="str" cm="1">
        <f t="array" aca="1" ref="D98" ca="1">IF($B98="","",IF(LEFT($AH98,3)="Yes","Blocked - "&amp;MID($AH98,7,100)&amp;IF(SUMPRODUCT(('Rework Log'!$A$3:$A$500=$B98)*('Rework Log'!$G$3:$G$500&lt;&gt;"Yes")*('Rework Log'!$G$3:$G$500&lt;&gt;"Did not pass re-test"))=0,"",IF(SUMPRODUCT(MAX((('Rework Log'!$A$3:$A$500=$B98)*('Rework Log'!$G$3:$G$500&lt;&gt;"Yes")*('Rework Log'!$G$3:$G$500&lt;&gt;"Did not pass re-test"))*'Rework Log'!$I$3:$I$500))=0," - unclaimed"," - promised "&amp;TEXT(SUMPRODUCT(MAX((('Rework Log'!$A$3:$A$500=$B98)*('Rework Log'!$G$3:$G$500&lt;&gt;"Yes")*('Rework Log'!$G$3:$G$500&lt;&gt;"Did not pass re-test"))*'Rework Log'!$I$3:$I$500)),"m/d"))),IF(C98="NOT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track")),IF(C98="QA",_xlfn.LET(_xlpm.tgt,IF(AK98&lt;&gt;"",AK98,IF(W98&lt;&gt;"",W98,V98)),_xlpm.sent,_xlfn.MAXIFS('Rework Log'!$B$3:$B$500,'Rework Log'!$A$3:$A$500,$B98,'Rework Log'!$C$3:$C$500,"QA"),_xlpm.act,IF(AND(X98&lt;&gt;"",X98&gt;_xlpm.sent),X98,""),IF(_xlpm.tgt="","No target set",IF(AND(_xlpm.tgt&lt;TODAY(),_xlpm.act=""),"Overdue","On track"))),IF(C98="DPO Approval",_xlfn.LET(_xlpm.tgt,IF(AL98&lt;&gt;"",AL98,IF(AA98&lt;&gt;"",AA98,Z98)),_xlpm.sent,_xlfn.MAXIFS('Rework Log'!$B$3:$B$500,'Rework Log'!$A$3:$A$500,$B98,'Rework Log'!$C$3:$C$500,"DPO*"),_xlpm.act,IF(AND(AB98&lt;&gt;"",AB98&gt;_xlpm.sent),AB98,""),IF(_xlpm.tgt="","No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220</v>
      </c>
      <c r="J98" s="55"/>
      <c r="K98" s="51"/>
      <c r="L98" s="43"/>
      <c r="M98" s="44"/>
      <c r="N98" s="44"/>
      <c r="O98" s="36" t="s">
        <v>228</v>
      </c>
      <c r="P98" s="76"/>
      <c r="Q98" s="51"/>
      <c r="R98" s="43"/>
      <c r="S98" s="44"/>
      <c r="T98" s="70" t="s">
        <v>232</v>
      </c>
      <c r="U98" s="47"/>
      <c r="W98" s="43"/>
      <c r="X98" s="31"/>
      <c r="Y98" s="36"/>
      <c r="AA98" s="43"/>
      <c r="AB98" s="43"/>
      <c r="AC98" s="31"/>
      <c r="AD98" s="31"/>
      <c r="AE98" s="31"/>
      <c r="AF98" s="31"/>
      <c r="AG98" s="31"/>
      <c r="AH98" s="31"/>
      <c r="AI98" s="31"/>
      <c r="AJ98" s="31"/>
      <c r="AK98" s="32" t="str" cm="1">
        <f t="array" ref="AK98">_xlfn.LET(_xlpm.rep,$B98,_xlpm.sent,_xlfn.MAXIFS('Rework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8" s="32" t="str" cm="1">
        <f t="array" ref="AL98">_xlfn.LET(_xlpm.rep,$B98,_xlpm.sent,_xlfn.MAXIFS('Rework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9" spans="1:38" ht="14.45">
      <c r="A99" s="31" t="s">
        <v>116</v>
      </c>
      <c r="B99" s="31" t="s">
        <v>236</v>
      </c>
      <c r="C99" s="31" t="s">
        <v>181</v>
      </c>
      <c r="D99" t="str" cm="1">
        <f t="array" aca="1" ref="D99" ca="1">IF($B99="","",IF(LEFT($AH99,3)="Yes","Blocked - "&amp;MID($AH99,7,100)&amp;IF(SUMPRODUCT(('Rework Log'!$A$3:$A$500=$B99)*('Rework Log'!$G$3:$G$500&lt;&gt;"Yes")*('Rework Log'!$G$3:$G$500&lt;&gt;"Did not pass re-test"))=0,"",IF(SUMPRODUCT(MAX((('Rework Log'!$A$3:$A$500=$B99)*('Rework Log'!$G$3:$G$500&lt;&gt;"Yes")*('Rework Log'!$G$3:$G$500&lt;&gt;"Did not pass re-test"))*'Rework Log'!$I$3:$I$500))=0," - unclaimed"," - promised "&amp;TEXT(SUMPRODUCT(MAX((('Rework Log'!$A$3:$A$500=$B99)*('Rework Log'!$G$3:$G$500&lt;&gt;"Yes")*('Rework Log'!$G$3:$G$500&lt;&gt;"Did not pass re-test"))*'Rework Log'!$I$3:$I$500)),"m/d"))),IF(C99="NOT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track")),IF(C99="QA",_xlfn.LET(_xlpm.tgt,IF(AK99&lt;&gt;"",AK99,IF(W99&lt;&gt;"",W99,V99)),_xlpm.sent,_xlfn.MAXIFS('Rework Log'!$B$3:$B$500,'Rework Log'!$A$3:$A$500,$B99,'Rework Log'!$C$3:$C$500,"QA"),_xlpm.act,IF(AND(X99&lt;&gt;"",X99&gt;_xlpm.sent),X99,""),IF(_xlpm.tgt="","No target set",IF(AND(_xlpm.tgt&lt;TODAY(),_xlpm.act=""),"Overdue","On track"))),IF(C99="DPO Approval",_xlfn.LET(_xlpm.tgt,IF(AL99&lt;&gt;"",AL99,IF(AA99&lt;&gt;"",AA99,Z99)),_xlpm.sent,_xlfn.MAXIFS('Rework Log'!$B$3:$B$500,'Rework Log'!$A$3:$A$500,$B99,'Rework Log'!$C$3:$C$500,"DPO*"),_xlpm.act,IF(AND(AB99&lt;&gt;"",AB99&gt;_xlpm.sent),AB99,""),IF(_xlpm.tgt="","No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237</v>
      </c>
      <c r="F99" s="31"/>
      <c r="G99" s="31"/>
      <c r="H99" s="50">
        <v>46356</v>
      </c>
      <c r="I99" s="57" t="s">
        <v>220</v>
      </c>
      <c r="J99" s="55"/>
      <c r="K99" s="51"/>
      <c r="L99" s="43"/>
      <c r="M99" s="44"/>
      <c r="N99" s="44"/>
      <c r="O99" s="36" t="s">
        <v>228</v>
      </c>
      <c r="P99" s="76"/>
      <c r="Q99" s="51"/>
      <c r="R99" s="43"/>
      <c r="S99" s="44"/>
      <c r="T99" s="70" t="s">
        <v>232</v>
      </c>
      <c r="U99" s="47"/>
      <c r="W99" s="43"/>
      <c r="X99" s="31"/>
      <c r="Y99" s="36"/>
      <c r="AA99" s="43"/>
      <c r="AB99" s="43"/>
      <c r="AC99" s="31"/>
      <c r="AD99" s="31"/>
      <c r="AE99" s="31"/>
      <c r="AF99" s="31"/>
      <c r="AG99" s="31"/>
      <c r="AH99" s="31"/>
      <c r="AI99" s="31"/>
      <c r="AJ99" s="31"/>
      <c r="AK99" s="32" t="str" cm="1">
        <f t="array" ref="AK99">_xlfn.LET(_xlpm.rep,$B99,_xlpm.sent,_xlfn.MAXIFS('Rework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9" s="32" t="str" cm="1">
        <f t="array" ref="AL99">_xlfn.LET(_xlpm.rep,$B99,_xlpm.sent,_xlfn.MAXIFS('Rework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0" spans="1:38" ht="14.45">
      <c r="A100" s="31" t="s">
        <v>116</v>
      </c>
      <c r="B100" s="31" t="s">
        <v>238</v>
      </c>
      <c r="C100" s="31" t="s">
        <v>181</v>
      </c>
      <c r="D100" t="str" cm="1">
        <f t="array" aca="1" ref="D100" ca="1">IF($B100="","",IF(LEFT($AH100,3)="Yes","Blocked - "&amp;MID($AH100,7,100)&amp;IF(SUMPRODUCT(('Rework Log'!$A$3:$A$500=$B100)*('Rework Log'!$G$3:$G$500&lt;&gt;"Yes")*('Rework Log'!$G$3:$G$500&lt;&gt;"Did not pass re-test"))=0,"",IF(SUMPRODUCT(MAX((('Rework Log'!$A$3:$A$500=$B100)*('Rework Log'!$G$3:$G$500&lt;&gt;"Yes")*('Rework Log'!$G$3:$G$500&lt;&gt;"Did not pass re-test"))*'Rework Log'!$I$3:$I$500))=0," - unclaimed"," - promised "&amp;TEXT(SUMPRODUCT(MAX((('Rework Log'!$A$3:$A$500=$B100)*('Rework Log'!$G$3:$G$500&lt;&gt;"Yes")*('Rework Log'!$G$3:$G$500&lt;&gt;"Did not pass re-test"))*'Rework Log'!$I$3:$I$500)),"m/d"))),IF(C100="NOT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track")),IF(C100="QA",_xlfn.LET(_xlpm.tgt,IF(AK100&lt;&gt;"",AK100,IF(W100&lt;&gt;"",W100,V100)),_xlpm.sent,_xlfn.MAXIFS('Rework Log'!$B$3:$B$500,'Rework Log'!$A$3:$A$500,$B100,'Rework Log'!$C$3:$C$500,"QA"),_xlpm.act,IF(AND(X100&lt;&gt;"",X100&gt;_xlpm.sent),X100,""),IF(_xlpm.tgt="","No target set",IF(AND(_xlpm.tgt&lt;TODAY(),_xlpm.act=""),"Overdue","On track"))),IF(C100="DPO Approval",_xlfn.LET(_xlpm.tgt,IF(AL100&lt;&gt;"",AL100,IF(AA100&lt;&gt;"",AA100,Z100)),_xlpm.sent,_xlfn.MAXIFS('Rework Log'!$B$3:$B$500,'Rework Log'!$A$3:$A$500,$B100,'Rework Log'!$C$3:$C$500,"DPO*"),_xlpm.act,IF(AND(AB100&lt;&gt;"",AB100&gt;_xlpm.sent),AB100,""),IF(_xlpm.tgt="","No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220</v>
      </c>
      <c r="J100" s="55"/>
      <c r="K100" s="51"/>
      <c r="L100" s="43"/>
      <c r="M100" s="44"/>
      <c r="N100" s="44"/>
      <c r="O100" s="36" t="s">
        <v>228</v>
      </c>
      <c r="P100" s="76"/>
      <c r="Q100" s="51"/>
      <c r="R100" s="43"/>
      <c r="S100" s="44"/>
      <c r="T100" s="70" t="s">
        <v>232</v>
      </c>
      <c r="U100" s="47"/>
      <c r="W100" s="43"/>
      <c r="X100" s="31"/>
      <c r="Y100" s="36"/>
      <c r="AA100" s="43"/>
      <c r="AB100" s="43"/>
      <c r="AC100" s="31"/>
      <c r="AD100" s="31"/>
      <c r="AE100" s="31"/>
      <c r="AF100" s="31"/>
      <c r="AG100" s="31"/>
      <c r="AH100" s="31"/>
      <c r="AI100" s="31"/>
      <c r="AJ100" s="31"/>
      <c r="AK100" s="32" t="str" cm="1">
        <f t="array" ref="AK100">_xlfn.LET(_xlpm.rep,$B100,_xlpm.sent,_xlfn.MAXIFS('Rework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0" s="32" t="str" cm="1">
        <f t="array" ref="AL100">_xlfn.LET(_xlpm.rep,$B100,_xlpm.sent,_xlfn.MAXIFS('Rework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1" spans="1:38" ht="14.45">
      <c r="A101" s="31" t="s">
        <v>239</v>
      </c>
      <c r="B101" s="31" t="s">
        <v>240</v>
      </c>
      <c r="C101" s="31" t="s">
        <v>181</v>
      </c>
      <c r="D101" t="str" cm="1">
        <f t="array" aca="1" ref="D101" ca="1">IF($B101="","",IF(LEFT($AH101,3)="Yes","Blocked - "&amp;MID($AH101,7,100)&amp;IF(SUMPRODUCT(('Rework Log'!$A$3:$A$500=$B101)*('Rework Log'!$G$3:$G$500&lt;&gt;"Yes")*('Rework Log'!$G$3:$G$500&lt;&gt;"Did not pass re-test"))=0,"",IF(SUMPRODUCT(MAX((('Rework Log'!$A$3:$A$500=$B101)*('Rework Log'!$G$3:$G$500&lt;&gt;"Yes")*('Rework Log'!$G$3:$G$500&lt;&gt;"Did not pass re-test"))*'Rework Log'!$I$3:$I$500))=0," - unclaimed"," - promised "&amp;TEXT(SUMPRODUCT(MAX((('Rework Log'!$A$3:$A$500=$B101)*('Rework Log'!$G$3:$G$500&lt;&gt;"Yes")*('Rework Log'!$G$3:$G$500&lt;&gt;"Did not pass re-test"))*'Rework Log'!$I$3:$I$500)),"m/d"))),IF(C101="NOT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track")),IF(C101="QA",_xlfn.LET(_xlpm.tgt,IF(AK101&lt;&gt;"",AK101,IF(W101&lt;&gt;"",W101,V101)),_xlpm.sent,_xlfn.MAXIFS('Rework Log'!$B$3:$B$500,'Rework Log'!$A$3:$A$500,$B101,'Rework Log'!$C$3:$C$500,"QA"),_xlpm.act,IF(AND(X101&lt;&gt;"",X101&gt;_xlpm.sent),X101,""),IF(_xlpm.tgt="","No target set",IF(AND(_xlpm.tgt&lt;TODAY(),_xlpm.act=""),"Overdue","On track"))),IF(C101="DPO Approval",_xlfn.LET(_xlpm.tgt,IF(AL101&lt;&gt;"",AL101,IF(AA101&lt;&gt;"",AA101,Z101)),_xlpm.sent,_xlfn.MAXIFS('Rework Log'!$B$3:$B$500,'Rework Log'!$A$3:$A$500,$B101,'Rework Log'!$C$3:$C$500,"DPO*"),_xlpm.act,IF(AND(AB101&lt;&gt;"",AB101&gt;_xlpm.sent),AB101,""),IF(_xlpm.tgt="","No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119</v>
      </c>
      <c r="G101" s="31"/>
      <c r="H101" s="28">
        <v>46387</v>
      </c>
      <c r="I101" s="57" t="s">
        <v>241</v>
      </c>
      <c r="J101" s="55"/>
      <c r="L101" s="43"/>
      <c r="M101" s="31"/>
      <c r="N101" s="31"/>
      <c r="O101" s="36" t="s">
        <v>242</v>
      </c>
      <c r="P101" s="76"/>
      <c r="R101" s="43"/>
      <c r="S101" s="31"/>
      <c r="T101" s="70" t="s">
        <v>232</v>
      </c>
      <c r="U101" s="47"/>
      <c r="W101" s="43"/>
      <c r="X101" s="31"/>
      <c r="Y101" s="36"/>
      <c r="AA101" s="43"/>
      <c r="AB101" s="43"/>
      <c r="AC101" s="31"/>
      <c r="AD101" s="31"/>
      <c r="AE101" s="31"/>
      <c r="AF101" s="31"/>
      <c r="AG101" s="31"/>
      <c r="AH101" s="31"/>
      <c r="AI101" s="31"/>
      <c r="AJ101" s="31"/>
      <c r="AK101" s="31" t="str" cm="1">
        <f t="array" ref="AK101">_xlfn.LET(_xlpm.rep,$B101,_xlpm.sent,_xlfn.MAXIFS('Rework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1" s="31" t="str" cm="1">
        <f t="array" ref="AL101">_xlfn.LET(_xlpm.rep,$B101,_xlpm.sent,_xlfn.MAXIFS('Rework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2" spans="1:38" ht="14.45">
      <c r="A102" s="31" t="s">
        <v>239</v>
      </c>
      <c r="B102" s="31" t="s">
        <v>243</v>
      </c>
      <c r="C102" s="31" t="s">
        <v>181</v>
      </c>
      <c r="D102" t="str" cm="1">
        <f t="array" aca="1" ref="D102" ca="1">IF($B102="","",IF(LEFT($AH102,3)="Yes","Blocked - "&amp;MID($AH102,7,100)&amp;IF(SUMPRODUCT(('Rework Log'!$A$3:$A$500=$B102)*('Rework Log'!$G$3:$G$500&lt;&gt;"Yes")*('Rework Log'!$G$3:$G$500&lt;&gt;"Did not pass re-test"))=0,"",IF(SUMPRODUCT(MAX((('Rework Log'!$A$3:$A$500=$B102)*('Rework Log'!$G$3:$G$500&lt;&gt;"Yes")*('Rework Log'!$G$3:$G$500&lt;&gt;"Did not pass re-test"))*'Rework Log'!$I$3:$I$500))=0," - unclaimed"," - promised "&amp;TEXT(SUMPRODUCT(MAX((('Rework Log'!$A$3:$A$500=$B102)*('Rework Log'!$G$3:$G$500&lt;&gt;"Yes")*('Rework Log'!$G$3:$G$500&lt;&gt;"Did not pass re-test"))*'Rework Log'!$I$3:$I$500)),"m/d"))),IF(C102="NOT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track")),IF(C102="QA",_xlfn.LET(_xlpm.tgt,IF(AK102&lt;&gt;"",AK102,IF(W102&lt;&gt;"",W102,V102)),_xlpm.sent,_xlfn.MAXIFS('Rework Log'!$B$3:$B$500,'Rework Log'!$A$3:$A$500,$B102,'Rework Log'!$C$3:$C$500,"QA"),_xlpm.act,IF(AND(X102&lt;&gt;"",X102&gt;_xlpm.sent),X102,""),IF(_xlpm.tgt="","No target set",IF(AND(_xlpm.tgt&lt;TODAY(),_xlpm.act=""),"Overdue","On track"))),IF(C102="DPO Approval",_xlfn.LET(_xlpm.tgt,IF(AL102&lt;&gt;"",AL102,IF(AA102&lt;&gt;"",AA102,Z102)),_xlpm.sent,_xlfn.MAXIFS('Rework Log'!$B$3:$B$500,'Rework Log'!$A$3:$A$500,$B102,'Rework Log'!$C$3:$C$500,"DPO*"),_xlpm.act,IF(AND(AB102&lt;&gt;"",AB102&gt;_xlpm.sent),AB102,""),IF(_xlpm.tgt="","No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119</v>
      </c>
      <c r="G102" s="31"/>
      <c r="H102" s="28">
        <v>46387</v>
      </c>
      <c r="I102" s="57" t="s">
        <v>241</v>
      </c>
      <c r="J102" s="55"/>
      <c r="L102" s="43"/>
      <c r="M102" s="31"/>
      <c r="N102" s="31"/>
      <c r="O102" s="36" t="s">
        <v>242</v>
      </c>
      <c r="P102" s="76"/>
      <c r="R102" s="43"/>
      <c r="S102" s="31"/>
      <c r="T102" s="70" t="s">
        <v>244</v>
      </c>
      <c r="U102" s="47"/>
      <c r="W102" s="43"/>
      <c r="X102" s="31"/>
      <c r="Y102" s="36"/>
      <c r="AA102" s="43"/>
      <c r="AB102" s="43"/>
      <c r="AC102" s="31"/>
      <c r="AD102" s="31"/>
      <c r="AE102" s="31"/>
      <c r="AF102" s="31"/>
      <c r="AG102" s="31"/>
      <c r="AH102" s="31"/>
      <c r="AI102" s="31"/>
      <c r="AJ102" s="31"/>
      <c r="AK102" s="31" t="str" cm="1">
        <f t="array" ref="AK102">_xlfn.LET(_xlpm.rep,$B102,_xlpm.sent,_xlfn.MAXIFS('Rework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2" s="31" t="str" cm="1">
        <f t="array" ref="AL102">_xlfn.LET(_xlpm.rep,$B102,_xlpm.sent,_xlfn.MAXIFS('Rework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3" spans="1:38" ht="14.45">
      <c r="A103" s="31" t="s">
        <v>239</v>
      </c>
      <c r="B103" s="31" t="s">
        <v>245</v>
      </c>
      <c r="C103" s="31" t="s">
        <v>181</v>
      </c>
      <c r="D103" t="str" cm="1">
        <f t="array" aca="1" ref="D103" ca="1">IF($B103="","",IF(LEFT($AH103,3)="Yes","Blocked - "&amp;MID($AH103,7,100)&amp;IF(SUMPRODUCT(('Rework Log'!$A$3:$A$500=$B103)*('Rework Log'!$G$3:$G$500&lt;&gt;"Yes")*('Rework Log'!$G$3:$G$500&lt;&gt;"Did not pass re-test"))=0,"",IF(SUMPRODUCT(MAX((('Rework Log'!$A$3:$A$500=$B103)*('Rework Log'!$G$3:$G$500&lt;&gt;"Yes")*('Rework Log'!$G$3:$G$500&lt;&gt;"Did not pass re-test"))*'Rework Log'!$I$3:$I$500))=0," - unclaimed"," - promised "&amp;TEXT(SUMPRODUCT(MAX((('Rework Log'!$A$3:$A$500=$B103)*('Rework Log'!$G$3:$G$500&lt;&gt;"Yes")*('Rework Log'!$G$3:$G$500&lt;&gt;"Did not pass re-test"))*'Rework Log'!$I$3:$I$500)),"m/d"))),IF(C103="NOT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track")),IF(C103="QA",_xlfn.LET(_xlpm.tgt,IF(AK103&lt;&gt;"",AK103,IF(W103&lt;&gt;"",W103,V103)),_xlpm.sent,_xlfn.MAXIFS('Rework Log'!$B$3:$B$500,'Rework Log'!$A$3:$A$500,$B103,'Rework Log'!$C$3:$C$500,"QA"),_xlpm.act,IF(AND(X103&lt;&gt;"",X103&gt;_xlpm.sent),X103,""),IF(_xlpm.tgt="","No target set",IF(AND(_xlpm.tgt&lt;TODAY(),_xlpm.act=""),"Overdue","On track"))),IF(C103="DPO Approval",_xlfn.LET(_xlpm.tgt,IF(AL103&lt;&gt;"",AL103,IF(AA103&lt;&gt;"",AA103,Z103)),_xlpm.sent,_xlfn.MAXIFS('Rework Log'!$B$3:$B$500,'Rework Log'!$A$3:$A$500,$B103,'Rework Log'!$C$3:$C$500,"DPO*"),_xlpm.act,IF(AND(AB103&lt;&gt;"",AB103&gt;_xlpm.sent),AB103,""),IF(_xlpm.tgt="","No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119</v>
      </c>
      <c r="G103" s="31"/>
      <c r="H103" s="28">
        <v>46387</v>
      </c>
      <c r="I103" s="57" t="s">
        <v>241</v>
      </c>
      <c r="J103" s="55"/>
      <c r="L103" s="43"/>
      <c r="M103" s="31"/>
      <c r="N103" s="31"/>
      <c r="O103" s="36" t="s">
        <v>242</v>
      </c>
      <c r="P103" s="76"/>
      <c r="R103" s="43"/>
      <c r="S103" s="31"/>
      <c r="T103" s="70" t="s">
        <v>244</v>
      </c>
      <c r="U103" s="47"/>
      <c r="W103" s="43"/>
      <c r="X103" s="31"/>
      <c r="Y103" s="36"/>
      <c r="AA103" s="43"/>
      <c r="AB103" s="43"/>
      <c r="AC103" s="31"/>
      <c r="AD103" s="31"/>
      <c r="AE103" s="31"/>
      <c r="AF103" s="31"/>
      <c r="AG103" s="31"/>
      <c r="AH103" s="31"/>
      <c r="AI103" s="31"/>
      <c r="AJ103" s="31"/>
      <c r="AK103" s="31" t="str" cm="1">
        <f t="array" ref="AK103">_xlfn.LET(_xlpm.rep,$B103,_xlpm.sent,_xlfn.MAXIFS('Rework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3" s="31" t="str" cm="1">
        <f t="array" ref="AL103">_xlfn.LET(_xlpm.rep,$B103,_xlpm.sent,_xlfn.MAXIFS('Rework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4" spans="1:38" ht="14.45">
      <c r="A104" s="31" t="s">
        <v>246</v>
      </c>
      <c r="B104" s="31" t="s">
        <v>247</v>
      </c>
      <c r="C104" s="31" t="s">
        <v>181</v>
      </c>
      <c r="D104" t="str" cm="1">
        <f t="array" aca="1" ref="D104" ca="1">IF($B104="","",IF(LEFT($AH104,3)="Yes","Blocked - "&amp;MID($AH104,7,100)&amp;IF(SUMPRODUCT(('Rework Log'!$A$3:$A$500=$B104)*('Rework Log'!$G$3:$G$500&lt;&gt;"Yes")*('Rework Log'!$G$3:$G$500&lt;&gt;"Did not pass re-test"))=0,"",IF(SUMPRODUCT(MAX((('Rework Log'!$A$3:$A$500=$B104)*('Rework Log'!$G$3:$G$500&lt;&gt;"Yes")*('Rework Log'!$G$3:$G$500&lt;&gt;"Did not pass re-test"))*'Rework Log'!$I$3:$I$500))=0," - unclaimed"," - promised "&amp;TEXT(SUMPRODUCT(MAX((('Rework Log'!$A$3:$A$500=$B104)*('Rework Log'!$G$3:$G$500&lt;&gt;"Yes")*('Rework Log'!$G$3:$G$500&lt;&gt;"Did not pass re-test"))*'Rework Log'!$I$3:$I$500)),"m/d"))),IF(C104="NOT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track")),IF(C104="QA",_xlfn.LET(_xlpm.tgt,IF(AK104&lt;&gt;"",AK104,IF(W104&lt;&gt;"",W104,V104)),_xlpm.sent,_xlfn.MAXIFS('Rework Log'!$B$3:$B$500,'Rework Log'!$A$3:$A$500,$B104,'Rework Log'!$C$3:$C$500,"QA"),_xlpm.act,IF(AND(X104&lt;&gt;"",X104&gt;_xlpm.sent),X104,""),IF(_xlpm.tgt="","No target set",IF(AND(_xlpm.tgt&lt;TODAY(),_xlpm.act=""),"Overdue","On track"))),IF(C104="DPO Approval",_xlfn.LET(_xlpm.tgt,IF(AL104&lt;&gt;"",AL104,IF(AA104&lt;&gt;"",AA104,Z104)),_xlpm.sent,_xlfn.MAXIFS('Rework Log'!$B$3:$B$500,'Rework Log'!$A$3:$A$500,$B104,'Rework Log'!$C$3:$C$500,"DPO*"),_xlpm.act,IF(AND(AB104&lt;&gt;"",AB104&gt;_xlpm.sent),AB104,""),IF(_xlpm.tgt="","No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133</v>
      </c>
      <c r="G104" s="31"/>
      <c r="H104" s="28">
        <v>46387</v>
      </c>
      <c r="I104" s="57" t="s">
        <v>241</v>
      </c>
      <c r="J104" s="55"/>
      <c r="L104" s="43"/>
      <c r="M104" s="31"/>
      <c r="N104" s="31"/>
      <c r="O104" s="36" t="s">
        <v>242</v>
      </c>
      <c r="P104" s="76"/>
      <c r="R104" s="43"/>
      <c r="S104" s="31"/>
      <c r="T104" s="70" t="s">
        <v>244</v>
      </c>
      <c r="U104" s="47"/>
      <c r="W104" s="43"/>
      <c r="X104" s="31"/>
      <c r="Y104" s="36"/>
      <c r="AA104" s="43"/>
      <c r="AB104" s="43"/>
      <c r="AC104" s="31"/>
      <c r="AD104" s="31"/>
      <c r="AE104" s="31"/>
      <c r="AF104" s="31"/>
      <c r="AG104" s="31"/>
      <c r="AH104" s="31"/>
      <c r="AI104" s="31"/>
      <c r="AJ104" s="31"/>
      <c r="AK104" s="31" t="str" cm="1">
        <f t="array" ref="AK104">_xlfn.LET(_xlpm.rep,$B104,_xlpm.sent,_xlfn.MAXIFS('Rework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4" s="31" t="str" cm="1">
        <f t="array" ref="AL104">_xlfn.LET(_xlpm.rep,$B104,_xlpm.sent,_xlfn.MAXIFS('Rework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5" spans="1:38" ht="14.45">
      <c r="A105" s="31" t="s">
        <v>239</v>
      </c>
      <c r="B105" s="31" t="s">
        <v>248</v>
      </c>
      <c r="C105" s="31" t="s">
        <v>181</v>
      </c>
      <c r="D105" t="str" cm="1">
        <f t="array" aca="1" ref="D105" ca="1">IF($B105="","",IF(LEFT($AH105,3)="Yes","Blocked - "&amp;MID($AH105,7,100)&amp;IF(SUMPRODUCT(('Rework Log'!$A$3:$A$500=$B105)*('Rework Log'!$G$3:$G$500&lt;&gt;"Yes")*('Rework Log'!$G$3:$G$500&lt;&gt;"Did not pass re-test"))=0,"",IF(SUMPRODUCT(MAX((('Rework Log'!$A$3:$A$500=$B105)*('Rework Log'!$G$3:$G$500&lt;&gt;"Yes")*('Rework Log'!$G$3:$G$500&lt;&gt;"Did not pass re-test"))*'Rework Log'!$I$3:$I$500))=0," - unclaimed"," - promised "&amp;TEXT(SUMPRODUCT(MAX((('Rework Log'!$A$3:$A$500=$B105)*('Rework Log'!$G$3:$G$500&lt;&gt;"Yes")*('Rework Log'!$G$3:$G$500&lt;&gt;"Did not pass re-test"))*'Rework Log'!$I$3:$I$500)),"m/d"))),IF(C105="NOT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track")),IF(C105="QA",_xlfn.LET(_xlpm.tgt,IF(AK105&lt;&gt;"",AK105,IF(W105&lt;&gt;"",W105,V105)),_xlpm.sent,_xlfn.MAXIFS('Rework Log'!$B$3:$B$500,'Rework Log'!$A$3:$A$500,$B105,'Rework Log'!$C$3:$C$500,"QA"),_xlpm.act,IF(AND(X105&lt;&gt;"",X105&gt;_xlpm.sent),X105,""),IF(_xlpm.tgt="","No target set",IF(AND(_xlpm.tgt&lt;TODAY(),_xlpm.act=""),"Overdue","On track"))),IF(C105="DPO Approval",_xlfn.LET(_xlpm.tgt,IF(AL105&lt;&gt;"",AL105,IF(AA105&lt;&gt;"",AA105,Z105)),_xlpm.sent,_xlfn.MAXIFS('Rework Log'!$B$3:$B$500,'Rework Log'!$A$3:$A$500,$B105,'Rework Log'!$C$3:$C$500,"DPO*"),_xlpm.act,IF(AND(AB105&lt;&gt;"",AB105&gt;_xlpm.sent),AB105,""),IF(_xlpm.tgt="","No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119</v>
      </c>
      <c r="G105" s="31"/>
      <c r="H105" s="28">
        <v>46387</v>
      </c>
      <c r="I105" s="57" t="s">
        <v>241</v>
      </c>
      <c r="J105" s="55"/>
      <c r="L105" s="43"/>
      <c r="M105" s="31"/>
      <c r="N105" s="31"/>
      <c r="O105" s="36" t="s">
        <v>242</v>
      </c>
      <c r="P105" s="76"/>
      <c r="R105" s="43"/>
      <c r="S105" s="31"/>
      <c r="T105" s="70" t="s">
        <v>244</v>
      </c>
      <c r="U105" s="47"/>
      <c r="W105" s="43"/>
      <c r="X105" s="31"/>
      <c r="Y105" s="36"/>
      <c r="AA105" s="43"/>
      <c r="AB105" s="43"/>
      <c r="AC105" s="31"/>
      <c r="AD105" s="31"/>
      <c r="AE105" s="31"/>
      <c r="AF105" s="31"/>
      <c r="AG105" s="31"/>
      <c r="AH105" s="31"/>
      <c r="AI105" s="31"/>
      <c r="AJ105" s="31"/>
      <c r="AK105" s="31" t="str" cm="1">
        <f t="array" ref="AK105">_xlfn.LET(_xlpm.rep,$B105,_xlpm.sent,_xlfn.MAXIFS('Rework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5" s="31" t="str" cm="1">
        <f t="array" ref="AL105">_xlfn.LET(_xlpm.rep,$B105,_xlpm.sent,_xlfn.MAXIFS('Rework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6" spans="1:38" ht="14.45">
      <c r="A106" s="31" t="s">
        <v>239</v>
      </c>
      <c r="B106" s="31" t="s">
        <v>249</v>
      </c>
      <c r="C106" s="31" t="s">
        <v>181</v>
      </c>
      <c r="D106" t="str" cm="1">
        <f t="array" aca="1" ref="D106" ca="1">IF($B106="","",IF(LEFT($AH106,3)="Yes","Blocked - "&amp;MID($AH106,7,100)&amp;IF(SUMPRODUCT(('Rework Log'!$A$3:$A$500=$B106)*('Rework Log'!$G$3:$G$500&lt;&gt;"Yes")*('Rework Log'!$G$3:$G$500&lt;&gt;"Did not pass re-test"))=0,"",IF(SUMPRODUCT(MAX((('Rework Log'!$A$3:$A$500=$B106)*('Rework Log'!$G$3:$G$500&lt;&gt;"Yes")*('Rework Log'!$G$3:$G$500&lt;&gt;"Did not pass re-test"))*'Rework Log'!$I$3:$I$500))=0," - unclaimed"," - promised "&amp;TEXT(SUMPRODUCT(MAX((('Rework Log'!$A$3:$A$500=$B106)*('Rework Log'!$G$3:$G$500&lt;&gt;"Yes")*('Rework Log'!$G$3:$G$500&lt;&gt;"Did not pass re-test"))*'Rework Log'!$I$3:$I$500)),"m/d"))),IF(C106="NOT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track")),IF(C106="QA",_xlfn.LET(_xlpm.tgt,IF(AK106&lt;&gt;"",AK106,IF(W106&lt;&gt;"",W106,V106)),_xlpm.sent,_xlfn.MAXIFS('Rework Log'!$B$3:$B$500,'Rework Log'!$A$3:$A$500,$B106,'Rework Log'!$C$3:$C$500,"QA"),_xlpm.act,IF(AND(X106&lt;&gt;"",X106&gt;_xlpm.sent),X106,""),IF(_xlpm.tgt="","No target set",IF(AND(_xlpm.tgt&lt;TODAY(),_xlpm.act=""),"Overdue","On track"))),IF(C106="DPO Approval",_xlfn.LET(_xlpm.tgt,IF(AL106&lt;&gt;"",AL106,IF(AA106&lt;&gt;"",AA106,Z106)),_xlpm.sent,_xlfn.MAXIFS('Rework Log'!$B$3:$B$500,'Rework Log'!$A$3:$A$500,$B106,'Rework Log'!$C$3:$C$500,"DPO*"),_xlpm.act,IF(AND(AB106&lt;&gt;"",AB106&gt;_xlpm.sent),AB106,""),IF(_xlpm.tgt="","No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119</v>
      </c>
      <c r="G106" s="31"/>
      <c r="H106" s="28">
        <v>46387</v>
      </c>
      <c r="I106" s="57" t="s">
        <v>241</v>
      </c>
      <c r="J106" s="55"/>
      <c r="L106" s="43"/>
      <c r="M106" s="31"/>
      <c r="N106" s="31"/>
      <c r="O106" s="36" t="s">
        <v>242</v>
      </c>
      <c r="P106" s="76"/>
      <c r="R106" s="43"/>
      <c r="S106" s="31"/>
      <c r="T106" s="70" t="s">
        <v>244</v>
      </c>
      <c r="U106" s="47"/>
      <c r="W106" s="43"/>
      <c r="X106" s="31"/>
      <c r="Y106" s="36"/>
      <c r="AA106" s="43"/>
      <c r="AB106" s="43"/>
      <c r="AC106" s="31"/>
      <c r="AD106" s="31"/>
      <c r="AE106" s="31"/>
      <c r="AF106" s="31"/>
      <c r="AG106" s="31"/>
      <c r="AH106" s="31"/>
      <c r="AI106" s="31"/>
      <c r="AJ106" s="31"/>
      <c r="AK106" s="31" t="str" cm="1">
        <f t="array" ref="AK106">_xlfn.LET(_xlpm.rep,$B106,_xlpm.sent,_xlfn.MAXIFS('Rework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6" s="31" t="str" cm="1">
        <f t="array" ref="AL106">_xlfn.LET(_xlpm.rep,$B106,_xlpm.sent,_xlfn.MAXIFS('Rework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7" spans="1:38" ht="14.45">
      <c r="A107" s="31" t="s">
        <v>239</v>
      </c>
      <c r="B107" s="31" t="s">
        <v>250</v>
      </c>
      <c r="C107" s="31" t="s">
        <v>181</v>
      </c>
      <c r="D107" t="str" cm="1">
        <f t="array" aca="1" ref="D107" ca="1">IF($B107="","",IF(LEFT($AH107,3)="Yes","Blocked - "&amp;MID($AH107,7,100)&amp;IF(SUMPRODUCT(('Rework Log'!$A$3:$A$500=$B107)*('Rework Log'!$G$3:$G$500&lt;&gt;"Yes")*('Rework Log'!$G$3:$G$500&lt;&gt;"Did not pass re-test"))=0,"",IF(SUMPRODUCT(MAX((('Rework Log'!$A$3:$A$500=$B107)*('Rework Log'!$G$3:$G$500&lt;&gt;"Yes")*('Rework Log'!$G$3:$G$500&lt;&gt;"Did not pass re-test"))*'Rework Log'!$I$3:$I$500))=0," - unclaimed"," - promised "&amp;TEXT(SUMPRODUCT(MAX((('Rework Log'!$A$3:$A$500=$B107)*('Rework Log'!$G$3:$G$500&lt;&gt;"Yes")*('Rework Log'!$G$3:$G$500&lt;&gt;"Did not pass re-test"))*'Rework Log'!$I$3:$I$500)),"m/d"))),IF(C107="NOT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track")),IF(C107="QA",_xlfn.LET(_xlpm.tgt,IF(AK107&lt;&gt;"",AK107,IF(W107&lt;&gt;"",W107,V107)),_xlpm.sent,_xlfn.MAXIFS('Rework Log'!$B$3:$B$500,'Rework Log'!$A$3:$A$500,$B107,'Rework Log'!$C$3:$C$500,"QA"),_xlpm.act,IF(AND(X107&lt;&gt;"",X107&gt;_xlpm.sent),X107,""),IF(_xlpm.tgt="","No target set",IF(AND(_xlpm.tgt&lt;TODAY(),_xlpm.act=""),"Overdue","On track"))),IF(C107="DPO Approval",_xlfn.LET(_xlpm.tgt,IF(AL107&lt;&gt;"",AL107,IF(AA107&lt;&gt;"",AA107,Z107)),_xlpm.sent,_xlfn.MAXIFS('Rework Log'!$B$3:$B$500,'Rework Log'!$A$3:$A$500,$B107,'Rework Log'!$C$3:$C$500,"DPO*"),_xlpm.act,IF(AND(AB107&lt;&gt;"",AB107&gt;_xlpm.sent),AB107,""),IF(_xlpm.tgt="","No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119</v>
      </c>
      <c r="G107" s="31"/>
      <c r="H107" s="28">
        <v>46387</v>
      </c>
      <c r="I107" s="57" t="s">
        <v>241</v>
      </c>
      <c r="J107" s="55"/>
      <c r="L107" s="43"/>
      <c r="M107" s="31"/>
      <c r="N107" s="31"/>
      <c r="O107" s="36" t="s">
        <v>242</v>
      </c>
      <c r="P107" s="76"/>
      <c r="R107" s="43"/>
      <c r="S107" s="31"/>
      <c r="T107" s="70" t="s">
        <v>244</v>
      </c>
      <c r="U107" s="47"/>
      <c r="W107" s="43"/>
      <c r="X107" s="31"/>
      <c r="Y107" s="36"/>
      <c r="AA107" s="43"/>
      <c r="AB107" s="43"/>
      <c r="AC107" s="31"/>
      <c r="AD107" s="31"/>
      <c r="AE107" s="31"/>
      <c r="AF107" s="31"/>
      <c r="AG107" s="31"/>
      <c r="AH107" s="31"/>
      <c r="AI107" s="31"/>
      <c r="AJ107" s="31"/>
      <c r="AK107" s="31" t="str" cm="1">
        <f t="array" ref="AK107">_xlfn.LET(_xlpm.rep,$B107,_xlpm.sent,_xlfn.MAXIFS('Rework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7" s="31" t="str" cm="1">
        <f t="array" ref="AL107">_xlfn.LET(_xlpm.rep,$B107,_xlpm.sent,_xlfn.MAXIFS('Rework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8" spans="1:38" ht="14.45">
      <c r="A108" s="31" t="s">
        <v>239</v>
      </c>
      <c r="B108" s="31" t="s">
        <v>251</v>
      </c>
      <c r="C108" s="31" t="s">
        <v>181</v>
      </c>
      <c r="D108" t="str" cm="1">
        <f t="array" aca="1" ref="D108" ca="1">IF($B108="","",IF(LEFT($AH108,3)="Yes","Blocked - "&amp;MID($AH108,7,100)&amp;IF(SUMPRODUCT(('Rework Log'!$A$3:$A$500=$B108)*('Rework Log'!$G$3:$G$500&lt;&gt;"Yes")*('Rework Log'!$G$3:$G$500&lt;&gt;"Did not pass re-test"))=0,"",IF(SUMPRODUCT(MAX((('Rework Log'!$A$3:$A$500=$B108)*('Rework Log'!$G$3:$G$500&lt;&gt;"Yes")*('Rework Log'!$G$3:$G$500&lt;&gt;"Did not pass re-test"))*'Rework Log'!$I$3:$I$500))=0," - unclaimed"," - promised "&amp;TEXT(SUMPRODUCT(MAX((('Rework Log'!$A$3:$A$500=$B108)*('Rework Log'!$G$3:$G$500&lt;&gt;"Yes")*('Rework Log'!$G$3:$G$500&lt;&gt;"Did not pass re-test"))*'Rework Log'!$I$3:$I$500)),"m/d"))),IF(C108="NOT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track")),IF(C108="QA",_xlfn.LET(_xlpm.tgt,IF(AK108&lt;&gt;"",AK108,IF(W108&lt;&gt;"",W108,V108)),_xlpm.sent,_xlfn.MAXIFS('Rework Log'!$B$3:$B$500,'Rework Log'!$A$3:$A$500,$B108,'Rework Log'!$C$3:$C$500,"QA"),_xlpm.act,IF(AND(X108&lt;&gt;"",X108&gt;_xlpm.sent),X108,""),IF(_xlpm.tgt="","No target set",IF(AND(_xlpm.tgt&lt;TODAY(),_xlpm.act=""),"Overdue","On track"))),IF(C108="DPO Approval",_xlfn.LET(_xlpm.tgt,IF(AL108&lt;&gt;"",AL108,IF(AA108&lt;&gt;"",AA108,Z108)),_xlpm.sent,_xlfn.MAXIFS('Rework Log'!$B$3:$B$500,'Rework Log'!$A$3:$A$500,$B108,'Rework Log'!$C$3:$C$500,"DPO*"),_xlpm.act,IF(AND(AB108&lt;&gt;"",AB108&gt;_xlpm.sent),AB108,""),IF(_xlpm.tgt="","No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119</v>
      </c>
      <c r="G108" s="31"/>
      <c r="H108" s="28">
        <v>46387</v>
      </c>
      <c r="I108" s="57" t="s">
        <v>241</v>
      </c>
      <c r="J108" s="55"/>
      <c r="L108" s="43"/>
      <c r="M108" s="31"/>
      <c r="N108" s="31"/>
      <c r="O108" s="36" t="s">
        <v>252</v>
      </c>
      <c r="P108" s="76"/>
      <c r="R108" s="43"/>
      <c r="S108" s="31"/>
      <c r="T108" s="70" t="s">
        <v>244</v>
      </c>
      <c r="U108" s="47"/>
      <c r="W108" s="43"/>
      <c r="X108" s="31"/>
      <c r="Y108" s="36"/>
      <c r="AA108" s="43"/>
      <c r="AB108" s="43"/>
      <c r="AC108" s="31"/>
      <c r="AD108" s="31"/>
      <c r="AE108" s="31"/>
      <c r="AF108" s="31"/>
      <c r="AG108" s="31"/>
      <c r="AH108" s="31"/>
      <c r="AI108" s="31"/>
      <c r="AJ108" s="31"/>
      <c r="AK108" s="31" t="str" cm="1">
        <f t="array" ref="AK108">_xlfn.LET(_xlpm.rep,$B108,_xlpm.sent,_xlfn.MAXIFS('Rework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8" s="31" t="str" cm="1">
        <f t="array" ref="AL108">_xlfn.LET(_xlpm.rep,$B108,_xlpm.sent,_xlfn.MAXIFS('Rework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9" spans="1:38" ht="14.45">
      <c r="A109" s="31" t="s">
        <v>246</v>
      </c>
      <c r="B109" s="31" t="s">
        <v>253</v>
      </c>
      <c r="C109" s="31" t="s">
        <v>181</v>
      </c>
      <c r="D109" t="str" cm="1">
        <f t="array" aca="1" ref="D109" ca="1">IF($B109="","",IF(LEFT($AH109,3)="Yes","Blocked - "&amp;MID($AH109,7,100)&amp;IF(SUMPRODUCT(('Rework Log'!$A$3:$A$500=$B109)*('Rework Log'!$G$3:$G$500&lt;&gt;"Yes")*('Rework Log'!$G$3:$G$500&lt;&gt;"Did not pass re-test"))=0,"",IF(SUMPRODUCT(MAX((('Rework Log'!$A$3:$A$500=$B109)*('Rework Log'!$G$3:$G$500&lt;&gt;"Yes")*('Rework Log'!$G$3:$G$500&lt;&gt;"Did not pass re-test"))*'Rework Log'!$I$3:$I$500))=0," - unclaimed"," - promised "&amp;TEXT(SUMPRODUCT(MAX((('Rework Log'!$A$3:$A$500=$B109)*('Rework Log'!$G$3:$G$500&lt;&gt;"Yes")*('Rework Log'!$G$3:$G$500&lt;&gt;"Did not pass re-test"))*'Rework Log'!$I$3:$I$500)),"m/d"))),IF(C109="NOT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track")),IF(C109="QA",_xlfn.LET(_xlpm.tgt,IF(AK109&lt;&gt;"",AK109,IF(W109&lt;&gt;"",W109,V109)),_xlpm.sent,_xlfn.MAXIFS('Rework Log'!$B$3:$B$500,'Rework Log'!$A$3:$A$500,$B109,'Rework Log'!$C$3:$C$500,"QA"),_xlpm.act,IF(AND(X109&lt;&gt;"",X109&gt;_xlpm.sent),X109,""),IF(_xlpm.tgt="","No target set",IF(AND(_xlpm.tgt&lt;TODAY(),_xlpm.act=""),"Overdue","On track"))),IF(C109="DPO Approval",_xlfn.LET(_xlpm.tgt,IF(AL109&lt;&gt;"",AL109,IF(AA109&lt;&gt;"",AA109,Z109)),_xlpm.sent,_xlfn.MAXIFS('Rework Log'!$B$3:$B$500,'Rework Log'!$A$3:$A$500,$B109,'Rework Log'!$C$3:$C$500,"DPO*"),_xlpm.act,IF(AND(AB109&lt;&gt;"",AB109&gt;_xlpm.sent),AB109,""),IF(_xlpm.tgt="","No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133</v>
      </c>
      <c r="G109" s="31"/>
      <c r="H109" s="28">
        <v>46387</v>
      </c>
      <c r="I109" s="57" t="s">
        <v>241</v>
      </c>
      <c r="J109" s="55"/>
      <c r="L109" s="43"/>
      <c r="M109" s="31"/>
      <c r="N109" s="31"/>
      <c r="O109" s="36" t="s">
        <v>252</v>
      </c>
      <c r="P109" s="76"/>
      <c r="R109" s="43"/>
      <c r="S109" s="31"/>
      <c r="T109" s="70" t="s">
        <v>254</v>
      </c>
      <c r="U109" s="47"/>
      <c r="W109" s="43"/>
      <c r="X109" s="31"/>
      <c r="Y109" s="36"/>
      <c r="AA109" s="43"/>
      <c r="AB109" s="43"/>
      <c r="AC109" s="31"/>
      <c r="AD109" s="31"/>
      <c r="AE109" s="31"/>
      <c r="AF109" s="31"/>
      <c r="AG109" s="31"/>
      <c r="AH109" s="31"/>
      <c r="AI109" s="31"/>
      <c r="AJ109" s="31"/>
      <c r="AK109" s="31" t="str" cm="1">
        <f t="array" ref="AK109">_xlfn.LET(_xlpm.rep,$B109,_xlpm.sent,_xlfn.MAXIFS('Rework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9" s="31" t="str" cm="1">
        <f t="array" ref="AL109">_xlfn.LET(_xlpm.rep,$B109,_xlpm.sent,_xlfn.MAXIFS('Rework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0" spans="1:38" ht="14.45">
      <c r="A110" s="31" t="s">
        <v>239</v>
      </c>
      <c r="B110" s="31" t="s">
        <v>255</v>
      </c>
      <c r="C110" s="31" t="s">
        <v>181</v>
      </c>
      <c r="D110" t="str" cm="1">
        <f t="array" aca="1" ref="D110" ca="1">IF($B110="","",IF(LEFT($AH110,3)="Yes","Blocked - "&amp;MID($AH110,7,100)&amp;IF(SUMPRODUCT(('Rework Log'!$A$3:$A$500=$B110)*('Rework Log'!$G$3:$G$500&lt;&gt;"Yes")*('Rework Log'!$G$3:$G$500&lt;&gt;"Did not pass re-test"))=0,"",IF(SUMPRODUCT(MAX((('Rework Log'!$A$3:$A$500=$B110)*('Rework Log'!$G$3:$G$500&lt;&gt;"Yes")*('Rework Log'!$G$3:$G$500&lt;&gt;"Did not pass re-test"))*'Rework Log'!$I$3:$I$500))=0," - unclaimed"," - promised "&amp;TEXT(SUMPRODUCT(MAX((('Rework Log'!$A$3:$A$500=$B110)*('Rework Log'!$G$3:$G$500&lt;&gt;"Yes")*('Rework Log'!$G$3:$G$500&lt;&gt;"Did not pass re-test"))*'Rework Log'!$I$3:$I$500)),"m/d"))),IF(C110="NOT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track")),IF(C110="QA",_xlfn.LET(_xlpm.tgt,IF(AK110&lt;&gt;"",AK110,IF(W110&lt;&gt;"",W110,V110)),_xlpm.sent,_xlfn.MAXIFS('Rework Log'!$B$3:$B$500,'Rework Log'!$A$3:$A$500,$B110,'Rework Log'!$C$3:$C$500,"QA"),_xlpm.act,IF(AND(X110&lt;&gt;"",X110&gt;_xlpm.sent),X110,""),IF(_xlpm.tgt="","No target set",IF(AND(_xlpm.tgt&lt;TODAY(),_xlpm.act=""),"Overdue","On track"))),IF(C110="DPO Approval",_xlfn.LET(_xlpm.tgt,IF(AL110&lt;&gt;"",AL110,IF(AA110&lt;&gt;"",AA110,Z110)),_xlpm.sent,_xlfn.MAXIFS('Rework Log'!$B$3:$B$500,'Rework Log'!$A$3:$A$500,$B110,'Rework Log'!$C$3:$C$500,"DPO*"),_xlpm.act,IF(AND(AB110&lt;&gt;"",AB110&gt;_xlpm.sent),AB110,""),IF(_xlpm.tgt="","No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119</v>
      </c>
      <c r="G110" s="31"/>
      <c r="H110" s="28">
        <v>46387</v>
      </c>
      <c r="I110" s="57" t="s">
        <v>241</v>
      </c>
      <c r="J110" s="55"/>
      <c r="L110" s="43"/>
      <c r="M110" s="31"/>
      <c r="N110" s="31"/>
      <c r="O110" s="36" t="s">
        <v>252</v>
      </c>
      <c r="P110" s="76"/>
      <c r="R110" s="43"/>
      <c r="S110" s="31"/>
      <c r="T110" s="70" t="s">
        <v>254</v>
      </c>
      <c r="U110" s="47"/>
      <c r="W110" s="43"/>
      <c r="X110" s="31"/>
      <c r="Y110" s="36"/>
      <c r="AA110" s="43"/>
      <c r="AB110" s="43"/>
      <c r="AC110" s="31"/>
      <c r="AD110" s="31"/>
      <c r="AE110" s="31"/>
      <c r="AF110" s="31"/>
      <c r="AG110" s="31"/>
      <c r="AH110" s="31"/>
      <c r="AI110" s="31"/>
      <c r="AJ110" s="31"/>
      <c r="AK110" s="31" t="str" cm="1">
        <f t="array" ref="AK110">_xlfn.LET(_xlpm.rep,$B110,_xlpm.sent,_xlfn.MAXIFS('Rework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0" s="31" t="str" cm="1">
        <f t="array" ref="AL110">_xlfn.LET(_xlpm.rep,$B110,_xlpm.sent,_xlfn.MAXIFS('Rework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1" spans="1:38" ht="14.45">
      <c r="A111" s="31" t="s">
        <v>246</v>
      </c>
      <c r="B111" s="31" t="s">
        <v>256</v>
      </c>
      <c r="C111" s="31" t="s">
        <v>181</v>
      </c>
      <c r="D111" t="str" cm="1">
        <f t="array" aca="1" ref="D111" ca="1">IF($B111="","",IF(LEFT($AH111,3)="Yes","Blocked - "&amp;MID($AH111,7,100)&amp;IF(SUMPRODUCT(('Rework Log'!$A$3:$A$500=$B111)*('Rework Log'!$G$3:$G$500&lt;&gt;"Yes")*('Rework Log'!$G$3:$G$500&lt;&gt;"Did not pass re-test"))=0,"",IF(SUMPRODUCT(MAX((('Rework Log'!$A$3:$A$500=$B111)*('Rework Log'!$G$3:$G$500&lt;&gt;"Yes")*('Rework Log'!$G$3:$G$500&lt;&gt;"Did not pass re-test"))*'Rework Log'!$I$3:$I$500))=0," - unclaimed"," - promised "&amp;TEXT(SUMPRODUCT(MAX((('Rework Log'!$A$3:$A$500=$B111)*('Rework Log'!$G$3:$G$500&lt;&gt;"Yes")*('Rework Log'!$G$3:$G$500&lt;&gt;"Did not pass re-test"))*'Rework Log'!$I$3:$I$500)),"m/d"))),IF(C111="NOT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track")),IF(C111="QA",_xlfn.LET(_xlpm.tgt,IF(AK111&lt;&gt;"",AK111,IF(W111&lt;&gt;"",W111,V111)),_xlpm.sent,_xlfn.MAXIFS('Rework Log'!$B$3:$B$500,'Rework Log'!$A$3:$A$500,$B111,'Rework Log'!$C$3:$C$500,"QA"),_xlpm.act,IF(AND(X111&lt;&gt;"",X111&gt;_xlpm.sent),X111,""),IF(_xlpm.tgt="","No target set",IF(AND(_xlpm.tgt&lt;TODAY(),_xlpm.act=""),"Overdue","On track"))),IF(C111="DPO Approval",_xlfn.LET(_xlpm.tgt,IF(AL111&lt;&gt;"",AL111,IF(AA111&lt;&gt;"",AA111,Z111)),_xlpm.sent,_xlfn.MAXIFS('Rework Log'!$B$3:$B$500,'Rework Log'!$A$3:$A$500,$B111,'Rework Log'!$C$3:$C$500,"DPO*"),_xlpm.act,IF(AND(AB111&lt;&gt;"",AB111&gt;_xlpm.sent),AB111,""),IF(_xlpm.tgt="","No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133</v>
      </c>
      <c r="G111" s="31"/>
      <c r="H111" s="28">
        <v>46387</v>
      </c>
      <c r="I111" s="57" t="s">
        <v>241</v>
      </c>
      <c r="J111" s="55"/>
      <c r="L111" s="43"/>
      <c r="M111" s="31"/>
      <c r="N111" s="31"/>
      <c r="O111" s="36" t="s">
        <v>252</v>
      </c>
      <c r="P111" s="76"/>
      <c r="R111" s="43"/>
      <c r="S111" s="31"/>
      <c r="T111" s="70" t="s">
        <v>254</v>
      </c>
      <c r="U111" s="47"/>
      <c r="W111" s="43"/>
      <c r="X111" s="31"/>
      <c r="Y111" s="36"/>
      <c r="AA111" s="43"/>
      <c r="AB111" s="43"/>
      <c r="AC111" s="31"/>
      <c r="AD111" s="31"/>
      <c r="AE111" s="31"/>
      <c r="AF111" s="31"/>
      <c r="AG111" s="31"/>
      <c r="AH111" s="31"/>
      <c r="AI111" s="31"/>
      <c r="AJ111" s="31"/>
      <c r="AK111" s="31" t="str" cm="1">
        <f t="array" ref="AK111">_xlfn.LET(_xlpm.rep,$B111,_xlpm.sent,_xlfn.MAXIFS('Rework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1" s="31" t="str" cm="1">
        <f t="array" ref="AL111">_xlfn.LET(_xlpm.rep,$B111,_xlpm.sent,_xlfn.MAXIFS('Rework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2" spans="1:38" ht="14.45">
      <c r="A112" s="31" t="s">
        <v>246</v>
      </c>
      <c r="B112" s="31" t="s">
        <v>257</v>
      </c>
      <c r="C112" s="31" t="s">
        <v>181</v>
      </c>
      <c r="D112" t="str" cm="1">
        <f t="array" aca="1" ref="D112" ca="1">IF($B112="","",IF(LEFT($AH112,3)="Yes","Blocked - "&amp;MID($AH112,7,100)&amp;IF(SUMPRODUCT(('Rework Log'!$A$3:$A$500=$B112)*('Rework Log'!$G$3:$G$500&lt;&gt;"Yes")*('Rework Log'!$G$3:$G$500&lt;&gt;"Did not pass re-test"))=0,"",IF(SUMPRODUCT(MAX((('Rework Log'!$A$3:$A$500=$B112)*('Rework Log'!$G$3:$G$500&lt;&gt;"Yes")*('Rework Log'!$G$3:$G$500&lt;&gt;"Did not pass re-test"))*'Rework Log'!$I$3:$I$500))=0," - unclaimed"," - promised "&amp;TEXT(SUMPRODUCT(MAX((('Rework Log'!$A$3:$A$500=$B112)*('Rework Log'!$G$3:$G$500&lt;&gt;"Yes")*('Rework Log'!$G$3:$G$500&lt;&gt;"Did not pass re-test"))*'Rework Log'!$I$3:$I$500)),"m/d"))),IF(C112="NOT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track")),IF(C112="QA",_xlfn.LET(_xlpm.tgt,IF(AK112&lt;&gt;"",AK112,IF(W112&lt;&gt;"",W112,V112)),_xlpm.sent,_xlfn.MAXIFS('Rework Log'!$B$3:$B$500,'Rework Log'!$A$3:$A$500,$B112,'Rework Log'!$C$3:$C$500,"QA"),_xlpm.act,IF(AND(X112&lt;&gt;"",X112&gt;_xlpm.sent),X112,""),IF(_xlpm.tgt="","No target set",IF(AND(_xlpm.tgt&lt;TODAY(),_xlpm.act=""),"Overdue","On track"))),IF(C112="DPO Approval",_xlfn.LET(_xlpm.tgt,IF(AL112&lt;&gt;"",AL112,IF(AA112&lt;&gt;"",AA112,Z112)),_xlpm.sent,_xlfn.MAXIFS('Rework Log'!$B$3:$B$500,'Rework Log'!$A$3:$A$500,$B112,'Rework Log'!$C$3:$C$500,"DPO*"),_xlpm.act,IF(AND(AB112&lt;&gt;"",AB112&gt;_xlpm.sent),AB112,""),IF(_xlpm.tgt="","No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133</v>
      </c>
      <c r="G112" s="31"/>
      <c r="H112" s="28">
        <v>46387</v>
      </c>
      <c r="I112" s="57" t="s">
        <v>241</v>
      </c>
      <c r="J112" s="55"/>
      <c r="L112" s="43"/>
      <c r="M112" s="31"/>
      <c r="N112" s="31"/>
      <c r="O112" s="36" t="s">
        <v>252</v>
      </c>
      <c r="P112" s="76"/>
      <c r="R112" s="43"/>
      <c r="S112" s="31"/>
      <c r="T112" s="70" t="s">
        <v>254</v>
      </c>
      <c r="U112" s="47"/>
      <c r="W112" s="43"/>
      <c r="X112" s="31"/>
      <c r="Y112" s="36"/>
      <c r="AA112" s="43"/>
      <c r="AB112" s="43"/>
      <c r="AC112" s="31"/>
      <c r="AD112" s="31"/>
      <c r="AE112" s="31"/>
      <c r="AF112" s="31"/>
      <c r="AG112" s="31"/>
      <c r="AH112" s="31"/>
      <c r="AI112" s="31"/>
      <c r="AJ112" s="31"/>
      <c r="AK112" s="31" t="str" cm="1">
        <f t="array" ref="AK112">_xlfn.LET(_xlpm.rep,$B112,_xlpm.sent,_xlfn.MAXIFS('Rework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2" s="31" t="str" cm="1">
        <f t="array" ref="AL112">_xlfn.LET(_xlpm.rep,$B112,_xlpm.sent,_xlfn.MAXIFS('Rework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3" spans="1:38" ht="14.45">
      <c r="A113" s="31" t="s">
        <v>246</v>
      </c>
      <c r="B113" s="31" t="s">
        <v>258</v>
      </c>
      <c r="C113" s="31" t="s">
        <v>181</v>
      </c>
      <c r="D113" t="str" cm="1">
        <f t="array" aca="1" ref="D113" ca="1">IF($B113="","",IF(LEFT($AH113,3)="Yes","Blocked - "&amp;MID($AH113,7,100)&amp;IF(SUMPRODUCT(('Rework Log'!$A$3:$A$500=$B113)*('Rework Log'!$G$3:$G$500&lt;&gt;"Yes")*('Rework Log'!$G$3:$G$500&lt;&gt;"Did not pass re-test"))=0,"",IF(SUMPRODUCT(MAX((('Rework Log'!$A$3:$A$500=$B113)*('Rework Log'!$G$3:$G$500&lt;&gt;"Yes")*('Rework Log'!$G$3:$G$500&lt;&gt;"Did not pass re-test"))*'Rework Log'!$I$3:$I$500))=0," - unclaimed"," - promised "&amp;TEXT(SUMPRODUCT(MAX((('Rework Log'!$A$3:$A$500=$B113)*('Rework Log'!$G$3:$G$500&lt;&gt;"Yes")*('Rework Log'!$G$3:$G$500&lt;&gt;"Did not pass re-test"))*'Rework Log'!$I$3:$I$500)),"m/d"))),IF(C113="NOT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track")),IF(C113="QA",_xlfn.LET(_xlpm.tgt,IF(AK113&lt;&gt;"",AK113,IF(W113&lt;&gt;"",W113,V113)),_xlpm.sent,_xlfn.MAXIFS('Rework Log'!$B$3:$B$500,'Rework Log'!$A$3:$A$500,$B113,'Rework Log'!$C$3:$C$500,"QA"),_xlpm.act,IF(AND(X113&lt;&gt;"",X113&gt;_xlpm.sent),X113,""),IF(_xlpm.tgt="","No target set",IF(AND(_xlpm.tgt&lt;TODAY(),_xlpm.act=""),"Overdue","On track"))),IF(C113="DPO Approval",_xlfn.LET(_xlpm.tgt,IF(AL113&lt;&gt;"",AL113,IF(AA113&lt;&gt;"",AA113,Z113)),_xlpm.sent,_xlfn.MAXIFS('Rework Log'!$B$3:$B$500,'Rework Log'!$A$3:$A$500,$B113,'Rework Log'!$C$3:$C$500,"DPO*"),_xlpm.act,IF(AND(AB113&lt;&gt;"",AB113&gt;_xlpm.sent),AB113,""),IF(_xlpm.tgt="","No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133</v>
      </c>
      <c r="G113" s="31"/>
      <c r="H113" s="28">
        <v>46387</v>
      </c>
      <c r="I113" s="57" t="s">
        <v>241</v>
      </c>
      <c r="J113" s="55"/>
      <c r="L113" s="43"/>
      <c r="M113" s="31"/>
      <c r="N113" s="31"/>
      <c r="O113" s="36" t="s">
        <v>252</v>
      </c>
      <c r="P113" s="76"/>
      <c r="R113" s="43"/>
      <c r="S113" s="31"/>
      <c r="T113" s="70" t="s">
        <v>254</v>
      </c>
      <c r="U113" s="47"/>
      <c r="W113" s="43"/>
      <c r="X113" s="31"/>
      <c r="Y113" s="36"/>
      <c r="AA113" s="43"/>
      <c r="AB113" s="43"/>
      <c r="AC113" s="31"/>
      <c r="AD113" s="31"/>
      <c r="AE113" s="31"/>
      <c r="AF113" s="31"/>
      <c r="AG113" s="31"/>
      <c r="AH113" s="31"/>
      <c r="AI113" s="31"/>
      <c r="AJ113" s="31"/>
      <c r="AK113" s="31" t="str" cm="1">
        <f t="array" ref="AK113">_xlfn.LET(_xlpm.rep,$B113,_xlpm.sent,_xlfn.MAXIFS('Rework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3" s="31" t="str" cm="1">
        <f t="array" ref="AL113">_xlfn.LET(_xlpm.rep,$B113,_xlpm.sent,_xlfn.MAXIFS('Rework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4" spans="1:38" ht="14.45">
      <c r="A114" s="31" t="s">
        <v>246</v>
      </c>
      <c r="B114" s="31" t="s">
        <v>259</v>
      </c>
      <c r="C114" s="31" t="s">
        <v>181</v>
      </c>
      <c r="D114" t="str" cm="1">
        <f t="array" aca="1" ref="D114" ca="1">IF($B114="","",IF(LEFT($AH114,3)="Yes","Blocked - "&amp;MID($AH114,7,100)&amp;IF(SUMPRODUCT(('Rework Log'!$A$3:$A$500=$B114)*('Rework Log'!$G$3:$G$500&lt;&gt;"Yes")*('Rework Log'!$G$3:$G$500&lt;&gt;"Did not pass re-test"))=0,"",IF(SUMPRODUCT(MAX((('Rework Log'!$A$3:$A$500=$B114)*('Rework Log'!$G$3:$G$500&lt;&gt;"Yes")*('Rework Log'!$G$3:$G$500&lt;&gt;"Did not pass re-test"))*'Rework Log'!$I$3:$I$500))=0," - unclaimed"," - promised "&amp;TEXT(SUMPRODUCT(MAX((('Rework Log'!$A$3:$A$500=$B114)*('Rework Log'!$G$3:$G$500&lt;&gt;"Yes")*('Rework Log'!$G$3:$G$500&lt;&gt;"Did not pass re-test"))*'Rework Log'!$I$3:$I$500)),"m/d"))),IF(C114="NOT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track")),IF(C114="QA",_xlfn.LET(_xlpm.tgt,IF(AK114&lt;&gt;"",AK114,IF(W114&lt;&gt;"",W114,V114)),_xlpm.sent,_xlfn.MAXIFS('Rework Log'!$B$3:$B$500,'Rework Log'!$A$3:$A$500,$B114,'Rework Log'!$C$3:$C$500,"QA"),_xlpm.act,IF(AND(X114&lt;&gt;"",X114&gt;_xlpm.sent),X114,""),IF(_xlpm.tgt="","No target set",IF(AND(_xlpm.tgt&lt;TODAY(),_xlpm.act=""),"Overdue","On track"))),IF(C114="DPO Approval",_xlfn.LET(_xlpm.tgt,IF(AL114&lt;&gt;"",AL114,IF(AA114&lt;&gt;"",AA114,Z114)),_xlpm.sent,_xlfn.MAXIFS('Rework Log'!$B$3:$B$500,'Rework Log'!$A$3:$A$500,$B114,'Rework Log'!$C$3:$C$500,"DPO*"),_xlpm.act,IF(AND(AB114&lt;&gt;"",AB114&gt;_xlpm.sent),AB114,""),IF(_xlpm.tgt="","No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133</v>
      </c>
      <c r="G114" s="31"/>
      <c r="H114" s="28">
        <v>46387</v>
      </c>
      <c r="I114" s="57" t="s">
        <v>241</v>
      </c>
      <c r="J114" s="55"/>
      <c r="L114" s="43"/>
      <c r="M114" s="31"/>
      <c r="N114" s="31"/>
      <c r="O114" s="36" t="s">
        <v>260</v>
      </c>
      <c r="P114" s="76"/>
      <c r="R114" s="43"/>
      <c r="S114" s="31"/>
      <c r="T114" s="70" t="s">
        <v>254</v>
      </c>
      <c r="U114" s="47"/>
      <c r="W114" s="43"/>
      <c r="X114" s="31"/>
      <c r="Y114" s="36"/>
      <c r="AA114" s="43"/>
      <c r="AB114" s="43"/>
      <c r="AC114" s="31"/>
      <c r="AD114" s="31"/>
      <c r="AE114" s="31"/>
      <c r="AF114" s="31"/>
      <c r="AG114" s="31"/>
      <c r="AH114" s="31"/>
      <c r="AI114" s="31"/>
      <c r="AJ114" s="31"/>
      <c r="AK114" s="31" t="str" cm="1">
        <f t="array" ref="AK114">_xlfn.LET(_xlpm.rep,$B114,_xlpm.sent,_xlfn.MAXIFS('Rework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4" s="31" t="str" cm="1">
        <f t="array" ref="AL114">_xlfn.LET(_xlpm.rep,$B114,_xlpm.sent,_xlfn.MAXIFS('Rework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5" spans="1:38" ht="14.45">
      <c r="A115" s="31" t="s">
        <v>246</v>
      </c>
      <c r="B115" s="31" t="s">
        <v>261</v>
      </c>
      <c r="C115" s="31" t="s">
        <v>181</v>
      </c>
      <c r="D115" t="str" cm="1">
        <f t="array" aca="1" ref="D115" ca="1">IF($B115="","",IF(LEFT($AH115,3)="Yes","Blocked - "&amp;MID($AH115,7,100)&amp;IF(SUMPRODUCT(('Rework Log'!$A$3:$A$500=$B115)*('Rework Log'!$G$3:$G$500&lt;&gt;"Yes")*('Rework Log'!$G$3:$G$500&lt;&gt;"Did not pass re-test"))=0,"",IF(SUMPRODUCT(MAX((('Rework Log'!$A$3:$A$500=$B115)*('Rework Log'!$G$3:$G$500&lt;&gt;"Yes")*('Rework Log'!$G$3:$G$500&lt;&gt;"Did not pass re-test"))*'Rework Log'!$I$3:$I$500))=0," - unclaimed"," - promised "&amp;TEXT(SUMPRODUCT(MAX((('Rework Log'!$A$3:$A$500=$B115)*('Rework Log'!$G$3:$G$500&lt;&gt;"Yes")*('Rework Log'!$G$3:$G$500&lt;&gt;"Did not pass re-test"))*'Rework Log'!$I$3:$I$500)),"m/d"))),IF(C115="NOT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track")),IF(C115="QA",_xlfn.LET(_xlpm.tgt,IF(AK115&lt;&gt;"",AK115,IF(W115&lt;&gt;"",W115,V115)),_xlpm.sent,_xlfn.MAXIFS('Rework Log'!$B$3:$B$500,'Rework Log'!$A$3:$A$500,$B115,'Rework Log'!$C$3:$C$500,"QA"),_xlpm.act,IF(AND(X115&lt;&gt;"",X115&gt;_xlpm.sent),X115,""),IF(_xlpm.tgt="","No target set",IF(AND(_xlpm.tgt&lt;TODAY(),_xlpm.act=""),"Overdue","On track"))),IF(C115="DPO Approval",_xlfn.LET(_xlpm.tgt,IF(AL115&lt;&gt;"",AL115,IF(AA115&lt;&gt;"",AA115,Z115)),_xlpm.sent,_xlfn.MAXIFS('Rework Log'!$B$3:$B$500,'Rework Log'!$A$3:$A$500,$B115,'Rework Log'!$C$3:$C$500,"DPO*"),_xlpm.act,IF(AND(AB115&lt;&gt;"",AB115&gt;_xlpm.sent),AB115,""),IF(_xlpm.tgt="","No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133</v>
      </c>
      <c r="G115" s="31"/>
      <c r="H115" s="28">
        <v>46387</v>
      </c>
      <c r="I115" s="57" t="s">
        <v>241</v>
      </c>
      <c r="J115" s="55"/>
      <c r="L115" s="43"/>
      <c r="M115" s="31"/>
      <c r="N115" s="31"/>
      <c r="O115" s="36" t="s">
        <v>260</v>
      </c>
      <c r="P115" s="76"/>
      <c r="R115" s="43"/>
      <c r="S115" s="31"/>
      <c r="T115" s="70"/>
      <c r="U115" s="47"/>
      <c r="W115" s="43"/>
      <c r="X115" s="31"/>
      <c r="Y115" s="36"/>
      <c r="AA115" s="43"/>
      <c r="AB115" s="43"/>
      <c r="AC115" s="31"/>
      <c r="AD115" s="31"/>
      <c r="AE115" s="31"/>
      <c r="AF115" s="31"/>
      <c r="AG115" s="31"/>
      <c r="AH115" s="31"/>
      <c r="AI115" s="31"/>
      <c r="AJ115" s="31"/>
      <c r="AK115" s="31" t="str" cm="1">
        <f t="array" ref="AK115">_xlfn.LET(_xlpm.rep,$B115,_xlpm.sent,_xlfn.MAXIFS('Rework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5" s="31" t="str" cm="1">
        <f t="array" ref="AL115">_xlfn.LET(_xlpm.rep,$B115,_xlpm.sent,_xlfn.MAXIFS('Rework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6" spans="1:38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G116" s="31"/>
    </row>
    <row r="117" spans="1:38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G117" s="31"/>
    </row>
    <row r="118" spans="1:38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G118" s="31"/>
    </row>
    <row r="119" spans="1:38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G119" s="31"/>
    </row>
    <row r="120" spans="1:38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G120" s="31"/>
    </row>
    <row r="121" spans="1:38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G121" s="31"/>
    </row>
    <row r="122" spans="1:38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G122" s="31"/>
    </row>
    <row r="123" spans="1:38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G123" s="31"/>
    </row>
    <row r="124" spans="1:38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G124" s="31"/>
    </row>
    <row r="125" spans="1:38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G125" s="31"/>
    </row>
    <row r="126" spans="1:38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G126" s="31"/>
    </row>
    <row r="127" spans="1:38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G127" s="31"/>
    </row>
    <row r="128" spans="1:38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G128" s="31"/>
    </row>
    <row r="129" spans="1:33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G129" s="31"/>
    </row>
    <row r="130" spans="1:33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G130" s="31"/>
    </row>
    <row r="131" spans="1:33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G131" s="31"/>
    </row>
    <row r="132" spans="1:33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G132" s="31"/>
    </row>
    <row r="133" spans="1:33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G133" s="31"/>
    </row>
    <row r="134" spans="1:33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G134" s="31"/>
    </row>
    <row r="135" spans="1:33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G135" s="31"/>
    </row>
    <row r="136" spans="1:33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G136" s="31"/>
    </row>
    <row r="137" spans="1:33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G137" s="31"/>
    </row>
    <row r="138" spans="1:33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G138" s="31"/>
    </row>
    <row r="139" spans="1:33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G139" s="31"/>
    </row>
    <row r="140" spans="1:33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G140" s="31"/>
    </row>
    <row r="141" spans="1:33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G141" s="31"/>
    </row>
    <row r="142" spans="1:33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G142" s="31"/>
    </row>
    <row r="143" spans="1:33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G143" s="31"/>
    </row>
    <row r="144" spans="1:33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G144" s="31"/>
    </row>
    <row r="145" spans="1:33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G145" s="31"/>
    </row>
    <row r="146" spans="1:33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G146" s="31"/>
    </row>
    <row r="147" spans="1:33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G147" s="31"/>
    </row>
    <row r="148" spans="1:33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G148" s="31"/>
    </row>
    <row r="149" spans="1:33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G149" s="31"/>
    </row>
    <row r="150" spans="1:33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G150" s="31"/>
    </row>
    <row r="151" spans="1:33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G151" s="31"/>
    </row>
    <row r="152" spans="1:33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G152" s="31"/>
    </row>
    <row r="153" spans="1:33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G153" s="31"/>
    </row>
    <row r="154" spans="1:33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G154" s="31"/>
    </row>
    <row r="155" spans="1:33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G155" s="31"/>
    </row>
    <row r="156" spans="1:33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G156" s="31"/>
    </row>
    <row r="157" spans="1:33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G157" s="31"/>
    </row>
    <row r="158" spans="1:33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G158" s="31"/>
    </row>
    <row r="159" spans="1:33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G159" s="31"/>
    </row>
    <row r="160" spans="1:33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G160" s="31"/>
    </row>
    <row r="161" spans="1:33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G161" s="31"/>
    </row>
    <row r="162" spans="1:33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G162" s="31"/>
    </row>
    <row r="163" spans="1:33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G163" s="31"/>
    </row>
    <row r="164" spans="1:33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G164" s="31"/>
    </row>
    <row r="165" spans="1:33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G165" s="31"/>
    </row>
    <row r="166" spans="1:33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G166" s="31"/>
    </row>
    <row r="167" spans="1:33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G167" s="31"/>
    </row>
    <row r="168" spans="1:33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G168" s="31"/>
    </row>
    <row r="169" spans="1:33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G169" s="31"/>
    </row>
    <row r="170" spans="1:33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G170" s="31"/>
    </row>
    <row r="171" spans="1:33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G171" s="31"/>
    </row>
    <row r="172" spans="1:33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G172" s="31"/>
    </row>
    <row r="173" spans="1:33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G173" s="31"/>
    </row>
    <row r="174" spans="1:33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G174" s="31"/>
    </row>
    <row r="175" spans="1:33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G175" s="31"/>
    </row>
    <row r="176" spans="1:33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G176" s="31"/>
    </row>
    <row r="177" spans="1:33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G177" s="31"/>
    </row>
    <row r="178" spans="1:33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G178" s="31"/>
    </row>
    <row r="179" spans="1:33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G179" s="31"/>
    </row>
    <row r="180" spans="1:33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G180" s="31"/>
    </row>
    <row r="181" spans="1:33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G181" s="31"/>
    </row>
    <row r="182" spans="1:33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G182" s="31"/>
    </row>
    <row r="183" spans="1:33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G183" s="31"/>
    </row>
    <row r="184" spans="1:33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G184" s="31"/>
    </row>
    <row r="185" spans="1:33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G185" s="31"/>
    </row>
    <row r="186" spans="1:33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G186" s="31"/>
    </row>
    <row r="187" spans="1:33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G187" s="31"/>
    </row>
    <row r="188" spans="1:33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G188" s="31"/>
    </row>
    <row r="189" spans="1:33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G189" s="31"/>
    </row>
    <row r="190" spans="1:33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G190" s="31"/>
    </row>
    <row r="191" spans="1:33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G191" s="31"/>
    </row>
    <row r="192" spans="1:33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G192" s="31"/>
    </row>
    <row r="193" spans="1:33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G193" s="31"/>
    </row>
    <row r="194" spans="1:33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G194" s="31"/>
    </row>
    <row r="195" spans="1:33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G195" s="31"/>
    </row>
    <row r="196" spans="1:33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G196" s="31"/>
    </row>
    <row r="197" spans="1:33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G197" s="31"/>
    </row>
    <row r="198" spans="1:33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G198" s="31"/>
    </row>
    <row r="199" spans="1:33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G199" s="31"/>
    </row>
    <row r="200" spans="1:33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G200" s="31"/>
    </row>
    <row r="201" spans="1:33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G201" s="31"/>
    </row>
    <row r="202" spans="1:33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G202" s="31"/>
    </row>
    <row r="203" spans="1:33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G203" s="31"/>
    </row>
    <row r="204" spans="1:33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G204" s="31"/>
    </row>
    <row r="205" spans="1:33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G205" s="31"/>
    </row>
    <row r="206" spans="1:33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G206" s="31"/>
    </row>
    <row r="207" spans="1:33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G207" s="31"/>
    </row>
    <row r="208" spans="1:33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G208" s="31"/>
    </row>
    <row r="209" spans="1:33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G209" s="31"/>
    </row>
    <row r="210" spans="1:33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G210" s="31"/>
    </row>
    <row r="211" spans="1:33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G211" s="31"/>
    </row>
    <row r="212" spans="1:33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G212" s="31"/>
    </row>
    <row r="213" spans="1:33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G213" s="31"/>
    </row>
    <row r="214" spans="1:33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G214" s="31"/>
    </row>
    <row r="215" spans="1:33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G215" s="31"/>
    </row>
    <row r="216" spans="1:33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G216" s="31"/>
    </row>
    <row r="217" spans="1:33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G217" s="31"/>
    </row>
    <row r="218" spans="1:33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G218" s="31"/>
    </row>
    <row r="219" spans="1:33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G219" s="31"/>
    </row>
    <row r="220" spans="1:33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G220" s="31"/>
    </row>
    <row r="221" spans="1:33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G221" s="31"/>
    </row>
    <row r="222" spans="1:33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G222" s="31"/>
    </row>
    <row r="223" spans="1:33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G223" s="31"/>
    </row>
    <row r="224" spans="1:33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G224" s="31"/>
    </row>
    <row r="225" spans="1:33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G225" s="31"/>
    </row>
    <row r="226" spans="1:33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G226" s="31"/>
    </row>
    <row r="227" spans="1:33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G227" s="31"/>
    </row>
    <row r="228" spans="1:33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G228" s="31"/>
    </row>
    <row r="229" spans="1:33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G229" s="31"/>
    </row>
    <row r="230" spans="1:33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G230" s="31"/>
    </row>
    <row r="231" spans="1:33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G231" s="31"/>
    </row>
    <row r="232" spans="1:33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G232" s="31"/>
    </row>
    <row r="233" spans="1:33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G233" s="31"/>
    </row>
    <row r="234" spans="1:33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G234" s="31"/>
    </row>
    <row r="235" spans="1:33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G235" s="31"/>
    </row>
    <row r="236" spans="1:33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G236" s="31"/>
    </row>
    <row r="237" spans="1:33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G237" s="31"/>
    </row>
    <row r="238" spans="1:33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G238" s="31"/>
    </row>
    <row r="239" spans="1:33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G239" s="31"/>
    </row>
    <row r="240" spans="1:33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G240" s="31"/>
    </row>
    <row r="241" spans="1:33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G241" s="31"/>
    </row>
    <row r="242" spans="1:33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G242" s="31"/>
    </row>
    <row r="243" spans="1:33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G243" s="31"/>
    </row>
    <row r="244" spans="1:33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G244" s="31"/>
    </row>
    <row r="245" spans="1:33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G245" s="31"/>
    </row>
    <row r="246" spans="1:33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G246" s="31"/>
    </row>
    <row r="247" spans="1:33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G247" s="31"/>
    </row>
    <row r="248" spans="1:33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G248" s="31"/>
    </row>
    <row r="249" spans="1:33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G249" s="31"/>
    </row>
    <row r="250" spans="1:33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G250" s="31"/>
    </row>
    <row r="251" spans="1:33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G251" s="31"/>
    </row>
    <row r="252" spans="1:33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G252" s="31"/>
    </row>
    <row r="253" spans="1:33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G253" s="31"/>
    </row>
    <row r="254" spans="1:33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G254" s="31"/>
    </row>
    <row r="255" spans="1:33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G255" s="31"/>
    </row>
    <row r="256" spans="1:33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G256" s="31"/>
    </row>
    <row r="257" spans="1:33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G257" s="31"/>
    </row>
    <row r="258" spans="1:33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G258" s="31"/>
    </row>
    <row r="259" spans="1:33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G259" s="31"/>
    </row>
    <row r="260" spans="1:33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G260" s="31"/>
    </row>
    <row r="261" spans="1:33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G261" s="31"/>
    </row>
    <row r="262" spans="1:33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G262" s="31"/>
    </row>
    <row r="263" spans="1:33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G263" s="31"/>
    </row>
    <row r="264" spans="1:33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G264" s="31"/>
    </row>
    <row r="265" spans="1:33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G265" s="31"/>
    </row>
    <row r="266" spans="1:33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G266" s="31"/>
    </row>
    <row r="267" spans="1:33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G267" s="31"/>
    </row>
    <row r="268" spans="1:33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G268" s="31"/>
    </row>
    <row r="269" spans="1:33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G269" s="31"/>
    </row>
    <row r="270" spans="1:33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G270" s="31"/>
    </row>
    <row r="271" spans="1:33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G271" s="31"/>
    </row>
    <row r="272" spans="1:33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G272" s="31"/>
    </row>
    <row r="273" spans="1:33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G273" s="31"/>
    </row>
    <row r="274" spans="1:33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G274" s="31"/>
    </row>
    <row r="275" spans="1:33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G275" s="31"/>
    </row>
    <row r="276" spans="1:33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G276" s="31"/>
    </row>
    <row r="277" spans="1:33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G277" s="31"/>
    </row>
    <row r="278" spans="1:33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G278" s="31"/>
    </row>
    <row r="279" spans="1:33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G279" s="31"/>
    </row>
    <row r="280" spans="1:33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G280" s="31"/>
    </row>
    <row r="281" spans="1:33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G281" s="31"/>
    </row>
    <row r="282" spans="1:33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G282" s="31"/>
    </row>
    <row r="283" spans="1:33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G283" s="31"/>
    </row>
    <row r="284" spans="1:33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G284" s="31"/>
    </row>
    <row r="285" spans="1:33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G285" s="31"/>
    </row>
    <row r="286" spans="1:33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G286" s="31"/>
    </row>
    <row r="287" spans="1:33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G287" s="31"/>
    </row>
    <row r="288" spans="1:33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G288" s="31"/>
    </row>
    <row r="289" spans="1:33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G289" s="31"/>
    </row>
    <row r="290" spans="1:33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G290" s="31"/>
    </row>
    <row r="291" spans="1:33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G291" s="31"/>
    </row>
    <row r="292" spans="1:33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G292" s="31"/>
    </row>
    <row r="293" spans="1:33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G293" s="31"/>
    </row>
    <row r="294" spans="1:33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G294" s="31"/>
    </row>
    <row r="295" spans="1:33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G295" s="31"/>
    </row>
    <row r="296" spans="1:33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G296" s="31"/>
    </row>
    <row r="297" spans="1:33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G297" s="31"/>
    </row>
    <row r="298" spans="1:33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G298" s="31"/>
    </row>
    <row r="299" spans="1:33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G299" s="31"/>
    </row>
    <row r="300" spans="1:33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G300" s="31"/>
    </row>
    <row r="301" spans="1:33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G301" s="31"/>
    </row>
    <row r="302" spans="1:33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G302" s="31"/>
    </row>
    <row r="303" spans="1:33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G303" s="31"/>
    </row>
    <row r="304" spans="1:33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G304" s="31"/>
    </row>
    <row r="305" spans="1:33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G305" s="31"/>
    </row>
    <row r="306" spans="1:33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G306" s="31"/>
    </row>
    <row r="307" spans="1:33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G307" s="31"/>
    </row>
    <row r="308" spans="1:33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G308" s="31"/>
    </row>
    <row r="309" spans="1:33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G309" s="31"/>
    </row>
    <row r="310" spans="1:33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G310" s="31"/>
    </row>
    <row r="311" spans="1:33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G311" s="31"/>
    </row>
    <row r="312" spans="1:33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G312" s="31"/>
    </row>
    <row r="313" spans="1:33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G313" s="31"/>
    </row>
    <row r="314" spans="1:33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G314" s="31"/>
    </row>
    <row r="315" spans="1:33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G315" s="31"/>
    </row>
    <row r="316" spans="1:33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G316" s="31"/>
    </row>
    <row r="317" spans="1:33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G317" s="31"/>
    </row>
    <row r="318" spans="1:33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G318" s="31"/>
    </row>
    <row r="319" spans="1:33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G319" s="31"/>
    </row>
    <row r="320" spans="1:33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G320" s="31"/>
    </row>
    <row r="321" spans="1:33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G321" s="31"/>
    </row>
    <row r="322" spans="1:33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G322" s="31"/>
    </row>
    <row r="323" spans="1:33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G323" s="31"/>
    </row>
    <row r="324" spans="1:33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G324" s="31"/>
    </row>
    <row r="325" spans="1:33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G325" s="31"/>
    </row>
    <row r="326" spans="1:33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G326" s="31"/>
    </row>
    <row r="327" spans="1:33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G327" s="31"/>
    </row>
    <row r="328" spans="1:33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G328" s="31"/>
    </row>
    <row r="329" spans="1:33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G329" s="31"/>
    </row>
    <row r="330" spans="1:33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G330" s="31"/>
    </row>
    <row r="331" spans="1:33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G331" s="31"/>
    </row>
    <row r="332" spans="1:33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G332" s="31"/>
    </row>
    <row r="333" spans="1:33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G333" s="31"/>
    </row>
    <row r="334" spans="1:33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G334" s="31"/>
    </row>
    <row r="335" spans="1:33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G335" s="31"/>
    </row>
    <row r="336" spans="1:33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G336" s="31"/>
    </row>
    <row r="337" spans="1:33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G337" s="31"/>
    </row>
    <row r="338" spans="1:33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G338" s="31"/>
    </row>
    <row r="339" spans="1:33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G339" s="31"/>
    </row>
    <row r="340" spans="1:33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G340" s="31"/>
    </row>
    <row r="341" spans="1:33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G341" s="31"/>
    </row>
    <row r="342" spans="1:33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G342" s="31"/>
    </row>
    <row r="343" spans="1:33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G343" s="31"/>
    </row>
    <row r="344" spans="1:33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G344" s="31"/>
    </row>
    <row r="345" spans="1:33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G345" s="31"/>
    </row>
    <row r="346" spans="1:33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G346" s="31"/>
    </row>
    <row r="347" spans="1:33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G347" s="31"/>
    </row>
    <row r="348" spans="1:33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G348" s="31"/>
    </row>
    <row r="349" spans="1:33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G349" s="31"/>
    </row>
    <row r="350" spans="1:33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G350" s="31"/>
    </row>
    <row r="351" spans="1:33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G351" s="31"/>
    </row>
    <row r="352" spans="1:33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G352" s="31"/>
    </row>
    <row r="353" spans="1:33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G353" s="31"/>
    </row>
    <row r="354" spans="1:33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G354" s="31"/>
    </row>
    <row r="355" spans="1:33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G355" s="31"/>
    </row>
    <row r="356" spans="1:33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G356" s="31"/>
    </row>
    <row r="357" spans="1:33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G357" s="31"/>
    </row>
    <row r="358" spans="1:33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G358" s="31"/>
    </row>
    <row r="359" spans="1:33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G359" s="31"/>
    </row>
    <row r="360" spans="1:33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G360" s="31"/>
    </row>
    <row r="361" spans="1:33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G361" s="31"/>
    </row>
    <row r="362" spans="1:33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G362" s="31"/>
    </row>
    <row r="363" spans="1:33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G363" s="31"/>
    </row>
    <row r="364" spans="1:33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G364" s="31"/>
    </row>
    <row r="365" spans="1:33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G365" s="31"/>
    </row>
    <row r="366" spans="1:33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G366" s="31"/>
    </row>
    <row r="367" spans="1:33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G367" s="31"/>
    </row>
    <row r="368" spans="1:33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G368" s="31"/>
    </row>
    <row r="369" spans="1:33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G369" s="31"/>
    </row>
    <row r="370" spans="1:33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G370" s="31"/>
    </row>
    <row r="371" spans="1:33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G371" s="31"/>
    </row>
    <row r="372" spans="1:33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G372" s="31"/>
    </row>
    <row r="373" spans="1:33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G373" s="31"/>
    </row>
    <row r="374" spans="1:33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G374" s="31"/>
    </row>
    <row r="375" spans="1:33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G375" s="31"/>
    </row>
    <row r="376" spans="1:33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G376" s="31"/>
    </row>
    <row r="377" spans="1:33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G377" s="31"/>
    </row>
    <row r="378" spans="1:33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G378" s="31"/>
    </row>
    <row r="379" spans="1:33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G379" s="31"/>
    </row>
    <row r="380" spans="1:33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G380" s="31"/>
    </row>
    <row r="381" spans="1:33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G381" s="31"/>
    </row>
    <row r="382" spans="1:33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G382" s="31"/>
    </row>
    <row r="383" spans="1:33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G383" s="31"/>
    </row>
    <row r="384" spans="1:33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G384" s="31"/>
    </row>
    <row r="385" spans="1:33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G385" s="31"/>
    </row>
    <row r="386" spans="1:33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G386" s="31"/>
    </row>
    <row r="387" spans="1:33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G387" s="31"/>
    </row>
    <row r="388" spans="1:33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G388" s="31"/>
    </row>
    <row r="389" spans="1:33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G389" s="31"/>
    </row>
    <row r="390" spans="1:33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G390" s="31"/>
    </row>
    <row r="391" spans="1:33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G391" s="31"/>
    </row>
    <row r="392" spans="1:33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G392" s="31"/>
    </row>
    <row r="393" spans="1:33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G393" s="31"/>
    </row>
    <row r="394" spans="1:33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G394" s="31"/>
    </row>
    <row r="395" spans="1:33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G395" s="31"/>
    </row>
    <row r="396" spans="1:33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G396" s="31"/>
    </row>
    <row r="397" spans="1:33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G397" s="31"/>
    </row>
    <row r="398" spans="1:33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G398" s="31"/>
    </row>
    <row r="399" spans="1:33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G399" s="31"/>
    </row>
    <row r="400" spans="1:33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G400" s="31"/>
    </row>
    <row r="401" spans="1:33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G401" s="31"/>
    </row>
    <row r="402" spans="1:33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G402" s="31"/>
    </row>
    <row r="403" spans="1:33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G403" s="31"/>
    </row>
    <row r="404" spans="1:33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G404" s="31"/>
    </row>
    <row r="405" spans="1:33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G405" s="31"/>
    </row>
    <row r="406" spans="1:33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G406" s="31"/>
    </row>
    <row r="407" spans="1:33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G407" s="31"/>
    </row>
    <row r="408" spans="1:33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G408" s="31"/>
    </row>
    <row r="409" spans="1:33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G409" s="31"/>
    </row>
    <row r="410" spans="1:33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G410" s="31"/>
    </row>
    <row r="411" spans="1:33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G411" s="31"/>
    </row>
    <row r="412" spans="1:33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G412" s="31"/>
    </row>
    <row r="413" spans="1:33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G413" s="31"/>
    </row>
    <row r="414" spans="1:33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G414" s="31"/>
    </row>
    <row r="415" spans="1:33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G415" s="31"/>
    </row>
    <row r="416" spans="1:33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G416" s="31"/>
    </row>
    <row r="417" spans="1:33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G417" s="31"/>
    </row>
    <row r="418" spans="1:33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G418" s="31"/>
    </row>
    <row r="419" spans="1:33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G419" s="31"/>
    </row>
    <row r="420" spans="1:33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G420" s="31"/>
    </row>
    <row r="421" spans="1:33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G421" s="31"/>
    </row>
    <row r="422" spans="1:33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G422" s="31"/>
    </row>
    <row r="423" spans="1:33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G423" s="31"/>
    </row>
    <row r="424" spans="1:33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G424" s="31"/>
    </row>
    <row r="425" spans="1:33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G425" s="31"/>
    </row>
    <row r="426" spans="1:33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G426" s="31"/>
    </row>
    <row r="427" spans="1:33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G427" s="31"/>
    </row>
    <row r="428" spans="1:33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G428" s="31"/>
    </row>
    <row r="429" spans="1:33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G429" s="31"/>
    </row>
    <row r="430" spans="1:33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G430" s="31"/>
    </row>
    <row r="431" spans="1:33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G431" s="31"/>
    </row>
    <row r="432" spans="1:33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G432" s="31"/>
    </row>
    <row r="433" spans="1:33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G433" s="31"/>
    </row>
    <row r="434" spans="1:33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G434" s="31"/>
    </row>
    <row r="435" spans="1:33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G435" s="31"/>
    </row>
    <row r="436" spans="1:33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G436" s="31"/>
    </row>
    <row r="437" spans="1:33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G437" s="31"/>
    </row>
    <row r="438" spans="1:33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G438" s="31"/>
    </row>
    <row r="439" spans="1:33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G439" s="31"/>
    </row>
    <row r="440" spans="1:33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G440" s="31"/>
    </row>
    <row r="441" spans="1:33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G441" s="31"/>
    </row>
    <row r="442" spans="1:33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G442" s="31"/>
    </row>
    <row r="443" spans="1:33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G443" s="31"/>
    </row>
    <row r="444" spans="1:33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G444" s="31"/>
    </row>
    <row r="445" spans="1:33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G445" s="31"/>
    </row>
    <row r="446" spans="1:33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G446" s="31"/>
    </row>
    <row r="447" spans="1:33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G447" s="31"/>
    </row>
    <row r="448" spans="1:33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G448" s="31"/>
    </row>
    <row r="449" spans="1:33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G449" s="31"/>
    </row>
    <row r="450" spans="1:33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G450" s="31"/>
    </row>
    <row r="451" spans="1:33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G451" s="31"/>
    </row>
    <row r="452" spans="1:33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G452" s="31"/>
    </row>
    <row r="453" spans="1:33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G453" s="31"/>
    </row>
    <row r="454" spans="1:33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G454" s="31"/>
    </row>
    <row r="455" spans="1:33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G455" s="31"/>
    </row>
    <row r="456" spans="1:33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G456" s="31"/>
    </row>
    <row r="457" spans="1:33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G457" s="31"/>
    </row>
    <row r="458" spans="1:33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G458" s="31"/>
    </row>
    <row r="459" spans="1:33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G459" s="31"/>
    </row>
    <row r="460" spans="1:33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G460" s="31"/>
    </row>
    <row r="461" spans="1:33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G461" s="31"/>
    </row>
    <row r="462" spans="1:33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G462" s="31"/>
    </row>
    <row r="463" spans="1:33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G463" s="31"/>
    </row>
    <row r="464" spans="1:33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G464" s="31"/>
    </row>
    <row r="465" spans="1:33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G465" s="31"/>
    </row>
    <row r="466" spans="1:33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G466" s="31"/>
    </row>
    <row r="467" spans="1:33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G467" s="31"/>
    </row>
    <row r="468" spans="1:33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G468" s="31"/>
    </row>
    <row r="469" spans="1:33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G469" s="31"/>
    </row>
    <row r="470" spans="1:33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G470" s="31"/>
    </row>
    <row r="471" spans="1:33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G471" s="31"/>
    </row>
    <row r="472" spans="1:33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G472" s="31"/>
    </row>
    <row r="473" spans="1:33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G473" s="31"/>
    </row>
    <row r="474" spans="1:33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G474" s="31"/>
    </row>
    <row r="475" spans="1:33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G475" s="31"/>
    </row>
    <row r="476" spans="1:33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G476" s="31"/>
    </row>
    <row r="477" spans="1:33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G477" s="31"/>
    </row>
    <row r="478" spans="1:33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G478" s="31"/>
    </row>
    <row r="479" spans="1:33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G479" s="31"/>
    </row>
    <row r="480" spans="1:33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G480" s="31"/>
    </row>
    <row r="481" spans="1:33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G481" s="31"/>
    </row>
    <row r="482" spans="1:33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G482" s="31"/>
    </row>
    <row r="483" spans="1:33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G483" s="31"/>
    </row>
    <row r="484" spans="1:33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G484" s="31"/>
    </row>
    <row r="485" spans="1:33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G485" s="31"/>
    </row>
    <row r="486" spans="1:33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G486" s="31"/>
    </row>
    <row r="487" spans="1:33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G487" s="31"/>
    </row>
    <row r="488" spans="1:33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G488" s="31"/>
    </row>
    <row r="489" spans="1:33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G489" s="31"/>
    </row>
    <row r="490" spans="1:33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G490" s="31"/>
    </row>
    <row r="491" spans="1:33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G491" s="31"/>
    </row>
    <row r="492" spans="1:33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G492" s="31"/>
    </row>
    <row r="493" spans="1:33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G493" s="31"/>
    </row>
    <row r="494" spans="1:33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G494" s="31"/>
    </row>
    <row r="495" spans="1:33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G495" s="31"/>
    </row>
    <row r="496" spans="1:33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G496" s="31"/>
    </row>
    <row r="497" spans="1:33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G497" s="31"/>
    </row>
    <row r="498" spans="1:33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G498" s="31"/>
    </row>
    <row r="499" spans="1:33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G499" s="31"/>
    </row>
    <row r="500" spans="1:33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G500" s="31"/>
    </row>
    <row r="501" spans="1:33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G501" s="31"/>
    </row>
    <row r="502" spans="1:33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G502" s="31"/>
    </row>
    <row r="503" spans="1:33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G503" s="31"/>
    </row>
    <row r="504" spans="1:33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G504" s="31"/>
    </row>
    <row r="505" spans="1:33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G505" s="31"/>
    </row>
    <row r="506" spans="1:33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G506" s="31"/>
    </row>
    <row r="507" spans="1:33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G507" s="31"/>
    </row>
    <row r="508" spans="1:33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G508" s="31"/>
    </row>
    <row r="509" spans="1:33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G509" s="31"/>
    </row>
    <row r="510" spans="1:33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G510" s="31"/>
    </row>
    <row r="511" spans="1:33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G511" s="31"/>
    </row>
    <row r="512" spans="1:33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G512" s="31"/>
    </row>
    <row r="513" spans="1:33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G513" s="31"/>
    </row>
    <row r="514" spans="1:33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G514" s="31"/>
    </row>
    <row r="515" spans="1:33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G515" s="31"/>
    </row>
    <row r="516" spans="1:33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G516" s="31"/>
    </row>
    <row r="517" spans="1:33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G517" s="31"/>
    </row>
    <row r="518" spans="1:33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G518" s="31"/>
    </row>
    <row r="519" spans="1:33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G519" s="31"/>
    </row>
    <row r="520" spans="1:33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G520" s="31"/>
    </row>
    <row r="521" spans="1:33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G521" s="31"/>
    </row>
    <row r="522" spans="1:33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G522" s="31"/>
    </row>
    <row r="523" spans="1:33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G523" s="31"/>
    </row>
    <row r="524" spans="1:33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G524" s="31"/>
    </row>
    <row r="525" spans="1:33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G525" s="31"/>
    </row>
    <row r="526" spans="1:33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G526" s="31"/>
    </row>
  </sheetData>
  <sheetProtection formatColumns="0" formatRows="0" sort="0" autoFilter="0"/>
  <phoneticPr fontId="19" type="noConversion"/>
  <conditionalFormatting sqref="G2:V40 L41:V42 G41:J42 W2:AJ2 W3:Y3 AA3:AJ3 W4:AJ41 W47:AI47 W48:AJ50 W51:AI51 W52:AJ72 W73:AF73 N3:N44 W43:AJ46 W42:AI42 T96:T101 A101:AC526 A2:F115 G43:V73 A74:AF100">
    <cfRule type="expression" dxfId="102" priority="36">
      <formula>AND($B2&lt;&gt;"",MOD(ROW(),2)=0)</formula>
    </cfRule>
  </conditionalFormatting>
  <conditionalFormatting sqref="D2:D526">
    <cfRule type="expression" dxfId="101" priority="20">
      <formula>ISNUMBER(SEARCH("Blocked",$D2))</formula>
    </cfRule>
    <cfRule type="expression" dxfId="100" priority="21">
      <formula>ISNUMBER(SEARCH("overdue",$D2))</formula>
    </cfRule>
    <cfRule type="expression" dxfId="99" priority="22">
      <formula>ISNUMBER(SEARCH("no target",$D2))</formula>
    </cfRule>
    <cfRule type="expression" dxfId="98" priority="23">
      <formula>ISNUMBER(SEARCH("Review",$D2))</formula>
    </cfRule>
    <cfRule type="expression" dxfId="97" priority="24">
      <formula>OR($D2="On track",$D2="Delivered")</formula>
    </cfRule>
  </conditionalFormatting>
  <conditionalFormatting sqref="J2:O191">
    <cfRule type="expression" dxfId="96" priority="3">
      <formula>$AH2="Yes – needs DB Dev to fix"</formula>
    </cfRule>
  </conditionalFormatting>
  <conditionalFormatting sqref="K41">
    <cfRule type="expression" dxfId="95" priority="286">
      <formula>AND($B41&lt;&gt;"",MOD(ROW(),2)=0)</formula>
    </cfRule>
    <cfRule type="expression" dxfId="94" priority="287">
      <formula>$AH41="Yes – needs DB Dev to fix"</formula>
    </cfRule>
  </conditionalFormatting>
  <conditionalFormatting sqref="K42">
    <cfRule type="expression" dxfId="93" priority="288">
      <formula>AND($B41&lt;&gt;"",MOD(ROW(),2)=0)</formula>
    </cfRule>
    <cfRule type="expression" dxfId="92" priority="289">
      <formula>$AH41="Yes – needs DB Dev to fix"</formula>
    </cfRule>
  </conditionalFormatting>
  <conditionalFormatting sqref="K73:L100">
    <cfRule type="expression" dxfId="91" priority="95">
      <formula>$AD73="Yes – needs DB Dev to fix"</formula>
    </cfRule>
  </conditionalFormatting>
  <conditionalFormatting sqref="K101:L526">
    <cfRule type="expression" dxfId="90" priority="29">
      <formula>$Z101="Yes – needs DB Dev to fix"</formula>
    </cfRule>
  </conditionalFormatting>
  <conditionalFormatting sqref="M73:P100">
    <cfRule type="expression" dxfId="89" priority="280">
      <formula>$AC73="Yes – needs PBI Dev to fix"</formula>
    </cfRule>
  </conditionalFormatting>
  <conditionalFormatting sqref="M101:P526">
    <cfRule type="expression" dxfId="88" priority="282">
      <formula>$Z101="Yes – needs PBI Dev to fix"</formula>
    </cfRule>
  </conditionalFormatting>
  <conditionalFormatting sqref="Q73:Q100">
    <cfRule type="expression" dxfId="87" priority="99">
      <formula>$AD73="Yes – needs PBI Dev to fix"</formula>
    </cfRule>
  </conditionalFormatting>
  <conditionalFormatting sqref="Q101:R526">
    <cfRule type="expression" dxfId="86" priority="31">
      <formula>$Z101="Yes – needs QA to fix"</formula>
    </cfRule>
  </conditionalFormatting>
  <conditionalFormatting sqref="K40:K41 J29 M29:P29 J32:J33 M32:P33 M40:P41 Q2:U115">
    <cfRule type="expression" dxfId="85" priority="10">
      <formula>$AH2="Yes – needs PBI Dev to fix"</formula>
    </cfRule>
  </conditionalFormatting>
  <conditionalFormatting sqref="R73:U100 T96:T101">
    <cfRule type="expression" dxfId="84" priority="101">
      <formula>$AD73="Yes – needs QA to fix"</formula>
    </cfRule>
  </conditionalFormatting>
  <conditionalFormatting sqref="S101:U526">
    <cfRule type="expression" dxfId="83" priority="32">
      <formula>$Z101="Yes – needs DPO Approval to fix"</formula>
    </cfRule>
  </conditionalFormatting>
  <conditionalFormatting sqref="U10:V19">
    <cfRule type="expression" dxfId="82" priority="19">
      <formula>$AH10="Yes – needs PBI Dev to fix"</formula>
    </cfRule>
  </conditionalFormatting>
  <conditionalFormatting sqref="U101:V526">
    <cfRule type="expression" dxfId="81" priority="28">
      <formula>$V101="Yes"</formula>
    </cfRule>
  </conditionalFormatting>
  <conditionalFormatting sqref="U73:W100">
    <cfRule type="expression" dxfId="80" priority="103">
      <formula>$AD73="Yes – needs DPO Approval to fix"</formula>
    </cfRule>
  </conditionalFormatting>
  <conditionalFormatting sqref="U2:Y115">
    <cfRule type="expression" dxfId="79" priority="74">
      <formula>$AH2="Yes – needs QA to fix"</formula>
    </cfRule>
  </conditionalFormatting>
  <conditionalFormatting sqref="X73:Y100">
    <cfRule type="expression" dxfId="78" priority="105">
      <formula>$X73="Yes"</formula>
    </cfRule>
  </conditionalFormatting>
  <conditionalFormatting sqref="Z3">
    <cfRule type="expression" dxfId="77" priority="290">
      <formula>AND($B3&lt;&gt;"",MOD(ROW(),2)=0)</formula>
    </cfRule>
    <cfRule type="expression" dxfId="76" priority="291">
      <formula>$AH3="Yes – needs DPO Approval to fix"</formula>
    </cfRule>
  </conditionalFormatting>
  <conditionalFormatting sqref="Z101:Z526">
    <cfRule type="expression" dxfId="75" priority="25">
      <formula>LEFT($Z101,3)="Yes"</formula>
    </cfRule>
  </conditionalFormatting>
  <conditionalFormatting sqref="Z2:AC2 AA3:AC3 Z4:AC100">
    <cfRule type="expression" dxfId="74" priority="77">
      <formula>$AH2="Yes – needs DPO Approval to fix"</formula>
    </cfRule>
  </conditionalFormatting>
  <conditionalFormatting sqref="AA101:AB526">
    <cfRule type="expression" dxfId="73" priority="33">
      <formula>ISNUMBER(SEARCH("Move old",$AA101))</formula>
    </cfRule>
    <cfRule type="expression" dxfId="72" priority="33">
      <formula>ISNUMBER(SEARCH("log it",$AA101))</formula>
    </cfRule>
    <cfRule type="expression" dxfId="71" priority="33">
      <formula>ISNUMBER(SEARCH("Open rework",$AA101))</formula>
    </cfRule>
    <cfRule type="expression" dxfId="70" priority="34">
      <formula>ISNUMBER(SEARCH("Duplicate",$AA101))</formula>
    </cfRule>
    <cfRule type="expression" dxfId="69" priority="35">
      <formula>$AA101&lt;&gt;""</formula>
    </cfRule>
  </conditionalFormatting>
  <conditionalFormatting sqref="AD2:AD115">
    <cfRule type="expression" dxfId="68" priority="49">
      <formula>$AD2="Yes"</formula>
    </cfRule>
  </conditionalFormatting>
  <conditionalFormatting sqref="AD73:AD100">
    <cfRule type="expression" dxfId="67" priority="107">
      <formula>LEFT($AD73,3)="Yes"</formula>
    </cfRule>
  </conditionalFormatting>
  <conditionalFormatting sqref="AE73:AE100">
    <cfRule type="expression" dxfId="66" priority="113">
      <formula>ISNUMBER(SEARCH("Open rework",$AE73))</formula>
    </cfRule>
    <cfRule type="expression" dxfId="65" priority="114">
      <formula>ISNUMBER(SEARCH("Move old",$AE73))</formula>
    </cfRule>
    <cfRule type="expression" dxfId="64" priority="115">
      <formula>ISNUMBER(SEARCH("log it",$AE73))</formula>
    </cfRule>
    <cfRule type="expression" dxfId="63" priority="116">
      <formula>ISNUMBER(SEARCH("Duplicate",$AE73))</formula>
    </cfRule>
    <cfRule type="expression" dxfId="62" priority="117">
      <formula>$AE73&lt;&gt;""</formula>
    </cfRule>
  </conditionalFormatting>
  <conditionalFormatting sqref="AH2:AH115">
    <cfRule type="expression" dxfId="61" priority="51">
      <formula>LEFT($AH2,3)="Yes"</formula>
    </cfRule>
  </conditionalFormatting>
  <conditionalFormatting sqref="AI2:AI115">
    <cfRule type="expression" dxfId="60" priority="57">
      <formula>ISNUMBER(SEARCH("log it",$AI2))</formula>
    </cfRule>
    <cfRule type="expression" dxfId="59" priority="58">
      <formula>ISNUMBER(SEARCH("Open rework",$AI2))</formula>
    </cfRule>
    <cfRule type="expression" dxfId="58" priority="59">
      <formula>ISNUMBER(SEARCH("Move old",$AI2))</formula>
    </cfRule>
    <cfRule type="expression" dxfId="57" priority="60">
      <formula>ISNUMBER(SEARCH("Duplicate",$AI2))</formula>
    </cfRule>
    <cfRule type="expression" dxfId="56" priority="61">
      <formula>$AI2&lt;&gt;""</formula>
    </cfRule>
  </conditionalFormatting>
  <conditionalFormatting sqref="AJ47">
    <cfRule type="expression" dxfId="55" priority="293">
      <formula>AND($B51&lt;&gt;"",MOD(ROW(),2)=0)</formula>
    </cfRule>
  </conditionalFormatting>
  <conditionalFormatting sqref="M73">
    <cfRule type="expression" dxfId="54" priority="2">
      <formula>$AD73="Yes – needs DB Dev to fix"</formula>
    </cfRule>
  </conditionalFormatting>
  <conditionalFormatting sqref="O101:O113">
    <cfRule type="expression" dxfId="53" priority="1">
      <formula>$AC101="Yes – needs PBI Dev to fix"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W101:W526 AE2:AE72 AA2:AB72 H2:H526 W2:X72 S2:S28 Q2:R73 Z2:Z100 K2:M526 U2:V100 Q74:S526 S30:S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</dataValidations>
  <hyperlinks>
    <hyperlink ref="AJ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AD2:AD72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AD73:AD100 AH2:AH115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262</v>
      </c>
    </row>
    <row r="2" spans="1:5">
      <c r="A2" s="6" t="s">
        <v>263</v>
      </c>
    </row>
    <row r="4" spans="1:5" ht="21.95" customHeight="1">
      <c r="A4" s="5" t="s">
        <v>264</v>
      </c>
      <c r="B4" s="83"/>
      <c r="C4" s="84"/>
      <c r="D4" s="84"/>
      <c r="E4" s="84"/>
    </row>
    <row r="6" spans="1:5" ht="15">
      <c r="A6" s="42" t="s">
        <v>0</v>
      </c>
      <c r="B6" s="81" t="str">
        <f>IF($B$4="","",IFERROR(INDEX('Combined Delivery Data'!$A:$A,MATCH($B$4,'Combined Delivery Data'!$B:$B,0)),""))</f>
        <v/>
      </c>
      <c r="C6" s="85"/>
      <c r="D6" s="85"/>
      <c r="E6" s="86"/>
    </row>
    <row r="7" spans="1:5" ht="15">
      <c r="A7" s="42" t="s">
        <v>265</v>
      </c>
      <c r="B7" s="81" t="str">
        <f>IF($B$4="","",IFERROR(INDEX('Combined Delivery Data'!$C:$C,MATCH($B$4,'Combined Delivery Data'!$B:$B,0)),""))</f>
        <v/>
      </c>
      <c r="C7" s="85"/>
      <c r="D7" s="85"/>
      <c r="E7" s="86"/>
    </row>
    <row r="8" spans="1:5" ht="15">
      <c r="A8" s="42" t="s">
        <v>3</v>
      </c>
      <c r="B8" s="81" t="str">
        <f>IF($B$4="","",IFERROR(INDEX('Combined Delivery Data'!$D:$D,MATCH($B$4,'Combined Delivery Data'!$B:$B,0)),""))</f>
        <v/>
      </c>
      <c r="C8" s="85"/>
      <c r="D8" s="85"/>
      <c r="E8" s="86"/>
    </row>
    <row r="9" spans="1:5" ht="15">
      <c r="A9" s="42" t="s">
        <v>4</v>
      </c>
      <c r="B9" s="81" t="str">
        <f>IF($B$4="","",IFERROR(INDEX('Combined Delivery Data'!$E:$E,MATCH($B$4,'Combined Delivery Data'!$B:$B,0)),""))</f>
        <v/>
      </c>
      <c r="C9" s="85"/>
      <c r="D9" s="85"/>
      <c r="E9" s="86"/>
    </row>
    <row r="10" spans="1:5" ht="15">
      <c r="A10" s="42" t="s">
        <v>5</v>
      </c>
      <c r="B10" s="81" t="str">
        <f>IF($B$4="","",IFERROR(INDEX('Combined Delivery Data'!$F:$F,MATCH($B$4,'Combined Delivery Data'!$B:$B,0)),""))</f>
        <v/>
      </c>
      <c r="C10" s="85"/>
      <c r="D10" s="85"/>
      <c r="E10" s="86"/>
    </row>
    <row r="11" spans="1:5" ht="15">
      <c r="A11" s="42" t="s">
        <v>9</v>
      </c>
      <c r="B11" s="81" t="str">
        <f>IF($B$4="","",IFERROR(INDEX('Combined Delivery Data'!$J:$J,MATCH($B$4,'Combined Delivery Data'!$B:$B,0)),""))</f>
        <v/>
      </c>
      <c r="C11" s="85"/>
      <c r="D11" s="85"/>
      <c r="E11" s="86"/>
    </row>
    <row r="12" spans="1:5" ht="15">
      <c r="A12" s="42" t="s">
        <v>15</v>
      </c>
      <c r="B12" s="81" t="str">
        <f>IF($B$4="","",IFERROR(INDEX('Combined Delivery Data'!$P:$P,MATCH($B$4,'Combined Delivery Data'!$B:$B,0)),""))</f>
        <v/>
      </c>
      <c r="C12" s="85"/>
      <c r="D12" s="85"/>
      <c r="E12" s="86"/>
    </row>
    <row r="13" spans="1:5" ht="15">
      <c r="A13" s="42" t="s">
        <v>20</v>
      </c>
      <c r="B13" s="81" t="str">
        <f>IF($B$4="","",IFERROR(INDEX('Combined Delivery Data'!$U:$U,MATCH($B$4,'Combined Delivery Data'!$B:$B,0)),""))</f>
        <v/>
      </c>
      <c r="C13" s="85"/>
      <c r="D13" s="85"/>
      <c r="E13" s="86"/>
    </row>
    <row r="14" spans="1:5" ht="15">
      <c r="A14" s="42" t="s">
        <v>266</v>
      </c>
      <c r="B14" s="80" t="str">
        <f>IF($B$4="","",IFERROR(INDEX('Combined Delivery Data'!$K:$K,MATCH($B$4,'Combined Delivery Data'!$B:$B,0)),""))</f>
        <v/>
      </c>
      <c r="C14" s="85"/>
      <c r="D14" s="85"/>
      <c r="E14" s="86"/>
    </row>
    <row r="15" spans="1:5" ht="15">
      <c r="A15" s="42" t="s">
        <v>267</v>
      </c>
      <c r="B15" s="80" t="str">
        <f>IF($B$4="","",IFERROR(INDEX('Combined Delivery Data'!$L:$L,MATCH($B$4,'Combined Delivery Data'!$B:$B,0)),""))</f>
        <v/>
      </c>
      <c r="C15" s="85"/>
      <c r="D15" s="85"/>
      <c r="E15" s="86"/>
    </row>
    <row r="16" spans="1:5" ht="15">
      <c r="A16" s="42" t="s">
        <v>268</v>
      </c>
      <c r="B16" s="80" t="str">
        <f>IF($B$4="","",IFERROR(INDEX('Combined Delivery Data'!$M:$M,MATCH($B$4,'Combined Delivery Data'!$B:$B,0)),""))</f>
        <v/>
      </c>
      <c r="C16" s="85"/>
      <c r="D16" s="85"/>
      <c r="E16" s="86"/>
    </row>
    <row r="17" spans="1:5" ht="15">
      <c r="A17" s="42" t="s">
        <v>269</v>
      </c>
      <c r="B17" s="80" t="str">
        <f>IF($B$4="","",IFERROR(INDEX('Combined Delivery Data'!$O:$O,MATCH($B$4,'Combined Delivery Data'!$B:$B,0)),""))</f>
        <v/>
      </c>
      <c r="C17" s="85"/>
      <c r="D17" s="85"/>
      <c r="E17" s="86"/>
    </row>
    <row r="18" spans="1:5" ht="15">
      <c r="A18" s="42" t="s">
        <v>270</v>
      </c>
      <c r="B18" s="80" t="str">
        <f>IF($B$4="","",IFERROR(INDEX('Combined Delivery Data'!$Q:$Q,MATCH($B$4,'Combined Delivery Data'!$B:$B,0)),""))</f>
        <v/>
      </c>
      <c r="C18" s="85"/>
      <c r="D18" s="85"/>
      <c r="E18" s="86"/>
    </row>
    <row r="19" spans="1:5" ht="15">
      <c r="A19" s="42" t="s">
        <v>271</v>
      </c>
      <c r="B19" s="80" t="str">
        <f>IF($B$4="","",IFERROR(INDEX('Combined Delivery Data'!$R:$R,MATCH($B$4,'Combined Delivery Data'!$B:$B,0)),""))</f>
        <v/>
      </c>
      <c r="C19" s="85"/>
      <c r="D19" s="85"/>
      <c r="E19" s="86"/>
    </row>
    <row r="20" spans="1:5" ht="15">
      <c r="A20" s="42" t="s">
        <v>272</v>
      </c>
      <c r="B20" s="80" t="str">
        <f>IF($B$4="","",IFERROR(INDEX('Combined Delivery Data'!$S:$S,MATCH($B$4,'Combined Delivery Data'!$B:$B,0)),""))</f>
        <v/>
      </c>
      <c r="C20" s="85"/>
      <c r="D20" s="85"/>
      <c r="E20" s="86"/>
    </row>
    <row r="21" spans="1:5" ht="15">
      <c r="A21" s="42" t="s">
        <v>28</v>
      </c>
      <c r="B21" s="81" t="str">
        <f>IF($B$4="","",IFERROR(INDEX('Combined Delivery Data'!$T:$T,MATCH($B$4,'Combined Delivery Data'!$B:$B,0)),""))</f>
        <v/>
      </c>
      <c r="C21" s="85"/>
      <c r="D21" s="85"/>
      <c r="E21" s="86"/>
    </row>
    <row r="22" spans="1:5" ht="15">
      <c r="A22" s="42" t="s">
        <v>29</v>
      </c>
      <c r="B22" s="81" t="str">
        <f>IF($B$4="","",IFERROR(INDEX('Combined Delivery Data'!$V:$V,MATCH($B$4,'Combined Delivery Data'!$B:$B,0)),""))</f>
        <v/>
      </c>
      <c r="C22" s="85"/>
      <c r="D22" s="85"/>
      <c r="E22" s="86"/>
    </row>
    <row r="23" spans="1:5" ht="15">
      <c r="A23" s="42" t="s">
        <v>30</v>
      </c>
      <c r="B23" s="80" t="str">
        <f>IF($B$4="","",IFERROR(INDEX('Combined Delivery Data'!$W:$W,MATCH($B$4,'Combined Delivery Data'!$B:$B,0)),""))</f>
        <v/>
      </c>
      <c r="C23" s="85"/>
      <c r="D23" s="85"/>
      <c r="E23" s="86"/>
    </row>
    <row r="24" spans="1:5" ht="15">
      <c r="A24" s="42" t="s">
        <v>33</v>
      </c>
      <c r="B24" s="81" t="str">
        <f>IF($B$4="","",IFERROR(INDEX('Combined Delivery Data'!$Z:$Z,MATCH($B$4,'Combined Delivery Data'!$B:$B,0)),""))</f>
        <v/>
      </c>
      <c r="C24" s="85"/>
      <c r="D24" s="85"/>
      <c r="E24" s="86"/>
    </row>
    <row r="25" spans="1:5" ht="15">
      <c r="A25" s="42" t="s">
        <v>34</v>
      </c>
      <c r="B25" s="81" t="str">
        <f>IF($B$4="","",IFERROR(INDEX('Combined Delivery Data'!$AA:$AA,MATCH($B$4,'Combined Delivery Data'!$B:$B,0)),""))</f>
        <v/>
      </c>
      <c r="C25" s="85"/>
      <c r="D25" s="85"/>
      <c r="E25" s="86"/>
    </row>
    <row r="26" spans="1:5">
      <c r="A26" s="42" t="s">
        <v>273</v>
      </c>
      <c r="B26" s="81" t="str">
        <f>IF($B$4="","",IFERROR(INDEX('Rework Log'!$Q:$Q,MATCH($B$4,'Rework Log'!$P:$P,0)),""))</f>
        <v/>
      </c>
      <c r="C26" s="85"/>
      <c r="D26" s="85"/>
      <c r="E26" s="86"/>
    </row>
    <row r="27" spans="1:5">
      <c r="A27" s="42" t="s">
        <v>274</v>
      </c>
      <c r="B27" s="81" t="str">
        <f>IF($B$4="","",IFERROR(INDEX('Rework Log'!$R:$R,MATCH($B$4,'Rework Log'!$P:$P,0)),""))</f>
        <v/>
      </c>
      <c r="C27" s="85"/>
      <c r="D27" s="85"/>
      <c r="E27" s="86"/>
    </row>
    <row r="28" spans="1:5">
      <c r="A28" s="42" t="s">
        <v>275</v>
      </c>
      <c r="B28" s="81" t="str">
        <f>IF($B$4="","",IFERROR(INDEX('Rework Log'!$S:$S,MATCH($B$4,'Rework Log'!$P:$P,0)),""))</f>
        <v/>
      </c>
      <c r="C28" s="85"/>
      <c r="D28" s="85"/>
      <c r="E28" s="86"/>
    </row>
    <row r="29" spans="1:5">
      <c r="A29" s="42" t="s">
        <v>276</v>
      </c>
      <c r="B29" s="81" t="str">
        <f>IF($B$4="","",IFERROR(INDEX('Rework Log'!$T:$T,MATCH($B$4,'Rework Log'!$P:$P,0)),""))</f>
        <v/>
      </c>
      <c r="C29" s="85"/>
      <c r="D29" s="85"/>
      <c r="E29" s="86"/>
    </row>
    <row r="30" spans="1:5" ht="15.6" customHeight="1">
      <c r="A30" s="42"/>
      <c r="B30" s="81"/>
      <c r="C30" s="85"/>
      <c r="D30" s="85"/>
      <c r="E30" s="86"/>
    </row>
    <row r="31" spans="1:5" ht="15.6" customHeight="1">
      <c r="A31" s="5" t="s">
        <v>35</v>
      </c>
      <c r="B31" s="87" t="str">
        <f>IF($B$4="","",IFERROR(INDEX('Combined Delivery Data'!$AC:$AC,MATCH($B$4,'Combined Delivery Data'!$B:$B,0)),""))</f>
        <v/>
      </c>
      <c r="C31" s="84"/>
      <c r="D31" s="84"/>
      <c r="E31" s="84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3"/>
  <sheetViews>
    <sheetView workbookViewId="0">
      <pane ySplit="2" topLeftCell="A3" activePane="bottomLeft" state="frozen"/>
      <selection pane="bottomLeft" activeCell="K19" sqref="K19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82" t="s">
        <v>277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P1" s="88" t="s">
        <v>278</v>
      </c>
      <c r="Q1" s="88"/>
      <c r="R1" s="88"/>
      <c r="S1" s="88"/>
      <c r="T1" s="88"/>
    </row>
    <row r="2" spans="1:20" ht="30" customHeight="1">
      <c r="A2" s="17" t="s">
        <v>1</v>
      </c>
      <c r="B2" s="17" t="s">
        <v>279</v>
      </c>
      <c r="C2" s="17" t="s">
        <v>280</v>
      </c>
      <c r="D2" s="17" t="s">
        <v>281</v>
      </c>
      <c r="E2" s="17" t="s">
        <v>282</v>
      </c>
      <c r="F2" s="17" t="s">
        <v>283</v>
      </c>
      <c r="G2" s="17" t="s">
        <v>284</v>
      </c>
      <c r="H2" s="30" t="s">
        <v>285</v>
      </c>
      <c r="I2" s="30" t="s">
        <v>286</v>
      </c>
      <c r="J2" s="30" t="s">
        <v>287</v>
      </c>
      <c r="K2" s="30" t="s">
        <v>288</v>
      </c>
      <c r="L2" s="30" t="s">
        <v>289</v>
      </c>
      <c r="M2" s="21" t="s">
        <v>290</v>
      </c>
      <c r="N2" s="21" t="s">
        <v>291</v>
      </c>
      <c r="P2" s="13" t="s">
        <v>1</v>
      </c>
      <c r="Q2" s="13" t="s">
        <v>273</v>
      </c>
      <c r="R2" s="13" t="s">
        <v>274</v>
      </c>
      <c r="S2" s="13" t="s">
        <v>275</v>
      </c>
      <c r="T2" s="13" t="s">
        <v>276</v>
      </c>
    </row>
    <row r="3" spans="1:20">
      <c r="A3" s="33" t="s">
        <v>132</v>
      </c>
      <c r="B3" s="36">
        <v>46230</v>
      </c>
      <c r="C3" s="33" t="s">
        <v>128</v>
      </c>
      <c r="D3" s="33" t="s">
        <v>153</v>
      </c>
      <c r="E3" s="33" t="s">
        <v>133</v>
      </c>
      <c r="F3" s="33" t="s">
        <v>292</v>
      </c>
      <c r="G3" s="33" t="s">
        <v>47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30 d</v>
      </c>
      <c r="N3" t="s">
        <v>47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140</v>
      </c>
      <c r="B4" s="32">
        <v>46237</v>
      </c>
      <c r="C4" s="31" t="s">
        <v>128</v>
      </c>
      <c r="D4" s="31" t="s">
        <v>153</v>
      </c>
      <c r="E4" s="31" t="s">
        <v>133</v>
      </c>
      <c r="F4" s="31" t="s">
        <v>293</v>
      </c>
      <c r="G4" s="31" t="s">
        <v>47</v>
      </c>
      <c r="H4" s="32"/>
      <c r="I4" s="32"/>
      <c r="J4" s="32">
        <v>46247</v>
      </c>
      <c r="K4" s="31" t="s">
        <v>57</v>
      </c>
      <c r="L4" s="31" t="s">
        <v>294</v>
      </c>
      <c r="M4" s="3" t="str">
        <f t="shared" ref="M4:M67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47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 ht="15">
      <c r="A5" s="55" t="s">
        <v>117</v>
      </c>
      <c r="B5" s="32">
        <v>46238</v>
      </c>
      <c r="C5" s="31" t="s">
        <v>128</v>
      </c>
      <c r="D5" s="31" t="s">
        <v>153</v>
      </c>
      <c r="E5" s="31" t="s">
        <v>119</v>
      </c>
      <c r="F5" s="31" t="s">
        <v>295</v>
      </c>
      <c r="G5" s="31" t="s">
        <v>47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47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>
      <c r="A6" s="55" t="s">
        <v>130</v>
      </c>
      <c r="B6" s="32">
        <v>46234</v>
      </c>
      <c r="C6" s="31" t="s">
        <v>128</v>
      </c>
      <c r="D6" s="31" t="s">
        <v>153</v>
      </c>
      <c r="E6" s="31" t="s">
        <v>119</v>
      </c>
      <c r="F6" s="31" t="s">
        <v>296</v>
      </c>
      <c r="G6" s="31" t="s">
        <v>47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47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>
      <c r="A7" s="55" t="s">
        <v>123</v>
      </c>
      <c r="B7" s="32">
        <v>46239</v>
      </c>
      <c r="C7" s="31" t="s">
        <v>128</v>
      </c>
      <c r="D7" s="31" t="s">
        <v>153</v>
      </c>
      <c r="E7" s="31" t="s">
        <v>119</v>
      </c>
      <c r="F7" s="31" t="s">
        <v>297</v>
      </c>
      <c r="G7" s="31" t="s">
        <v>47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47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>
      <c r="A8" s="55" t="s">
        <v>123</v>
      </c>
      <c r="B8" s="32">
        <v>46246</v>
      </c>
      <c r="C8" s="31" t="s">
        <v>128</v>
      </c>
      <c r="D8" s="31" t="s">
        <v>153</v>
      </c>
      <c r="E8" s="31" t="s">
        <v>119</v>
      </c>
      <c r="F8" s="31" t="s">
        <v>298</v>
      </c>
      <c r="G8" s="31" t="s">
        <v>47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299</v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 ht="15">
      <c r="A9" s="31" t="s">
        <v>140</v>
      </c>
      <c r="B9" s="32">
        <v>46251</v>
      </c>
      <c r="C9" s="31" t="s">
        <v>128</v>
      </c>
      <c r="D9" s="31" t="s">
        <v>153</v>
      </c>
      <c r="E9" s="31" t="s">
        <v>133</v>
      </c>
      <c r="F9" s="31" t="s">
        <v>300</v>
      </c>
      <c r="G9" s="31" t="s">
        <v>47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299</v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>
      <c r="A10" s="31" t="s">
        <v>132</v>
      </c>
      <c r="B10" s="32">
        <v>46237</v>
      </c>
      <c r="C10" s="31" t="s">
        <v>128</v>
      </c>
      <c r="D10" s="31" t="s">
        <v>153</v>
      </c>
      <c r="E10" s="31" t="s">
        <v>133</v>
      </c>
      <c r="F10" s="31" t="s">
        <v>293</v>
      </c>
      <c r="G10" s="31" t="s">
        <v>47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299</v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 ht="15">
      <c r="A11" s="55" t="s">
        <v>123</v>
      </c>
      <c r="B11" s="32">
        <v>46254</v>
      </c>
      <c r="C11" s="31" t="s">
        <v>128</v>
      </c>
      <c r="D11" s="31" t="s">
        <v>153</v>
      </c>
      <c r="E11" s="31" t="s">
        <v>119</v>
      </c>
      <c r="F11" s="31" t="s">
        <v>295</v>
      </c>
      <c r="G11" s="31" t="s">
        <v>47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47</v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 ht="15">
      <c r="A12" s="55" t="s">
        <v>138</v>
      </c>
      <c r="B12" s="32">
        <v>46254</v>
      </c>
      <c r="C12" s="31" t="s">
        <v>128</v>
      </c>
      <c r="D12" s="31" t="s">
        <v>153</v>
      </c>
      <c r="E12" s="31" t="s">
        <v>133</v>
      </c>
      <c r="F12" s="31" t="s">
        <v>301</v>
      </c>
      <c r="G12" s="31" t="s">
        <v>47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302</v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 ht="15">
      <c r="A13" s="55" t="s">
        <v>127</v>
      </c>
      <c r="B13" s="32">
        <v>46258</v>
      </c>
      <c r="C13" s="31" t="s">
        <v>128</v>
      </c>
      <c r="D13" s="31" t="s">
        <v>153</v>
      </c>
      <c r="E13" s="31" t="s">
        <v>119</v>
      </c>
      <c r="F13" s="31" t="s">
        <v>303</v>
      </c>
      <c r="G13" s="31" t="s">
        <v>50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302</v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 ht="15">
      <c r="A14" s="31" t="s">
        <v>135</v>
      </c>
      <c r="B14" s="32">
        <v>46258</v>
      </c>
      <c r="C14" s="31" t="s">
        <v>128</v>
      </c>
      <c r="D14" s="31" t="s">
        <v>149</v>
      </c>
      <c r="E14" s="31" t="s">
        <v>133</v>
      </c>
      <c r="F14" s="31" t="s">
        <v>304</v>
      </c>
      <c r="G14" s="31" t="s">
        <v>50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47</v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 ht="15">
      <c r="A15" s="31" t="s">
        <v>143</v>
      </c>
      <c r="B15" s="32">
        <v>46258</v>
      </c>
      <c r="C15" s="31" t="s">
        <v>128</v>
      </c>
      <c r="D15" s="31" t="s">
        <v>149</v>
      </c>
      <c r="E15" s="31" t="s">
        <v>133</v>
      </c>
      <c r="F15" s="31" t="s">
        <v>305</v>
      </c>
      <c r="G15" s="31" t="s">
        <v>47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302</v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 ht="15">
      <c r="A16" s="31" t="s">
        <v>137</v>
      </c>
      <c r="B16" s="32">
        <v>46258</v>
      </c>
      <c r="C16" s="31" t="s">
        <v>128</v>
      </c>
      <c r="D16" s="31" t="s">
        <v>153</v>
      </c>
      <c r="E16" s="31" t="s">
        <v>133</v>
      </c>
      <c r="F16" s="31" t="s">
        <v>306</v>
      </c>
      <c r="G16" s="31" t="s">
        <v>50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302</v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 ht="15">
      <c r="A17" s="31"/>
      <c r="B17" s="32"/>
      <c r="C17" s="31" t="s">
        <v>128</v>
      </c>
      <c r="D17" s="31"/>
      <c r="E17" s="31"/>
      <c r="F17" s="31"/>
      <c r="G17" s="31" t="s">
        <v>50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>IF($P17="","",COUNTIF($A$3:$A$500,$P17))</f>
        <v>0</v>
      </c>
      <c r="R17">
        <f>IF($P17="","",SUMPRODUCT(($A$3:$A$500=$P17)*($G$3:$G$500&lt;&gt;"Yes")*($G$3:$G$500&lt;&gt;"Did not pass re-test")))</f>
        <v>0</v>
      </c>
      <c r="S17" s="28" t="str">
        <f>IF($P17="","",IF(SUMPRODUCT(MAX(($A$3:$A$500=$P17)*ROW($A$3:$A$500)))=0,"",INDEX($B:$B,SUMPRODUCT(MAX(($A$3:$A$500=$P17)*ROW($A$3:$A$500))))))</f>
        <v/>
      </c>
      <c r="T17" t="str">
        <f>IF($P17="","",IF(SUMPRODUCT(MAX(($A$3:$A$500=$P17)*ROW($A$3:$A$500)))=0,"",INDEX($C:$C,SUMPRODUCT(MAX(($A$3:$A$500=$P17)*ROW($A$3:$A$500))))&amp;" -&gt; "&amp;INDEX($D:$D,SUMPRODUCT(MAX(($A$3:$A$500=$P17)*ROW($A$3:$A$500))))))</f>
        <v/>
      </c>
    </row>
    <row r="18" spans="1:20" ht="15">
      <c r="A18" s="31"/>
      <c r="B18" s="32"/>
      <c r="C18" s="31" t="s">
        <v>128</v>
      </c>
      <c r="D18" s="31"/>
      <c r="E18" s="31"/>
      <c r="F18" s="31"/>
      <c r="G18" s="31" t="s">
        <v>50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 ht="15">
      <c r="A19" s="31"/>
      <c r="B19" s="32"/>
      <c r="C19" s="31" t="s">
        <v>128</v>
      </c>
      <c r="D19" s="31"/>
      <c r="E19" s="31"/>
      <c r="F19" s="31"/>
      <c r="G19" s="31" t="s">
        <v>50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 ht="15">
      <c r="A20" s="31"/>
      <c r="B20" s="32"/>
      <c r="C20" s="31" t="s">
        <v>128</v>
      </c>
      <c r="D20" s="31"/>
      <c r="E20" s="31"/>
      <c r="F20" s="31"/>
      <c r="G20" s="31" t="s">
        <v>50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 ht="15">
      <c r="A21" s="31"/>
      <c r="B21" s="32"/>
      <c r="C21" s="31" t="s">
        <v>128</v>
      </c>
      <c r="D21" s="31"/>
      <c r="E21" s="31"/>
      <c r="F21" s="31"/>
      <c r="G21" s="31" t="s">
        <v>50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 ht="15">
      <c r="A22" s="31"/>
      <c r="B22" s="32"/>
      <c r="C22" s="31" t="s">
        <v>128</v>
      </c>
      <c r="D22" s="31"/>
      <c r="E22" s="31"/>
      <c r="F22" s="31"/>
      <c r="G22" s="31" t="s">
        <v>50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 ht="15">
      <c r="A23" s="31"/>
      <c r="B23" s="32"/>
      <c r="C23" s="31" t="s">
        <v>128</v>
      </c>
      <c r="D23" s="31"/>
      <c r="E23" s="31"/>
      <c r="F23" s="31"/>
      <c r="G23" s="31" t="s">
        <v>50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 ht="15">
      <c r="A24" s="31"/>
      <c r="B24" s="32"/>
      <c r="C24" s="31" t="s">
        <v>128</v>
      </c>
      <c r="D24" s="31"/>
      <c r="E24" s="31"/>
      <c r="F24" s="31"/>
      <c r="G24" s="31" t="s">
        <v>50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 ht="15">
      <c r="A25" s="31"/>
      <c r="B25" s="32"/>
      <c r="C25" s="31" t="s">
        <v>128</v>
      </c>
      <c r="D25" s="31"/>
      <c r="E25" s="31"/>
      <c r="F25" s="31"/>
      <c r="G25" s="31" t="s">
        <v>50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 ht="15">
      <c r="A26" s="31"/>
      <c r="B26" s="32"/>
      <c r="C26" s="31" t="s">
        <v>128</v>
      </c>
      <c r="D26" s="31"/>
      <c r="E26" s="31"/>
      <c r="F26" s="31"/>
      <c r="G26" s="31" t="s">
        <v>50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 ht="15">
      <c r="A27" s="31"/>
      <c r="B27" s="32"/>
      <c r="C27" s="31" t="s">
        <v>128</v>
      </c>
      <c r="D27" s="31"/>
      <c r="E27" s="31"/>
      <c r="F27" s="31"/>
      <c r="G27" s="31" t="s">
        <v>50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 ht="15">
      <c r="A28" s="31"/>
      <c r="B28" s="32"/>
      <c r="C28" s="31" t="s">
        <v>128</v>
      </c>
      <c r="D28" s="31"/>
      <c r="E28" s="31"/>
      <c r="F28" s="31"/>
      <c r="G28" s="31" t="s">
        <v>50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 ht="15">
      <c r="A29" s="31"/>
      <c r="B29" s="32"/>
      <c r="C29" s="31" t="s">
        <v>128</v>
      </c>
      <c r="D29" s="31"/>
      <c r="E29" s="31"/>
      <c r="F29" s="31"/>
      <c r="G29" s="31" t="s">
        <v>50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 ht="15">
      <c r="A30" s="31"/>
      <c r="B30" s="32"/>
      <c r="C30" s="31" t="s">
        <v>128</v>
      </c>
      <c r="D30" s="31"/>
      <c r="E30" s="31"/>
      <c r="F30" s="31"/>
      <c r="G30" s="31" t="s">
        <v>50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 ht="15">
      <c r="A31" s="31"/>
      <c r="B31" s="32"/>
      <c r="C31" s="31" t="s">
        <v>128</v>
      </c>
      <c r="D31" s="31"/>
      <c r="E31" s="31"/>
      <c r="F31" s="31"/>
      <c r="G31" s="31" t="s">
        <v>50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0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 ht="15">
      <c r="A32" s="31"/>
      <c r="B32" s="32"/>
      <c r="C32" s="31" t="s">
        <v>128</v>
      </c>
      <c r="D32" s="31"/>
      <c r="E32" s="31"/>
      <c r="F32" s="31"/>
      <c r="G32" s="31" t="s">
        <v>50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3</v>
      </c>
      <c r="R32">
        <f>IF($P32="","",SUMPRODUCT(($A$3:$A$500=$P32)*($G$3:$G$500&lt;&gt;"Yes")*($G$3:$G$500&lt;&gt;"Did not pass re-test")))</f>
        <v>0</v>
      </c>
      <c r="S32" s="28">
        <f>IF($P32="","",IF(SUMPRODUCT(MAX(($A$3:$A$500=$P32)*ROW($A$3:$A$500)))=0,"",INDEX($B:$B,SUMPRODUCT(MAX(($A$3:$A$500=$P32)*ROW($A$3:$A$500))))))</f>
        <v>46254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 ht="15">
      <c r="A33" s="31"/>
      <c r="B33" s="32"/>
      <c r="C33" s="31" t="s">
        <v>128</v>
      </c>
      <c r="D33" s="31"/>
      <c r="E33" s="31"/>
      <c r="F33" s="31"/>
      <c r="G33" s="31" t="s">
        <v>50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 ht="15">
      <c r="A34" s="31"/>
      <c r="B34" s="32"/>
      <c r="C34" s="31" t="s">
        <v>128</v>
      </c>
      <c r="D34" s="31"/>
      <c r="E34" s="31"/>
      <c r="F34" s="31"/>
      <c r="G34" s="31" t="s">
        <v>50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1</v>
      </c>
      <c r="R34">
        <f>IF($P34="","",SUMPRODUCT(($A$3:$A$500=$P34)*($G$3:$G$500&lt;&gt;"Yes")*($G$3:$G$500&lt;&gt;"Did not pass re-test")))</f>
        <v>1</v>
      </c>
      <c r="S34" s="28">
        <f>IF($P34="","",IF(SUMPRODUCT(MAX(($A$3:$A$500=$P34)*ROW($A$3:$A$500)))=0,"",INDEX($B:$B,SUMPRODUCT(MAX(($A$3:$A$500=$P34)*ROW($A$3:$A$500))))))</f>
        <v>46258</v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>QA -&gt; DB Dev</v>
      </c>
    </row>
    <row r="35" spans="1:20" ht="15">
      <c r="A35" s="31"/>
      <c r="B35" s="32"/>
      <c r="C35" s="31" t="s">
        <v>128</v>
      </c>
      <c r="D35" s="31"/>
      <c r="E35" s="31"/>
      <c r="F35" s="31"/>
      <c r="G35" s="31" t="s">
        <v>50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0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 ht="15">
      <c r="A36" s="31"/>
      <c r="B36" s="32"/>
      <c r="C36" s="31" t="s">
        <v>128</v>
      </c>
      <c r="D36" s="31"/>
      <c r="E36" s="31"/>
      <c r="F36" s="31"/>
      <c r="G36" s="31" t="s">
        <v>50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2</v>
      </c>
      <c r="R36">
        <f>IF($P36="","",SUMPRODUCT(($A$3:$A$500=$P36)*($G$3:$G$500&lt;&gt;"Yes")*($G$3:$G$500&lt;&gt;"Did not pass re-test")))</f>
        <v>0</v>
      </c>
      <c r="S36" s="28">
        <f>IF($P36="","",IF(SUMPRODUCT(MAX(($A$3:$A$500=$P36)*ROW($A$3:$A$500)))=0,"",INDEX($B:$B,SUMPRODUCT(MAX(($A$3:$A$500=$P36)*ROW($A$3:$A$500))))))</f>
        <v>46237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 ht="15">
      <c r="A37" s="31"/>
      <c r="B37" s="32"/>
      <c r="C37" s="31" t="s">
        <v>128</v>
      </c>
      <c r="D37" s="31"/>
      <c r="E37" s="31"/>
      <c r="F37" s="31"/>
      <c r="G37" s="31" t="s">
        <v>50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1</v>
      </c>
      <c r="R37">
        <f>IF($P37="","",SUMPRODUCT(($A$3:$A$500=$P37)*($G$3:$G$500&lt;&gt;"Yes")*($G$3:$G$500&lt;&gt;"Did not pass re-test")))</f>
        <v>1</v>
      </c>
      <c r="S37" s="28">
        <f>IF($P37="","",IF(SUMPRODUCT(MAX(($A$3:$A$500=$P37)*ROW($A$3:$A$500)))=0,"",INDEX($B:$B,SUMPRODUCT(MAX(($A$3:$A$500=$P37)*ROW($A$3:$A$500))))))</f>
        <v>46258</v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>QA -&gt; PBI Dev</v>
      </c>
    </row>
    <row r="38" spans="1:20" ht="15">
      <c r="A38" s="31"/>
      <c r="B38" s="32"/>
      <c r="C38" s="31" t="s">
        <v>128</v>
      </c>
      <c r="D38" s="31"/>
      <c r="E38" s="31"/>
      <c r="F38" s="31"/>
      <c r="G38" s="31" t="s">
        <v>50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1</v>
      </c>
      <c r="R38">
        <f>IF($P38="","",SUMPRODUCT(($A$3:$A$500=$P38)*($G$3:$G$500&lt;&gt;"Yes")*($G$3:$G$500&lt;&gt;"Did not pass re-test")))</f>
        <v>1</v>
      </c>
      <c r="S38" s="28">
        <f>IF($P38="","",IF(SUMPRODUCT(MAX(($A$3:$A$500=$P38)*ROW($A$3:$A$500)))=0,"",INDEX($B:$B,SUMPRODUCT(MAX(($A$3:$A$500=$P38)*ROW($A$3:$A$500))))))</f>
        <v>46258</v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>QA -&gt; DB Dev</v>
      </c>
    </row>
    <row r="39" spans="1:20" ht="15">
      <c r="A39" s="31"/>
      <c r="B39" s="32"/>
      <c r="C39" s="31" t="s">
        <v>128</v>
      </c>
      <c r="D39" s="31"/>
      <c r="E39" s="31"/>
      <c r="F39" s="31"/>
      <c r="G39" s="31" t="s">
        <v>50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1</v>
      </c>
      <c r="R39">
        <f>IF($P39="","",SUMPRODUCT(($A$3:$A$500=$P39)*($G$3:$G$500&lt;&gt;"Yes")*($G$3:$G$500&lt;&gt;"Did not pass re-test")))</f>
        <v>0</v>
      </c>
      <c r="S39" s="28">
        <f>IF($P39="","",IF(SUMPRODUCT(MAX(($A$3:$A$500=$P39)*ROW($A$3:$A$500)))=0,"",INDEX($B:$B,SUMPRODUCT(MAX(($A$3:$A$500=$P39)*ROW($A$3:$A$500))))))</f>
        <v>46254</v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>QA -&gt; DB Dev</v>
      </c>
    </row>
    <row r="40" spans="1:20" ht="15">
      <c r="A40" s="31"/>
      <c r="B40" s="32"/>
      <c r="C40" s="31" t="s">
        <v>128</v>
      </c>
      <c r="D40" s="31"/>
      <c r="E40" s="31"/>
      <c r="F40" s="31"/>
      <c r="G40" s="31" t="s">
        <v>50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2</v>
      </c>
      <c r="R40">
        <f>IF($P40="","",SUMPRODUCT(($A$3:$A$500=$P40)*($G$3:$G$500&lt;&gt;"Yes")*($G$3:$G$500&lt;&gt;"Did not pass re-test")))</f>
        <v>0</v>
      </c>
      <c r="S40" s="28">
        <f>IF($P40="","",IF(SUMPRODUCT(MAX(($A$3:$A$500=$P40)*ROW($A$3:$A$500)))=0,"",INDEX($B:$B,SUMPRODUCT(MAX(($A$3:$A$500=$P40)*ROW($A$3:$A$500))))))</f>
        <v>46251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 ht="15">
      <c r="A41" s="31"/>
      <c r="B41" s="32"/>
      <c r="C41" s="31" t="s">
        <v>128</v>
      </c>
      <c r="D41" s="31"/>
      <c r="E41" s="31"/>
      <c r="F41" s="31"/>
      <c r="G41" s="31" t="s">
        <v>50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1</v>
      </c>
      <c r="R41">
        <f>IF($P41="","",SUMPRODUCT(($A$3:$A$500=$P41)*($G$3:$G$500&lt;&gt;"Yes")*($G$3:$G$500&lt;&gt;"Did not pass re-test")))</f>
        <v>0</v>
      </c>
      <c r="S41" s="28">
        <f>IF($P41="","",IF(SUMPRODUCT(MAX(($A$3:$A$500=$P41)*ROW($A$3:$A$500)))=0,"",INDEX($B:$B,SUMPRODUCT(MAX(($A$3:$A$500=$P41)*ROW($A$3:$A$500))))))</f>
        <v>46258</v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>QA -&gt; PBI Dev</v>
      </c>
    </row>
    <row r="42" spans="1:20" ht="15">
      <c r="A42" s="31"/>
      <c r="B42" s="32"/>
      <c r="C42" s="31" t="s">
        <v>128</v>
      </c>
      <c r="D42" s="31"/>
      <c r="E42" s="31"/>
      <c r="F42" s="31"/>
      <c r="G42" s="31" t="s">
        <v>50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 ht="15">
      <c r="A43" s="31"/>
      <c r="B43" s="32"/>
      <c r="C43" s="31" t="s">
        <v>128</v>
      </c>
      <c r="D43" s="31"/>
      <c r="E43" s="31"/>
      <c r="F43" s="31"/>
      <c r="G43" s="31" t="s">
        <v>50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 ht="15">
      <c r="A44" s="31"/>
      <c r="B44" s="32"/>
      <c r="C44" s="31" t="s">
        <v>128</v>
      </c>
      <c r="D44" s="31"/>
      <c r="E44" s="31"/>
      <c r="F44" s="31"/>
      <c r="G44" s="31" t="s">
        <v>50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 ht="15">
      <c r="A45" s="31"/>
      <c r="B45" s="32"/>
      <c r="C45" s="31" t="s">
        <v>128</v>
      </c>
      <c r="D45" s="31"/>
      <c r="E45" s="31"/>
      <c r="F45" s="31"/>
      <c r="G45" s="31" t="s">
        <v>50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 ht="15">
      <c r="A46" s="31"/>
      <c r="B46" s="32"/>
      <c r="C46" s="31" t="s">
        <v>128</v>
      </c>
      <c r="D46" s="31"/>
      <c r="E46" s="31"/>
      <c r="F46" s="31"/>
      <c r="G46" s="31" t="s">
        <v>50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 ht="15">
      <c r="A47" s="31"/>
      <c r="B47" s="32"/>
      <c r="C47" s="31" t="s">
        <v>128</v>
      </c>
      <c r="D47" s="31"/>
      <c r="E47" s="31"/>
      <c r="F47" s="31"/>
      <c r="G47" s="31" t="s">
        <v>50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 ht="15">
      <c r="A48" s="31"/>
      <c r="B48" s="32"/>
      <c r="C48" s="31" t="s">
        <v>128</v>
      </c>
      <c r="D48" s="31"/>
      <c r="E48" s="31"/>
      <c r="F48" s="31"/>
      <c r="G48" s="31" t="s">
        <v>50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 ht="15">
      <c r="A49" s="31"/>
      <c r="B49" s="32"/>
      <c r="C49" s="31" t="s">
        <v>128</v>
      </c>
      <c r="D49" s="31"/>
      <c r="E49" s="31"/>
      <c r="F49" s="31"/>
      <c r="G49" s="31" t="s">
        <v>50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 ht="15">
      <c r="A50" s="31"/>
      <c r="B50" s="32"/>
      <c r="C50" s="31" t="s">
        <v>128</v>
      </c>
      <c r="D50" s="31"/>
      <c r="E50" s="31"/>
      <c r="F50" s="31"/>
      <c r="G50" s="31" t="s">
        <v>50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 ht="15">
      <c r="A51" s="31"/>
      <c r="B51" s="32"/>
      <c r="C51" s="31" t="s">
        <v>128</v>
      </c>
      <c r="D51" s="31"/>
      <c r="E51" s="31"/>
      <c r="F51" s="31"/>
      <c r="G51" s="31" t="s">
        <v>50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0</v>
      </c>
      <c r="R51">
        <f>IF($P51="","",SUMPRODUCT(($A$3:$A$500=$P51)*($G$3:$G$500&lt;&gt;"Yes")*($G$3:$G$500&lt;&gt;"Did not pass re-test")))</f>
        <v>0</v>
      </c>
      <c r="S51" s="28" t="str">
        <f>IF($P51="","",IF(SUMPRODUCT(MAX(($A$3:$A$500=$P51)*ROW($A$3:$A$500)))=0,"",INDEX($B:$B,SUMPRODUCT(MAX(($A$3:$A$500=$P51)*ROW($A$3:$A$500))))))</f>
        <v/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/>
      </c>
    </row>
    <row r="52" spans="1:20" ht="15">
      <c r="A52" s="31"/>
      <c r="B52" s="32"/>
      <c r="C52" s="31" t="s">
        <v>128</v>
      </c>
      <c r="D52" s="31"/>
      <c r="E52" s="31"/>
      <c r="F52" s="31"/>
      <c r="G52" s="31" t="s">
        <v>50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 ht="15">
      <c r="A53" s="31"/>
      <c r="B53" s="32"/>
      <c r="C53" s="31" t="s">
        <v>128</v>
      </c>
      <c r="D53" s="31"/>
      <c r="E53" s="31"/>
      <c r="F53" s="31"/>
      <c r="G53" s="31" t="s">
        <v>50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 ht="15">
      <c r="A54" s="31"/>
      <c r="B54" s="32"/>
      <c r="C54" s="31" t="s">
        <v>128</v>
      </c>
      <c r="D54" s="31"/>
      <c r="E54" s="31"/>
      <c r="F54" s="31"/>
      <c r="G54" s="31" t="s">
        <v>50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 ht="15">
      <c r="A55" s="31"/>
      <c r="B55" s="32"/>
      <c r="C55" s="31" t="s">
        <v>128</v>
      </c>
      <c r="D55" s="31"/>
      <c r="E55" s="31"/>
      <c r="F55" s="31"/>
      <c r="G55" s="31" t="s">
        <v>50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 ht="15">
      <c r="A56" s="31"/>
      <c r="B56" s="32"/>
      <c r="C56" s="31" t="s">
        <v>128</v>
      </c>
      <c r="D56" s="31"/>
      <c r="E56" s="31"/>
      <c r="F56" s="31"/>
      <c r="G56" s="31" t="s">
        <v>50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 ht="15">
      <c r="A57" s="31"/>
      <c r="B57" s="32"/>
      <c r="C57" s="31" t="s">
        <v>128</v>
      </c>
      <c r="D57" s="31"/>
      <c r="E57" s="31"/>
      <c r="F57" s="31"/>
      <c r="G57" s="31" t="s">
        <v>50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 ht="15">
      <c r="A58" s="31"/>
      <c r="B58" s="32"/>
      <c r="C58" s="31" t="s">
        <v>128</v>
      </c>
      <c r="D58" s="31"/>
      <c r="E58" s="31"/>
      <c r="F58" s="31"/>
      <c r="G58" s="31" t="s">
        <v>50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 ht="15">
      <c r="A59" s="31"/>
      <c r="B59" s="32"/>
      <c r="C59" s="31" t="s">
        <v>128</v>
      </c>
      <c r="D59" s="31"/>
      <c r="E59" s="31"/>
      <c r="F59" s="31"/>
      <c r="G59" s="31" t="s">
        <v>50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 ht="15">
      <c r="A60" s="31"/>
      <c r="B60" s="32"/>
      <c r="C60" s="31" t="s">
        <v>128</v>
      </c>
      <c r="D60" s="31"/>
      <c r="E60" s="31"/>
      <c r="F60" s="31"/>
      <c r="G60" s="31" t="s">
        <v>50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 ht="15">
      <c r="A61" s="31"/>
      <c r="B61" s="32"/>
      <c r="C61" s="31" t="s">
        <v>128</v>
      </c>
      <c r="D61" s="31"/>
      <c r="E61" s="31"/>
      <c r="F61" s="31"/>
      <c r="G61" s="31" t="s">
        <v>50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 ht="15">
      <c r="A62" s="31"/>
      <c r="B62" s="32"/>
      <c r="C62" s="31" t="s">
        <v>128</v>
      </c>
      <c r="D62" s="31"/>
      <c r="E62" s="31"/>
      <c r="F62" s="31"/>
      <c r="G62" s="31" t="s">
        <v>50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 ht="15">
      <c r="A63" s="31"/>
      <c r="B63" s="32"/>
      <c r="C63" s="31" t="s">
        <v>128</v>
      </c>
      <c r="D63" s="31"/>
      <c r="E63" s="31"/>
      <c r="F63" s="31"/>
      <c r="G63" s="31" t="s">
        <v>50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 ht="15">
      <c r="A64" s="31"/>
      <c r="B64" s="32"/>
      <c r="C64" s="31" t="s">
        <v>128</v>
      </c>
      <c r="D64" s="31"/>
      <c r="E64" s="31"/>
      <c r="F64" s="31"/>
      <c r="G64" s="31" t="s">
        <v>50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 ht="15">
      <c r="A65" s="31"/>
      <c r="B65" s="32"/>
      <c r="C65" s="31" t="s">
        <v>128</v>
      </c>
      <c r="D65" s="31"/>
      <c r="E65" s="31"/>
      <c r="F65" s="31"/>
      <c r="G65" s="31" t="s">
        <v>50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 ht="15">
      <c r="A66" s="31"/>
      <c r="B66" s="32"/>
      <c r="C66" s="31" t="s">
        <v>128</v>
      </c>
      <c r="D66" s="31"/>
      <c r="E66" s="31"/>
      <c r="F66" s="31"/>
      <c r="G66" s="31" t="s">
        <v>50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 ht="15">
      <c r="A67" s="31"/>
      <c r="B67" s="32"/>
      <c r="C67" s="31" t="s">
        <v>128</v>
      </c>
      <c r="D67" s="31"/>
      <c r="E67" s="31"/>
      <c r="F67" s="31"/>
      <c r="G67" s="31" t="s">
        <v>50</v>
      </c>
      <c r="H67" s="32"/>
      <c r="I67" s="32"/>
      <c r="J67" s="32"/>
      <c r="K67" s="31"/>
      <c r="L67" s="31"/>
      <c r="M67" s="3" t="str">
        <f t="shared" ca="1" si="0"/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 ht="15">
      <c r="A68" s="31"/>
      <c r="B68" s="32"/>
      <c r="C68" s="31" t="s">
        <v>128</v>
      </c>
      <c r="D68" s="31"/>
      <c r="E68" s="31"/>
      <c r="F68" s="31"/>
      <c r="G68" s="31" t="s">
        <v>50</v>
      </c>
      <c r="H68" s="32"/>
      <c r="I68" s="32"/>
      <c r="J68" s="32"/>
      <c r="K68" s="31"/>
      <c r="L68" s="31"/>
      <c r="M68" s="3" t="str">
        <f t="shared" ref="M68:M71" ca="1" si="1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 ht="15">
      <c r="A69" s="31"/>
      <c r="B69" s="32"/>
      <c r="C69" s="31" t="s">
        <v>128</v>
      </c>
      <c r="D69" s="31"/>
      <c r="E69" s="31"/>
      <c r="F69" s="31"/>
      <c r="G69" s="31" t="s">
        <v>50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 ht="15">
      <c r="A70" s="31"/>
      <c r="B70" s="32"/>
      <c r="C70" s="31" t="s">
        <v>128</v>
      </c>
      <c r="D70" s="31"/>
      <c r="E70" s="31"/>
      <c r="F70" s="31"/>
      <c r="G70" s="31" t="s">
        <v>50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 ht="15">
      <c r="A71" s="31"/>
      <c r="B71" s="32"/>
      <c r="C71" s="31" t="s">
        <v>128</v>
      </c>
      <c r="D71" s="31"/>
      <c r="E71" s="31"/>
      <c r="F71" s="31"/>
      <c r="G71" s="31" t="s">
        <v>50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 ht="15">
      <c r="A72" s="31"/>
      <c r="B72" s="32"/>
      <c r="C72" s="31" t="s">
        <v>128</v>
      </c>
      <c r="D72" s="31"/>
      <c r="E72" s="31"/>
      <c r="F72" s="31"/>
      <c r="G72" s="31" t="s">
        <v>50</v>
      </c>
      <c r="H72" s="32"/>
      <c r="I72" s="32"/>
      <c r="J72" s="32"/>
      <c r="K72" s="31"/>
      <c r="L72" s="31"/>
      <c r="M72" s="3" t="str">
        <f t="shared" ref="M72:M130" ca="1" si="2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 ht="15">
      <c r="A73" s="31"/>
      <c r="B73" s="32"/>
      <c r="C73" s="31" t="s">
        <v>128</v>
      </c>
      <c r="D73" s="31"/>
      <c r="E73" s="31"/>
      <c r="F73" s="31"/>
      <c r="G73" s="31" t="s">
        <v>50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 ht="15">
      <c r="A74" s="31"/>
      <c r="B74" s="32"/>
      <c r="C74" s="31" t="s">
        <v>128</v>
      </c>
      <c r="D74" s="31"/>
      <c r="E74" s="31"/>
      <c r="F74" s="31"/>
      <c r="G74" s="31" t="s">
        <v>50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 ht="15">
      <c r="A75" s="31"/>
      <c r="B75" s="32"/>
      <c r="C75" s="31" t="s">
        <v>128</v>
      </c>
      <c r="D75" s="31"/>
      <c r="E75" s="31"/>
      <c r="F75" s="31"/>
      <c r="G75" s="31" t="s">
        <v>50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Data'!B73</f>
        <v>RPT_02_Service Resource Activity</v>
      </c>
      <c r="Q75">
        <f>IF($P75="","",COUNTIF($A$3:$A$500,$P75))</f>
        <v>0</v>
      </c>
      <c r="R75">
        <f>IF($P75="","",SUMPRODUCT(($A$3:$A$500=$P75)*($G$3:$G$500&lt;&gt;"Yes")*($G$3:$G$500&lt;&gt;"Did not pass re-test")))</f>
        <v>0</v>
      </c>
      <c r="S75" s="28" t="str">
        <f>IF($P75="","",IF(SUMPRODUCT(MAX(($A$3:$A$500=$P75)*ROW($A$3:$A$500)))=0,"",INDEX($B:$B,SUMPRODUCT(MAX(($A$3:$A$500=$P75)*ROW($A$3:$A$500))))))</f>
        <v/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/>
      </c>
    </row>
    <row r="76" spans="1:20" ht="15">
      <c r="A76" s="31"/>
      <c r="B76" s="32"/>
      <c r="C76" s="31" t="s">
        <v>128</v>
      </c>
      <c r="D76" s="31"/>
      <c r="E76" s="31"/>
      <c r="F76" s="31"/>
      <c r="G76" s="31" t="s">
        <v>50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Data'!B101</f>
        <v>RPT_05_Department of Transportation</v>
      </c>
      <c r="Q76">
        <f>IF($P76="","",COUNTIF($A$3:$A$500,$P76))</f>
        <v>0</v>
      </c>
      <c r="R76">
        <f>IF($P76="","",SUMPRODUCT(($A$3:$A$500=$P76)*($G$3:$G$500&lt;&gt;"Yes")*($G$3:$G$500&lt;&gt;"Did not pass re-test")))</f>
        <v>0</v>
      </c>
      <c r="S76" s="28" t="str">
        <f>IF($P76="","",IF(SUMPRODUCT(MAX(($A$3:$A$500=$P76)*ROW($A$3:$A$500)))=0,"",INDEX($B:$B,SUMPRODUCT(MAX(($A$3:$A$500=$P76)*ROW($A$3:$A$500))))))</f>
        <v/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/>
      </c>
    </row>
    <row r="77" spans="1:20" ht="15">
      <c r="A77" s="31"/>
      <c r="B77" s="32"/>
      <c r="C77" s="31" t="s">
        <v>128</v>
      </c>
      <c r="D77" s="31"/>
      <c r="E77" s="31"/>
      <c r="F77" s="31"/>
      <c r="G77" s="31" t="s">
        <v>50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Data'!B102</f>
        <v>RPT_05_ Inside Meter Relocation</v>
      </c>
      <c r="Q77">
        <f>IF($P77="","",COUNTIF($A$3:$A$500,$P77))</f>
        <v>0</v>
      </c>
      <c r="R77">
        <f>IF($P77="","",SUMPRODUCT(($A$3:$A$500=$P77)*($G$3:$G$500&lt;&gt;"Yes")*($G$3:$G$500&lt;&gt;"Did not pass re-test")))</f>
        <v>0</v>
      </c>
      <c r="S77" s="28" t="str">
        <f>IF($P77="","",IF(SUMPRODUCT(MAX(($A$3:$A$500=$P77)*ROW($A$3:$A$500)))=0,"",INDEX($B:$B,SUMPRODUCT(MAX(($A$3:$A$500=$P77)*ROW($A$3:$A$500))))))</f>
        <v/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/>
      </c>
    </row>
    <row r="78" spans="1:20" ht="15">
      <c r="A78" s="31"/>
      <c r="B78" s="32"/>
      <c r="C78" s="31" t="s">
        <v>128</v>
      </c>
      <c r="D78" s="31"/>
      <c r="E78" s="31"/>
      <c r="F78" s="31"/>
      <c r="G78" s="31" t="s">
        <v>50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Data'!B103</f>
        <v>RPT_05_Mapped Work Order Information</v>
      </c>
      <c r="Q78">
        <f>IF($P78="","",COUNTIF($A$3:$A$500,$P78))</f>
        <v>0</v>
      </c>
      <c r="R78">
        <f>IF($P78="","",SUMPRODUCT(($A$3:$A$500=$P78)*($G$3:$G$500&lt;&gt;"Yes")*($G$3:$G$500&lt;&gt;"Did not pass re-test")))</f>
        <v>0</v>
      </c>
      <c r="S78" s="28" t="str">
        <f>IF($P78="","",IF(SUMPRODUCT(MAX(($A$3:$A$500=$P78)*ROW($A$3:$A$500)))=0,"",INDEX($B:$B,SUMPRODUCT(MAX(($A$3:$A$500=$P78)*ROW($A$3:$A$500))))))</f>
        <v/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/>
      </c>
    </row>
    <row r="79" spans="1:20" ht="15">
      <c r="A79" s="31"/>
      <c r="B79" s="32"/>
      <c r="C79" s="31" t="s">
        <v>128</v>
      </c>
      <c r="D79" s="31"/>
      <c r="E79" s="31"/>
      <c r="F79" s="31"/>
      <c r="G79" s="31" t="s">
        <v>50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Data'!B104</f>
        <v>RPT_06_Retired Meters</v>
      </c>
      <c r="Q79">
        <f>IF($P79="","",COUNTIF($A$3:$A$500,$P79))</f>
        <v>0</v>
      </c>
      <c r="R79">
        <f>IF($P79="","",SUMPRODUCT(($A$3:$A$500=$P79)*($G$3:$G$500&lt;&gt;"Yes")*($G$3:$G$500&lt;&gt;"Did not pass re-test")))</f>
        <v>0</v>
      </c>
      <c r="S79" s="28" t="str">
        <f>IF($P79="","",IF(SUMPRODUCT(MAX(($A$3:$A$500=$P79)*ROW($A$3:$A$500)))=0,"",INDEX($B:$B,SUMPRODUCT(MAX(($A$3:$A$500=$P79)*ROW($A$3:$A$500))))))</f>
        <v/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/>
      </c>
    </row>
    <row r="80" spans="1:20" ht="15">
      <c r="A80" s="31"/>
      <c r="B80" s="32"/>
      <c r="C80" s="31" t="s">
        <v>128</v>
      </c>
      <c r="D80" s="31"/>
      <c r="E80" s="31"/>
      <c r="F80" s="31"/>
      <c r="G80" s="31" t="s">
        <v>50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Data'!B105</f>
        <v>RPT_13_Survey Book</v>
      </c>
      <c r="Q80">
        <f>IF($P80="","",COUNTIF($A$3:$A$500,$P80))</f>
        <v>0</v>
      </c>
      <c r="R80">
        <f>IF($P80="","",SUMPRODUCT(($A$3:$A$500=$P80)*($G$3:$G$500&lt;&gt;"Yes")*($G$3:$G$500&lt;&gt;"Did not pass re-test")))</f>
        <v>0</v>
      </c>
      <c r="S80" s="28" t="str">
        <f>IF($P80="","",IF(SUMPRODUCT(MAX(($A$3:$A$500=$P80)*ROW($A$3:$A$500)))=0,"",INDEX($B:$B,SUMPRODUCT(MAX(($A$3:$A$500=$P80)*ROW($A$3:$A$500))))))</f>
        <v/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/>
      </c>
    </row>
    <row r="81" spans="1:20" ht="15">
      <c r="A81" s="31"/>
      <c r="B81" s="32"/>
      <c r="C81" s="31" t="s">
        <v>128</v>
      </c>
      <c r="D81" s="31"/>
      <c r="E81" s="31"/>
      <c r="F81" s="31"/>
      <c r="G81" s="31" t="s">
        <v>50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Data'!B106</f>
        <v>RPT_05_Leak Survey Mains Summary</v>
      </c>
      <c r="Q81">
        <f>IF($P81="","",COUNTIF($A$3:$A$500,$P81))</f>
        <v>0</v>
      </c>
      <c r="R81">
        <f>IF($P81="","",SUMPRODUCT(($A$3:$A$500=$P81)*($G$3:$G$500&lt;&gt;"Yes")*($G$3:$G$500&lt;&gt;"Did not pass re-test")))</f>
        <v>0</v>
      </c>
      <c r="S81" s="28" t="str">
        <f>IF($P81="","",IF(SUMPRODUCT(MAX(($A$3:$A$500=$P81)*ROW($A$3:$A$500)))=0,"",INDEX($B:$B,SUMPRODUCT(MAX(($A$3:$A$500=$P81)*ROW($A$3:$A$500))))))</f>
        <v/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/>
      </c>
    </row>
    <row r="82" spans="1:20" ht="15">
      <c r="A82" s="31"/>
      <c r="B82" s="32"/>
      <c r="C82" s="31" t="s">
        <v>128</v>
      </c>
      <c r="D82" s="31"/>
      <c r="E82" s="31"/>
      <c r="F82" s="31"/>
      <c r="G82" s="31" t="s">
        <v>50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Data'!B107</f>
        <v>RPT_13_Customer Service Point</v>
      </c>
      <c r="Q82">
        <f>IF($P82="","",COUNTIF($A$3:$A$500,$P82))</f>
        <v>0</v>
      </c>
      <c r="R82">
        <f>IF($P82="","",SUMPRODUCT(($A$3:$A$500=$P82)*($G$3:$G$500&lt;&gt;"Yes")*($G$3:$G$500&lt;&gt;"Did not pass re-test")))</f>
        <v>0</v>
      </c>
      <c r="S82" s="28" t="str">
        <f>IF($P82="","",IF(SUMPRODUCT(MAX(($A$3:$A$500=$P82)*ROW($A$3:$A$500)))=0,"",INDEX($B:$B,SUMPRODUCT(MAX(($A$3:$A$500=$P82)*ROW($A$3:$A$500))))))</f>
        <v/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/>
      </c>
    </row>
    <row r="83" spans="1:20" ht="15">
      <c r="A83" s="31"/>
      <c r="B83" s="32"/>
      <c r="C83" s="31" t="s">
        <v>128</v>
      </c>
      <c r="D83" s="31"/>
      <c r="E83" s="31"/>
      <c r="F83" s="31"/>
      <c r="G83" s="31" t="s">
        <v>50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Data'!B108</f>
        <v>RPT_02_Emergency Operation Checklist</v>
      </c>
      <c r="Q83">
        <f>IF($P83="","",COUNTIF($A$3:$A$500,$P83))</f>
        <v>0</v>
      </c>
      <c r="R83">
        <f>IF($P83="","",SUMPRODUCT(($A$3:$A$500=$P83)*($G$3:$G$500&lt;&gt;"Yes")*($G$3:$G$500&lt;&gt;"Did not pass re-test")))</f>
        <v>0</v>
      </c>
      <c r="S83" s="28" t="str">
        <f>IF($P83="","",IF(SUMPRODUCT(MAX(($A$3:$A$500=$P83)*ROW($A$3:$A$500)))=0,"",INDEX($B:$B,SUMPRODUCT(MAX(($A$3:$A$500=$P83)*ROW($A$3:$A$500))))))</f>
        <v/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/>
      </c>
    </row>
    <row r="84" spans="1:20" ht="15">
      <c r="A84" s="31"/>
      <c r="B84" s="32"/>
      <c r="C84" s="31" t="s">
        <v>128</v>
      </c>
      <c r="D84" s="31"/>
      <c r="E84" s="31"/>
      <c r="F84" s="31"/>
      <c r="G84" s="31" t="s">
        <v>50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Data'!B109</f>
        <v>RPT_06_ERT List</v>
      </c>
      <c r="Q84">
        <f>IF($P84="","",COUNTIF($A$3:$A$500,$P84))</f>
        <v>0</v>
      </c>
      <c r="R84">
        <f>IF($P84="","",SUMPRODUCT(($A$3:$A$500=$P84)*($G$3:$G$500&lt;&gt;"Yes")*($G$3:$G$500&lt;&gt;"Did not pass re-test")))</f>
        <v>0</v>
      </c>
      <c r="S84" s="28" t="str">
        <f>IF($P84="","",IF(SUMPRODUCT(MAX(($A$3:$A$500=$P84)*ROW($A$3:$A$500)))=0,"",INDEX($B:$B,SUMPRODUCT(MAX(($A$3:$A$500=$P84)*ROW($A$3:$A$500))))))</f>
        <v/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/>
      </c>
    </row>
    <row r="85" spans="1:20" ht="15">
      <c r="A85" s="31"/>
      <c r="B85" s="32"/>
      <c r="C85" s="31" t="s">
        <v>128</v>
      </c>
      <c r="D85" s="31"/>
      <c r="E85" s="31"/>
      <c r="F85" s="31"/>
      <c r="G85" s="31" t="s">
        <v>50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Data'!B110</f>
        <v>RPT_13_Blue Card</v>
      </c>
      <c r="Q85">
        <f>IF($P85="","",COUNTIF($A$3:$A$500,$P85))</f>
        <v>0</v>
      </c>
      <c r="R85">
        <f>IF($P85="","",SUMPRODUCT(($A$3:$A$500=$P85)*($G$3:$G$500&lt;&gt;"Yes")*($G$3:$G$500&lt;&gt;"Did not pass re-test")))</f>
        <v>0</v>
      </c>
      <c r="S85" s="28" t="str">
        <f>IF($P85="","",IF(SUMPRODUCT(MAX(($A$3:$A$500=$P85)*ROW($A$3:$A$500)))=0,"",INDEX($B:$B,SUMPRODUCT(MAX(($A$3:$A$500=$P85)*ROW($A$3:$A$500))))))</f>
        <v/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/>
      </c>
    </row>
    <row r="86" spans="1:20" ht="15">
      <c r="A86" s="31"/>
      <c r="B86" s="32"/>
      <c r="C86" s="31" t="s">
        <v>128</v>
      </c>
      <c r="D86" s="31"/>
      <c r="E86" s="31"/>
      <c r="F86" s="31"/>
      <c r="G86" s="31" t="s">
        <v>50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Data'!B111</f>
        <v>RPT_06_Out of Route Meters Gas</v>
      </c>
      <c r="Q86">
        <f>IF($P86="","",COUNTIF($A$3:$A$500,$P86))</f>
        <v>0</v>
      </c>
      <c r="R86">
        <f>IF($P86="","",SUMPRODUCT(($A$3:$A$500=$P86)*($G$3:$G$500&lt;&gt;"Yes")*($G$3:$G$500&lt;&gt;"Did not pass re-test")))</f>
        <v>0</v>
      </c>
      <c r="S86" s="28" t="str">
        <f>IF($P86="","",IF(SUMPRODUCT(MAX(($A$3:$A$500=$P86)*ROW($A$3:$A$500)))=0,"",INDEX($B:$B,SUMPRODUCT(MAX(($A$3:$A$500=$P86)*ROW($A$3:$A$500))))))</f>
        <v/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/>
      </c>
    </row>
    <row r="87" spans="1:20" ht="15">
      <c r="A87" s="31"/>
      <c r="B87" s="32"/>
      <c r="C87" s="31" t="s">
        <v>128</v>
      </c>
      <c r="D87" s="31"/>
      <c r="E87" s="31"/>
      <c r="F87" s="31"/>
      <c r="G87" s="31" t="s">
        <v>50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Data'!B112</f>
        <v>RPT_06_Yard Meter Inventory</v>
      </c>
      <c r="Q87">
        <f>IF($P87="","",COUNTIF($A$3:$A$500,$P87))</f>
        <v>0</v>
      </c>
      <c r="R87">
        <f>IF($P87="","",SUMPRODUCT(($A$3:$A$500=$P87)*($G$3:$G$500&lt;&gt;"Yes")*($G$3:$G$500&lt;&gt;"Did not pass re-test")))</f>
        <v>0</v>
      </c>
      <c r="S87" s="28" t="str">
        <f>IF($P87="","",IF(SUMPRODUCT(MAX(($A$3:$A$500=$P87)*ROW($A$3:$A$500)))=0,"",INDEX($B:$B,SUMPRODUCT(MAX(($A$3:$A$500=$P87)*ROW($A$3:$A$500))))))</f>
        <v/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/>
      </c>
    </row>
    <row r="88" spans="1:20" ht="15">
      <c r="A88" s="31"/>
      <c r="B88" s="32"/>
      <c r="C88" s="31" t="s">
        <v>128</v>
      </c>
      <c r="D88" s="31"/>
      <c r="E88" s="31"/>
      <c r="F88" s="31"/>
      <c r="G88" s="31" t="s">
        <v>50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Data'!B113</f>
        <v>RPT_06_ERTtoEPSLoadReportbyReceiptNumber</v>
      </c>
      <c r="Q88">
        <f>IF($P88="","",COUNTIF($A$3:$A$500,$P88))</f>
        <v>0</v>
      </c>
      <c r="R88">
        <f>IF($P88="","",SUMPRODUCT(($A$3:$A$500=$P88)*($G$3:$G$500&lt;&gt;"Yes")*($G$3:$G$500&lt;&gt;"Did not pass re-test")))</f>
        <v>0</v>
      </c>
      <c r="S88" s="28" t="str">
        <f>IF($P88="","",IF(SUMPRODUCT(MAX(($A$3:$A$500=$P88)*ROW($A$3:$A$500)))=0,"",INDEX($B:$B,SUMPRODUCT(MAX(($A$3:$A$500=$P88)*ROW($A$3:$A$500))))))</f>
        <v/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/>
      </c>
    </row>
    <row r="89" spans="1:20" ht="15">
      <c r="A89" s="31"/>
      <c r="B89" s="32"/>
      <c r="C89" s="31" t="s">
        <v>128</v>
      </c>
      <c r="D89" s="31"/>
      <c r="E89" s="31"/>
      <c r="F89" s="31"/>
      <c r="G89" s="31" t="s">
        <v>50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Data'!B114</f>
        <v>RPT_06_Out of Route Meters Electric</v>
      </c>
      <c r="Q89">
        <f>IF($P89="","",COUNTIF($A$3:$A$500,$P89))</f>
        <v>0</v>
      </c>
      <c r="R89">
        <f>IF($P89="","",SUMPRODUCT(($A$3:$A$500=$P89)*($G$3:$G$500&lt;&gt;"Yes")*($G$3:$G$500&lt;&gt;"Did not pass re-test")))</f>
        <v>0</v>
      </c>
      <c r="S89" s="28" t="str">
        <f>IF($P89="","",IF(SUMPRODUCT(MAX(($A$3:$A$500=$P89)*ROW($A$3:$A$500)))=0,"",INDEX($B:$B,SUMPRODUCT(MAX(($A$3:$A$500=$P89)*ROW($A$3:$A$500))))))</f>
        <v/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/>
      </c>
    </row>
    <row r="90" spans="1:20" ht="15">
      <c r="A90" s="31"/>
      <c r="B90" s="32"/>
      <c r="C90" s="31" t="s">
        <v>128</v>
      </c>
      <c r="D90" s="31"/>
      <c r="E90" s="31"/>
      <c r="F90" s="31"/>
      <c r="G90" s="31" t="s">
        <v>50</v>
      </c>
      <c r="H90" s="32"/>
      <c r="I90" s="32"/>
      <c r="J90" s="32"/>
      <c r="K90" s="31"/>
      <c r="L90" s="31"/>
      <c r="M90" s="3" t="str">
        <f t="shared" ca="1" si="2"/>
        <v/>
      </c>
      <c r="P90" t="str">
        <f>'Combined Delivery Data'!B115</f>
        <v>RPT_06_Random Meter Sampling Testing Results</v>
      </c>
      <c r="Q90">
        <f>IF($P90="","",COUNTIF($A$3:$A$500,$P90))</f>
        <v>0</v>
      </c>
      <c r="R90">
        <f>IF($P90="","",SUMPRODUCT(($A$3:$A$500=$P90)*($G$3:$G$500&lt;&gt;"Yes")*($G$3:$G$500&lt;&gt;"Did not pass re-test")))</f>
        <v>0</v>
      </c>
      <c r="S90" s="28" t="str">
        <f>IF($P90="","",IF(SUMPRODUCT(MAX(($A$3:$A$500=$P90)*ROW($A$3:$A$500)))=0,"",INDEX($B:$B,SUMPRODUCT(MAX(($A$3:$A$500=$P90)*ROW($A$3:$A$500))))))</f>
        <v/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/>
      </c>
    </row>
    <row r="91" spans="1:20" ht="15">
      <c r="A91" s="31"/>
      <c r="B91" s="32"/>
      <c r="C91" s="31" t="s">
        <v>128</v>
      </c>
      <c r="D91" s="31"/>
      <c r="E91" s="31"/>
      <c r="F91" s="31"/>
      <c r="G91" s="31" t="s">
        <v>50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Data'!B116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484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 ht="15">
      <c r="A92" s="31"/>
      <c r="B92" s="32"/>
      <c r="C92" s="31" t="s">
        <v>128</v>
      </c>
      <c r="D92" s="31"/>
      <c r="E92" s="31"/>
      <c r="F92" s="31"/>
      <c r="G92" s="31" t="s">
        <v>50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Data'!B117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484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 ht="15">
      <c r="A93" s="31"/>
      <c r="B93" s="32"/>
      <c r="C93" s="31" t="s">
        <v>128</v>
      </c>
      <c r="D93" s="31"/>
      <c r="E93" s="31"/>
      <c r="F93" s="31"/>
      <c r="G93" s="31" t="s">
        <v>50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Data'!B118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484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 ht="15">
      <c r="A94" s="31"/>
      <c r="B94" s="32"/>
      <c r="C94" s="31" t="s">
        <v>128</v>
      </c>
      <c r="D94" s="31"/>
      <c r="E94" s="31"/>
      <c r="F94" s="31"/>
      <c r="G94" s="31" t="s">
        <v>50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Data'!B119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484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 ht="15">
      <c r="A95" s="31"/>
      <c r="B95" s="32"/>
      <c r="C95" s="31" t="s">
        <v>128</v>
      </c>
      <c r="D95" s="31"/>
      <c r="E95" s="31"/>
      <c r="F95" s="31"/>
      <c r="G95" s="31" t="s">
        <v>50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Data'!B120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484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 ht="15">
      <c r="A96" s="31"/>
      <c r="B96" s="32"/>
      <c r="C96" s="31" t="s">
        <v>128</v>
      </c>
      <c r="D96" s="31"/>
      <c r="E96" s="31"/>
      <c r="F96" s="31"/>
      <c r="G96" s="31" t="s">
        <v>50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Data'!B121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484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 ht="15">
      <c r="A97" s="31"/>
      <c r="B97" s="32"/>
      <c r="C97" s="31" t="s">
        <v>128</v>
      </c>
      <c r="D97" s="31"/>
      <c r="E97" s="31"/>
      <c r="F97" s="31"/>
      <c r="G97" s="31" t="s">
        <v>50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Data'!B122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484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 ht="15">
      <c r="A98" s="31"/>
      <c r="B98" s="32"/>
      <c r="C98" s="31" t="s">
        <v>128</v>
      </c>
      <c r="D98" s="31"/>
      <c r="E98" s="31"/>
      <c r="F98" s="31"/>
      <c r="G98" s="31" t="s">
        <v>50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Data'!B123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484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 ht="15">
      <c r="A99" s="31"/>
      <c r="B99" s="32"/>
      <c r="C99" s="31" t="s">
        <v>128</v>
      </c>
      <c r="D99" s="31"/>
      <c r="E99" s="31"/>
      <c r="F99" s="31"/>
      <c r="G99" s="31" t="s">
        <v>50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Data'!B124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484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 ht="15">
      <c r="A100" s="31"/>
      <c r="B100" s="32"/>
      <c r="C100" s="31" t="s">
        <v>128</v>
      </c>
      <c r="D100" s="31"/>
      <c r="E100" s="31"/>
      <c r="F100" s="31"/>
      <c r="G100" s="31" t="s">
        <v>50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Data'!B125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484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 ht="15">
      <c r="A101" s="31"/>
      <c r="B101" s="32"/>
      <c r="C101" s="31" t="s">
        <v>128</v>
      </c>
      <c r="D101" s="31"/>
      <c r="E101" s="31"/>
      <c r="F101" s="31"/>
      <c r="G101" s="31" t="s">
        <v>50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Data'!B126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484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 ht="15">
      <c r="A102" s="31"/>
      <c r="B102" s="32"/>
      <c r="C102" s="31" t="s">
        <v>128</v>
      </c>
      <c r="D102" s="31"/>
      <c r="E102" s="31"/>
      <c r="F102" s="31"/>
      <c r="G102" s="31" t="s">
        <v>50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Data'!B127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484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 ht="15">
      <c r="A103" s="31"/>
      <c r="B103" s="32"/>
      <c r="C103" s="31" t="s">
        <v>128</v>
      </c>
      <c r="D103" s="31"/>
      <c r="E103" s="31"/>
      <c r="F103" s="31"/>
      <c r="G103" s="31" t="s">
        <v>50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Data'!B128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484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 ht="15">
      <c r="A104" s="31"/>
      <c r="B104" s="32"/>
      <c r="C104" s="31" t="s">
        <v>128</v>
      </c>
      <c r="D104" s="31"/>
      <c r="E104" s="31"/>
      <c r="F104" s="31"/>
      <c r="G104" s="31" t="s">
        <v>50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Data'!B129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484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 ht="15">
      <c r="A105" s="31"/>
      <c r="B105" s="32"/>
      <c r="C105" s="31" t="s">
        <v>128</v>
      </c>
      <c r="D105" s="31"/>
      <c r="E105" s="31"/>
      <c r="F105" s="31"/>
      <c r="G105" s="31" t="s">
        <v>50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Data'!B130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484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 ht="15">
      <c r="A106" s="31"/>
      <c r="B106" s="32"/>
      <c r="C106" s="31" t="s">
        <v>128</v>
      </c>
      <c r="D106" s="31"/>
      <c r="E106" s="31"/>
      <c r="F106" s="31"/>
      <c r="G106" s="31" t="s">
        <v>50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Data'!B131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484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 ht="15">
      <c r="A107" s="31"/>
      <c r="B107" s="32"/>
      <c r="C107" s="31" t="s">
        <v>128</v>
      </c>
      <c r="D107" s="31"/>
      <c r="E107" s="31"/>
      <c r="F107" s="31"/>
      <c r="G107" s="31" t="s">
        <v>50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Data'!B132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484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 ht="15">
      <c r="A108" s="31"/>
      <c r="B108" s="32"/>
      <c r="C108" s="31" t="s">
        <v>128</v>
      </c>
      <c r="D108" s="31"/>
      <c r="E108" s="31"/>
      <c r="F108" s="31"/>
      <c r="G108" s="31" t="s">
        <v>50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Data'!B133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484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 ht="15">
      <c r="A109" s="31"/>
      <c r="B109" s="32"/>
      <c r="C109" s="31" t="s">
        <v>128</v>
      </c>
      <c r="D109" s="31"/>
      <c r="E109" s="31"/>
      <c r="F109" s="31"/>
      <c r="G109" s="31" t="s">
        <v>50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Data'!B134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484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 ht="15">
      <c r="A110" s="31"/>
      <c r="B110" s="32"/>
      <c r="C110" s="31" t="s">
        <v>128</v>
      </c>
      <c r="D110" s="31"/>
      <c r="E110" s="31"/>
      <c r="F110" s="31"/>
      <c r="G110" s="31" t="s">
        <v>50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Data'!B135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484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 ht="15">
      <c r="A111" s="31"/>
      <c r="B111" s="32"/>
      <c r="C111" s="31" t="s">
        <v>128</v>
      </c>
      <c r="D111" s="31"/>
      <c r="E111" s="31"/>
      <c r="F111" s="31"/>
      <c r="G111" s="31" t="s">
        <v>50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Data'!B136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484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 ht="15">
      <c r="A112" s="31"/>
      <c r="B112" s="32"/>
      <c r="C112" s="31" t="s">
        <v>128</v>
      </c>
      <c r="D112" s="31"/>
      <c r="E112" s="31"/>
      <c r="F112" s="31"/>
      <c r="G112" s="31" t="s">
        <v>50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Data'!B137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484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 ht="15">
      <c r="A113" s="31"/>
      <c r="B113" s="32"/>
      <c r="C113" s="31" t="s">
        <v>128</v>
      </c>
      <c r="D113" s="31"/>
      <c r="E113" s="31"/>
      <c r="F113" s="31"/>
      <c r="G113" s="31" t="s">
        <v>50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Data'!B138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484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 ht="15">
      <c r="A114" s="31"/>
      <c r="B114" s="32"/>
      <c r="C114" s="31" t="s">
        <v>128</v>
      </c>
      <c r="D114" s="31"/>
      <c r="E114" s="31"/>
      <c r="F114" s="31"/>
      <c r="G114" s="31" t="s">
        <v>50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Data'!B139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484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 ht="15">
      <c r="A115" s="31"/>
      <c r="B115" s="32"/>
      <c r="C115" s="31" t="s">
        <v>128</v>
      </c>
      <c r="D115" s="31"/>
      <c r="E115" s="31"/>
      <c r="F115" s="31"/>
      <c r="G115" s="31" t="s">
        <v>50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Data'!B140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484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 ht="15">
      <c r="A116" s="31"/>
      <c r="B116" s="32"/>
      <c r="C116" s="31" t="s">
        <v>128</v>
      </c>
      <c r="D116" s="31"/>
      <c r="E116" s="31"/>
      <c r="F116" s="31"/>
      <c r="G116" s="31" t="s">
        <v>50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Data'!B141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484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 ht="15">
      <c r="A117" s="31"/>
      <c r="B117" s="32"/>
      <c r="C117" s="31" t="s">
        <v>128</v>
      </c>
      <c r="D117" s="31"/>
      <c r="E117" s="31"/>
      <c r="F117" s="31"/>
      <c r="G117" s="31" t="s">
        <v>50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Data'!B142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484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 ht="15">
      <c r="A118" s="31"/>
      <c r="B118" s="32"/>
      <c r="C118" s="31" t="s">
        <v>128</v>
      </c>
      <c r="D118" s="31"/>
      <c r="E118" s="31"/>
      <c r="F118" s="31"/>
      <c r="G118" s="31" t="s">
        <v>50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Data'!B143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484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 ht="15">
      <c r="A119" s="31"/>
      <c r="B119" s="32"/>
      <c r="C119" s="31" t="s">
        <v>128</v>
      </c>
      <c r="D119" s="31"/>
      <c r="E119" s="31"/>
      <c r="F119" s="31"/>
      <c r="G119" s="31" t="s">
        <v>50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Data'!B144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484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 ht="15">
      <c r="A120" s="31"/>
      <c r="B120" s="32"/>
      <c r="C120" s="31" t="s">
        <v>128</v>
      </c>
      <c r="D120" s="31"/>
      <c r="E120" s="31"/>
      <c r="F120" s="31"/>
      <c r="G120" s="31" t="s">
        <v>50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Data'!B145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484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 ht="15">
      <c r="A121" s="31"/>
      <c r="B121" s="32"/>
      <c r="C121" s="31" t="s">
        <v>128</v>
      </c>
      <c r="D121" s="31"/>
      <c r="E121" s="31"/>
      <c r="F121" s="31"/>
      <c r="G121" s="31" t="s">
        <v>50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Data'!B146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484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 ht="15">
      <c r="A122" s="31"/>
      <c r="B122" s="32"/>
      <c r="C122" s="31" t="s">
        <v>128</v>
      </c>
      <c r="D122" s="31"/>
      <c r="E122" s="31"/>
      <c r="F122" s="31"/>
      <c r="G122" s="31" t="s">
        <v>50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Data'!B147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484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 ht="15">
      <c r="A123" s="31"/>
      <c r="B123" s="32"/>
      <c r="C123" s="31" t="s">
        <v>128</v>
      </c>
      <c r="D123" s="31"/>
      <c r="E123" s="31"/>
      <c r="F123" s="31"/>
      <c r="G123" s="31" t="s">
        <v>50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Data'!B148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484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 ht="15">
      <c r="A124" s="31"/>
      <c r="B124" s="32"/>
      <c r="C124" s="31" t="s">
        <v>128</v>
      </c>
      <c r="D124" s="31"/>
      <c r="E124" s="31"/>
      <c r="F124" s="31"/>
      <c r="G124" s="31" t="s">
        <v>50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Data'!B149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484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 ht="15">
      <c r="A125" s="31"/>
      <c r="B125" s="32"/>
      <c r="C125" s="31" t="s">
        <v>128</v>
      </c>
      <c r="D125" s="31"/>
      <c r="E125" s="31"/>
      <c r="F125" s="31"/>
      <c r="G125" s="31" t="s">
        <v>50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Data'!B150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484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 ht="15">
      <c r="A126" s="31"/>
      <c r="B126" s="32"/>
      <c r="C126" s="31" t="s">
        <v>128</v>
      </c>
      <c r="D126" s="31"/>
      <c r="E126" s="31"/>
      <c r="F126" s="31"/>
      <c r="G126" s="31" t="s">
        <v>50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Data'!B151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484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 ht="15">
      <c r="A127" s="31"/>
      <c r="B127" s="32"/>
      <c r="C127" s="31" t="s">
        <v>128</v>
      </c>
      <c r="D127" s="31"/>
      <c r="E127" s="31"/>
      <c r="F127" s="31"/>
      <c r="G127" s="31" t="s">
        <v>50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Data'!B152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484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 ht="15">
      <c r="A128" s="31"/>
      <c r="B128" s="32"/>
      <c r="C128" s="31" t="s">
        <v>128</v>
      </c>
      <c r="D128" s="31"/>
      <c r="E128" s="31"/>
      <c r="F128" s="31"/>
      <c r="G128" s="31" t="s">
        <v>50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Data'!B153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484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 ht="15">
      <c r="A129" s="31"/>
      <c r="B129" s="32"/>
      <c r="C129" s="31" t="s">
        <v>128</v>
      </c>
      <c r="D129" s="31"/>
      <c r="E129" s="31"/>
      <c r="F129" s="31"/>
      <c r="G129" s="31" t="s">
        <v>50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Data'!B154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484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 ht="15">
      <c r="A130" s="31"/>
      <c r="B130" s="32"/>
      <c r="C130" s="31" t="s">
        <v>128</v>
      </c>
      <c r="D130" s="31"/>
      <c r="E130" s="31"/>
      <c r="F130" s="31"/>
      <c r="G130" s="31" t="s">
        <v>50</v>
      </c>
      <c r="H130" s="32"/>
      <c r="I130" s="32"/>
      <c r="J130" s="32"/>
      <c r="K130" s="31"/>
      <c r="L130" s="31"/>
      <c r="M130" s="3" t="str">
        <f t="shared" ca="1" si="2"/>
        <v/>
      </c>
      <c r="P130">
        <f>'Combined Delivery Data'!B155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484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 ht="15">
      <c r="A131" s="31"/>
      <c r="B131" s="32"/>
      <c r="C131" s="31" t="s">
        <v>128</v>
      </c>
      <c r="D131" s="31"/>
      <c r="E131" s="31"/>
      <c r="F131" s="31"/>
      <c r="G131" s="31" t="s">
        <v>50</v>
      </c>
      <c r="H131" s="32"/>
      <c r="I131" s="32"/>
      <c r="J131" s="32"/>
      <c r="K131" s="31"/>
      <c r="L131" s="31"/>
      <c r="M131" s="3" t="str">
        <f t="shared" ref="M131:M194" ca="1" si="3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484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 ht="15">
      <c r="A132" s="31"/>
      <c r="B132" s="32"/>
      <c r="C132" s="31" t="s">
        <v>128</v>
      </c>
      <c r="D132" s="31"/>
      <c r="E132" s="31"/>
      <c r="F132" s="31"/>
      <c r="G132" s="31" t="s">
        <v>50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Data'!B157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484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 ht="15">
      <c r="A133" s="31"/>
      <c r="B133" s="32"/>
      <c r="C133" s="31" t="s">
        <v>128</v>
      </c>
      <c r="D133" s="31"/>
      <c r="E133" s="31"/>
      <c r="F133" s="31"/>
      <c r="G133" s="31" t="s">
        <v>50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Data'!B158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484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 ht="15">
      <c r="A134" s="31"/>
      <c r="B134" s="32"/>
      <c r="C134" s="31" t="s">
        <v>128</v>
      </c>
      <c r="D134" s="31"/>
      <c r="E134" s="31"/>
      <c r="F134" s="31"/>
      <c r="G134" s="31" t="s">
        <v>50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Data'!B159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484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 ht="15">
      <c r="A135" s="31"/>
      <c r="B135" s="32"/>
      <c r="C135" s="31" t="s">
        <v>128</v>
      </c>
      <c r="D135" s="31"/>
      <c r="E135" s="31"/>
      <c r="F135" s="31"/>
      <c r="G135" s="31" t="s">
        <v>50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Data'!B160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484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 ht="15">
      <c r="A136" s="31"/>
      <c r="B136" s="32"/>
      <c r="C136" s="31" t="s">
        <v>128</v>
      </c>
      <c r="D136" s="31"/>
      <c r="E136" s="31"/>
      <c r="F136" s="31"/>
      <c r="G136" s="31" t="s">
        <v>50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Data'!B161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484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 ht="15">
      <c r="A137" s="31"/>
      <c r="B137" s="32"/>
      <c r="C137" s="31" t="s">
        <v>128</v>
      </c>
      <c r="D137" s="31"/>
      <c r="E137" s="31"/>
      <c r="F137" s="31"/>
      <c r="G137" s="31" t="s">
        <v>50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Data'!B162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484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 ht="15">
      <c r="A138" s="31"/>
      <c r="B138" s="32"/>
      <c r="C138" s="31" t="s">
        <v>128</v>
      </c>
      <c r="D138" s="31"/>
      <c r="E138" s="31"/>
      <c r="F138" s="31"/>
      <c r="G138" s="31" t="s">
        <v>50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Data'!B163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484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 ht="15">
      <c r="A139" s="31"/>
      <c r="B139" s="32"/>
      <c r="C139" s="31" t="s">
        <v>128</v>
      </c>
      <c r="D139" s="31"/>
      <c r="E139" s="31"/>
      <c r="F139" s="31"/>
      <c r="G139" s="31" t="s">
        <v>50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Data'!B164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484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 ht="15">
      <c r="A140" s="31"/>
      <c r="B140" s="32"/>
      <c r="C140" s="31" t="s">
        <v>128</v>
      </c>
      <c r="D140" s="31"/>
      <c r="E140" s="31"/>
      <c r="F140" s="31"/>
      <c r="G140" s="31" t="s">
        <v>50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Data'!B165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484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 ht="15">
      <c r="A141" s="31"/>
      <c r="B141" s="32"/>
      <c r="C141" s="31" t="s">
        <v>128</v>
      </c>
      <c r="D141" s="31"/>
      <c r="E141" s="31"/>
      <c r="F141" s="31"/>
      <c r="G141" s="31" t="s">
        <v>50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Data'!B166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484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 ht="15">
      <c r="A142" s="31"/>
      <c r="B142" s="32"/>
      <c r="C142" s="31" t="s">
        <v>128</v>
      </c>
      <c r="D142" s="31"/>
      <c r="E142" s="31"/>
      <c r="F142" s="31"/>
      <c r="G142" s="31" t="s">
        <v>50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Data'!B167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484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 ht="15">
      <c r="A143" s="31"/>
      <c r="B143" s="32"/>
      <c r="C143" s="31" t="s">
        <v>128</v>
      </c>
      <c r="D143" s="31"/>
      <c r="E143" s="31"/>
      <c r="F143" s="31"/>
      <c r="G143" s="31" t="s">
        <v>50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Data'!B168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484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 ht="15">
      <c r="A144" s="31"/>
      <c r="B144" s="32"/>
      <c r="C144" s="31" t="s">
        <v>128</v>
      </c>
      <c r="D144" s="31"/>
      <c r="E144" s="31"/>
      <c r="F144" s="31"/>
      <c r="G144" s="31" t="s">
        <v>50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Data'!B169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484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 ht="15">
      <c r="A145" s="31"/>
      <c r="B145" s="32"/>
      <c r="C145" s="31" t="s">
        <v>128</v>
      </c>
      <c r="D145" s="31"/>
      <c r="E145" s="31"/>
      <c r="F145" s="31"/>
      <c r="G145" s="31" t="s">
        <v>50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Data'!B170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484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 ht="15">
      <c r="A146" s="31"/>
      <c r="B146" s="32"/>
      <c r="C146" s="31" t="s">
        <v>128</v>
      </c>
      <c r="D146" s="31"/>
      <c r="E146" s="31"/>
      <c r="F146" s="31"/>
      <c r="G146" s="31" t="s">
        <v>50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Data'!B171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484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 ht="15">
      <c r="A147" s="31"/>
      <c r="B147" s="32"/>
      <c r="C147" s="31" t="s">
        <v>128</v>
      </c>
      <c r="D147" s="31"/>
      <c r="E147" s="31"/>
      <c r="F147" s="31"/>
      <c r="G147" s="31" t="s">
        <v>50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Data'!B172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484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 ht="15">
      <c r="A148" s="31"/>
      <c r="B148" s="32"/>
      <c r="C148" s="31" t="s">
        <v>128</v>
      </c>
      <c r="D148" s="31"/>
      <c r="E148" s="31"/>
      <c r="F148" s="31"/>
      <c r="G148" s="31" t="s">
        <v>50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Data'!B173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484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 ht="15">
      <c r="A149" s="31"/>
      <c r="B149" s="32"/>
      <c r="C149" s="31" t="s">
        <v>128</v>
      </c>
      <c r="D149" s="31"/>
      <c r="E149" s="31"/>
      <c r="F149" s="31"/>
      <c r="G149" s="31" t="s">
        <v>50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Data'!B174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484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 ht="15">
      <c r="A150" s="31"/>
      <c r="B150" s="32"/>
      <c r="C150" s="31" t="s">
        <v>128</v>
      </c>
      <c r="D150" s="31"/>
      <c r="E150" s="31"/>
      <c r="F150" s="31"/>
      <c r="G150" s="31" t="s">
        <v>50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Data'!B175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484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 ht="15">
      <c r="A151" s="31"/>
      <c r="B151" s="32"/>
      <c r="C151" s="31" t="s">
        <v>128</v>
      </c>
      <c r="D151" s="31"/>
      <c r="E151" s="31"/>
      <c r="F151" s="31"/>
      <c r="G151" s="31" t="s">
        <v>50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Data'!B176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484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 ht="15">
      <c r="A152" s="31"/>
      <c r="B152" s="32"/>
      <c r="C152" s="31" t="s">
        <v>128</v>
      </c>
      <c r="D152" s="31"/>
      <c r="E152" s="31"/>
      <c r="F152" s="31"/>
      <c r="G152" s="31" t="s">
        <v>50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Data'!B177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484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 ht="15">
      <c r="A153" s="31"/>
      <c r="B153" s="32"/>
      <c r="C153" s="31" t="s">
        <v>128</v>
      </c>
      <c r="D153" s="31"/>
      <c r="E153" s="31"/>
      <c r="F153" s="31"/>
      <c r="G153" s="31" t="s">
        <v>50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Data'!B178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484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 ht="15">
      <c r="A154" s="31"/>
      <c r="B154" s="32"/>
      <c r="C154" s="31" t="s">
        <v>128</v>
      </c>
      <c r="D154" s="31"/>
      <c r="E154" s="31"/>
      <c r="F154" s="31"/>
      <c r="G154" s="31" t="s">
        <v>50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Data'!B179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484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 ht="15">
      <c r="A155" s="31"/>
      <c r="B155" s="32"/>
      <c r="C155" s="31" t="s">
        <v>128</v>
      </c>
      <c r="D155" s="31"/>
      <c r="E155" s="31"/>
      <c r="F155" s="31"/>
      <c r="G155" s="31" t="s">
        <v>50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Data'!B180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484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 ht="15">
      <c r="A156" s="31"/>
      <c r="B156" s="32"/>
      <c r="C156" s="31" t="s">
        <v>128</v>
      </c>
      <c r="D156" s="31"/>
      <c r="E156" s="31"/>
      <c r="F156" s="31"/>
      <c r="G156" s="31" t="s">
        <v>50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Data'!B181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484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 ht="15">
      <c r="A157" s="31"/>
      <c r="B157" s="32"/>
      <c r="C157" s="31" t="s">
        <v>128</v>
      </c>
      <c r="D157" s="31"/>
      <c r="E157" s="31"/>
      <c r="F157" s="31"/>
      <c r="G157" s="31" t="s">
        <v>50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Data'!B182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484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 ht="15">
      <c r="A158" s="31"/>
      <c r="B158" s="32"/>
      <c r="C158" s="31" t="s">
        <v>128</v>
      </c>
      <c r="D158" s="31"/>
      <c r="E158" s="31"/>
      <c r="F158" s="31"/>
      <c r="G158" s="31" t="s">
        <v>50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Data'!B183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484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 ht="15">
      <c r="A159" s="31"/>
      <c r="B159" s="32"/>
      <c r="C159" s="31" t="s">
        <v>128</v>
      </c>
      <c r="D159" s="31"/>
      <c r="E159" s="31"/>
      <c r="F159" s="31"/>
      <c r="G159" s="31" t="s">
        <v>50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Data'!B184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484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 ht="15">
      <c r="A160" s="31"/>
      <c r="B160" s="32"/>
      <c r="C160" s="31" t="s">
        <v>128</v>
      </c>
      <c r="D160" s="31"/>
      <c r="E160" s="31"/>
      <c r="F160" s="31"/>
      <c r="G160" s="31" t="s">
        <v>50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Data'!B185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484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 ht="15">
      <c r="A161" s="31"/>
      <c r="B161" s="32"/>
      <c r="C161" s="31" t="s">
        <v>128</v>
      </c>
      <c r="D161" s="31"/>
      <c r="E161" s="31"/>
      <c r="F161" s="31"/>
      <c r="G161" s="31" t="s">
        <v>50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Data'!B186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484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 ht="15">
      <c r="A162" s="31"/>
      <c r="B162" s="32"/>
      <c r="C162" s="31" t="s">
        <v>128</v>
      </c>
      <c r="D162" s="31"/>
      <c r="E162" s="31"/>
      <c r="F162" s="31"/>
      <c r="G162" s="31" t="s">
        <v>50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Data'!B187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484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 ht="15">
      <c r="A163" s="31"/>
      <c r="B163" s="32"/>
      <c r="C163" s="31" t="s">
        <v>128</v>
      </c>
      <c r="D163" s="31"/>
      <c r="E163" s="31"/>
      <c r="F163" s="31"/>
      <c r="G163" s="31" t="s">
        <v>50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Data'!B188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484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 ht="15">
      <c r="A164" s="31"/>
      <c r="B164" s="32"/>
      <c r="C164" s="31" t="s">
        <v>128</v>
      </c>
      <c r="D164" s="31"/>
      <c r="E164" s="31"/>
      <c r="F164" s="31"/>
      <c r="G164" s="31" t="s">
        <v>50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Data'!B189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484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 ht="15">
      <c r="A165" s="31"/>
      <c r="B165" s="32"/>
      <c r="C165" s="31" t="s">
        <v>128</v>
      </c>
      <c r="D165" s="31"/>
      <c r="E165" s="31"/>
      <c r="F165" s="31"/>
      <c r="G165" s="31" t="s">
        <v>50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Data'!B190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484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 ht="15">
      <c r="A166" s="31"/>
      <c r="B166" s="32"/>
      <c r="C166" s="31" t="s">
        <v>128</v>
      </c>
      <c r="D166" s="31"/>
      <c r="E166" s="31"/>
      <c r="F166" s="31"/>
      <c r="G166" s="31" t="s">
        <v>50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Data'!B191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484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 ht="15">
      <c r="A167" s="31"/>
      <c r="B167" s="32"/>
      <c r="C167" s="31" t="s">
        <v>128</v>
      </c>
      <c r="D167" s="31"/>
      <c r="E167" s="31"/>
      <c r="F167" s="31"/>
      <c r="G167" s="31" t="s">
        <v>50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Data'!B192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484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 ht="15">
      <c r="A168" s="31"/>
      <c r="B168" s="32"/>
      <c r="C168" s="31" t="s">
        <v>128</v>
      </c>
      <c r="D168" s="31"/>
      <c r="E168" s="31"/>
      <c r="F168" s="31"/>
      <c r="G168" s="31" t="s">
        <v>50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Data'!B193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484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 ht="15">
      <c r="A169" s="31"/>
      <c r="B169" s="32"/>
      <c r="C169" s="31" t="s">
        <v>128</v>
      </c>
      <c r="D169" s="31"/>
      <c r="E169" s="31"/>
      <c r="F169" s="31"/>
      <c r="G169" s="31" t="s">
        <v>50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Data'!B194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484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 ht="15">
      <c r="A170" s="31"/>
      <c r="B170" s="32"/>
      <c r="C170" s="31" t="s">
        <v>128</v>
      </c>
      <c r="D170" s="31"/>
      <c r="E170" s="31"/>
      <c r="F170" s="31"/>
      <c r="G170" s="31" t="s">
        <v>50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Data'!B195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484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 ht="15">
      <c r="A171" s="31"/>
      <c r="B171" s="32"/>
      <c r="C171" s="31" t="s">
        <v>128</v>
      </c>
      <c r="D171" s="31"/>
      <c r="E171" s="31"/>
      <c r="F171" s="31"/>
      <c r="G171" s="31" t="s">
        <v>50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Data'!B196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484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 ht="15">
      <c r="A172" s="31"/>
      <c r="B172" s="32"/>
      <c r="C172" s="31" t="s">
        <v>128</v>
      </c>
      <c r="D172" s="31"/>
      <c r="E172" s="31"/>
      <c r="F172" s="31"/>
      <c r="G172" s="31" t="s">
        <v>50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Data'!B197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484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 ht="15">
      <c r="A173" s="31"/>
      <c r="B173" s="32"/>
      <c r="C173" s="31" t="s">
        <v>128</v>
      </c>
      <c r="D173" s="31"/>
      <c r="E173" s="31"/>
      <c r="F173" s="31"/>
      <c r="G173" s="31" t="s">
        <v>50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Data'!B198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484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 ht="15">
      <c r="A174" s="31"/>
      <c r="B174" s="32"/>
      <c r="C174" s="31" t="s">
        <v>128</v>
      </c>
      <c r="D174" s="31"/>
      <c r="E174" s="31"/>
      <c r="F174" s="31"/>
      <c r="G174" s="31" t="s">
        <v>50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Data'!B199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484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 ht="15">
      <c r="A175" s="31"/>
      <c r="B175" s="32"/>
      <c r="C175" s="31" t="s">
        <v>128</v>
      </c>
      <c r="D175" s="31"/>
      <c r="E175" s="31"/>
      <c r="F175" s="31"/>
      <c r="G175" s="31" t="s">
        <v>50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Data'!B200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484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 ht="15">
      <c r="A176" s="31"/>
      <c r="B176" s="32"/>
      <c r="C176" s="31" t="s">
        <v>128</v>
      </c>
      <c r="D176" s="31"/>
      <c r="E176" s="31"/>
      <c r="F176" s="31"/>
      <c r="G176" s="31" t="s">
        <v>50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Data'!B201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484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 ht="15">
      <c r="A177" s="31"/>
      <c r="B177" s="32"/>
      <c r="C177" s="31" t="s">
        <v>128</v>
      </c>
      <c r="D177" s="31"/>
      <c r="E177" s="31"/>
      <c r="F177" s="31"/>
      <c r="G177" s="31" t="s">
        <v>50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Data'!B202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484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 ht="15">
      <c r="A178" s="31"/>
      <c r="B178" s="32"/>
      <c r="C178" s="31" t="s">
        <v>128</v>
      </c>
      <c r="D178" s="31"/>
      <c r="E178" s="31"/>
      <c r="F178" s="31"/>
      <c r="G178" s="31" t="s">
        <v>50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Data'!B203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484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 ht="15">
      <c r="A179" s="31"/>
      <c r="B179" s="32"/>
      <c r="C179" s="31" t="s">
        <v>128</v>
      </c>
      <c r="D179" s="31"/>
      <c r="E179" s="31"/>
      <c r="F179" s="31"/>
      <c r="G179" s="31" t="s">
        <v>50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Data'!B204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484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 ht="15">
      <c r="A180" s="31"/>
      <c r="B180" s="32"/>
      <c r="C180" s="31" t="s">
        <v>128</v>
      </c>
      <c r="D180" s="31"/>
      <c r="E180" s="31"/>
      <c r="F180" s="31"/>
      <c r="G180" s="31" t="s">
        <v>50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Data'!B205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484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 ht="15">
      <c r="A181" s="31"/>
      <c r="B181" s="32"/>
      <c r="C181" s="31" t="s">
        <v>128</v>
      </c>
      <c r="D181" s="31"/>
      <c r="E181" s="31"/>
      <c r="F181" s="31"/>
      <c r="G181" s="31" t="s">
        <v>50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Data'!B206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484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 ht="15">
      <c r="A182" s="31"/>
      <c r="B182" s="32"/>
      <c r="C182" s="31" t="s">
        <v>128</v>
      </c>
      <c r="D182" s="31"/>
      <c r="E182" s="31"/>
      <c r="F182" s="31"/>
      <c r="G182" s="31" t="s">
        <v>50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Data'!B207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484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 ht="15">
      <c r="A183" s="31"/>
      <c r="B183" s="32"/>
      <c r="C183" s="31" t="s">
        <v>128</v>
      </c>
      <c r="D183" s="31"/>
      <c r="E183" s="31"/>
      <c r="F183" s="31"/>
      <c r="G183" s="31" t="s">
        <v>50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Data'!B208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484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 ht="15">
      <c r="A184" s="31"/>
      <c r="B184" s="32"/>
      <c r="C184" s="31" t="s">
        <v>128</v>
      </c>
      <c r="D184" s="31"/>
      <c r="E184" s="31"/>
      <c r="F184" s="31"/>
      <c r="G184" s="31" t="s">
        <v>50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Data'!B209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484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 ht="15">
      <c r="A185" s="31"/>
      <c r="B185" s="32"/>
      <c r="C185" s="31" t="s">
        <v>128</v>
      </c>
      <c r="D185" s="31"/>
      <c r="E185" s="31"/>
      <c r="F185" s="31"/>
      <c r="G185" s="31" t="s">
        <v>50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Data'!B210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484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 ht="15">
      <c r="A186" s="31"/>
      <c r="B186" s="32"/>
      <c r="C186" s="31" t="s">
        <v>128</v>
      </c>
      <c r="D186" s="31"/>
      <c r="E186" s="31"/>
      <c r="F186" s="31"/>
      <c r="G186" s="31" t="s">
        <v>50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Data'!B211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484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 ht="15">
      <c r="A187" s="31"/>
      <c r="B187" s="32"/>
      <c r="C187" s="31" t="s">
        <v>128</v>
      </c>
      <c r="D187" s="31"/>
      <c r="E187" s="31"/>
      <c r="F187" s="31"/>
      <c r="G187" s="31" t="s">
        <v>50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Data'!B212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484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 ht="15">
      <c r="A188" s="31"/>
      <c r="B188" s="32"/>
      <c r="C188" s="31" t="s">
        <v>128</v>
      </c>
      <c r="D188" s="31"/>
      <c r="E188" s="31"/>
      <c r="F188" s="31"/>
      <c r="G188" s="31" t="s">
        <v>50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Data'!B213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484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 ht="15">
      <c r="A189" s="31"/>
      <c r="B189" s="32"/>
      <c r="C189" s="31" t="s">
        <v>128</v>
      </c>
      <c r="D189" s="31"/>
      <c r="E189" s="31"/>
      <c r="F189" s="31"/>
      <c r="G189" s="31" t="s">
        <v>50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Data'!B214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484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 ht="15">
      <c r="A190" s="31"/>
      <c r="B190" s="32"/>
      <c r="C190" s="31" t="s">
        <v>128</v>
      </c>
      <c r="D190" s="31"/>
      <c r="E190" s="31"/>
      <c r="F190" s="31"/>
      <c r="G190" s="31" t="s">
        <v>50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Data'!B215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484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 ht="15">
      <c r="A191" s="31"/>
      <c r="B191" s="32"/>
      <c r="C191" s="31" t="s">
        <v>128</v>
      </c>
      <c r="D191" s="31"/>
      <c r="E191" s="31"/>
      <c r="F191" s="31"/>
      <c r="G191" s="31" t="s">
        <v>50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Data'!B216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484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 ht="15">
      <c r="A192" s="31"/>
      <c r="B192" s="32"/>
      <c r="C192" s="31" t="s">
        <v>128</v>
      </c>
      <c r="D192" s="31"/>
      <c r="E192" s="31"/>
      <c r="F192" s="31"/>
      <c r="G192" s="31" t="s">
        <v>50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Data'!B217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484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 ht="15">
      <c r="A193" s="31"/>
      <c r="B193" s="32"/>
      <c r="C193" s="31" t="s">
        <v>128</v>
      </c>
      <c r="D193" s="31"/>
      <c r="E193" s="31"/>
      <c r="F193" s="31"/>
      <c r="G193" s="31" t="s">
        <v>50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Data'!B218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484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 ht="15">
      <c r="A194" s="31"/>
      <c r="B194" s="32"/>
      <c r="C194" s="31" t="s">
        <v>128</v>
      </c>
      <c r="D194" s="31"/>
      <c r="E194" s="31"/>
      <c r="F194" s="31"/>
      <c r="G194" s="31" t="s">
        <v>50</v>
      </c>
      <c r="H194" s="32"/>
      <c r="I194" s="32"/>
      <c r="J194" s="32"/>
      <c r="K194" s="31"/>
      <c r="L194" s="31"/>
      <c r="M194" s="3" t="str">
        <f t="shared" ca="1" si="3"/>
        <v/>
      </c>
      <c r="P194">
        <f>'Combined Delivery Data'!B219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484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 ht="15">
      <c r="A195" s="31"/>
      <c r="B195" s="32"/>
      <c r="C195" s="31" t="s">
        <v>128</v>
      </c>
      <c r="D195" s="31"/>
      <c r="E195" s="31"/>
      <c r="F195" s="31"/>
      <c r="G195" s="31" t="s">
        <v>50</v>
      </c>
      <c r="H195" s="32"/>
      <c r="I195" s="32"/>
      <c r="J195" s="32"/>
      <c r="K195" s="31"/>
      <c r="L195" s="31"/>
      <c r="M195" s="3" t="str">
        <f t="shared" ref="M195:M258" ca="1" si="4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484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 ht="15">
      <c r="A196" s="31"/>
      <c r="B196" s="32"/>
      <c r="C196" s="31" t="s">
        <v>128</v>
      </c>
      <c r="D196" s="31"/>
      <c r="E196" s="31"/>
      <c r="F196" s="31"/>
      <c r="G196" s="31" t="s">
        <v>50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Data'!B221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484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 ht="15">
      <c r="A197" s="31"/>
      <c r="B197" s="32"/>
      <c r="C197" s="31" t="s">
        <v>128</v>
      </c>
      <c r="D197" s="31"/>
      <c r="E197" s="31"/>
      <c r="F197" s="31"/>
      <c r="G197" s="31" t="s">
        <v>50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Data'!B222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484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 ht="15">
      <c r="A198" s="31"/>
      <c r="B198" s="32"/>
      <c r="C198" s="31" t="s">
        <v>128</v>
      </c>
      <c r="D198" s="31"/>
      <c r="E198" s="31"/>
      <c r="F198" s="31"/>
      <c r="G198" s="31" t="s">
        <v>50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Data'!B223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484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 ht="15">
      <c r="A199" s="31"/>
      <c r="B199" s="32"/>
      <c r="C199" s="31" t="s">
        <v>128</v>
      </c>
      <c r="D199" s="31"/>
      <c r="E199" s="31"/>
      <c r="F199" s="31"/>
      <c r="G199" s="31" t="s">
        <v>50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Data'!B224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484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 ht="15">
      <c r="A200" s="31"/>
      <c r="B200" s="32"/>
      <c r="C200" s="31" t="s">
        <v>128</v>
      </c>
      <c r="D200" s="31"/>
      <c r="E200" s="31"/>
      <c r="F200" s="31"/>
      <c r="G200" s="31" t="s">
        <v>50</v>
      </c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Data'!B225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484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 ht="15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Data'!B226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484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 ht="15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Data'!B227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484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 ht="15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Data'!B228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484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 ht="15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Data'!B229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484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 ht="15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Data'!B230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484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 ht="15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Data'!B231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484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 ht="15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Data'!B232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484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 ht="15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Data'!B233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484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 ht="15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Data'!B234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484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 ht="15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Data'!B235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484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 ht="15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Data'!B236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484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 ht="15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Data'!B237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484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 ht="15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Data'!B238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484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 ht="15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Data'!B239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484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 ht="15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Data'!B240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484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 ht="15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Data'!B241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484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 ht="15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Data'!B242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484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 ht="15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Data'!B243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484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 ht="15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Data'!B244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484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 ht="15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Data'!B245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484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 ht="15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Data'!B246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484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 ht="15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Data'!B247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484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 ht="15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Data'!B248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484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 ht="15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Data'!B249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484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 ht="15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Data'!B250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484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 ht="15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Data'!B251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484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 ht="15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Data'!B252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484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 ht="15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Data'!B253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484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 ht="15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Data'!B254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484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 ht="15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Data'!B255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484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 ht="15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Data'!B256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484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 ht="15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Data'!B257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484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 ht="15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Data'!B258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484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 ht="15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Data'!B259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484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 ht="15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Data'!B260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484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 ht="15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Data'!B261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484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 ht="15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Data'!B262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484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 ht="15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Data'!B263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484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 ht="15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Data'!B264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484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 ht="15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Data'!B265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484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 ht="15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Data'!B266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484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 ht="15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Data'!B267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484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 ht="15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Data'!B268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484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 ht="15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Data'!B269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484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 ht="15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Data'!B270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484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 ht="15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Data'!B271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484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 ht="15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Data'!B272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484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 ht="15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Data'!B273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484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 ht="15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Data'!B274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484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 ht="15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Data'!B275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484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 ht="15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Data'!B276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484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 ht="15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Data'!B277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484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 ht="15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Data'!B278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484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 ht="15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Data'!B279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484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 ht="15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Data'!B280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484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 ht="15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Data'!B281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484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 ht="15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Data'!B282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484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 ht="15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4"/>
        <v/>
      </c>
      <c r="P258">
        <f>'Combined Delivery Data'!B283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484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 ht="15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484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 ht="15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Data'!B285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484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 ht="15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Data'!B286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484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 ht="15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Data'!B287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484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 ht="15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Data'!B288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484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 ht="15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Data'!B289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484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 ht="15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Data'!B290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484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 ht="15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Data'!B291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484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 ht="15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Data'!B292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484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 ht="15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Data'!B293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484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 ht="15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Data'!B294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484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 ht="15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Data'!B295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484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 ht="15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Data'!B296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484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 ht="15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Data'!B297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484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 ht="15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Data'!B298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484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 ht="15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Data'!B299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484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 ht="15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Data'!B300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484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 ht="15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Data'!B301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484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 ht="15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Data'!B302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484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 ht="15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Data'!B303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484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 ht="15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Data'!B304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484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 ht="15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Data'!B305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484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 ht="15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Data'!B306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484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 ht="15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Data'!B307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484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 ht="15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Data'!B308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484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 ht="15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Data'!B309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484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 ht="15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Data'!B310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484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 ht="15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Data'!B311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484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 ht="15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Data'!B312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484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 ht="15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Data'!B313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484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 ht="15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Data'!B314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484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 ht="15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Data'!B315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484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 ht="15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Data'!B316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484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 ht="15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Data'!B317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484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 ht="15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Data'!B318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484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 ht="15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Data'!B319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484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 ht="15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Data'!B320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484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 ht="15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Data'!B321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484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 ht="15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Data'!B322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484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 ht="15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Data'!B323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484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 ht="15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Data'!B324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484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 ht="15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Data'!B325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484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 ht="15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Data'!B326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484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 ht="15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Data'!B327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484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 ht="15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Data'!B328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484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 ht="15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Data'!B329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484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 ht="15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Data'!B330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484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 ht="15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Data'!B331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484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 ht="15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Data'!B332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484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 ht="15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Data'!B333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484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 ht="15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Data'!B334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484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 ht="15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Data'!B335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484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 ht="15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Data'!B336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484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 ht="15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Data'!B337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484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 ht="15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Data'!B338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484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 ht="15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Data'!B339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484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 ht="15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Data'!B340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484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 ht="15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Data'!B341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484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 ht="15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Data'!B342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484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 ht="15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Data'!B343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484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 ht="15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Data'!B344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484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 ht="15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Data'!B345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484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 ht="15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Data'!B346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484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 ht="15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5"/>
        <v/>
      </c>
      <c r="P322">
        <f>'Combined Delivery Data'!B347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484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 ht="15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484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 ht="15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Data'!B349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484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 ht="15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Data'!B350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484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 ht="15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Data'!B351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484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 ht="15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Data'!B352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484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 ht="15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Data'!B353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484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 ht="15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Data'!B354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484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 ht="15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Data'!B355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484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 ht="15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Data'!B356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484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 ht="15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Data'!B357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484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 ht="15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Data'!B358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484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 ht="15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Data'!B359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484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 ht="15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Data'!B360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484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 ht="15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Data'!B361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484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 ht="15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Data'!B362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484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 ht="15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Data'!B363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484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 ht="15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Data'!B364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484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 ht="15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Data'!B365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484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 ht="15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Data'!B366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484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 ht="15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Data'!B367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484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 ht="15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Data'!B368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484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 ht="15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Data'!B369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484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 ht="15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Data'!B370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484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 ht="15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Data'!B371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484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 ht="15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Data'!B372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484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 ht="15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Data'!B373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484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 ht="15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Data'!B374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484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 ht="15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Data'!B375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484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 ht="15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Data'!B376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484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 ht="15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Data'!B377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484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 ht="15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Data'!B378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484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 ht="15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Data'!B379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484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 ht="15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Data'!B380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484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 ht="15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Data'!B381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484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 ht="15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Data'!B382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484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 ht="15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Data'!B383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484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 ht="15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Data'!B384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484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 ht="15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Data'!B385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484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 ht="15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Data'!B386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484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 ht="15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Data'!B387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484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 ht="15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Data'!B388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484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 ht="15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Data'!B389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484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 ht="15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Data'!B390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484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 ht="15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Data'!B391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484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 ht="15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Data'!B392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484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 ht="15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Data'!B393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484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 ht="15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Data'!B394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484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 ht="15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Data'!B395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484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 ht="15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Data'!B396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484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 ht="15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Data'!B397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484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 ht="15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Data'!B398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484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 ht="15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Data'!B399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484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 ht="15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Data'!B400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484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 ht="15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Data'!B401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484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 ht="15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Data'!B402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484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 ht="15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Data'!B403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484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 ht="15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Data'!B404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484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 ht="15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Data'!B405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484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 ht="15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Data'!B406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484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 ht="15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Data'!B407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484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 ht="15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Data'!B408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484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 ht="15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Data'!B409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484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 ht="15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Data'!B410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484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 ht="15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6"/>
        <v/>
      </c>
      <c r="P386">
        <f>'Combined Delivery Data'!B411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484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 ht="15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7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484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 ht="15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Data'!B413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484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 ht="15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Data'!B414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484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 ht="15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Data'!B415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484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 ht="15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Data'!B416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484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 ht="15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Data'!B417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484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 ht="15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Data'!B418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484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 ht="15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Data'!B419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484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 ht="15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Data'!B420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484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 ht="15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Data'!B421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484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 ht="15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Data'!B422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484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 ht="15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Data'!B423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484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 ht="15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Data'!B424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484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 ht="15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Data'!B425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484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 ht="15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Data'!B426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484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 ht="15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Data'!B427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484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 ht="15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Data'!B428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484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 ht="15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Data'!B429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484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 ht="15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Data'!B430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484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 ht="15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Data'!B431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484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 ht="15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Data'!B432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484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 ht="15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Data'!B433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484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 ht="15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Data'!B434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484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 ht="15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Data'!B435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484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 ht="15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Data'!B436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484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 ht="15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Data'!B437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484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 ht="15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Data'!B438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484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 ht="15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Data'!B439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484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 ht="15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Data'!B440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484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 ht="15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Data'!B441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484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 ht="15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Data'!B442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484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 ht="15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Data'!B443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484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 ht="15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Data'!B444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484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 ht="15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Data'!B445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484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 ht="15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Data'!B446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484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 ht="15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Data'!B447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484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 ht="15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Data'!B448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484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 ht="15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Data'!B449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484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 ht="15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Data'!B450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484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 ht="15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Data'!B451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484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 ht="15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Data'!B452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484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 ht="15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Data'!B453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484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 ht="15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Data'!B454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484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 ht="15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Data'!B455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484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 ht="15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Data'!B456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484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 ht="15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Data'!B457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484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 ht="15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Data'!B458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484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 ht="15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Data'!B459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484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 ht="15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Data'!B460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484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 ht="15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Data'!B461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484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 ht="15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Data'!B462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484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 ht="15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Data'!B463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484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 ht="15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Data'!B464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484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 ht="15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Data'!B465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484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 ht="15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Data'!B466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484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 ht="15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Data'!B467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484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 ht="15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Data'!B468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484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 ht="15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Data'!B469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484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 ht="15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Data'!B470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484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 ht="15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Data'!B471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484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 ht="15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Data'!B472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484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 ht="15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Data'!B473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484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 ht="15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Data'!B474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484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 ht="15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7"/>
        <v/>
      </c>
      <c r="P450">
        <f>'Combined Delivery Data'!B475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484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 ht="15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8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484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 ht="15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Data'!B477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484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 ht="15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Data'!B478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484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 ht="15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Data'!B479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484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 ht="15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Data'!B480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484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 ht="15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Data'!B481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484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 ht="15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Data'!B482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484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 ht="15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Data'!B483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484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 ht="15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Data'!B484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484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 ht="15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Data'!B485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484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 ht="15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Data'!B486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484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 ht="15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Data'!B487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484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 ht="15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Data'!B488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484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 ht="15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Data'!B489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484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 ht="15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Data'!B490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484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 ht="15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Data'!B491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484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 ht="15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Data'!B492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484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 ht="15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Data'!B493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484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 ht="15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Data'!B494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484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 ht="15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Data'!B495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484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 ht="15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Data'!B496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484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 ht="15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Data'!B497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484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 ht="15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Data'!B498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484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 ht="15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Data'!B499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484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 ht="15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Data'!B500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484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 ht="15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Data'!B501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484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 ht="15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Data'!B502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484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 ht="15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Data'!B503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484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 ht="15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Data'!B504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484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 ht="15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Data'!B505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484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 ht="15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Data'!B506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484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 ht="15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Data'!B507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484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 ht="15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Data'!B508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484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 ht="15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Data'!B509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484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 ht="15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Data'!B510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484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 ht="15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Data'!B511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484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 ht="15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Data'!B512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484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 ht="15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Data'!B513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484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 ht="15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Data'!B514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484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 ht="15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Data'!B515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484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 ht="15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Data'!B516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484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 ht="15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Data'!B517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484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 ht="15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Data'!B518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484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 ht="15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Data'!B519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484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 ht="15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Data'!B520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484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 ht="15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Data'!B521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484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 ht="15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Data'!B522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484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 ht="15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Data'!B523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484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 ht="15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Data'!B524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484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 ht="15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8"/>
        <v/>
      </c>
      <c r="P500">
        <f>'Combined Delivery Data'!B525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484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  <row r="501" spans="1:20" ht="15"/>
    <row r="502" spans="1:20" ht="15"/>
    <row r="503" spans="1:20" ht="15"/>
  </sheetData>
  <sheetProtection formatColumns="0" formatRows="0" sort="0" autoFilter="0"/>
  <mergeCells count="2">
    <mergeCell ref="A1:M1"/>
    <mergeCell ref="P1:T1"/>
  </mergeCells>
  <conditionalFormatting sqref="A5:A8">
    <cfRule type="expression" dxfId="13" priority="4">
      <formula>AND($B5&lt;&gt;"",MOD(ROW(),2)=0)</formula>
    </cfRule>
  </conditionalFormatting>
  <conditionalFormatting sqref="A11:A13">
    <cfRule type="expression" dxfId="12" priority="1">
      <formula>AND($B11&lt;&gt;"",MOD(ROW(),2)=0)</formula>
    </cfRule>
  </conditionalFormatting>
  <conditionalFormatting sqref="A3:H3 K3:M3 A4:M4 M4:M11 B5:M8 A9:M10 B11:M13 A14:M500">
    <cfRule type="expression" dxfId="11" priority="14">
      <formula>AND($A3&lt;&gt;"",$G3="Yes")</formula>
    </cfRule>
    <cfRule type="expression" dxfId="10" priority="15">
      <formula>AND($A3&lt;&gt;"",$J3&lt;&gt;"")</formula>
    </cfRule>
    <cfRule type="expression" dxfId="9" priority="16">
      <formula>$A3&lt;&gt;""</formula>
    </cfRule>
  </conditionalFormatting>
  <conditionalFormatting sqref="C3:C200">
    <cfRule type="expression" dxfId="8" priority="17">
      <formula>$A3=""</formula>
    </cfRule>
  </conditionalFormatting>
  <conditionalFormatting sqref="G3:G200">
    <cfRule type="expression" dxfId="7" priority="18">
      <formula>$A3=""</formula>
    </cfRule>
  </conditionalFormatting>
  <conditionalFormatting sqref="K3:M3 A4:M4 M4:M11 B5:M8 A9:M10 B11:M13 A14:M500 A3:H3">
    <cfRule type="expression" dxfId="6" priority="13">
      <formula>AND($A3&lt;&gt;"",$G3="Did not pass re-test")</formula>
    </cfRule>
  </conditionalFormatting>
  <conditionalFormatting sqref="M3:M500">
    <cfRule type="expression" dxfId="5" priority="7">
      <formula>ISNUMBER(SEARCH("Sent back again",$M3))</formula>
    </cfRule>
    <cfRule type="expression" dxfId="4" priority="8">
      <formula>ISNUMBER(SEARCH("LATE",$M3))</formula>
    </cfRule>
    <cfRule type="expression" dxfId="3" priority="9">
      <formula>ISNUMBER(SEARCH("UNCLAIMED",$M3))</formula>
    </cfRule>
    <cfRule type="expression" dxfId="2" priority="10">
      <formula>ISNUMBER(SEARCH("Missing",$M3))</formula>
    </cfRule>
    <cfRule type="expression" dxfId="1" priority="11">
      <formula>ISNUMBER(SEARCH("Fixed in",$M3))</formula>
    </cfRule>
    <cfRule type="expression" dxfId="0" priority="12">
      <formula>ISNUMBER(SEARCH("Open",$M3))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A14:A500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9" t="s">
        <v>307</v>
      </c>
      <c r="B1" s="84"/>
      <c r="C1" s="84"/>
      <c r="D1" s="84"/>
      <c r="E1" s="84"/>
      <c r="F1" s="84"/>
      <c r="G1" s="84"/>
      <c r="H1" s="84"/>
      <c r="I1" s="84"/>
      <c r="J1" s="84"/>
    </row>
    <row r="2" spans="1:10" ht="27" customHeight="1">
      <c r="A2" s="8" t="s">
        <v>0</v>
      </c>
      <c r="B2" s="8" t="s">
        <v>308</v>
      </c>
      <c r="C2" s="8" t="s">
        <v>1</v>
      </c>
      <c r="D2" s="8" t="s">
        <v>309</v>
      </c>
      <c r="E2" s="8" t="s">
        <v>310</v>
      </c>
      <c r="F2" s="8" t="s">
        <v>6</v>
      </c>
      <c r="G2" s="8" t="s">
        <v>5</v>
      </c>
      <c r="H2" s="8" t="s">
        <v>311</v>
      </c>
      <c r="I2" s="8" t="s">
        <v>312</v>
      </c>
      <c r="J2" s="8" t="s">
        <v>313</v>
      </c>
    </row>
    <row r="3" spans="1:10" ht="14.25" customHeight="1">
      <c r="A3" s="9" t="s">
        <v>38</v>
      </c>
      <c r="B3" s="9" t="s">
        <v>153</v>
      </c>
      <c r="C3" s="9" t="s">
        <v>39</v>
      </c>
      <c r="D3" s="9" t="s">
        <v>42</v>
      </c>
      <c r="E3" s="9" t="s">
        <v>44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38</v>
      </c>
      <c r="B4" s="9" t="s">
        <v>149</v>
      </c>
      <c r="C4" s="9" t="s">
        <v>39</v>
      </c>
      <c r="D4" s="9" t="s">
        <v>42</v>
      </c>
      <c r="E4" s="9" t="s">
        <v>44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38</v>
      </c>
      <c r="B5" s="9" t="s">
        <v>128</v>
      </c>
      <c r="C5" s="9" t="s">
        <v>39</v>
      </c>
      <c r="D5" s="9" t="s">
        <v>42</v>
      </c>
      <c r="E5" s="9" t="s">
        <v>44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38</v>
      </c>
      <c r="B6" s="9" t="s">
        <v>118</v>
      </c>
      <c r="C6" s="9" t="s">
        <v>39</v>
      </c>
      <c r="D6" s="9" t="s">
        <v>42</v>
      </c>
      <c r="E6" s="9" t="s">
        <v>44</v>
      </c>
      <c r="F6" s="9"/>
      <c r="G6" s="9"/>
      <c r="H6" s="10">
        <v>46122</v>
      </c>
      <c r="I6" s="10"/>
      <c r="J6" s="10"/>
    </row>
    <row r="7" spans="1:10" ht="14.25" customHeight="1">
      <c r="A7" s="9" t="s">
        <v>38</v>
      </c>
      <c r="B7" s="9" t="s">
        <v>40</v>
      </c>
      <c r="C7" s="9" t="s">
        <v>39</v>
      </c>
      <c r="D7" s="9" t="s">
        <v>42</v>
      </c>
      <c r="E7" s="9" t="s">
        <v>44</v>
      </c>
      <c r="F7" s="9"/>
      <c r="G7" s="9"/>
      <c r="H7" s="9"/>
      <c r="I7" s="10"/>
      <c r="J7" s="10"/>
    </row>
    <row r="8" spans="1:10" ht="14.25" customHeight="1">
      <c r="A8" s="9" t="s">
        <v>38</v>
      </c>
      <c r="B8" s="9" t="s">
        <v>153</v>
      </c>
      <c r="C8" s="9" t="s">
        <v>52</v>
      </c>
      <c r="D8" s="9" t="s">
        <v>42</v>
      </c>
      <c r="E8" s="9" t="s">
        <v>44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38</v>
      </c>
      <c r="B9" s="9" t="s">
        <v>149</v>
      </c>
      <c r="C9" s="9" t="s">
        <v>52</v>
      </c>
      <c r="D9" s="9" t="s">
        <v>42</v>
      </c>
      <c r="E9" s="9" t="s">
        <v>44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38</v>
      </c>
      <c r="B10" s="9" t="s">
        <v>128</v>
      </c>
      <c r="C10" s="9" t="s">
        <v>52</v>
      </c>
      <c r="D10" s="9" t="s">
        <v>42</v>
      </c>
      <c r="E10" s="9" t="s">
        <v>44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38</v>
      </c>
      <c r="B11" s="9" t="s">
        <v>118</v>
      </c>
      <c r="C11" s="9" t="s">
        <v>52</v>
      </c>
      <c r="D11" s="9" t="s">
        <v>42</v>
      </c>
      <c r="E11" s="9" t="s">
        <v>44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38</v>
      </c>
      <c r="B12" s="9" t="s">
        <v>40</v>
      </c>
      <c r="C12" s="9" t="s">
        <v>52</v>
      </c>
      <c r="D12" s="9" t="s">
        <v>42</v>
      </c>
      <c r="E12" s="9" t="s">
        <v>44</v>
      </c>
      <c r="F12" s="9"/>
      <c r="G12" s="9"/>
      <c r="H12" s="10"/>
      <c r="I12" s="10"/>
      <c r="J12" s="10"/>
    </row>
    <row r="13" spans="1:10" ht="14.25" customHeight="1">
      <c r="A13" s="9" t="s">
        <v>38</v>
      </c>
      <c r="B13" s="9" t="s">
        <v>153</v>
      </c>
      <c r="C13" s="9" t="s">
        <v>314</v>
      </c>
      <c r="D13" s="9" t="s">
        <v>62</v>
      </c>
      <c r="E13" s="9" t="s">
        <v>44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38</v>
      </c>
      <c r="B14" s="9" t="s">
        <v>149</v>
      </c>
      <c r="C14" s="9" t="s">
        <v>314</v>
      </c>
      <c r="D14" s="9" t="s">
        <v>62</v>
      </c>
      <c r="E14" s="9" t="s">
        <v>44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38</v>
      </c>
      <c r="B15" s="9" t="s">
        <v>128</v>
      </c>
      <c r="C15" s="9" t="s">
        <v>314</v>
      </c>
      <c r="D15" s="9" t="s">
        <v>62</v>
      </c>
      <c r="E15" s="9" t="s">
        <v>44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38</v>
      </c>
      <c r="B16" s="9" t="s">
        <v>118</v>
      </c>
      <c r="C16" s="9" t="s">
        <v>314</v>
      </c>
      <c r="D16" s="9" t="s">
        <v>62</v>
      </c>
      <c r="E16" s="9" t="s">
        <v>44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38</v>
      </c>
      <c r="B17" s="9" t="s">
        <v>40</v>
      </c>
      <c r="C17" s="9" t="s">
        <v>314</v>
      </c>
      <c r="D17" s="9" t="s">
        <v>62</v>
      </c>
      <c r="E17" s="9" t="s">
        <v>44</v>
      </c>
      <c r="F17" s="9"/>
      <c r="G17" s="9"/>
      <c r="H17" s="10"/>
      <c r="I17" s="10"/>
      <c r="J17" s="10"/>
    </row>
    <row r="18" spans="1:10" ht="14.25" customHeight="1">
      <c r="A18" s="9" t="s">
        <v>38</v>
      </c>
      <c r="B18" s="9" t="s">
        <v>153</v>
      </c>
      <c r="C18" s="9" t="s">
        <v>55</v>
      </c>
      <c r="D18" s="9" t="s">
        <v>56</v>
      </c>
      <c r="E18" s="9" t="s">
        <v>57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38</v>
      </c>
      <c r="B19" s="9" t="s">
        <v>149</v>
      </c>
      <c r="C19" s="9" t="s">
        <v>55</v>
      </c>
      <c r="D19" s="9" t="s">
        <v>56</v>
      </c>
      <c r="E19" s="9" t="s">
        <v>57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38</v>
      </c>
      <c r="B20" s="9" t="s">
        <v>128</v>
      </c>
      <c r="C20" s="9" t="s">
        <v>55</v>
      </c>
      <c r="D20" s="9" t="s">
        <v>56</v>
      </c>
      <c r="E20" s="9" t="s">
        <v>57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38</v>
      </c>
      <c r="B21" s="9" t="s">
        <v>118</v>
      </c>
      <c r="C21" s="9" t="s">
        <v>55</v>
      </c>
      <c r="D21" s="9" t="s">
        <v>56</v>
      </c>
      <c r="E21" s="9" t="s">
        <v>57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38</v>
      </c>
      <c r="B22" s="9" t="s">
        <v>40</v>
      </c>
      <c r="C22" s="9" t="s">
        <v>55</v>
      </c>
      <c r="D22" s="9" t="s">
        <v>56</v>
      </c>
      <c r="E22" s="9" t="s">
        <v>57</v>
      </c>
      <c r="F22" s="9"/>
      <c r="G22" s="9"/>
      <c r="H22" s="9"/>
      <c r="I22" s="10"/>
      <c r="J22" s="10"/>
    </row>
    <row r="23" spans="1:10" ht="14.25" customHeight="1">
      <c r="A23" s="9" t="s">
        <v>38</v>
      </c>
      <c r="B23" s="9" t="s">
        <v>153</v>
      </c>
      <c r="C23" s="9" t="s">
        <v>61</v>
      </c>
      <c r="D23" s="9" t="s">
        <v>62</v>
      </c>
      <c r="E23" s="9" t="s">
        <v>44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38</v>
      </c>
      <c r="B24" s="9" t="s">
        <v>149</v>
      </c>
      <c r="C24" s="9" t="s">
        <v>61</v>
      </c>
      <c r="D24" s="9" t="s">
        <v>62</v>
      </c>
      <c r="E24" s="9" t="s">
        <v>44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38</v>
      </c>
      <c r="B25" s="9" t="s">
        <v>128</v>
      </c>
      <c r="C25" s="9" t="s">
        <v>61</v>
      </c>
      <c r="D25" s="9" t="s">
        <v>62</v>
      </c>
      <c r="E25" s="9" t="s">
        <v>44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38</v>
      </c>
      <c r="B26" s="9" t="s">
        <v>118</v>
      </c>
      <c r="C26" s="9" t="s">
        <v>61</v>
      </c>
      <c r="D26" s="9" t="s">
        <v>62</v>
      </c>
      <c r="E26" s="9" t="s">
        <v>44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38</v>
      </c>
      <c r="B27" s="9" t="s">
        <v>40</v>
      </c>
      <c r="C27" s="9" t="s">
        <v>61</v>
      </c>
      <c r="D27" s="9" t="s">
        <v>62</v>
      </c>
      <c r="E27" s="9" t="s">
        <v>44</v>
      </c>
      <c r="F27" s="9"/>
      <c r="G27" s="9"/>
      <c r="H27" s="10"/>
      <c r="I27" s="10"/>
      <c r="J27" s="10"/>
    </row>
    <row r="28" spans="1:10" ht="14.25" customHeight="1">
      <c r="A28" s="9" t="s">
        <v>38</v>
      </c>
      <c r="B28" s="9" t="s">
        <v>153</v>
      </c>
      <c r="C28" s="9" t="s">
        <v>66</v>
      </c>
      <c r="D28" s="9" t="s">
        <v>72</v>
      </c>
      <c r="E28" s="9" t="s">
        <v>57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38</v>
      </c>
      <c r="B29" s="9" t="s">
        <v>149</v>
      </c>
      <c r="C29" s="9" t="s">
        <v>66</v>
      </c>
      <c r="D29" s="9" t="s">
        <v>72</v>
      </c>
      <c r="E29" s="9" t="s">
        <v>57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38</v>
      </c>
      <c r="B30" s="9" t="s">
        <v>128</v>
      </c>
      <c r="C30" s="9" t="s">
        <v>66</v>
      </c>
      <c r="D30" s="9" t="s">
        <v>72</v>
      </c>
      <c r="E30" s="9" t="s">
        <v>57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38</v>
      </c>
      <c r="B31" s="9" t="s">
        <v>118</v>
      </c>
      <c r="C31" s="9" t="s">
        <v>66</v>
      </c>
      <c r="D31" s="9" t="s">
        <v>72</v>
      </c>
      <c r="E31" s="9" t="s">
        <v>57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38</v>
      </c>
      <c r="B32" s="9" t="s">
        <v>40</v>
      </c>
      <c r="C32" s="9" t="s">
        <v>66</v>
      </c>
      <c r="D32" s="9" t="s">
        <v>72</v>
      </c>
      <c r="E32" s="9" t="s">
        <v>57</v>
      </c>
      <c r="F32" s="9"/>
      <c r="G32" s="9"/>
      <c r="H32" s="10"/>
      <c r="I32" s="10"/>
      <c r="J32" s="10"/>
    </row>
    <row r="33" spans="1:10" ht="14.25" customHeight="1">
      <c r="A33" s="9" t="s">
        <v>38</v>
      </c>
      <c r="B33" s="9" t="s">
        <v>153</v>
      </c>
      <c r="C33" s="9" t="s">
        <v>67</v>
      </c>
      <c r="D33" s="9" t="s">
        <v>62</v>
      </c>
      <c r="E33" s="9" t="s">
        <v>57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38</v>
      </c>
      <c r="B34" s="9" t="s">
        <v>149</v>
      </c>
      <c r="C34" s="9" t="s">
        <v>67</v>
      </c>
      <c r="D34" s="9" t="s">
        <v>62</v>
      </c>
      <c r="E34" s="9" t="s">
        <v>57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38</v>
      </c>
      <c r="B35" s="9" t="s">
        <v>128</v>
      </c>
      <c r="C35" s="9" t="s">
        <v>67</v>
      </c>
      <c r="D35" s="9" t="s">
        <v>62</v>
      </c>
      <c r="E35" s="9" t="s">
        <v>57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38</v>
      </c>
      <c r="B36" s="9" t="s">
        <v>118</v>
      </c>
      <c r="C36" s="9" t="s">
        <v>67</v>
      </c>
      <c r="D36" s="9" t="s">
        <v>62</v>
      </c>
      <c r="E36" s="9" t="s">
        <v>57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38</v>
      </c>
      <c r="B37" s="9" t="s">
        <v>40</v>
      </c>
      <c r="C37" s="9" t="s">
        <v>67</v>
      </c>
      <c r="D37" s="9" t="s">
        <v>62</v>
      </c>
      <c r="E37" s="9" t="s">
        <v>57</v>
      </c>
      <c r="F37" s="9"/>
      <c r="G37" s="9"/>
      <c r="H37" s="10"/>
      <c r="I37" s="10"/>
      <c r="J37" s="10"/>
    </row>
    <row r="38" spans="1:10" ht="14.25" customHeight="1">
      <c r="A38" s="9" t="s">
        <v>38</v>
      </c>
      <c r="B38" s="9" t="s">
        <v>153</v>
      </c>
      <c r="C38" s="9" t="s">
        <v>68</v>
      </c>
      <c r="D38" s="9" t="s">
        <v>80</v>
      </c>
      <c r="E38" s="9" t="s">
        <v>57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38</v>
      </c>
      <c r="B39" s="9" t="s">
        <v>149</v>
      </c>
      <c r="C39" s="9" t="s">
        <v>68</v>
      </c>
      <c r="D39" s="9" t="s">
        <v>80</v>
      </c>
      <c r="E39" s="9" t="s">
        <v>57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38</v>
      </c>
      <c r="B40" s="9" t="s">
        <v>128</v>
      </c>
      <c r="C40" s="9" t="s">
        <v>68</v>
      </c>
      <c r="D40" s="9" t="s">
        <v>80</v>
      </c>
      <c r="E40" s="9" t="s">
        <v>57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38</v>
      </c>
      <c r="B41" s="9" t="s">
        <v>118</v>
      </c>
      <c r="C41" s="9" t="s">
        <v>68</v>
      </c>
      <c r="D41" s="9" t="s">
        <v>80</v>
      </c>
      <c r="E41" s="9" t="s">
        <v>57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38</v>
      </c>
      <c r="B42" s="9" t="s">
        <v>40</v>
      </c>
      <c r="C42" s="9" t="s">
        <v>68</v>
      </c>
      <c r="D42" s="9" t="s">
        <v>80</v>
      </c>
      <c r="E42" s="9" t="s">
        <v>57</v>
      </c>
      <c r="F42" s="9"/>
      <c r="G42" s="9"/>
      <c r="H42" s="9"/>
      <c r="I42" s="10"/>
      <c r="J42" s="10"/>
    </row>
    <row r="43" spans="1:10" ht="14.25" customHeight="1">
      <c r="A43" s="9" t="s">
        <v>38</v>
      </c>
      <c r="B43" s="9" t="s">
        <v>153</v>
      </c>
      <c r="C43" s="9" t="s">
        <v>69</v>
      </c>
      <c r="D43" s="9" t="s">
        <v>56</v>
      </c>
      <c r="E43" s="9" t="s">
        <v>57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38</v>
      </c>
      <c r="B44" s="9" t="s">
        <v>149</v>
      </c>
      <c r="C44" s="9" t="s">
        <v>69</v>
      </c>
      <c r="D44" s="9" t="s">
        <v>56</v>
      </c>
      <c r="E44" s="9" t="s">
        <v>57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38</v>
      </c>
      <c r="B45" s="9" t="s">
        <v>128</v>
      </c>
      <c r="C45" s="9" t="s">
        <v>69</v>
      </c>
      <c r="D45" s="9" t="s">
        <v>56</v>
      </c>
      <c r="E45" s="9" t="s">
        <v>57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38</v>
      </c>
      <c r="B46" s="9" t="s">
        <v>118</v>
      </c>
      <c r="C46" s="9" t="s">
        <v>69</v>
      </c>
      <c r="D46" s="9" t="s">
        <v>56</v>
      </c>
      <c r="E46" s="9" t="s">
        <v>57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38</v>
      </c>
      <c r="B47" s="9" t="s">
        <v>40</v>
      </c>
      <c r="C47" s="9" t="s">
        <v>69</v>
      </c>
      <c r="D47" s="9" t="s">
        <v>56</v>
      </c>
      <c r="E47" s="9" t="s">
        <v>57</v>
      </c>
      <c r="F47" s="9"/>
      <c r="G47" s="9"/>
      <c r="H47" s="10"/>
      <c r="I47" s="10"/>
      <c r="J47" s="10"/>
    </row>
    <row r="48" spans="1:10" ht="14.25" customHeight="1">
      <c r="A48" s="9" t="s">
        <v>38</v>
      </c>
      <c r="B48" s="9" t="s">
        <v>153</v>
      </c>
      <c r="C48" s="9" t="s">
        <v>92</v>
      </c>
      <c r="D48" s="9" t="s">
        <v>62</v>
      </c>
      <c r="E48" s="9" t="s">
        <v>57</v>
      </c>
      <c r="F48" s="9"/>
      <c r="G48" s="9"/>
      <c r="H48" s="10"/>
      <c r="I48" s="10"/>
      <c r="J48" s="10"/>
    </row>
    <row r="49" spans="1:10" ht="14.25" customHeight="1">
      <c r="A49" s="9" t="s">
        <v>38</v>
      </c>
      <c r="B49" s="9" t="s">
        <v>149</v>
      </c>
      <c r="C49" s="9" t="s">
        <v>92</v>
      </c>
      <c r="D49" s="9" t="s">
        <v>62</v>
      </c>
      <c r="E49" s="9" t="s">
        <v>57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38</v>
      </c>
      <c r="B50" s="9" t="s">
        <v>128</v>
      </c>
      <c r="C50" s="9" t="s">
        <v>92</v>
      </c>
      <c r="D50" s="9" t="s">
        <v>62</v>
      </c>
      <c r="E50" s="9" t="s">
        <v>57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38</v>
      </c>
      <c r="B51" s="9" t="s">
        <v>118</v>
      </c>
      <c r="C51" s="9" t="s">
        <v>92</v>
      </c>
      <c r="D51" s="9" t="s">
        <v>62</v>
      </c>
      <c r="E51" s="9" t="s">
        <v>57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38</v>
      </c>
      <c r="B52" s="9" t="s">
        <v>40</v>
      </c>
      <c r="C52" s="9" t="s">
        <v>92</v>
      </c>
      <c r="D52" s="9" t="s">
        <v>62</v>
      </c>
      <c r="E52" s="9" t="s">
        <v>57</v>
      </c>
      <c r="F52" s="9"/>
      <c r="G52" s="9"/>
      <c r="H52" s="10"/>
      <c r="I52" s="10"/>
      <c r="J52" s="10"/>
    </row>
    <row r="53" spans="1:10" ht="14.25" customHeight="1">
      <c r="A53" s="9" t="s">
        <v>38</v>
      </c>
      <c r="B53" s="9" t="s">
        <v>153</v>
      </c>
      <c r="C53" s="9" t="s">
        <v>93</v>
      </c>
      <c r="D53" s="9" t="s">
        <v>62</v>
      </c>
      <c r="E53" s="9" t="s">
        <v>57</v>
      </c>
      <c r="F53" s="9"/>
      <c r="G53" s="9"/>
      <c r="H53" s="10"/>
      <c r="I53" s="10"/>
      <c r="J53" s="10"/>
    </row>
    <row r="54" spans="1:10" ht="14.25" customHeight="1">
      <c r="A54" s="9" t="s">
        <v>38</v>
      </c>
      <c r="B54" s="9" t="s">
        <v>149</v>
      </c>
      <c r="C54" s="9" t="s">
        <v>93</v>
      </c>
      <c r="D54" s="9" t="s">
        <v>62</v>
      </c>
      <c r="E54" s="9" t="s">
        <v>57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38</v>
      </c>
      <c r="B55" s="9" t="s">
        <v>128</v>
      </c>
      <c r="C55" s="9" t="s">
        <v>93</v>
      </c>
      <c r="D55" s="9" t="s">
        <v>62</v>
      </c>
      <c r="E55" s="9" t="s">
        <v>57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38</v>
      </c>
      <c r="B56" s="9" t="s">
        <v>118</v>
      </c>
      <c r="C56" s="9" t="s">
        <v>93</v>
      </c>
      <c r="D56" s="9" t="s">
        <v>62</v>
      </c>
      <c r="E56" s="9" t="s">
        <v>57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38</v>
      </c>
      <c r="B57" s="9" t="s">
        <v>40</v>
      </c>
      <c r="C57" s="9" t="s">
        <v>93</v>
      </c>
      <c r="D57" s="9" t="s">
        <v>62</v>
      </c>
      <c r="E57" s="9" t="s">
        <v>57</v>
      </c>
      <c r="F57" s="9"/>
      <c r="G57" s="9"/>
      <c r="H57" s="10"/>
      <c r="I57" s="10"/>
      <c r="J57" s="10"/>
    </row>
    <row r="58" spans="1:10" ht="14.25" customHeight="1">
      <c r="A58" s="9" t="s">
        <v>38</v>
      </c>
      <c r="B58" s="9" t="s">
        <v>153</v>
      </c>
      <c r="C58" s="9" t="s">
        <v>94</v>
      </c>
      <c r="D58" s="9" t="s">
        <v>62</v>
      </c>
      <c r="E58" s="9" t="s">
        <v>44</v>
      </c>
      <c r="F58" s="9"/>
      <c r="G58" s="9"/>
      <c r="H58" s="9"/>
      <c r="I58" s="10"/>
      <c r="J58" s="10"/>
    </row>
    <row r="59" spans="1:10" ht="14.25" customHeight="1">
      <c r="A59" s="9" t="s">
        <v>38</v>
      </c>
      <c r="B59" s="9" t="s">
        <v>149</v>
      </c>
      <c r="C59" s="9" t="s">
        <v>94</v>
      </c>
      <c r="D59" s="9" t="s">
        <v>62</v>
      </c>
      <c r="E59" s="9" t="s">
        <v>44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38</v>
      </c>
      <c r="B60" s="9" t="s">
        <v>128</v>
      </c>
      <c r="C60" s="9" t="s">
        <v>94</v>
      </c>
      <c r="D60" s="9" t="s">
        <v>62</v>
      </c>
      <c r="E60" s="9" t="s">
        <v>44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38</v>
      </c>
      <c r="B61" s="9" t="s">
        <v>118</v>
      </c>
      <c r="C61" s="9" t="s">
        <v>94</v>
      </c>
      <c r="D61" s="9" t="s">
        <v>62</v>
      </c>
      <c r="E61" s="9" t="s">
        <v>44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38</v>
      </c>
      <c r="B62" s="9" t="s">
        <v>40</v>
      </c>
      <c r="C62" s="9" t="s">
        <v>94</v>
      </c>
      <c r="D62" s="9" t="s">
        <v>62</v>
      </c>
      <c r="E62" s="9" t="s">
        <v>44</v>
      </c>
      <c r="F62" s="9"/>
      <c r="G62" s="9"/>
      <c r="H62" s="9"/>
      <c r="I62" s="10"/>
      <c r="J62" s="10"/>
    </row>
    <row r="63" spans="1:10" ht="14.25" customHeight="1">
      <c r="A63" s="9" t="s">
        <v>38</v>
      </c>
      <c r="B63" s="9" t="s">
        <v>153</v>
      </c>
      <c r="C63" s="9" t="s">
        <v>95</v>
      </c>
      <c r="D63" s="9" t="s">
        <v>98</v>
      </c>
      <c r="E63" s="9" t="s">
        <v>44</v>
      </c>
      <c r="F63" s="9"/>
      <c r="G63" s="9"/>
      <c r="H63" s="10"/>
      <c r="I63" s="10"/>
      <c r="J63" s="10"/>
    </row>
    <row r="64" spans="1:10" ht="14.25" customHeight="1">
      <c r="A64" s="9" t="s">
        <v>38</v>
      </c>
      <c r="B64" s="9" t="s">
        <v>149</v>
      </c>
      <c r="C64" s="9" t="s">
        <v>95</v>
      </c>
      <c r="D64" s="9" t="s">
        <v>98</v>
      </c>
      <c r="E64" s="9" t="s">
        <v>44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38</v>
      </c>
      <c r="B65" s="9" t="s">
        <v>128</v>
      </c>
      <c r="C65" s="9" t="s">
        <v>95</v>
      </c>
      <c r="D65" s="9" t="s">
        <v>98</v>
      </c>
      <c r="E65" s="9" t="s">
        <v>44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38</v>
      </c>
      <c r="B66" s="9" t="s">
        <v>118</v>
      </c>
      <c r="C66" s="9" t="s">
        <v>95</v>
      </c>
      <c r="D66" s="9" t="s">
        <v>98</v>
      </c>
      <c r="E66" s="9" t="s">
        <v>44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38</v>
      </c>
      <c r="B67" s="9" t="s">
        <v>40</v>
      </c>
      <c r="C67" s="9" t="s">
        <v>95</v>
      </c>
      <c r="D67" s="9" t="s">
        <v>98</v>
      </c>
      <c r="E67" s="9" t="s">
        <v>44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38</v>
      </c>
      <c r="B68" s="9" t="s">
        <v>153</v>
      </c>
      <c r="C68" s="9" t="s">
        <v>70</v>
      </c>
      <c r="D68" s="9" t="s">
        <v>72</v>
      </c>
      <c r="E68" s="9" t="s">
        <v>73</v>
      </c>
      <c r="F68" s="9"/>
      <c r="G68" s="9"/>
      <c r="H68" s="10"/>
      <c r="I68" s="10"/>
      <c r="J68" s="9"/>
    </row>
    <row r="69" spans="1:10" ht="14.25" customHeight="1">
      <c r="A69" s="9" t="s">
        <v>38</v>
      </c>
      <c r="B69" s="9" t="s">
        <v>149</v>
      </c>
      <c r="C69" s="9" t="s">
        <v>70</v>
      </c>
      <c r="D69" s="9" t="s">
        <v>72</v>
      </c>
      <c r="E69" s="9" t="s">
        <v>73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38</v>
      </c>
      <c r="B70" s="9" t="s">
        <v>128</v>
      </c>
      <c r="C70" s="9" t="s">
        <v>70</v>
      </c>
      <c r="D70" s="9" t="s">
        <v>72</v>
      </c>
      <c r="E70" s="9" t="s">
        <v>73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38</v>
      </c>
      <c r="B71" s="9" t="s">
        <v>118</v>
      </c>
      <c r="C71" s="9" t="s">
        <v>70</v>
      </c>
      <c r="D71" s="9" t="s">
        <v>72</v>
      </c>
      <c r="E71" s="9" t="s">
        <v>73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38</v>
      </c>
      <c r="B72" s="9" t="s">
        <v>40</v>
      </c>
      <c r="C72" s="9" t="s">
        <v>70</v>
      </c>
      <c r="D72" s="9" t="s">
        <v>72</v>
      </c>
      <c r="E72" s="9" t="s">
        <v>73</v>
      </c>
      <c r="F72" s="9"/>
      <c r="G72" s="9"/>
      <c r="H72" s="10"/>
      <c r="I72" s="10"/>
      <c r="J72" s="10"/>
    </row>
    <row r="73" spans="1:10" ht="14.25" customHeight="1">
      <c r="A73" s="9" t="s">
        <v>38</v>
      </c>
      <c r="B73" s="9" t="s">
        <v>153</v>
      </c>
      <c r="C73" s="9" t="s">
        <v>76</v>
      </c>
      <c r="D73" s="9" t="s">
        <v>56</v>
      </c>
      <c r="E73" s="9" t="s">
        <v>73</v>
      </c>
      <c r="F73" s="9"/>
      <c r="G73" s="9"/>
      <c r="H73" s="9"/>
      <c r="I73" s="10"/>
      <c r="J73" s="10"/>
    </row>
    <row r="74" spans="1:10" ht="14.25" customHeight="1">
      <c r="A74" s="9" t="s">
        <v>38</v>
      </c>
      <c r="B74" s="9" t="s">
        <v>149</v>
      </c>
      <c r="C74" s="9" t="s">
        <v>76</v>
      </c>
      <c r="D74" s="9" t="s">
        <v>56</v>
      </c>
      <c r="E74" s="9" t="s">
        <v>73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38</v>
      </c>
      <c r="B75" s="9" t="s">
        <v>128</v>
      </c>
      <c r="C75" s="9" t="s">
        <v>76</v>
      </c>
      <c r="D75" s="9" t="s">
        <v>56</v>
      </c>
      <c r="E75" s="9" t="s">
        <v>73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38</v>
      </c>
      <c r="B76" s="9" t="s">
        <v>118</v>
      </c>
      <c r="C76" s="9" t="s">
        <v>76</v>
      </c>
      <c r="D76" s="9" t="s">
        <v>56</v>
      </c>
      <c r="E76" s="9" t="s">
        <v>73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38</v>
      </c>
      <c r="B77" s="9" t="s">
        <v>40</v>
      </c>
      <c r="C77" s="9" t="s">
        <v>76</v>
      </c>
      <c r="D77" s="9" t="s">
        <v>56</v>
      </c>
      <c r="E77" s="9" t="s">
        <v>73</v>
      </c>
      <c r="F77" s="9"/>
      <c r="G77" s="9"/>
      <c r="H77" s="9"/>
      <c r="I77" s="10"/>
      <c r="J77" s="10"/>
    </row>
    <row r="78" spans="1:10" ht="14.25" customHeight="1">
      <c r="A78" s="9" t="s">
        <v>38</v>
      </c>
      <c r="B78" s="9" t="s">
        <v>153</v>
      </c>
      <c r="C78" s="9" t="s">
        <v>79</v>
      </c>
      <c r="D78" s="9" t="s">
        <v>80</v>
      </c>
      <c r="E78" s="9" t="s">
        <v>57</v>
      </c>
      <c r="F78" s="9"/>
      <c r="G78" s="9"/>
      <c r="H78" s="10"/>
      <c r="I78" s="10"/>
      <c r="J78" s="9"/>
    </row>
    <row r="79" spans="1:10" ht="14.25" customHeight="1">
      <c r="A79" s="9" t="s">
        <v>38</v>
      </c>
      <c r="B79" s="9" t="s">
        <v>149</v>
      </c>
      <c r="C79" s="9" t="s">
        <v>79</v>
      </c>
      <c r="D79" s="9" t="s">
        <v>80</v>
      </c>
      <c r="E79" s="9" t="s">
        <v>57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38</v>
      </c>
      <c r="B80" s="9" t="s">
        <v>128</v>
      </c>
      <c r="C80" s="9" t="s">
        <v>79</v>
      </c>
      <c r="D80" s="9" t="s">
        <v>80</v>
      </c>
      <c r="E80" s="9" t="s">
        <v>57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38</v>
      </c>
      <c r="B81" s="9" t="s">
        <v>118</v>
      </c>
      <c r="C81" s="9" t="s">
        <v>79</v>
      </c>
      <c r="D81" s="9" t="s">
        <v>80</v>
      </c>
      <c r="E81" s="9" t="s">
        <v>57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38</v>
      </c>
      <c r="B82" s="9" t="s">
        <v>40</v>
      </c>
      <c r="C82" s="9" t="s">
        <v>79</v>
      </c>
      <c r="D82" s="9" t="s">
        <v>80</v>
      </c>
      <c r="E82" s="9" t="s">
        <v>57</v>
      </c>
      <c r="F82" s="9"/>
      <c r="G82" s="9"/>
      <c r="H82" s="10"/>
      <c r="I82" s="10"/>
      <c r="J82" s="9"/>
    </row>
    <row r="83" spans="1:10" ht="14.25" customHeight="1">
      <c r="A83" s="9" t="s">
        <v>38</v>
      </c>
      <c r="B83" s="9" t="s">
        <v>153</v>
      </c>
      <c r="C83" s="9" t="s">
        <v>83</v>
      </c>
      <c r="D83" s="9" t="s">
        <v>80</v>
      </c>
      <c r="E83" s="9" t="s">
        <v>44</v>
      </c>
      <c r="F83" s="9"/>
      <c r="G83" s="9"/>
      <c r="H83" s="9"/>
      <c r="I83" s="10"/>
      <c r="J83" s="10"/>
    </row>
    <row r="84" spans="1:10" ht="14.25" customHeight="1">
      <c r="A84" s="9" t="s">
        <v>38</v>
      </c>
      <c r="B84" s="9" t="s">
        <v>149</v>
      </c>
      <c r="C84" s="9" t="s">
        <v>83</v>
      </c>
      <c r="D84" s="9" t="s">
        <v>80</v>
      </c>
      <c r="E84" s="9" t="s">
        <v>44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38</v>
      </c>
      <c r="B85" s="9" t="s">
        <v>128</v>
      </c>
      <c r="C85" s="9" t="s">
        <v>83</v>
      </c>
      <c r="D85" s="9" t="s">
        <v>80</v>
      </c>
      <c r="E85" s="9" t="s">
        <v>44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38</v>
      </c>
      <c r="B86" s="9" t="s">
        <v>118</v>
      </c>
      <c r="C86" s="9" t="s">
        <v>83</v>
      </c>
      <c r="D86" s="9" t="s">
        <v>80</v>
      </c>
      <c r="E86" s="9" t="s">
        <v>44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38</v>
      </c>
      <c r="B87" s="9" t="s">
        <v>40</v>
      </c>
      <c r="C87" s="9" t="s">
        <v>83</v>
      </c>
      <c r="D87" s="9" t="s">
        <v>80</v>
      </c>
      <c r="E87" s="9" t="s">
        <v>44</v>
      </c>
      <c r="F87" s="9"/>
      <c r="G87" s="9"/>
      <c r="H87" s="9"/>
      <c r="I87" s="10"/>
      <c r="J87" s="10"/>
    </row>
    <row r="88" spans="1:10" ht="14.25" customHeight="1">
      <c r="A88" s="9" t="s">
        <v>38</v>
      </c>
      <c r="B88" s="9" t="s">
        <v>153</v>
      </c>
      <c r="C88" s="9" t="s">
        <v>86</v>
      </c>
      <c r="D88" s="9" t="s">
        <v>42</v>
      </c>
      <c r="E88" s="9" t="s">
        <v>57</v>
      </c>
      <c r="F88" s="9"/>
      <c r="G88" s="9"/>
      <c r="H88" s="10"/>
      <c r="I88" s="10"/>
      <c r="J88" s="9"/>
    </row>
    <row r="89" spans="1:10" ht="14.25" customHeight="1">
      <c r="A89" s="9" t="s">
        <v>38</v>
      </c>
      <c r="B89" s="9" t="s">
        <v>149</v>
      </c>
      <c r="C89" s="9" t="s">
        <v>86</v>
      </c>
      <c r="D89" s="9" t="s">
        <v>42</v>
      </c>
      <c r="E89" s="9" t="s">
        <v>57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38</v>
      </c>
      <c r="B90" s="9" t="s">
        <v>128</v>
      </c>
      <c r="C90" s="9" t="s">
        <v>86</v>
      </c>
      <c r="D90" s="9" t="s">
        <v>42</v>
      </c>
      <c r="E90" s="9" t="s">
        <v>57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38</v>
      </c>
      <c r="B91" s="9" t="s">
        <v>118</v>
      </c>
      <c r="C91" s="9" t="s">
        <v>86</v>
      </c>
      <c r="D91" s="9" t="s">
        <v>42</v>
      </c>
      <c r="E91" s="9" t="s">
        <v>57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38</v>
      </c>
      <c r="B92" s="9" t="s">
        <v>40</v>
      </c>
      <c r="C92" s="9" t="s">
        <v>86</v>
      </c>
      <c r="D92" s="9" t="s">
        <v>42</v>
      </c>
      <c r="E92" s="9" t="s">
        <v>57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38</v>
      </c>
      <c r="B93" s="9" t="s">
        <v>153</v>
      </c>
      <c r="C93" s="9" t="s">
        <v>89</v>
      </c>
      <c r="D93" s="9" t="s">
        <v>42</v>
      </c>
      <c r="E93" s="9" t="s">
        <v>73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38</v>
      </c>
      <c r="B94" s="9" t="s">
        <v>149</v>
      </c>
      <c r="C94" s="9" t="s">
        <v>89</v>
      </c>
      <c r="D94" s="9" t="s">
        <v>42</v>
      </c>
      <c r="E94" s="9" t="s">
        <v>73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38</v>
      </c>
      <c r="B95" s="9" t="s">
        <v>128</v>
      </c>
      <c r="C95" s="9" t="s">
        <v>89</v>
      </c>
      <c r="D95" s="9" t="s">
        <v>42</v>
      </c>
      <c r="E95" s="9" t="s">
        <v>73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38</v>
      </c>
      <c r="B96" s="9" t="s">
        <v>118</v>
      </c>
      <c r="C96" s="9" t="s">
        <v>89</v>
      </c>
      <c r="D96" s="9" t="s">
        <v>42</v>
      </c>
      <c r="E96" s="9" t="s">
        <v>73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38</v>
      </c>
      <c r="B97" s="9" t="s">
        <v>40</v>
      </c>
      <c r="C97" s="9" t="s">
        <v>89</v>
      </c>
      <c r="D97" s="9" t="s">
        <v>42</v>
      </c>
      <c r="E97" s="9" t="s">
        <v>73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38</v>
      </c>
      <c r="B98" s="9" t="s">
        <v>153</v>
      </c>
      <c r="C98" s="9" t="s">
        <v>96</v>
      </c>
      <c r="D98" s="9" t="s">
        <v>98</v>
      </c>
      <c r="E98" s="9" t="s">
        <v>57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38</v>
      </c>
      <c r="B99" s="9" t="s">
        <v>149</v>
      </c>
      <c r="C99" s="9" t="s">
        <v>96</v>
      </c>
      <c r="D99" s="9" t="s">
        <v>98</v>
      </c>
      <c r="E99" s="9" t="s">
        <v>57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38</v>
      </c>
      <c r="B100" s="9" t="s">
        <v>128</v>
      </c>
      <c r="C100" s="9" t="s">
        <v>96</v>
      </c>
      <c r="D100" s="9" t="s">
        <v>98</v>
      </c>
      <c r="E100" s="9" t="s">
        <v>57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38</v>
      </c>
      <c r="B101" s="9" t="s">
        <v>118</v>
      </c>
      <c r="C101" s="9" t="s">
        <v>96</v>
      </c>
      <c r="D101" s="9" t="s">
        <v>98</v>
      </c>
      <c r="E101" s="9" t="s">
        <v>57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38</v>
      </c>
      <c r="B102" s="9" t="s">
        <v>40</v>
      </c>
      <c r="C102" s="9" t="s">
        <v>96</v>
      </c>
      <c r="D102" s="9" t="s">
        <v>98</v>
      </c>
      <c r="E102" s="9" t="s">
        <v>57</v>
      </c>
      <c r="F102" s="9"/>
      <c r="G102" s="9"/>
      <c r="H102" s="10"/>
      <c r="I102" s="10"/>
      <c r="J102" s="9"/>
    </row>
    <row r="103" spans="1:10" ht="14.25" customHeight="1">
      <c r="A103" s="9" t="s">
        <v>38</v>
      </c>
      <c r="B103" s="9" t="s">
        <v>153</v>
      </c>
      <c r="C103" s="9" t="s">
        <v>99</v>
      </c>
      <c r="D103" s="9" t="s">
        <v>98</v>
      </c>
      <c r="E103" s="9" t="s">
        <v>73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38</v>
      </c>
      <c r="B104" s="9" t="s">
        <v>149</v>
      </c>
      <c r="C104" s="9" t="s">
        <v>99</v>
      </c>
      <c r="D104" s="9" t="s">
        <v>98</v>
      </c>
      <c r="E104" s="9" t="s">
        <v>73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38</v>
      </c>
      <c r="B105" s="9" t="s">
        <v>128</v>
      </c>
      <c r="C105" s="9" t="s">
        <v>99</v>
      </c>
      <c r="D105" s="9" t="s">
        <v>98</v>
      </c>
      <c r="E105" s="9" t="s">
        <v>73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38</v>
      </c>
      <c r="B106" s="9" t="s">
        <v>118</v>
      </c>
      <c r="C106" s="9" t="s">
        <v>99</v>
      </c>
      <c r="D106" s="9" t="s">
        <v>98</v>
      </c>
      <c r="E106" s="9" t="s">
        <v>73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38</v>
      </c>
      <c r="B107" s="9" t="s">
        <v>40</v>
      </c>
      <c r="C107" s="9" t="s">
        <v>99</v>
      </c>
      <c r="D107" s="9" t="s">
        <v>98</v>
      </c>
      <c r="E107" s="9" t="s">
        <v>73</v>
      </c>
      <c r="F107" s="9"/>
      <c r="G107" s="9"/>
      <c r="H107" s="9"/>
      <c r="I107" s="10"/>
      <c r="J107" s="10"/>
    </row>
    <row r="108" spans="1:10" ht="14.25" customHeight="1">
      <c r="A108" s="9" t="s">
        <v>38</v>
      </c>
      <c r="B108" s="9" t="s">
        <v>153</v>
      </c>
      <c r="C108" s="9" t="s">
        <v>101</v>
      </c>
      <c r="D108" s="9" t="s">
        <v>42</v>
      </c>
      <c r="E108" s="9" t="s">
        <v>57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38</v>
      </c>
      <c r="B109" s="9" t="s">
        <v>149</v>
      </c>
      <c r="C109" s="9" t="s">
        <v>101</v>
      </c>
      <c r="D109" s="9" t="s">
        <v>42</v>
      </c>
      <c r="E109" s="9" t="s">
        <v>57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38</v>
      </c>
      <c r="B110" s="9" t="s">
        <v>128</v>
      </c>
      <c r="C110" s="9" t="s">
        <v>101</v>
      </c>
      <c r="D110" s="9" t="s">
        <v>42</v>
      </c>
      <c r="E110" s="9" t="s">
        <v>57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38</v>
      </c>
      <c r="B111" s="9" t="s">
        <v>118</v>
      </c>
      <c r="C111" s="9" t="s">
        <v>101</v>
      </c>
      <c r="D111" s="9" t="s">
        <v>42</v>
      </c>
      <c r="E111" s="9" t="s">
        <v>57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38</v>
      </c>
      <c r="B112" s="9" t="s">
        <v>40</v>
      </c>
      <c r="C112" s="9" t="s">
        <v>101</v>
      </c>
      <c r="D112" s="9" t="s">
        <v>42</v>
      </c>
      <c r="E112" s="9" t="s">
        <v>57</v>
      </c>
      <c r="F112" s="9"/>
      <c r="G112" s="9"/>
      <c r="H112" s="10"/>
      <c r="I112" s="10"/>
      <c r="J112" s="9"/>
    </row>
    <row r="113" spans="1:10" ht="14.25" customHeight="1">
      <c r="A113" s="9" t="s">
        <v>38</v>
      </c>
      <c r="B113" s="9" t="s">
        <v>153</v>
      </c>
      <c r="C113" s="9" t="s">
        <v>102</v>
      </c>
      <c r="D113" s="9" t="s">
        <v>42</v>
      </c>
      <c r="E113" s="9" t="s">
        <v>57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38</v>
      </c>
      <c r="B114" s="9" t="s">
        <v>149</v>
      </c>
      <c r="C114" s="9" t="s">
        <v>102</v>
      </c>
      <c r="D114" s="9" t="s">
        <v>42</v>
      </c>
      <c r="E114" s="9" t="s">
        <v>57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38</v>
      </c>
      <c r="B115" s="9" t="s">
        <v>128</v>
      </c>
      <c r="C115" s="9" t="s">
        <v>102</v>
      </c>
      <c r="D115" s="9" t="s">
        <v>42</v>
      </c>
      <c r="E115" s="9" t="s">
        <v>57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38</v>
      </c>
      <c r="B116" s="9" t="s">
        <v>118</v>
      </c>
      <c r="C116" s="9" t="s">
        <v>102</v>
      </c>
      <c r="D116" s="9" t="s">
        <v>42</v>
      </c>
      <c r="E116" s="9" t="s">
        <v>57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38</v>
      </c>
      <c r="B117" s="9" t="s">
        <v>40</v>
      </c>
      <c r="C117" s="9" t="s">
        <v>102</v>
      </c>
      <c r="D117" s="9" t="s">
        <v>42</v>
      </c>
      <c r="E117" s="9" t="s">
        <v>57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38</v>
      </c>
      <c r="B118" s="9" t="s">
        <v>153</v>
      </c>
      <c r="C118" s="9" t="s">
        <v>105</v>
      </c>
      <c r="D118" s="9" t="s">
        <v>56</v>
      </c>
      <c r="E118" s="9" t="s">
        <v>44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38</v>
      </c>
      <c r="B119" s="9" t="s">
        <v>149</v>
      </c>
      <c r="C119" s="9" t="s">
        <v>105</v>
      </c>
      <c r="D119" s="9" t="s">
        <v>56</v>
      </c>
      <c r="E119" s="9" t="s">
        <v>44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38</v>
      </c>
      <c r="B120" s="9" t="s">
        <v>128</v>
      </c>
      <c r="C120" s="9" t="s">
        <v>105</v>
      </c>
      <c r="D120" s="9" t="s">
        <v>56</v>
      </c>
      <c r="E120" s="9" t="s">
        <v>44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38</v>
      </c>
      <c r="B121" s="9" t="s">
        <v>153</v>
      </c>
      <c r="C121" s="9" t="s">
        <v>107</v>
      </c>
      <c r="D121" s="9" t="s">
        <v>56</v>
      </c>
      <c r="E121" s="9" t="s">
        <v>73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38</v>
      </c>
      <c r="B122" s="9" t="s">
        <v>149</v>
      </c>
      <c r="C122" s="9" t="s">
        <v>107</v>
      </c>
      <c r="D122" s="9" t="s">
        <v>56</v>
      </c>
      <c r="E122" s="9" t="s">
        <v>73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38</v>
      </c>
      <c r="B123" s="9" t="s">
        <v>128</v>
      </c>
      <c r="C123" s="9" t="s">
        <v>107</v>
      </c>
      <c r="D123" s="9" t="s">
        <v>56</v>
      </c>
      <c r="E123" s="9" t="s">
        <v>73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38</v>
      </c>
      <c r="B124" s="9" t="s">
        <v>118</v>
      </c>
      <c r="C124" s="9" t="s">
        <v>107</v>
      </c>
      <c r="D124" s="9" t="s">
        <v>56</v>
      </c>
      <c r="E124" s="9" t="s">
        <v>73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38</v>
      </c>
      <c r="B125" s="9" t="s">
        <v>40</v>
      </c>
      <c r="C125" s="9" t="s">
        <v>107</v>
      </c>
      <c r="D125" s="9" t="s">
        <v>56</v>
      </c>
      <c r="E125" s="9" t="s">
        <v>73</v>
      </c>
      <c r="F125" s="9"/>
      <c r="G125" s="9"/>
      <c r="H125" s="9"/>
      <c r="I125" s="10"/>
      <c r="J125" s="10"/>
    </row>
    <row r="126" spans="1:10" ht="14.25" customHeight="1">
      <c r="A126" s="9" t="s">
        <v>38</v>
      </c>
      <c r="B126" s="9" t="s">
        <v>153</v>
      </c>
      <c r="C126" s="9" t="s">
        <v>108</v>
      </c>
      <c r="D126" s="9" t="s">
        <v>109</v>
      </c>
      <c r="E126" s="9" t="s">
        <v>57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38</v>
      </c>
      <c r="B127" s="9" t="s">
        <v>149</v>
      </c>
      <c r="C127" s="9" t="s">
        <v>108</v>
      </c>
      <c r="D127" s="9" t="s">
        <v>109</v>
      </c>
      <c r="E127" s="9" t="s">
        <v>57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38</v>
      </c>
      <c r="B128" s="9" t="s">
        <v>128</v>
      </c>
      <c r="C128" s="9" t="s">
        <v>108</v>
      </c>
      <c r="D128" s="9" t="s">
        <v>109</v>
      </c>
      <c r="E128" s="9" t="s">
        <v>57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38</v>
      </c>
      <c r="B129" s="9" t="s">
        <v>118</v>
      </c>
      <c r="C129" s="9" t="s">
        <v>108</v>
      </c>
      <c r="D129" s="9" t="s">
        <v>109</v>
      </c>
      <c r="E129" s="9" t="s">
        <v>57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38</v>
      </c>
      <c r="B130" s="9" t="s">
        <v>40</v>
      </c>
      <c r="C130" s="9" t="s">
        <v>108</v>
      </c>
      <c r="D130" s="9" t="s">
        <v>109</v>
      </c>
      <c r="E130" s="9" t="s">
        <v>57</v>
      </c>
      <c r="F130" s="9"/>
      <c r="G130" s="9"/>
      <c r="H130" s="9"/>
      <c r="I130" s="10"/>
      <c r="J130" s="9"/>
    </row>
    <row r="131" spans="1:10" ht="14.25" customHeight="1">
      <c r="A131" s="9" t="s">
        <v>38</v>
      </c>
      <c r="B131" s="9" t="s">
        <v>153</v>
      </c>
      <c r="C131" s="9" t="s">
        <v>112</v>
      </c>
      <c r="D131" s="9" t="s">
        <v>98</v>
      </c>
      <c r="E131" s="9" t="s">
        <v>73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38</v>
      </c>
      <c r="B132" s="9" t="s">
        <v>149</v>
      </c>
      <c r="C132" s="9" t="s">
        <v>112</v>
      </c>
      <c r="D132" s="9" t="s">
        <v>98</v>
      </c>
      <c r="E132" s="9" t="s">
        <v>73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38</v>
      </c>
      <c r="B133" s="9" t="s">
        <v>128</v>
      </c>
      <c r="C133" s="9" t="s">
        <v>112</v>
      </c>
      <c r="D133" s="9" t="s">
        <v>98</v>
      </c>
      <c r="E133" s="9" t="s">
        <v>73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38</v>
      </c>
      <c r="B134" s="9" t="s">
        <v>118</v>
      </c>
      <c r="C134" s="9" t="s">
        <v>112</v>
      </c>
      <c r="D134" s="9" t="s">
        <v>98</v>
      </c>
      <c r="E134" s="9" t="s">
        <v>73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38</v>
      </c>
      <c r="B135" s="9" t="s">
        <v>40</v>
      </c>
      <c r="C135" s="9" t="s">
        <v>112</v>
      </c>
      <c r="D135" s="9" t="s">
        <v>98</v>
      </c>
      <c r="E135" s="9" t="s">
        <v>73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38</v>
      </c>
      <c r="B136" s="9" t="s">
        <v>153</v>
      </c>
      <c r="C136" s="9" t="s">
        <v>114</v>
      </c>
      <c r="D136" s="9" t="s">
        <v>80</v>
      </c>
      <c r="E136" s="9" t="s">
        <v>73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38</v>
      </c>
      <c r="B137" s="9" t="s">
        <v>149</v>
      </c>
      <c r="C137" s="9" t="s">
        <v>114</v>
      </c>
      <c r="D137" s="9" t="s">
        <v>80</v>
      </c>
      <c r="E137" s="9" t="s">
        <v>73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38</v>
      </c>
      <c r="B138" s="9" t="s">
        <v>128</v>
      </c>
      <c r="C138" s="9" t="s">
        <v>114</v>
      </c>
      <c r="D138" s="9" t="s">
        <v>80</v>
      </c>
      <c r="E138" s="9" t="s">
        <v>73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38</v>
      </c>
      <c r="B139" s="9" t="s">
        <v>118</v>
      </c>
      <c r="C139" s="9" t="s">
        <v>114</v>
      </c>
      <c r="D139" s="9" t="s">
        <v>80</v>
      </c>
      <c r="E139" s="9" t="s">
        <v>73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38</v>
      </c>
      <c r="B140" s="9" t="s">
        <v>40</v>
      </c>
      <c r="C140" s="9" t="s">
        <v>114</v>
      </c>
      <c r="D140" s="9" t="s">
        <v>80</v>
      </c>
      <c r="E140" s="9" t="s">
        <v>73</v>
      </c>
      <c r="F140" s="9"/>
      <c r="G140" s="9"/>
      <c r="H140" s="9"/>
      <c r="I140" s="9"/>
      <c r="J140" s="9"/>
    </row>
    <row r="141" spans="1:10" ht="14.25" customHeight="1">
      <c r="A141" s="9" t="s">
        <v>116</v>
      </c>
      <c r="B141" s="9" t="s">
        <v>153</v>
      </c>
      <c r="C141" s="9" t="s">
        <v>117</v>
      </c>
      <c r="D141" s="9" t="s">
        <v>72</v>
      </c>
      <c r="E141" s="9" t="s">
        <v>57</v>
      </c>
      <c r="F141" s="9"/>
      <c r="G141" s="9" t="s">
        <v>119</v>
      </c>
      <c r="H141" s="9"/>
      <c r="I141" s="9"/>
      <c r="J141" s="9"/>
    </row>
    <row r="142" spans="1:10" ht="14.25" customHeight="1">
      <c r="A142" s="9" t="s">
        <v>116</v>
      </c>
      <c r="B142" s="9" t="s">
        <v>149</v>
      </c>
      <c r="C142" s="9" t="s">
        <v>117</v>
      </c>
      <c r="D142" s="9" t="s">
        <v>72</v>
      </c>
      <c r="E142" s="9" t="s">
        <v>57</v>
      </c>
      <c r="F142" s="9"/>
      <c r="G142" s="9" t="s">
        <v>119</v>
      </c>
      <c r="H142" s="9"/>
      <c r="I142" s="10">
        <v>46213</v>
      </c>
      <c r="J142" s="10">
        <v>46213</v>
      </c>
    </row>
    <row r="143" spans="1:10" ht="14.25" customHeight="1">
      <c r="A143" s="9" t="s">
        <v>116</v>
      </c>
      <c r="B143" s="9" t="s">
        <v>128</v>
      </c>
      <c r="C143" s="9" t="s">
        <v>117</v>
      </c>
      <c r="D143" s="9" t="s">
        <v>72</v>
      </c>
      <c r="E143" s="9" t="s">
        <v>57</v>
      </c>
      <c r="F143" s="9"/>
      <c r="G143" s="9" t="s">
        <v>119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116</v>
      </c>
      <c r="B144" s="9" t="s">
        <v>153</v>
      </c>
      <c r="C144" s="9" t="s">
        <v>123</v>
      </c>
      <c r="D144" s="9" t="s">
        <v>109</v>
      </c>
      <c r="E144" s="9" t="s">
        <v>73</v>
      </c>
      <c r="F144" s="9"/>
      <c r="G144" s="9" t="s">
        <v>119</v>
      </c>
      <c r="H144" s="9"/>
      <c r="I144" s="9"/>
      <c r="J144" s="9"/>
    </row>
    <row r="145" spans="1:10" ht="14.25" customHeight="1">
      <c r="A145" s="9" t="s">
        <v>116</v>
      </c>
      <c r="B145" s="9" t="s">
        <v>149</v>
      </c>
      <c r="C145" s="9" t="s">
        <v>123</v>
      </c>
      <c r="D145" s="9" t="s">
        <v>109</v>
      </c>
      <c r="E145" s="9" t="s">
        <v>73</v>
      </c>
      <c r="F145" s="9"/>
      <c r="G145" s="9" t="s">
        <v>119</v>
      </c>
      <c r="H145" s="9"/>
      <c r="I145" s="10">
        <v>46218</v>
      </c>
      <c r="J145" s="10">
        <v>46218</v>
      </c>
    </row>
    <row r="146" spans="1:10" ht="14.25" customHeight="1">
      <c r="A146" s="9" t="s">
        <v>116</v>
      </c>
      <c r="B146" s="9" t="s">
        <v>128</v>
      </c>
      <c r="C146" s="9" t="s">
        <v>123</v>
      </c>
      <c r="D146" s="9" t="s">
        <v>109</v>
      </c>
      <c r="E146" s="9" t="s">
        <v>73</v>
      </c>
      <c r="F146" s="9"/>
      <c r="G146" s="9" t="s">
        <v>119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116</v>
      </c>
      <c r="B147" s="9" t="s">
        <v>153</v>
      </c>
      <c r="C147" s="9" t="s">
        <v>125</v>
      </c>
      <c r="D147" s="9" t="s">
        <v>109</v>
      </c>
      <c r="E147" s="9" t="s">
        <v>73</v>
      </c>
      <c r="F147" s="9"/>
      <c r="G147" s="9" t="s">
        <v>119</v>
      </c>
      <c r="H147" s="9"/>
      <c r="I147" s="9"/>
      <c r="J147" s="9"/>
    </row>
    <row r="148" spans="1:10" ht="14.25" customHeight="1">
      <c r="A148" s="9" t="s">
        <v>116</v>
      </c>
      <c r="B148" s="9" t="s">
        <v>149</v>
      </c>
      <c r="C148" s="9" t="s">
        <v>125</v>
      </c>
      <c r="D148" s="9" t="s">
        <v>109</v>
      </c>
      <c r="E148" s="9" t="s">
        <v>73</v>
      </c>
      <c r="F148" s="9"/>
      <c r="G148" s="9" t="s">
        <v>119</v>
      </c>
      <c r="H148" s="9"/>
      <c r="I148" s="10">
        <v>46225</v>
      </c>
      <c r="J148" s="10">
        <v>46225</v>
      </c>
    </row>
    <row r="149" spans="1:10" ht="14.25" customHeight="1">
      <c r="A149" s="9" t="s">
        <v>116</v>
      </c>
      <c r="B149" s="9" t="s">
        <v>128</v>
      </c>
      <c r="C149" s="9" t="s">
        <v>125</v>
      </c>
      <c r="D149" s="9" t="s">
        <v>109</v>
      </c>
      <c r="E149" s="9" t="s">
        <v>73</v>
      </c>
      <c r="F149" s="9"/>
      <c r="G149" s="9" t="s">
        <v>119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116</v>
      </c>
      <c r="B150" s="9" t="s">
        <v>153</v>
      </c>
      <c r="C150" s="9" t="s">
        <v>127</v>
      </c>
      <c r="D150" s="9" t="s">
        <v>56</v>
      </c>
      <c r="E150" s="9" t="s">
        <v>44</v>
      </c>
      <c r="F150" s="9"/>
      <c r="G150" s="9" t="s">
        <v>119</v>
      </c>
      <c r="H150" s="9"/>
      <c r="I150" s="9"/>
      <c r="J150" s="9"/>
    </row>
    <row r="151" spans="1:10" ht="14.25" customHeight="1">
      <c r="A151" s="9" t="s">
        <v>116</v>
      </c>
      <c r="B151" s="9" t="s">
        <v>149</v>
      </c>
      <c r="C151" s="9" t="s">
        <v>127</v>
      </c>
      <c r="D151" s="9" t="s">
        <v>56</v>
      </c>
      <c r="E151" s="9" t="s">
        <v>44</v>
      </c>
      <c r="F151" s="9"/>
      <c r="G151" s="9" t="s">
        <v>119</v>
      </c>
      <c r="H151" s="9"/>
      <c r="I151" s="10">
        <v>46227</v>
      </c>
      <c r="J151" s="10">
        <v>46227</v>
      </c>
    </row>
    <row r="152" spans="1:10" ht="14.25" customHeight="1">
      <c r="A152" s="9" t="s">
        <v>116</v>
      </c>
      <c r="B152" s="9" t="s">
        <v>128</v>
      </c>
      <c r="C152" s="9" t="s">
        <v>127</v>
      </c>
      <c r="D152" s="9" t="s">
        <v>56</v>
      </c>
      <c r="E152" s="9" t="s">
        <v>44</v>
      </c>
      <c r="F152" s="9"/>
      <c r="G152" s="9" t="s">
        <v>119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116</v>
      </c>
      <c r="B153" s="9" t="s">
        <v>153</v>
      </c>
      <c r="C153" s="9" t="s">
        <v>130</v>
      </c>
      <c r="D153" s="9" t="s">
        <v>98</v>
      </c>
      <c r="E153" s="9" t="s">
        <v>73</v>
      </c>
      <c r="F153" s="9"/>
      <c r="G153" s="9" t="s">
        <v>119</v>
      </c>
      <c r="H153" s="9"/>
      <c r="I153" s="9"/>
      <c r="J153" s="9"/>
    </row>
    <row r="154" spans="1:10" ht="14.25" customHeight="1">
      <c r="A154" s="9" t="s">
        <v>116</v>
      </c>
      <c r="B154" s="9" t="s">
        <v>149</v>
      </c>
      <c r="C154" s="9" t="s">
        <v>130</v>
      </c>
      <c r="D154" s="9" t="s">
        <v>98</v>
      </c>
      <c r="E154" s="9" t="s">
        <v>73</v>
      </c>
      <c r="F154" s="9"/>
      <c r="G154" s="9" t="s">
        <v>119</v>
      </c>
      <c r="H154" s="9"/>
      <c r="I154" s="10">
        <v>46216</v>
      </c>
      <c r="J154" s="10">
        <v>46216</v>
      </c>
    </row>
    <row r="155" spans="1:10" ht="14.25" customHeight="1">
      <c r="A155" s="9" t="s">
        <v>116</v>
      </c>
      <c r="B155" s="9" t="s">
        <v>128</v>
      </c>
      <c r="C155" s="9" t="s">
        <v>130</v>
      </c>
      <c r="D155" s="9" t="s">
        <v>98</v>
      </c>
      <c r="E155" s="9" t="s">
        <v>73</v>
      </c>
      <c r="F155" s="9"/>
      <c r="G155" s="9" t="s">
        <v>119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116</v>
      </c>
      <c r="B156" s="9" t="s">
        <v>153</v>
      </c>
      <c r="C156" s="9" t="s">
        <v>132</v>
      </c>
      <c r="D156" s="9" t="s">
        <v>80</v>
      </c>
      <c r="E156" s="9" t="s">
        <v>57</v>
      </c>
      <c r="F156" s="9"/>
      <c r="G156" s="9" t="s">
        <v>133</v>
      </c>
      <c r="H156" s="9"/>
      <c r="I156" s="9"/>
      <c r="J156" s="9"/>
    </row>
    <row r="157" spans="1:10">
      <c r="A157" s="3" t="s">
        <v>116</v>
      </c>
      <c r="B157" s="3" t="s">
        <v>153</v>
      </c>
      <c r="C157" s="3" t="s">
        <v>135</v>
      </c>
      <c r="D157" s="3" t="s">
        <v>109</v>
      </c>
      <c r="E157" s="3" t="s">
        <v>44</v>
      </c>
      <c r="F157" s="3"/>
      <c r="G157" s="3" t="s">
        <v>133</v>
      </c>
      <c r="H157" s="3"/>
      <c r="I157" s="3"/>
      <c r="J157" s="3"/>
    </row>
    <row r="158" spans="1:10">
      <c r="A158" s="3" t="s">
        <v>116</v>
      </c>
      <c r="B158" s="3" t="s">
        <v>153</v>
      </c>
      <c r="C158" s="3" t="s">
        <v>137</v>
      </c>
      <c r="D158" s="3" t="s">
        <v>109</v>
      </c>
      <c r="E158" s="3" t="s">
        <v>44</v>
      </c>
      <c r="F158" s="3"/>
      <c r="G158" s="3" t="s">
        <v>133</v>
      </c>
      <c r="H158" s="3"/>
      <c r="I158" s="3"/>
      <c r="J158" s="3"/>
    </row>
    <row r="159" spans="1:10">
      <c r="A159" s="3" t="s">
        <v>116</v>
      </c>
      <c r="B159" s="3" t="s">
        <v>149</v>
      </c>
      <c r="C159" s="3" t="s">
        <v>137</v>
      </c>
      <c r="D159" s="3" t="s">
        <v>109</v>
      </c>
      <c r="E159" s="3" t="s">
        <v>44</v>
      </c>
      <c r="F159" s="3"/>
      <c r="G159" s="3" t="s">
        <v>133</v>
      </c>
      <c r="H159" s="3"/>
      <c r="I159" s="4">
        <v>46221</v>
      </c>
      <c r="J159" s="4">
        <v>46221</v>
      </c>
    </row>
    <row r="160" spans="1:10">
      <c r="A160" s="3" t="s">
        <v>116</v>
      </c>
      <c r="B160" s="3" t="s">
        <v>128</v>
      </c>
      <c r="C160" s="3" t="s">
        <v>137</v>
      </c>
      <c r="D160" s="3" t="s">
        <v>109</v>
      </c>
      <c r="E160" s="3" t="s">
        <v>44</v>
      </c>
      <c r="F160" s="3"/>
      <c r="G160" s="3" t="s">
        <v>133</v>
      </c>
      <c r="H160" s="4">
        <v>46221</v>
      </c>
      <c r="I160" s="4">
        <v>46223</v>
      </c>
      <c r="J160" s="4">
        <v>46223</v>
      </c>
    </row>
    <row r="161" spans="1:10">
      <c r="A161" s="3" t="s">
        <v>116</v>
      </c>
      <c r="B161" s="3" t="s">
        <v>153</v>
      </c>
      <c r="C161" s="3" t="s">
        <v>138</v>
      </c>
      <c r="D161" s="3" t="s">
        <v>80</v>
      </c>
      <c r="E161" s="3" t="s">
        <v>57</v>
      </c>
      <c r="F161" s="3"/>
      <c r="G161" s="3" t="s">
        <v>133</v>
      </c>
      <c r="H161" s="3"/>
      <c r="I161" s="3"/>
      <c r="J161" s="3"/>
    </row>
    <row r="162" spans="1:10">
      <c r="A162" s="3" t="s">
        <v>116</v>
      </c>
      <c r="B162" s="3" t="s">
        <v>149</v>
      </c>
      <c r="C162" s="3" t="s">
        <v>138</v>
      </c>
      <c r="D162" s="3" t="s">
        <v>80</v>
      </c>
      <c r="E162" s="3" t="s">
        <v>57</v>
      </c>
      <c r="F162" s="3"/>
      <c r="G162" s="3" t="s">
        <v>133</v>
      </c>
      <c r="H162" s="3"/>
      <c r="I162" s="4">
        <v>46220</v>
      </c>
      <c r="J162" s="4">
        <v>46220</v>
      </c>
    </row>
    <row r="163" spans="1:10">
      <c r="A163" s="3" t="s">
        <v>116</v>
      </c>
      <c r="B163" s="3" t="s">
        <v>128</v>
      </c>
      <c r="C163" s="3" t="s">
        <v>138</v>
      </c>
      <c r="D163" s="3" t="s">
        <v>80</v>
      </c>
      <c r="E163" s="3" t="s">
        <v>57</v>
      </c>
      <c r="F163" s="3"/>
      <c r="G163" s="3" t="s">
        <v>133</v>
      </c>
      <c r="H163" s="4">
        <v>46220</v>
      </c>
      <c r="I163" s="4">
        <v>46223</v>
      </c>
      <c r="J163" s="4">
        <v>46223</v>
      </c>
    </row>
    <row r="164" spans="1:10">
      <c r="A164" s="3" t="s">
        <v>116</v>
      </c>
      <c r="B164" s="3" t="s">
        <v>153</v>
      </c>
      <c r="C164" s="3" t="s">
        <v>140</v>
      </c>
      <c r="D164" s="3" t="s">
        <v>142</v>
      </c>
      <c r="E164" s="3" t="s">
        <v>57</v>
      </c>
      <c r="F164" s="3"/>
      <c r="G164" s="3" t="s">
        <v>133</v>
      </c>
      <c r="H164" s="3"/>
      <c r="I164" s="3"/>
      <c r="J164" s="3"/>
    </row>
    <row r="165" spans="1:10">
      <c r="A165" s="3" t="s">
        <v>116</v>
      </c>
      <c r="B165" s="3" t="s">
        <v>149</v>
      </c>
      <c r="C165" s="3" t="s">
        <v>140</v>
      </c>
      <c r="D165" s="3" t="s">
        <v>142</v>
      </c>
      <c r="E165" s="3" t="s">
        <v>57</v>
      </c>
      <c r="F165" s="3"/>
      <c r="G165" s="3" t="s">
        <v>133</v>
      </c>
      <c r="H165" s="3"/>
      <c r="I165" s="4">
        <v>46224</v>
      </c>
      <c r="J165" s="4">
        <v>46224</v>
      </c>
    </row>
    <row r="166" spans="1:10">
      <c r="A166" s="3" t="s">
        <v>116</v>
      </c>
      <c r="B166" s="3" t="s">
        <v>128</v>
      </c>
      <c r="C166" s="3" t="s">
        <v>140</v>
      </c>
      <c r="D166" s="3" t="s">
        <v>142</v>
      </c>
      <c r="E166" s="3" t="s">
        <v>57</v>
      </c>
      <c r="F166" s="3"/>
      <c r="G166" s="3" t="s">
        <v>133</v>
      </c>
      <c r="H166" s="4">
        <v>46224</v>
      </c>
      <c r="I166" s="4">
        <v>46223</v>
      </c>
      <c r="J166" s="4">
        <v>46223</v>
      </c>
    </row>
    <row r="167" spans="1:10">
      <c r="A167" s="3" t="s">
        <v>116</v>
      </c>
      <c r="B167" s="3" t="s">
        <v>153</v>
      </c>
      <c r="C167" s="3" t="s">
        <v>143</v>
      </c>
      <c r="D167" s="3" t="s">
        <v>142</v>
      </c>
      <c r="E167" s="3" t="s">
        <v>73</v>
      </c>
      <c r="F167" s="3"/>
      <c r="G167" s="3" t="s">
        <v>133</v>
      </c>
      <c r="H167" s="3"/>
      <c r="I167" s="3"/>
      <c r="J167" s="3"/>
    </row>
    <row r="168" spans="1:10">
      <c r="A168" s="3" t="s">
        <v>116</v>
      </c>
      <c r="B168" s="3" t="s">
        <v>149</v>
      </c>
      <c r="C168" s="3" t="s">
        <v>143</v>
      </c>
      <c r="D168" s="3" t="s">
        <v>142</v>
      </c>
      <c r="E168" s="3" t="s">
        <v>73</v>
      </c>
      <c r="F168" s="3"/>
      <c r="G168" s="3" t="s">
        <v>133</v>
      </c>
      <c r="H168" s="3"/>
      <c r="I168" s="4">
        <v>46225</v>
      </c>
      <c r="J168" s="4">
        <v>46225</v>
      </c>
    </row>
    <row r="169" spans="1:10">
      <c r="A169" s="3" t="s">
        <v>116</v>
      </c>
      <c r="B169" s="3" t="s">
        <v>128</v>
      </c>
      <c r="C169" s="3" t="s">
        <v>143</v>
      </c>
      <c r="D169" s="3" t="s">
        <v>142</v>
      </c>
      <c r="E169" s="3" t="s">
        <v>73</v>
      </c>
      <c r="F169" s="3"/>
      <c r="G169" s="3" t="s">
        <v>133</v>
      </c>
      <c r="H169" s="4">
        <v>46225</v>
      </c>
      <c r="I169" s="4">
        <v>46223</v>
      </c>
      <c r="J169" s="4">
        <v>46223</v>
      </c>
    </row>
    <row r="170" spans="1:10">
      <c r="A170" s="3" t="s">
        <v>116</v>
      </c>
      <c r="B170" s="3" t="s">
        <v>153</v>
      </c>
      <c r="C170" s="3" t="s">
        <v>144</v>
      </c>
      <c r="D170" s="3" t="s">
        <v>72</v>
      </c>
      <c r="E170" s="3" t="s">
        <v>44</v>
      </c>
      <c r="F170" s="3"/>
      <c r="G170" s="3" t="s">
        <v>119</v>
      </c>
      <c r="H170" s="3"/>
      <c r="I170" s="3"/>
      <c r="J170" s="3"/>
    </row>
    <row r="171" spans="1:10">
      <c r="A171" s="3" t="s">
        <v>116</v>
      </c>
      <c r="B171" s="3" t="s">
        <v>149</v>
      </c>
      <c r="C171" s="3" t="s">
        <v>144</v>
      </c>
      <c r="D171" s="3" t="s">
        <v>72</v>
      </c>
      <c r="E171" s="3" t="s">
        <v>44</v>
      </c>
      <c r="F171" s="3"/>
      <c r="G171" s="3" t="s">
        <v>119</v>
      </c>
      <c r="H171" s="3"/>
      <c r="I171" s="4">
        <v>46226</v>
      </c>
      <c r="J171" s="4">
        <v>46226</v>
      </c>
    </row>
    <row r="172" spans="1:10">
      <c r="A172" s="3" t="s">
        <v>116</v>
      </c>
      <c r="B172" s="3" t="s">
        <v>128</v>
      </c>
      <c r="C172" s="3" t="s">
        <v>144</v>
      </c>
      <c r="D172" s="3" t="s">
        <v>72</v>
      </c>
      <c r="E172" s="3" t="s">
        <v>44</v>
      </c>
      <c r="F172" s="3"/>
      <c r="G172" s="3" t="s">
        <v>119</v>
      </c>
      <c r="H172" s="4">
        <v>46226</v>
      </c>
      <c r="I172" s="4">
        <v>46223</v>
      </c>
      <c r="J172" s="4">
        <v>46223</v>
      </c>
    </row>
    <row r="173" spans="1:10">
      <c r="A173" s="3" t="s">
        <v>116</v>
      </c>
      <c r="B173" s="3" t="s">
        <v>153</v>
      </c>
      <c r="C173" s="3" t="s">
        <v>146</v>
      </c>
      <c r="D173" s="3" t="s">
        <v>56</v>
      </c>
      <c r="E173" s="3" t="s">
        <v>57</v>
      </c>
      <c r="F173" s="3"/>
      <c r="G173" s="3" t="s">
        <v>119</v>
      </c>
      <c r="H173" s="3"/>
      <c r="I173" s="3"/>
      <c r="J173" s="3"/>
    </row>
    <row r="174" spans="1:10">
      <c r="A174" s="3" t="s">
        <v>116</v>
      </c>
      <c r="B174" s="3" t="s">
        <v>149</v>
      </c>
      <c r="C174" s="3" t="s">
        <v>146</v>
      </c>
      <c r="D174" s="3" t="s">
        <v>56</v>
      </c>
      <c r="E174" s="3" t="s">
        <v>57</v>
      </c>
      <c r="F174" s="3"/>
      <c r="G174" s="3" t="s">
        <v>119</v>
      </c>
      <c r="H174" s="3"/>
      <c r="I174" s="4">
        <v>46225</v>
      </c>
      <c r="J174" s="4">
        <v>46225</v>
      </c>
    </row>
    <row r="175" spans="1:10">
      <c r="A175" s="3" t="s">
        <v>116</v>
      </c>
      <c r="B175" s="3" t="s">
        <v>128</v>
      </c>
      <c r="C175" s="3" t="s">
        <v>146</v>
      </c>
      <c r="D175" s="3" t="s">
        <v>56</v>
      </c>
      <c r="E175" s="3" t="s">
        <v>57</v>
      </c>
      <c r="F175" s="3"/>
      <c r="G175" s="3" t="s">
        <v>119</v>
      </c>
      <c r="H175" s="4">
        <v>46225</v>
      </c>
      <c r="I175" s="4">
        <v>46223</v>
      </c>
      <c r="J175" s="4">
        <v>46223</v>
      </c>
    </row>
    <row r="176" spans="1:10">
      <c r="A176" s="3" t="s">
        <v>116</v>
      </c>
      <c r="B176" s="3" t="s">
        <v>153</v>
      </c>
      <c r="C176" s="3" t="s">
        <v>148</v>
      </c>
      <c r="D176" s="3" t="s">
        <v>72</v>
      </c>
      <c r="E176" s="3" t="s">
        <v>73</v>
      </c>
      <c r="F176" s="3"/>
      <c r="G176" s="3" t="s">
        <v>133</v>
      </c>
      <c r="H176" s="3"/>
      <c r="I176" s="3"/>
      <c r="J176" s="3"/>
    </row>
    <row r="177" spans="1:10">
      <c r="A177" s="3" t="s">
        <v>116</v>
      </c>
      <c r="B177" s="3" t="s">
        <v>149</v>
      </c>
      <c r="C177" s="3" t="s">
        <v>148</v>
      </c>
      <c r="D177" s="3" t="s">
        <v>72</v>
      </c>
      <c r="E177" s="3" t="s">
        <v>73</v>
      </c>
      <c r="F177" s="3"/>
      <c r="G177" s="3" t="s">
        <v>133</v>
      </c>
      <c r="H177" s="3"/>
      <c r="I177" s="4">
        <v>46225</v>
      </c>
      <c r="J177" s="4">
        <v>46225</v>
      </c>
    </row>
    <row r="178" spans="1:10">
      <c r="A178" s="3" t="s">
        <v>116</v>
      </c>
      <c r="B178" s="3" t="s">
        <v>128</v>
      </c>
      <c r="C178" s="3" t="s">
        <v>148</v>
      </c>
      <c r="D178" s="3" t="s">
        <v>72</v>
      </c>
      <c r="E178" s="3" t="s">
        <v>73</v>
      </c>
      <c r="F178" s="3"/>
      <c r="G178" s="3" t="s">
        <v>133</v>
      </c>
      <c r="H178" s="4">
        <v>46225</v>
      </c>
      <c r="I178" s="4">
        <v>46230</v>
      </c>
      <c r="J178" s="4">
        <v>46230</v>
      </c>
    </row>
    <row r="179" spans="1:10">
      <c r="A179" s="3" t="s">
        <v>116</v>
      </c>
      <c r="B179" s="3" t="s">
        <v>153</v>
      </c>
      <c r="C179" s="3" t="s">
        <v>152</v>
      </c>
      <c r="D179" s="3" t="s">
        <v>98</v>
      </c>
      <c r="E179" s="3"/>
      <c r="F179" s="3"/>
      <c r="G179" s="3"/>
      <c r="H179" s="3"/>
      <c r="I179" s="3"/>
      <c r="J179" s="3"/>
    </row>
    <row r="180" spans="1:10">
      <c r="A180" s="3" t="s">
        <v>116</v>
      </c>
      <c r="B180" s="3" t="s">
        <v>149</v>
      </c>
      <c r="C180" s="3" t="s">
        <v>152</v>
      </c>
      <c r="D180" s="3" t="s">
        <v>98</v>
      </c>
      <c r="E180" s="3"/>
      <c r="F180" s="3"/>
      <c r="G180" s="3"/>
      <c r="H180" s="3"/>
      <c r="I180" s="3"/>
      <c r="J180" s="3"/>
    </row>
    <row r="181" spans="1:10">
      <c r="A181" s="3" t="s">
        <v>116</v>
      </c>
      <c r="B181" s="3" t="s">
        <v>128</v>
      </c>
      <c r="C181" s="3" t="s">
        <v>152</v>
      </c>
      <c r="D181" s="3" t="s">
        <v>98</v>
      </c>
      <c r="E181" s="3"/>
      <c r="F181" s="3"/>
      <c r="G181" s="3"/>
      <c r="H181" s="3"/>
      <c r="I181" s="3"/>
      <c r="J181" s="3"/>
    </row>
    <row r="182" spans="1:10">
      <c r="A182" s="3" t="s">
        <v>116</v>
      </c>
      <c r="B182" s="3" t="s">
        <v>153</v>
      </c>
      <c r="C182" s="3" t="s">
        <v>161</v>
      </c>
      <c r="D182" s="3" t="s">
        <v>80</v>
      </c>
      <c r="E182" s="3"/>
      <c r="F182" s="3"/>
      <c r="G182" s="3"/>
      <c r="H182" s="3"/>
      <c r="I182" s="3"/>
      <c r="J182" s="3"/>
    </row>
    <row r="183" spans="1:10">
      <c r="A183" s="3" t="s">
        <v>116</v>
      </c>
      <c r="B183" s="3" t="s">
        <v>149</v>
      </c>
      <c r="C183" s="3" t="s">
        <v>161</v>
      </c>
      <c r="D183" s="3" t="s">
        <v>80</v>
      </c>
      <c r="E183" s="3"/>
      <c r="F183" s="3"/>
      <c r="G183" s="3"/>
      <c r="H183" s="3"/>
      <c r="I183" s="3"/>
      <c r="J183" s="3"/>
    </row>
    <row r="184" spans="1:10">
      <c r="A184" s="3" t="s">
        <v>116</v>
      </c>
      <c r="B184" s="3" t="s">
        <v>128</v>
      </c>
      <c r="C184" s="3" t="s">
        <v>161</v>
      </c>
      <c r="D184" s="3" t="s">
        <v>80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90" t="s">
        <v>315</v>
      </c>
      <c r="B1" s="84"/>
      <c r="C1" s="84"/>
    </row>
    <row r="2" spans="1:3" ht="14.25" customHeight="1">
      <c r="A2" s="8" t="s">
        <v>0</v>
      </c>
      <c r="B2" s="8" t="s">
        <v>316</v>
      </c>
      <c r="C2" s="8" t="s">
        <v>312</v>
      </c>
    </row>
    <row r="3" spans="1:3" ht="14.25" customHeight="1">
      <c r="A3" s="11" t="s">
        <v>38</v>
      </c>
      <c r="B3" s="11">
        <v>8</v>
      </c>
      <c r="C3" s="12">
        <v>46142</v>
      </c>
    </row>
    <row r="4" spans="1:3" ht="14.25" customHeight="1">
      <c r="A4" s="11" t="s">
        <v>38</v>
      </c>
      <c r="B4" s="11">
        <v>10</v>
      </c>
      <c r="C4" s="12">
        <v>46172</v>
      </c>
    </row>
    <row r="5" spans="1:3" ht="14.25" customHeight="1">
      <c r="A5" s="11" t="s">
        <v>38</v>
      </c>
      <c r="B5" s="11">
        <v>9</v>
      </c>
      <c r="C5" s="12">
        <v>46203</v>
      </c>
    </row>
    <row r="6" spans="1:3" ht="14.25" customHeight="1">
      <c r="A6" s="11" t="s">
        <v>116</v>
      </c>
      <c r="B6" s="11">
        <v>15</v>
      </c>
      <c r="C6" s="12">
        <v>46233</v>
      </c>
    </row>
    <row r="7" spans="1:3" ht="14.25" customHeight="1">
      <c r="A7" s="11" t="s">
        <v>116</v>
      </c>
      <c r="B7" s="11">
        <v>15</v>
      </c>
      <c r="C7" s="12">
        <v>46264</v>
      </c>
    </row>
    <row r="8" spans="1:3" ht="14.25" customHeight="1">
      <c r="A8" s="11" t="s">
        <v>116</v>
      </c>
      <c r="B8" s="11">
        <v>17</v>
      </c>
      <c r="C8" s="12">
        <v>46295</v>
      </c>
    </row>
    <row r="9" spans="1:3" ht="14.25" customHeight="1">
      <c r="A9" s="11" t="s">
        <v>116</v>
      </c>
      <c r="B9" s="11">
        <v>20</v>
      </c>
      <c r="C9" s="12">
        <v>46325</v>
      </c>
    </row>
    <row r="10" spans="1:3" ht="14.25" customHeight="1">
      <c r="A10" s="11" t="s">
        <v>116</v>
      </c>
      <c r="B10" s="11">
        <v>20</v>
      </c>
      <c r="C10" s="12">
        <v>46356</v>
      </c>
    </row>
    <row r="11" spans="1:3" ht="14.25" customHeight="1">
      <c r="A11" s="11" t="s">
        <v>317</v>
      </c>
      <c r="B11" s="11">
        <v>18</v>
      </c>
      <c r="C11" s="12">
        <v>46386</v>
      </c>
    </row>
    <row r="12" spans="1:3" ht="14.25" customHeight="1">
      <c r="A12" s="11" t="s">
        <v>317</v>
      </c>
      <c r="B12" s="11">
        <v>18</v>
      </c>
      <c r="C12" s="12">
        <v>46417</v>
      </c>
    </row>
    <row r="13" spans="1:3" ht="14.25" customHeight="1">
      <c r="A13" s="11" t="s">
        <v>317</v>
      </c>
      <c r="B13" s="11">
        <v>19</v>
      </c>
      <c r="C13" s="12">
        <v>46446</v>
      </c>
    </row>
    <row r="14" spans="1:3" ht="14.25" customHeight="1">
      <c r="A14" s="11" t="s">
        <v>246</v>
      </c>
      <c r="B14" s="11">
        <v>9</v>
      </c>
      <c r="C14" s="12">
        <v>46476</v>
      </c>
    </row>
    <row r="15" spans="1:3" ht="14.25" customHeight="1">
      <c r="A15" s="11" t="s">
        <v>239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R18"/>
  <sheetViews>
    <sheetView zoomScaleNormal="100" workbookViewId="0">
      <selection activeCell="B3" sqref="B3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8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318</v>
      </c>
      <c r="F1" s="1" t="s">
        <v>265</v>
      </c>
      <c r="G1" s="5" t="s">
        <v>319</v>
      </c>
      <c r="H1" s="5" t="s">
        <v>20</v>
      </c>
      <c r="I1" t="s">
        <v>33</v>
      </c>
      <c r="J1" s="5" t="s">
        <v>320</v>
      </c>
      <c r="K1" s="5" t="s">
        <v>118</v>
      </c>
      <c r="L1" s="5" t="s">
        <v>284</v>
      </c>
      <c r="M1" s="1" t="s">
        <v>321</v>
      </c>
      <c r="N1" s="1" t="s">
        <v>322</v>
      </c>
      <c r="R1" t="s">
        <v>13</v>
      </c>
    </row>
    <row r="2" spans="1:18" ht="13.5" customHeight="1">
      <c r="A2" s="2" t="s">
        <v>323</v>
      </c>
      <c r="B2" s="2" t="s">
        <v>324</v>
      </c>
      <c r="C2" s="2" t="s">
        <v>325</v>
      </c>
      <c r="D2" s="2" t="s">
        <v>326</v>
      </c>
      <c r="E2" s="2" t="s">
        <v>327</v>
      </c>
      <c r="F2" s="2" t="s">
        <v>328</v>
      </c>
      <c r="G2" t="s">
        <v>329</v>
      </c>
      <c r="H2" t="s">
        <v>330</v>
      </c>
      <c r="I2" t="s">
        <v>331</v>
      </c>
      <c r="J2" s="29" t="s">
        <v>332</v>
      </c>
      <c r="K2" s="29" t="s">
        <v>333</v>
      </c>
      <c r="L2" s="29" t="s">
        <v>334</v>
      </c>
      <c r="M2" t="s">
        <v>133</v>
      </c>
      <c r="N2" s="45" t="s">
        <v>335</v>
      </c>
      <c r="R2" t="s">
        <v>336</v>
      </c>
    </row>
    <row r="3" spans="1:18" ht="15" customHeight="1">
      <c r="A3" t="s">
        <v>38</v>
      </c>
      <c r="B3" t="s">
        <v>42</v>
      </c>
      <c r="C3" t="s">
        <v>57</v>
      </c>
      <c r="D3" t="s">
        <v>119</v>
      </c>
      <c r="E3" t="s">
        <v>47</v>
      </c>
      <c r="F3" t="s">
        <v>181</v>
      </c>
      <c r="G3" t="s">
        <v>42</v>
      </c>
      <c r="H3" t="s">
        <v>45</v>
      </c>
      <c r="I3" t="s">
        <v>50</v>
      </c>
      <c r="J3" t="s">
        <v>153</v>
      </c>
      <c r="K3" t="s">
        <v>46</v>
      </c>
      <c r="L3" t="s">
        <v>50</v>
      </c>
      <c r="M3" t="s">
        <v>42</v>
      </c>
      <c r="N3" s="45" t="s">
        <v>337</v>
      </c>
      <c r="R3" t="s">
        <v>43</v>
      </c>
    </row>
    <row r="4" spans="1:18" ht="15" customHeight="1">
      <c r="A4" t="s">
        <v>116</v>
      </c>
      <c r="B4" t="s">
        <v>56</v>
      </c>
      <c r="C4" t="s">
        <v>44</v>
      </c>
      <c r="D4" t="s">
        <v>133</v>
      </c>
      <c r="E4" t="s">
        <v>50</v>
      </c>
      <c r="F4" t="s">
        <v>153</v>
      </c>
      <c r="G4" t="s">
        <v>56</v>
      </c>
      <c r="H4" t="s">
        <v>84</v>
      </c>
      <c r="I4" t="s">
        <v>338</v>
      </c>
      <c r="J4" t="s">
        <v>149</v>
      </c>
      <c r="L4" t="s">
        <v>47</v>
      </c>
      <c r="M4" t="s">
        <v>98</v>
      </c>
      <c r="N4" s="45" t="s">
        <v>337</v>
      </c>
      <c r="R4" t="s">
        <v>339</v>
      </c>
    </row>
    <row r="5" spans="1:18" ht="15" customHeight="1">
      <c r="A5" t="s">
        <v>317</v>
      </c>
      <c r="B5" t="s">
        <v>62</v>
      </c>
      <c r="C5" t="s">
        <v>73</v>
      </c>
      <c r="F5" t="s">
        <v>149</v>
      </c>
      <c r="G5" t="s">
        <v>62</v>
      </c>
      <c r="H5" t="s">
        <v>119</v>
      </c>
      <c r="I5" t="s">
        <v>340</v>
      </c>
      <c r="J5" t="s">
        <v>128</v>
      </c>
      <c r="L5" t="s">
        <v>341</v>
      </c>
      <c r="M5" t="s">
        <v>84</v>
      </c>
      <c r="N5" s="45" t="s">
        <v>337</v>
      </c>
    </row>
    <row r="6" spans="1:18" ht="15" customHeight="1">
      <c r="A6" t="s">
        <v>246</v>
      </c>
      <c r="B6" t="s">
        <v>80</v>
      </c>
      <c r="F6" t="s">
        <v>128</v>
      </c>
      <c r="G6" t="s">
        <v>80</v>
      </c>
      <c r="H6" t="s">
        <v>133</v>
      </c>
      <c r="I6" t="s">
        <v>342</v>
      </c>
      <c r="J6" t="s">
        <v>118</v>
      </c>
      <c r="M6" t="s">
        <v>46</v>
      </c>
      <c r="N6" s="45" t="s">
        <v>337</v>
      </c>
    </row>
    <row r="7" spans="1:18" ht="15" customHeight="1">
      <c r="A7" t="s">
        <v>239</v>
      </c>
      <c r="B7" t="s">
        <v>109</v>
      </c>
      <c r="F7" t="s">
        <v>118</v>
      </c>
      <c r="G7" t="s">
        <v>109</v>
      </c>
      <c r="I7" t="s">
        <v>343</v>
      </c>
      <c r="M7" t="s">
        <v>119</v>
      </c>
      <c r="N7" s="45" t="s">
        <v>337</v>
      </c>
    </row>
    <row r="8" spans="1:18" ht="15" customHeight="1">
      <c r="B8" t="s">
        <v>72</v>
      </c>
      <c r="F8" t="s">
        <v>40</v>
      </c>
      <c r="G8" t="s">
        <v>72</v>
      </c>
      <c r="I8" t="s">
        <v>344</v>
      </c>
      <c r="M8" t="s">
        <v>57</v>
      </c>
      <c r="N8" s="45" t="s">
        <v>337</v>
      </c>
    </row>
    <row r="9" spans="1:18" ht="15" customHeight="1">
      <c r="B9" t="s">
        <v>98</v>
      </c>
      <c r="G9" t="s">
        <v>98</v>
      </c>
      <c r="I9" t="s">
        <v>345</v>
      </c>
      <c r="M9" t="s">
        <v>142</v>
      </c>
      <c r="N9" s="45" t="s">
        <v>337</v>
      </c>
    </row>
    <row r="10" spans="1:18" ht="15" customHeight="1">
      <c r="B10" t="s">
        <v>142</v>
      </c>
      <c r="G10" t="s">
        <v>142</v>
      </c>
      <c r="M10" t="s">
        <v>45</v>
      </c>
      <c r="N10" s="45" t="s">
        <v>337</v>
      </c>
    </row>
    <row r="11" spans="1:18">
      <c r="B11" t="s">
        <v>346</v>
      </c>
      <c r="G11" t="s">
        <v>57</v>
      </c>
      <c r="M11" t="s">
        <v>72</v>
      </c>
      <c r="N11" s="45" t="s">
        <v>337</v>
      </c>
    </row>
    <row r="12" spans="1:18">
      <c r="B12" t="s">
        <v>347</v>
      </c>
      <c r="G12" t="s">
        <v>44</v>
      </c>
      <c r="M12" t="s">
        <v>44</v>
      </c>
      <c r="N12" s="45" t="s">
        <v>337</v>
      </c>
    </row>
    <row r="13" spans="1:18">
      <c r="G13" t="s">
        <v>73</v>
      </c>
      <c r="M13" t="s">
        <v>73</v>
      </c>
      <c r="N13" s="45" t="s">
        <v>337</v>
      </c>
    </row>
    <row r="14" spans="1:18">
      <c r="M14" t="s">
        <v>80</v>
      </c>
      <c r="N14" s="45" t="s">
        <v>348</v>
      </c>
    </row>
    <row r="15" spans="1:18">
      <c r="M15" t="s">
        <v>56</v>
      </c>
      <c r="N15" s="45" t="s">
        <v>337</v>
      </c>
    </row>
    <row r="16" spans="1:18">
      <c r="M16" t="s">
        <v>109</v>
      </c>
      <c r="N16" s="45" t="s">
        <v>337</v>
      </c>
    </row>
    <row r="17" spans="13:14">
      <c r="M17" t="s">
        <v>62</v>
      </c>
      <c r="N17" s="45" t="s">
        <v>337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2026-08-26T13:41:30Z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