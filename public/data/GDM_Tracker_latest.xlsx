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754" documentId="13_ncr:1_{52745E9B-3AA1-4770-AAD3-E6166BFC13AE}" xr6:coauthVersionLast="47" xr6:coauthVersionMax="47" xr10:uidLastSave="{BB0EA7E2-642A-4C42-AA2A-9F8148A29C11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AG72" i="2"/>
  <c r="AG71" i="2"/>
  <c r="AG70" i="2"/>
  <c r="AG69" i="2"/>
  <c r="AG68" i="2"/>
  <c r="AG67" i="2"/>
  <c r="AG66" i="2"/>
  <c r="AG65" i="2"/>
  <c r="AG64" i="2"/>
  <c r="AG63" i="2"/>
  <c r="AG62" i="2"/>
  <c r="AG61" i="2"/>
  <c r="AG60" i="2"/>
  <c r="AG59" i="2"/>
  <c r="AG58" i="2"/>
  <c r="AG57" i="2"/>
  <c r="AG56" i="2"/>
  <c r="AG54" i="2"/>
  <c r="AG53" i="2"/>
  <c r="AG52" i="2"/>
  <c r="AG51" i="2"/>
  <c r="AG50" i="2"/>
  <c r="AG49" i="2"/>
  <c r="AG48" i="2"/>
  <c r="AG47" i="2"/>
  <c r="AG46" i="2"/>
  <c r="AG45" i="2"/>
  <c r="AG44" i="2"/>
  <c r="AG43" i="2"/>
  <c r="AG41" i="2"/>
  <c r="AG40" i="2"/>
  <c r="AG39" i="2"/>
  <c r="AG38" i="2"/>
  <c r="AG37" i="2"/>
  <c r="AG36" i="2"/>
  <c r="AG35" i="2"/>
  <c r="AG34" i="2"/>
  <c r="AG33" i="2"/>
  <c r="AG32" i="2"/>
  <c r="AG31" i="2"/>
  <c r="AG30" i="2"/>
  <c r="AG29" i="2"/>
  <c r="AG28" i="2"/>
  <c r="AG27" i="2"/>
  <c r="AG26" i="2"/>
  <c r="AG25" i="2"/>
  <c r="AG24" i="2"/>
  <c r="AG23" i="2"/>
  <c r="AG22" i="2"/>
  <c r="AG21" i="2"/>
  <c r="AG20" i="2"/>
  <c r="AG15" i="2"/>
  <c r="AG14" i="2"/>
  <c r="AG13" i="2"/>
  <c r="AG12" i="2"/>
  <c r="AG11" i="2"/>
  <c r="AG10" i="2"/>
  <c r="AG5" i="2"/>
  <c r="AG4" i="2"/>
  <c r="AG3" i="2"/>
  <c r="AG2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5" i="2"/>
  <c r="D14" i="2"/>
  <c r="D13" i="2"/>
  <c r="D12" i="2"/>
  <c r="D11" i="2"/>
  <c r="D10" i="2"/>
  <c r="D5" i="2"/>
  <c r="D4" i="2"/>
  <c r="D3" i="2"/>
  <c r="D2" i="2"/>
  <c r="T3" i="4" l="1"/>
  <c r="S3" i="4"/>
  <c r="R3" i="4"/>
  <c r="Q3" i="4"/>
  <c r="T4" i="4"/>
  <c r="S4" i="4"/>
  <c r="R4" i="4"/>
  <c r="Q4" i="4"/>
  <c r="T5" i="4"/>
  <c r="S5" i="4"/>
  <c r="R5" i="4"/>
  <c r="Q5" i="4"/>
  <c r="T6" i="4"/>
  <c r="S6" i="4"/>
  <c r="R6" i="4"/>
  <c r="Q6" i="4"/>
  <c r="T7" i="4"/>
  <c r="S7" i="4"/>
  <c r="R7" i="4"/>
  <c r="Q7" i="4"/>
  <c r="T16" i="4"/>
  <c r="S16" i="4"/>
  <c r="R16" i="4"/>
  <c r="Q16" i="4"/>
  <c r="T17" i="4"/>
  <c r="S17" i="4"/>
  <c r="R17" i="4"/>
  <c r="Q17" i="4"/>
  <c r="T18" i="4"/>
  <c r="S18" i="4"/>
  <c r="R18" i="4"/>
  <c r="Q18" i="4"/>
  <c r="T19" i="4"/>
  <c r="S19" i="4"/>
  <c r="R19" i="4"/>
  <c r="Q19" i="4"/>
  <c r="T20" i="4"/>
  <c r="S20" i="4"/>
  <c r="R20" i="4"/>
  <c r="Q20" i="4"/>
  <c r="T21" i="4"/>
  <c r="S21" i="4"/>
  <c r="R21" i="4"/>
  <c r="Q21" i="4"/>
  <c r="T22" i="4"/>
  <c r="S22" i="4"/>
  <c r="R22" i="4"/>
  <c r="Q22" i="4"/>
  <c r="T23" i="4"/>
  <c r="S23" i="4"/>
  <c r="R23" i="4"/>
  <c r="Q23" i="4"/>
  <c r="T24" i="4"/>
  <c r="S24" i="4"/>
  <c r="R24" i="4"/>
  <c r="Q24" i="4"/>
  <c r="T25" i="4"/>
  <c r="S25" i="4"/>
  <c r="R25" i="4"/>
  <c r="Q25" i="4"/>
  <c r="T26" i="4"/>
  <c r="S26" i="4"/>
  <c r="R26" i="4"/>
  <c r="Q26" i="4"/>
  <c r="T27" i="4"/>
  <c r="S27" i="4"/>
  <c r="R27" i="4"/>
  <c r="Q27" i="4"/>
  <c r="T28" i="4"/>
  <c r="S28" i="4"/>
  <c r="R28" i="4"/>
  <c r="Q28" i="4"/>
  <c r="T29" i="4"/>
  <c r="S29" i="4"/>
  <c r="R29" i="4"/>
  <c r="Q29" i="4"/>
  <c r="T30" i="4"/>
  <c r="S30" i="4"/>
  <c r="R30" i="4"/>
  <c r="Q30" i="4"/>
  <c r="T31" i="4"/>
  <c r="S31" i="4"/>
  <c r="R31" i="4"/>
  <c r="Q31" i="4"/>
  <c r="T32" i="4"/>
  <c r="S32" i="4"/>
  <c r="R32" i="4"/>
  <c r="Q32" i="4"/>
  <c r="T33" i="4"/>
  <c r="S33" i="4"/>
  <c r="R33" i="4"/>
  <c r="Q33" i="4"/>
  <c r="T34" i="4"/>
  <c r="S34" i="4"/>
  <c r="R34" i="4"/>
  <c r="Q34" i="4"/>
  <c r="T35" i="4"/>
  <c r="S35" i="4"/>
  <c r="R35" i="4"/>
  <c r="Q35" i="4"/>
  <c r="T36" i="4"/>
  <c r="S36" i="4"/>
  <c r="R36" i="4"/>
  <c r="Q36" i="4"/>
  <c r="T37" i="4"/>
  <c r="S37" i="4"/>
  <c r="R37" i="4"/>
  <c r="Q37" i="4"/>
  <c r="T38" i="4"/>
  <c r="S38" i="4"/>
  <c r="R38" i="4"/>
  <c r="Q38" i="4"/>
  <c r="T39" i="4"/>
  <c r="S39" i="4"/>
  <c r="R39" i="4"/>
  <c r="Q39" i="4"/>
  <c r="T40" i="4"/>
  <c r="S40" i="4"/>
  <c r="R40" i="4"/>
  <c r="Q40" i="4"/>
  <c r="T41" i="4"/>
  <c r="S41" i="4"/>
  <c r="R41" i="4"/>
  <c r="Q41" i="4"/>
  <c r="T42" i="4"/>
  <c r="S42" i="4"/>
  <c r="R42" i="4"/>
  <c r="Q42" i="4"/>
  <c r="T43" i="4"/>
  <c r="S43" i="4"/>
  <c r="R43" i="4"/>
  <c r="Q43" i="4"/>
  <c r="T44" i="4"/>
  <c r="S44" i="4"/>
  <c r="R44" i="4"/>
  <c r="Q44" i="4"/>
  <c r="T45" i="4"/>
  <c r="S45" i="4"/>
  <c r="R45" i="4"/>
  <c r="Q45" i="4"/>
  <c r="T46" i="4"/>
  <c r="S46" i="4"/>
  <c r="R46" i="4"/>
  <c r="Q46" i="4"/>
  <c r="T47" i="4"/>
  <c r="S47" i="4"/>
  <c r="R47" i="4"/>
  <c r="Q47" i="4"/>
  <c r="T48" i="4"/>
  <c r="S48" i="4"/>
  <c r="R48" i="4"/>
  <c r="Q48" i="4"/>
  <c r="T49" i="4"/>
  <c r="S49" i="4"/>
  <c r="R49" i="4"/>
  <c r="Q49" i="4"/>
  <c r="T50" i="4"/>
  <c r="S50" i="4"/>
  <c r="R50" i="4"/>
  <c r="Q50" i="4"/>
  <c r="T51" i="4"/>
  <c r="S51" i="4"/>
  <c r="R51" i="4"/>
  <c r="Q51" i="4"/>
  <c r="T52" i="4"/>
  <c r="S52" i="4"/>
  <c r="R52" i="4"/>
  <c r="Q52" i="4"/>
  <c r="T53" i="4"/>
  <c r="S53" i="4"/>
  <c r="R53" i="4"/>
  <c r="Q53" i="4"/>
  <c r="T54" i="4"/>
  <c r="S54" i="4"/>
  <c r="R54" i="4"/>
  <c r="Q54" i="4"/>
  <c r="T55" i="4"/>
  <c r="S55" i="4"/>
  <c r="R55" i="4"/>
  <c r="Q55" i="4"/>
  <c r="T56" i="4"/>
  <c r="S56" i="4"/>
  <c r="R56" i="4"/>
  <c r="Q56" i="4"/>
  <c r="T57" i="4"/>
  <c r="S57" i="4"/>
  <c r="R57" i="4"/>
  <c r="Q57" i="4"/>
  <c r="T58" i="4"/>
  <c r="S58" i="4"/>
  <c r="R58" i="4"/>
  <c r="Q58" i="4"/>
  <c r="T59" i="4"/>
  <c r="S59" i="4"/>
  <c r="R59" i="4"/>
  <c r="Q59" i="4"/>
  <c r="T60" i="4"/>
  <c r="S60" i="4"/>
  <c r="R60" i="4"/>
  <c r="Q60" i="4"/>
  <c r="T61" i="4"/>
  <c r="S61" i="4"/>
  <c r="R61" i="4"/>
  <c r="Q61" i="4"/>
  <c r="S62" i="4"/>
  <c r="T62" i="4"/>
  <c r="R62" i="4"/>
  <c r="Q62" i="4"/>
  <c r="T63" i="4"/>
  <c r="S63" i="4"/>
  <c r="R63" i="4"/>
  <c r="Q63" i="4"/>
  <c r="T64" i="4"/>
  <c r="S64" i="4"/>
  <c r="R64" i="4"/>
  <c r="Q64" i="4"/>
  <c r="T65" i="4"/>
  <c r="S65" i="4"/>
  <c r="R65" i="4"/>
  <c r="Q65" i="4"/>
  <c r="T66" i="4"/>
  <c r="S66" i="4"/>
  <c r="R66" i="4"/>
  <c r="Q66" i="4"/>
  <c r="T67" i="4"/>
  <c r="S67" i="4"/>
  <c r="R67" i="4"/>
  <c r="Q67" i="4"/>
  <c r="T68" i="4"/>
  <c r="S68" i="4"/>
  <c r="R68" i="4"/>
  <c r="Q68" i="4"/>
  <c r="T69" i="4"/>
  <c r="S69" i="4"/>
  <c r="R69" i="4"/>
  <c r="Q69" i="4"/>
  <c r="T70" i="4"/>
  <c r="S70" i="4"/>
  <c r="R70" i="4"/>
  <c r="Q70" i="4"/>
  <c r="T71" i="4"/>
  <c r="S71" i="4"/>
  <c r="R71" i="4"/>
  <c r="Q71" i="4"/>
  <c r="T72" i="4"/>
  <c r="S72" i="4"/>
  <c r="R72" i="4"/>
  <c r="Q72" i="4"/>
  <c r="T73" i="4"/>
  <c r="S73" i="4"/>
  <c r="R73" i="4"/>
  <c r="Q73" i="4"/>
  <c r="T74" i="4"/>
  <c r="S74" i="4"/>
  <c r="R74" i="4"/>
  <c r="Q74" i="4"/>
  <c r="T75" i="4"/>
  <c r="S75" i="4"/>
  <c r="R75" i="4"/>
  <c r="Q75" i="4"/>
  <c r="T76" i="4"/>
  <c r="S76" i="4"/>
  <c r="R76" i="4"/>
  <c r="Q76" i="4"/>
  <c r="T77" i="4"/>
  <c r="S77" i="4"/>
  <c r="R77" i="4"/>
  <c r="Q77" i="4"/>
  <c r="T78" i="4"/>
  <c r="S78" i="4"/>
  <c r="R78" i="4"/>
  <c r="Q78" i="4"/>
  <c r="T79" i="4"/>
  <c r="S79" i="4"/>
  <c r="R79" i="4"/>
  <c r="Q79" i="4"/>
  <c r="T80" i="4"/>
  <c r="S80" i="4"/>
  <c r="R80" i="4"/>
  <c r="Q80" i="4"/>
  <c r="T81" i="4"/>
  <c r="S81" i="4"/>
  <c r="R81" i="4"/>
  <c r="Q81" i="4"/>
  <c r="T82" i="4"/>
  <c r="S82" i="4"/>
  <c r="R82" i="4"/>
  <c r="Q82" i="4"/>
  <c r="T83" i="4"/>
  <c r="S83" i="4"/>
  <c r="R83" i="4"/>
  <c r="Q83" i="4"/>
  <c r="T84" i="4"/>
  <c r="S84" i="4"/>
  <c r="R84" i="4"/>
  <c r="Q84" i="4"/>
  <c r="T85" i="4"/>
  <c r="S85" i="4"/>
  <c r="R85" i="4"/>
  <c r="Q85" i="4"/>
  <c r="T86" i="4"/>
  <c r="S86" i="4"/>
  <c r="R86" i="4"/>
  <c r="Q86" i="4"/>
  <c r="T87" i="4"/>
  <c r="S87" i="4"/>
  <c r="R87" i="4"/>
  <c r="Q87" i="4"/>
  <c r="T88" i="4"/>
  <c r="S88" i="4"/>
  <c r="R88" i="4"/>
  <c r="Q88" i="4"/>
  <c r="T89" i="4"/>
  <c r="S89" i="4"/>
  <c r="R89" i="4"/>
  <c r="Q89" i="4"/>
  <c r="T90" i="4"/>
  <c r="S90" i="4"/>
  <c r="R90" i="4"/>
  <c r="Q90" i="4"/>
  <c r="T91" i="4"/>
  <c r="S91" i="4"/>
  <c r="R91" i="4"/>
  <c r="Q91" i="4"/>
  <c r="T92" i="4"/>
  <c r="S92" i="4"/>
  <c r="R92" i="4"/>
  <c r="Q92" i="4"/>
  <c r="T93" i="4"/>
  <c r="S93" i="4"/>
  <c r="R93" i="4"/>
  <c r="Q93" i="4"/>
  <c r="T94" i="4"/>
  <c r="S94" i="4"/>
  <c r="R94" i="4"/>
  <c r="Q94" i="4"/>
  <c r="T95" i="4"/>
  <c r="S95" i="4"/>
  <c r="R95" i="4"/>
  <c r="Q95" i="4"/>
  <c r="T96" i="4"/>
  <c r="S96" i="4"/>
  <c r="R96" i="4"/>
  <c r="Q96" i="4"/>
  <c r="T97" i="4"/>
  <c r="S97" i="4"/>
  <c r="R97" i="4"/>
  <c r="Q97" i="4"/>
  <c r="T98" i="4"/>
  <c r="S98" i="4"/>
  <c r="R98" i="4"/>
  <c r="Q98" i="4"/>
  <c r="T99" i="4"/>
  <c r="S99" i="4"/>
  <c r="R99" i="4"/>
  <c r="Q99" i="4"/>
  <c r="T100" i="4"/>
  <c r="S100" i="4"/>
  <c r="R100" i="4"/>
  <c r="Q100" i="4"/>
  <c r="T101" i="4"/>
  <c r="S101" i="4"/>
  <c r="R101" i="4"/>
  <c r="Q101" i="4"/>
  <c r="T102" i="4"/>
  <c r="S102" i="4"/>
  <c r="R102" i="4"/>
  <c r="Q102" i="4"/>
  <c r="T103" i="4"/>
  <c r="S103" i="4"/>
  <c r="R103" i="4"/>
  <c r="Q103" i="4"/>
  <c r="T104" i="4"/>
  <c r="S104" i="4"/>
  <c r="R104" i="4"/>
  <c r="Q104" i="4"/>
  <c r="T105" i="4"/>
  <c r="S105" i="4"/>
  <c r="R105" i="4"/>
  <c r="Q105" i="4"/>
  <c r="Q106" i="4"/>
  <c r="S106" i="4"/>
  <c r="R106" i="4"/>
  <c r="T106" i="4"/>
  <c r="T107" i="4"/>
  <c r="S107" i="4"/>
  <c r="R107" i="4"/>
  <c r="Q107" i="4"/>
  <c r="T108" i="4"/>
  <c r="S108" i="4"/>
  <c r="R108" i="4"/>
  <c r="Q108" i="4"/>
  <c r="T109" i="4"/>
  <c r="S109" i="4"/>
  <c r="R109" i="4"/>
  <c r="Q109" i="4"/>
  <c r="T110" i="4"/>
  <c r="S110" i="4"/>
  <c r="R110" i="4"/>
  <c r="Q110" i="4"/>
  <c r="T111" i="4"/>
  <c r="S111" i="4"/>
  <c r="R111" i="4"/>
  <c r="Q111" i="4"/>
  <c r="T112" i="4"/>
  <c r="S112" i="4"/>
  <c r="R112" i="4"/>
  <c r="Q112" i="4"/>
  <c r="T113" i="4"/>
  <c r="S113" i="4"/>
  <c r="R113" i="4"/>
  <c r="Q113" i="4"/>
  <c r="T114" i="4"/>
  <c r="S114" i="4"/>
  <c r="R114" i="4"/>
  <c r="Q114" i="4"/>
  <c r="T115" i="4"/>
  <c r="S115" i="4"/>
  <c r="R115" i="4"/>
  <c r="Q115" i="4"/>
  <c r="T116" i="4"/>
  <c r="S116" i="4"/>
  <c r="R116" i="4"/>
  <c r="Q116" i="4"/>
  <c r="T117" i="4"/>
  <c r="S117" i="4"/>
  <c r="R117" i="4"/>
  <c r="Q117" i="4"/>
  <c r="T118" i="4"/>
  <c r="S118" i="4"/>
  <c r="R118" i="4"/>
  <c r="Q118" i="4"/>
  <c r="T119" i="4"/>
  <c r="S119" i="4"/>
  <c r="R119" i="4"/>
  <c r="Q119" i="4"/>
  <c r="T120" i="4"/>
  <c r="S120" i="4"/>
  <c r="R120" i="4"/>
  <c r="Q120" i="4"/>
  <c r="T121" i="4"/>
  <c r="S121" i="4"/>
  <c r="R121" i="4"/>
  <c r="Q121" i="4"/>
  <c r="T122" i="4"/>
  <c r="S122" i="4"/>
  <c r="R122" i="4"/>
  <c r="Q122" i="4"/>
  <c r="T123" i="4"/>
  <c r="S123" i="4"/>
  <c r="R123" i="4"/>
  <c r="Q123" i="4"/>
  <c r="T124" i="4"/>
  <c r="S124" i="4"/>
  <c r="R124" i="4"/>
  <c r="Q124" i="4"/>
  <c r="T125" i="4"/>
  <c r="S125" i="4"/>
  <c r="R125" i="4"/>
  <c r="Q125" i="4"/>
  <c r="T126" i="4"/>
  <c r="S126" i="4"/>
  <c r="R126" i="4"/>
  <c r="Q126" i="4"/>
  <c r="T127" i="4"/>
  <c r="S127" i="4"/>
  <c r="R127" i="4"/>
  <c r="Q127" i="4"/>
  <c r="T128" i="4"/>
  <c r="S128" i="4"/>
  <c r="R128" i="4"/>
  <c r="Q128" i="4"/>
  <c r="T129" i="4"/>
  <c r="S129" i="4"/>
  <c r="R129" i="4"/>
  <c r="Q129" i="4"/>
  <c r="T130" i="4"/>
  <c r="S130" i="4"/>
  <c r="R130" i="4"/>
  <c r="Q130" i="4"/>
  <c r="T131" i="4"/>
  <c r="S131" i="4"/>
  <c r="R131" i="4"/>
  <c r="Q131" i="4"/>
  <c r="T132" i="4"/>
  <c r="S132" i="4"/>
  <c r="R132" i="4"/>
  <c r="Q132" i="4"/>
  <c r="T133" i="4"/>
  <c r="S133" i="4"/>
  <c r="R133" i="4"/>
  <c r="Q133" i="4"/>
  <c r="T134" i="4"/>
  <c r="S134" i="4"/>
  <c r="R134" i="4"/>
  <c r="Q134" i="4"/>
  <c r="T135" i="4"/>
  <c r="S135" i="4"/>
  <c r="R135" i="4"/>
  <c r="Q135" i="4"/>
  <c r="T136" i="4"/>
  <c r="S136" i="4"/>
  <c r="R136" i="4"/>
  <c r="Q136" i="4"/>
  <c r="T137" i="4"/>
  <c r="S137" i="4"/>
  <c r="R137" i="4"/>
  <c r="Q137" i="4"/>
  <c r="T138" i="4"/>
  <c r="S138" i="4"/>
  <c r="R138" i="4"/>
  <c r="Q138" i="4"/>
  <c r="T139" i="4"/>
  <c r="S139" i="4"/>
  <c r="R139" i="4"/>
  <c r="Q139" i="4"/>
  <c r="T140" i="4"/>
  <c r="S140" i="4"/>
  <c r="R140" i="4"/>
  <c r="Q140" i="4"/>
  <c r="T141" i="4"/>
  <c r="S141" i="4"/>
  <c r="R141" i="4"/>
  <c r="Q141" i="4"/>
  <c r="T142" i="4"/>
  <c r="S142" i="4"/>
  <c r="R142" i="4"/>
  <c r="Q142" i="4"/>
  <c r="T143" i="4"/>
  <c r="S143" i="4"/>
  <c r="R143" i="4"/>
  <c r="Q143" i="4"/>
  <c r="T144" i="4"/>
  <c r="S144" i="4"/>
  <c r="R144" i="4"/>
  <c r="Q144" i="4"/>
  <c r="T145" i="4"/>
  <c r="S145" i="4"/>
  <c r="R145" i="4"/>
  <c r="Q145" i="4"/>
  <c r="T146" i="4"/>
  <c r="S146" i="4"/>
  <c r="R146" i="4"/>
  <c r="Q146" i="4"/>
  <c r="T147" i="4"/>
  <c r="S147" i="4"/>
  <c r="R147" i="4"/>
  <c r="Q147" i="4"/>
  <c r="T148" i="4"/>
  <c r="S148" i="4"/>
  <c r="R148" i="4"/>
  <c r="Q148" i="4"/>
  <c r="T149" i="4"/>
  <c r="S149" i="4"/>
  <c r="R149" i="4"/>
  <c r="Q149" i="4"/>
  <c r="T150" i="4"/>
  <c r="Q150" i="4"/>
  <c r="R150" i="4"/>
  <c r="S150" i="4"/>
  <c r="T151" i="4"/>
  <c r="S151" i="4"/>
  <c r="R151" i="4"/>
  <c r="Q151" i="4"/>
  <c r="T152" i="4"/>
  <c r="S152" i="4"/>
  <c r="R152" i="4"/>
  <c r="Q152" i="4"/>
  <c r="T153" i="4"/>
  <c r="S153" i="4"/>
  <c r="R153" i="4"/>
  <c r="Q153" i="4"/>
  <c r="T154" i="4"/>
  <c r="S154" i="4"/>
  <c r="R154" i="4"/>
  <c r="Q154" i="4"/>
  <c r="T155" i="4"/>
  <c r="S155" i="4"/>
  <c r="R155" i="4"/>
  <c r="Q155" i="4"/>
  <c r="T156" i="4"/>
  <c r="S156" i="4"/>
  <c r="R156" i="4"/>
  <c r="Q156" i="4"/>
  <c r="T157" i="4"/>
  <c r="S157" i="4"/>
  <c r="R157" i="4"/>
  <c r="Q157" i="4"/>
  <c r="T158" i="4"/>
  <c r="S158" i="4"/>
  <c r="R158" i="4"/>
  <c r="Q158" i="4"/>
  <c r="T159" i="4"/>
  <c r="S159" i="4"/>
  <c r="R159" i="4"/>
  <c r="Q159" i="4"/>
  <c r="T160" i="4"/>
  <c r="S160" i="4"/>
  <c r="R160" i="4"/>
  <c r="Q160" i="4"/>
  <c r="T161" i="4"/>
  <c r="S161" i="4"/>
  <c r="R161" i="4"/>
  <c r="Q161" i="4"/>
  <c r="T162" i="4"/>
  <c r="S162" i="4"/>
  <c r="R162" i="4"/>
  <c r="Q162" i="4"/>
  <c r="T163" i="4"/>
  <c r="S163" i="4"/>
  <c r="R163" i="4"/>
  <c r="Q163" i="4"/>
  <c r="T164" i="4"/>
  <c r="S164" i="4"/>
  <c r="R164" i="4"/>
  <c r="Q164" i="4"/>
  <c r="T165" i="4"/>
  <c r="S165" i="4"/>
  <c r="R165" i="4"/>
  <c r="Q165" i="4"/>
  <c r="T166" i="4"/>
  <c r="S166" i="4"/>
  <c r="R166" i="4"/>
  <c r="Q166" i="4"/>
  <c r="T167" i="4"/>
  <c r="S167" i="4"/>
  <c r="R167" i="4"/>
  <c r="Q167" i="4"/>
  <c r="T168" i="4"/>
  <c r="S168" i="4"/>
  <c r="R168" i="4"/>
  <c r="Q168" i="4"/>
  <c r="T169" i="4"/>
  <c r="S169" i="4"/>
  <c r="R169" i="4"/>
  <c r="Q169" i="4"/>
  <c r="T170" i="4"/>
  <c r="S170" i="4"/>
  <c r="R170" i="4"/>
  <c r="Q170" i="4"/>
  <c r="T171" i="4"/>
  <c r="S171" i="4"/>
  <c r="R171" i="4"/>
  <c r="Q171" i="4"/>
  <c r="T172" i="4"/>
  <c r="S172" i="4"/>
  <c r="R172" i="4"/>
  <c r="Q172" i="4"/>
  <c r="T173" i="4"/>
  <c r="S173" i="4"/>
  <c r="R173" i="4"/>
  <c r="Q173" i="4"/>
  <c r="T174" i="4"/>
  <c r="S174" i="4"/>
  <c r="R174" i="4"/>
  <c r="Q174" i="4"/>
  <c r="T175" i="4"/>
  <c r="S175" i="4"/>
  <c r="R175" i="4"/>
  <c r="Q175" i="4"/>
  <c r="T176" i="4"/>
  <c r="S176" i="4"/>
  <c r="R176" i="4"/>
  <c r="Q176" i="4"/>
  <c r="T177" i="4"/>
  <c r="S177" i="4"/>
  <c r="R177" i="4"/>
  <c r="Q177" i="4"/>
  <c r="T178" i="4"/>
  <c r="S178" i="4"/>
  <c r="R178" i="4"/>
  <c r="Q178" i="4"/>
  <c r="T179" i="4"/>
  <c r="S179" i="4"/>
  <c r="R179" i="4"/>
  <c r="Q179" i="4"/>
  <c r="T180" i="4"/>
  <c r="S180" i="4"/>
  <c r="R180" i="4"/>
  <c r="Q180" i="4"/>
  <c r="T181" i="4"/>
  <c r="S181" i="4"/>
  <c r="R181" i="4"/>
  <c r="Q181" i="4"/>
  <c r="T182" i="4"/>
  <c r="S182" i="4"/>
  <c r="R182" i="4"/>
  <c r="Q182" i="4"/>
  <c r="T183" i="4"/>
  <c r="S183" i="4"/>
  <c r="R183" i="4"/>
  <c r="Q183" i="4"/>
  <c r="T184" i="4"/>
  <c r="S184" i="4"/>
  <c r="R184" i="4"/>
  <c r="Q184" i="4"/>
  <c r="T185" i="4"/>
  <c r="S185" i="4"/>
  <c r="R185" i="4"/>
  <c r="Q185" i="4"/>
  <c r="T186" i="4"/>
  <c r="S186" i="4"/>
  <c r="R186" i="4"/>
  <c r="Q186" i="4"/>
  <c r="T187" i="4"/>
  <c r="S187" i="4"/>
  <c r="R187" i="4"/>
  <c r="Q187" i="4"/>
  <c r="T188" i="4"/>
  <c r="S188" i="4"/>
  <c r="R188" i="4"/>
  <c r="Q188" i="4"/>
  <c r="T189" i="4"/>
  <c r="S189" i="4"/>
  <c r="R189" i="4"/>
  <c r="Q189" i="4"/>
  <c r="T190" i="4"/>
  <c r="S190" i="4"/>
  <c r="R190" i="4"/>
  <c r="Q190" i="4"/>
  <c r="T191" i="4"/>
  <c r="S191" i="4"/>
  <c r="R191" i="4"/>
  <c r="Q191" i="4"/>
  <c r="T192" i="4"/>
  <c r="S192" i="4"/>
  <c r="R192" i="4"/>
  <c r="Q192" i="4"/>
  <c r="T193" i="4"/>
  <c r="S193" i="4"/>
  <c r="R193" i="4"/>
  <c r="Q193" i="4"/>
  <c r="T194" i="4"/>
  <c r="S194" i="4"/>
  <c r="R194" i="4"/>
  <c r="Q194" i="4"/>
  <c r="R195" i="4"/>
  <c r="S195" i="4"/>
  <c r="Q195" i="4"/>
  <c r="T195" i="4"/>
  <c r="S196" i="4"/>
  <c r="Q196" i="4"/>
  <c r="T196" i="4"/>
  <c r="R196" i="4"/>
  <c r="T197" i="4"/>
  <c r="R197" i="4"/>
  <c r="S197" i="4"/>
  <c r="Q197" i="4"/>
  <c r="S198" i="4"/>
  <c r="T198" i="4"/>
  <c r="R198" i="4"/>
  <c r="Q198" i="4"/>
  <c r="Q199" i="4"/>
  <c r="R199" i="4"/>
  <c r="T199" i="4"/>
  <c r="S199" i="4"/>
  <c r="Q200" i="4"/>
  <c r="R200" i="4"/>
  <c r="T200" i="4"/>
  <c r="S200" i="4"/>
  <c r="R201" i="4"/>
  <c r="T201" i="4"/>
  <c r="S201" i="4"/>
  <c r="Q201" i="4"/>
  <c r="S202" i="4"/>
  <c r="Q202" i="4"/>
  <c r="R202" i="4"/>
  <c r="T202" i="4"/>
  <c r="S203" i="4"/>
  <c r="Q203" i="4"/>
  <c r="R203" i="4"/>
  <c r="T203" i="4"/>
  <c r="R204" i="4"/>
  <c r="S204" i="4"/>
  <c r="Q204" i="4"/>
  <c r="T204" i="4"/>
  <c r="T205" i="4"/>
  <c r="R205" i="4"/>
  <c r="S205" i="4"/>
  <c r="Q205" i="4"/>
  <c r="T206" i="4"/>
  <c r="R206" i="4"/>
  <c r="S206" i="4"/>
  <c r="Q206" i="4"/>
  <c r="R207" i="4"/>
  <c r="S207" i="4"/>
  <c r="T207" i="4"/>
  <c r="Q207" i="4"/>
  <c r="T208" i="4"/>
  <c r="S208" i="4"/>
  <c r="R208" i="4"/>
  <c r="Q208" i="4"/>
  <c r="S209" i="4"/>
  <c r="R209" i="4"/>
  <c r="Q209" i="4"/>
  <c r="T209" i="4"/>
  <c r="R210" i="4"/>
  <c r="S210" i="4"/>
  <c r="Q210" i="4"/>
  <c r="T210" i="4"/>
  <c r="T211" i="4"/>
  <c r="S211" i="4"/>
  <c r="R211" i="4"/>
  <c r="Q211" i="4"/>
  <c r="R212" i="4"/>
  <c r="S212" i="4"/>
  <c r="Q212" i="4"/>
  <c r="T212" i="4"/>
  <c r="S213" i="4"/>
  <c r="T213" i="4"/>
  <c r="Q213" i="4"/>
  <c r="R213" i="4"/>
  <c r="T214" i="4"/>
  <c r="S214" i="4"/>
  <c r="R214" i="4"/>
  <c r="Q214" i="4"/>
  <c r="R215" i="4"/>
  <c r="T215" i="4"/>
  <c r="Q215" i="4"/>
  <c r="S215" i="4"/>
  <c r="Q216" i="4"/>
  <c r="T216" i="4"/>
  <c r="S216" i="4"/>
  <c r="R216" i="4"/>
  <c r="Q217" i="4"/>
  <c r="R217" i="4"/>
  <c r="T217" i="4"/>
  <c r="S217" i="4"/>
  <c r="Q218" i="4"/>
  <c r="R218" i="4"/>
  <c r="T218" i="4"/>
  <c r="S218" i="4"/>
  <c r="Q219" i="4"/>
  <c r="T219" i="4"/>
  <c r="R219" i="4"/>
  <c r="S219" i="4"/>
  <c r="S220" i="4"/>
  <c r="T220" i="4"/>
  <c r="R220" i="4"/>
  <c r="Q220" i="4"/>
  <c r="R221" i="4"/>
  <c r="Q221" i="4"/>
  <c r="T221" i="4"/>
  <c r="S221" i="4"/>
  <c r="Q222" i="4"/>
  <c r="R222" i="4"/>
  <c r="T222" i="4"/>
  <c r="S222" i="4"/>
  <c r="S223" i="4"/>
  <c r="Q223" i="4"/>
  <c r="T223" i="4"/>
  <c r="R223" i="4"/>
  <c r="S224" i="4"/>
  <c r="Q224" i="4"/>
  <c r="R224" i="4"/>
  <c r="T224" i="4"/>
  <c r="S225" i="4"/>
  <c r="Q225" i="4"/>
  <c r="T225" i="4"/>
  <c r="R225" i="4"/>
  <c r="R226" i="4"/>
  <c r="T226" i="4"/>
  <c r="S226" i="4"/>
  <c r="Q226" i="4"/>
  <c r="S227" i="4"/>
  <c r="R227" i="4"/>
  <c r="Q227" i="4"/>
  <c r="T227" i="4"/>
  <c r="R228" i="4"/>
  <c r="Q228" i="4"/>
  <c r="T228" i="4"/>
  <c r="S228" i="4"/>
  <c r="Q229" i="4"/>
  <c r="T229" i="4"/>
  <c r="S229" i="4"/>
  <c r="R229" i="4"/>
  <c r="Q230" i="4"/>
  <c r="R230" i="4"/>
  <c r="S230" i="4"/>
  <c r="T230" i="4"/>
  <c r="T231" i="4"/>
  <c r="Q231" i="4"/>
  <c r="R231" i="4"/>
  <c r="S231" i="4"/>
  <c r="Q232" i="4"/>
  <c r="R232" i="4"/>
  <c r="S232" i="4"/>
  <c r="T232" i="4"/>
  <c r="R233" i="4"/>
  <c r="Q233" i="4"/>
  <c r="T233" i="4"/>
  <c r="S233" i="4"/>
  <c r="T234" i="4"/>
  <c r="S234" i="4"/>
  <c r="R234" i="4"/>
  <c r="Q234" i="4"/>
  <c r="Q235" i="4"/>
  <c r="R235" i="4"/>
  <c r="S235" i="4"/>
  <c r="T235" i="4"/>
  <c r="Q236" i="4"/>
  <c r="R236" i="4"/>
  <c r="S236" i="4"/>
  <c r="T236" i="4"/>
  <c r="R237" i="4"/>
  <c r="Q237" i="4"/>
  <c r="T237" i="4"/>
  <c r="S237" i="4"/>
  <c r="R238" i="4"/>
  <c r="T238" i="4"/>
  <c r="S238" i="4"/>
  <c r="Q238" i="4"/>
  <c r="S239" i="4"/>
  <c r="R239" i="4"/>
  <c r="T239" i="4"/>
  <c r="Q239" i="4"/>
  <c r="T240" i="4"/>
  <c r="R240" i="4"/>
  <c r="S240" i="4"/>
  <c r="Q240" i="4"/>
  <c r="Q241" i="4"/>
  <c r="T241" i="4"/>
  <c r="S241" i="4"/>
  <c r="R241" i="4"/>
  <c r="Q242" i="4"/>
  <c r="S242" i="4"/>
  <c r="T242" i="4"/>
  <c r="R242" i="4"/>
  <c r="R243" i="4"/>
  <c r="T243" i="4"/>
  <c r="S243" i="4"/>
  <c r="Q243" i="4"/>
  <c r="Q244" i="4"/>
  <c r="S244" i="4"/>
  <c r="R244" i="4"/>
  <c r="T244" i="4"/>
  <c r="R245" i="4"/>
  <c r="S245" i="4"/>
  <c r="Q245" i="4"/>
  <c r="T245" i="4"/>
  <c r="T246" i="4"/>
  <c r="R246" i="4"/>
  <c r="S246" i="4"/>
  <c r="Q246" i="4"/>
  <c r="S247" i="4"/>
  <c r="R247" i="4"/>
  <c r="T247" i="4"/>
  <c r="Q247" i="4"/>
  <c r="S248" i="4"/>
  <c r="Q248" i="4"/>
  <c r="T248" i="4"/>
  <c r="R248" i="4"/>
  <c r="T249" i="4"/>
  <c r="Q249" i="4"/>
  <c r="R249" i="4"/>
  <c r="S249" i="4"/>
  <c r="T250" i="4"/>
  <c r="S250" i="4"/>
  <c r="R250" i="4"/>
  <c r="Q250" i="4"/>
  <c r="R251" i="4"/>
  <c r="S251" i="4"/>
  <c r="Q251" i="4"/>
  <c r="T251" i="4"/>
  <c r="T252" i="4"/>
  <c r="S252" i="4"/>
  <c r="Q252" i="4"/>
  <c r="R252" i="4"/>
  <c r="R253" i="4"/>
  <c r="T253" i="4"/>
  <c r="S253" i="4"/>
  <c r="Q253" i="4"/>
  <c r="Q254" i="4"/>
  <c r="R254" i="4"/>
  <c r="S254" i="4"/>
  <c r="T254" i="4"/>
  <c r="T255" i="4"/>
  <c r="R255" i="4"/>
  <c r="Q255" i="4"/>
  <c r="S255" i="4"/>
  <c r="S256" i="4"/>
  <c r="Q256" i="4"/>
  <c r="T256" i="4"/>
  <c r="R256" i="4"/>
  <c r="R257" i="4"/>
  <c r="T257" i="4"/>
  <c r="Q257" i="4"/>
  <c r="S257" i="4"/>
  <c r="R258" i="4"/>
  <c r="T258" i="4"/>
  <c r="S258" i="4"/>
  <c r="Q258" i="4"/>
  <c r="Q259" i="4"/>
  <c r="S259" i="4"/>
  <c r="T259" i="4"/>
  <c r="R259" i="4"/>
  <c r="R260" i="4"/>
  <c r="T260" i="4"/>
  <c r="Q260" i="4"/>
  <c r="S260" i="4"/>
  <c r="R261" i="4"/>
  <c r="Q261" i="4"/>
  <c r="S261" i="4"/>
  <c r="T261" i="4"/>
  <c r="Q262" i="4"/>
  <c r="S262" i="4"/>
  <c r="R262" i="4"/>
  <c r="T262" i="4"/>
  <c r="T263" i="4"/>
  <c r="R263" i="4"/>
  <c r="S263" i="4"/>
  <c r="Q263" i="4"/>
  <c r="R264" i="4"/>
  <c r="T264" i="4"/>
  <c r="S264" i="4"/>
  <c r="Q264" i="4"/>
  <c r="T265" i="4"/>
  <c r="S265" i="4"/>
  <c r="Q265" i="4"/>
  <c r="R265" i="4"/>
  <c r="R266" i="4"/>
  <c r="S266" i="4"/>
  <c r="Q266" i="4"/>
  <c r="T266" i="4"/>
  <c r="S267" i="4"/>
  <c r="Q267" i="4"/>
  <c r="T267" i="4"/>
  <c r="R267" i="4"/>
  <c r="T268" i="4"/>
  <c r="R268" i="4"/>
  <c r="Q268" i="4"/>
  <c r="S268" i="4"/>
  <c r="T269" i="4"/>
  <c r="S269" i="4"/>
  <c r="Q269" i="4"/>
  <c r="R269" i="4"/>
  <c r="R270" i="4"/>
  <c r="T270" i="4"/>
  <c r="S270" i="4"/>
  <c r="Q270" i="4"/>
  <c r="Q271" i="4"/>
  <c r="T271" i="4"/>
  <c r="R271" i="4"/>
  <c r="S271" i="4"/>
  <c r="Q272" i="4"/>
  <c r="T272" i="4"/>
  <c r="S272" i="4"/>
  <c r="R272" i="4"/>
  <c r="T273" i="4"/>
  <c r="S273" i="4"/>
  <c r="R273" i="4"/>
  <c r="Q273" i="4"/>
  <c r="T274" i="4"/>
  <c r="S274" i="4"/>
  <c r="Q274" i="4"/>
  <c r="R274" i="4"/>
  <c r="T275" i="4"/>
  <c r="S275" i="4"/>
  <c r="R275" i="4"/>
  <c r="Q275" i="4"/>
  <c r="T276" i="4"/>
  <c r="S276" i="4"/>
  <c r="Q276" i="4"/>
  <c r="R276" i="4"/>
  <c r="T277" i="4"/>
  <c r="S277" i="4"/>
  <c r="R277" i="4"/>
  <c r="Q277" i="4"/>
  <c r="T278" i="4"/>
  <c r="S278" i="4"/>
  <c r="R278" i="4"/>
  <c r="Q278" i="4"/>
  <c r="Q279" i="4"/>
  <c r="T279" i="4"/>
  <c r="S279" i="4"/>
  <c r="R279" i="4"/>
  <c r="Q280" i="4"/>
  <c r="T280" i="4"/>
  <c r="S280" i="4"/>
  <c r="R280" i="4"/>
  <c r="T281" i="4"/>
  <c r="S281" i="4"/>
  <c r="Q281" i="4"/>
  <c r="R281" i="4"/>
  <c r="T282" i="4"/>
  <c r="S282" i="4"/>
  <c r="R282" i="4"/>
  <c r="Q282" i="4"/>
  <c r="T283" i="4"/>
  <c r="S283" i="4"/>
  <c r="R283" i="4"/>
  <c r="Q283" i="4"/>
  <c r="T284" i="4"/>
  <c r="S284" i="4"/>
  <c r="R284" i="4"/>
  <c r="Q284" i="4"/>
  <c r="T285" i="4"/>
  <c r="S285" i="4"/>
  <c r="R285" i="4"/>
  <c r="Q285" i="4"/>
  <c r="T286" i="4"/>
  <c r="S286" i="4"/>
  <c r="R286" i="4"/>
  <c r="Q286" i="4"/>
  <c r="T287" i="4"/>
  <c r="S287" i="4"/>
  <c r="R287" i="4"/>
  <c r="Q287" i="4"/>
  <c r="T288" i="4"/>
  <c r="S288" i="4"/>
  <c r="R288" i="4"/>
  <c r="Q288" i="4"/>
  <c r="T289" i="4"/>
  <c r="S289" i="4"/>
  <c r="R289" i="4"/>
  <c r="Q289" i="4"/>
  <c r="T290" i="4"/>
  <c r="S290" i="4"/>
  <c r="R290" i="4"/>
  <c r="Q290" i="4"/>
  <c r="T291" i="4"/>
  <c r="S291" i="4"/>
  <c r="R291" i="4"/>
  <c r="Q291" i="4"/>
  <c r="T292" i="4"/>
  <c r="S292" i="4"/>
  <c r="R292" i="4"/>
  <c r="Q292" i="4"/>
  <c r="T293" i="4"/>
  <c r="S293" i="4"/>
  <c r="R293" i="4"/>
  <c r="Q293" i="4"/>
  <c r="T294" i="4"/>
  <c r="S294" i="4"/>
  <c r="R294" i="4"/>
  <c r="Q294" i="4"/>
  <c r="T295" i="4"/>
  <c r="S295" i="4"/>
  <c r="R295" i="4"/>
  <c r="Q295" i="4"/>
  <c r="T296" i="4"/>
  <c r="S296" i="4"/>
  <c r="R296" i="4"/>
  <c r="Q296" i="4"/>
  <c r="T297" i="4"/>
  <c r="S297" i="4"/>
  <c r="R297" i="4"/>
  <c r="Q297" i="4"/>
  <c r="T298" i="4"/>
  <c r="S298" i="4"/>
  <c r="R298" i="4"/>
  <c r="Q298" i="4"/>
  <c r="T299" i="4"/>
  <c r="S299" i="4"/>
  <c r="R299" i="4"/>
  <c r="Q299" i="4"/>
  <c r="T300" i="4"/>
  <c r="S300" i="4"/>
  <c r="R300" i="4"/>
  <c r="Q300" i="4"/>
  <c r="T301" i="4"/>
  <c r="S301" i="4"/>
  <c r="R301" i="4"/>
  <c r="Q301" i="4"/>
  <c r="T302" i="4"/>
  <c r="S302" i="4"/>
  <c r="R302" i="4"/>
  <c r="Q302" i="4"/>
  <c r="T303" i="4"/>
  <c r="S303" i="4"/>
  <c r="R303" i="4"/>
  <c r="Q303" i="4"/>
  <c r="T304" i="4"/>
  <c r="S304" i="4"/>
  <c r="R304" i="4"/>
  <c r="Q304" i="4"/>
  <c r="T305" i="4"/>
  <c r="S305" i="4"/>
  <c r="R305" i="4"/>
  <c r="Q305" i="4"/>
  <c r="T306" i="4"/>
  <c r="S306" i="4"/>
  <c r="R306" i="4"/>
  <c r="Q306" i="4"/>
  <c r="T307" i="4"/>
  <c r="S307" i="4"/>
  <c r="R307" i="4"/>
  <c r="Q307" i="4"/>
  <c r="T308" i="4"/>
  <c r="S308" i="4"/>
  <c r="R308" i="4"/>
  <c r="Q308" i="4"/>
  <c r="T309" i="4"/>
  <c r="S309" i="4"/>
  <c r="R309" i="4"/>
  <c r="Q309" i="4"/>
  <c r="T310" i="4"/>
  <c r="S310" i="4"/>
  <c r="R310" i="4"/>
  <c r="Q310" i="4"/>
  <c r="T311" i="4"/>
  <c r="S311" i="4"/>
  <c r="R311" i="4"/>
  <c r="Q311" i="4"/>
  <c r="T312" i="4"/>
  <c r="S312" i="4"/>
  <c r="R312" i="4"/>
  <c r="Q312" i="4"/>
  <c r="T313" i="4"/>
  <c r="S313" i="4"/>
  <c r="R313" i="4"/>
  <c r="Q313" i="4"/>
  <c r="T314" i="4"/>
  <c r="S314" i="4"/>
  <c r="R314" i="4"/>
  <c r="Q314" i="4"/>
  <c r="T315" i="4"/>
  <c r="S315" i="4"/>
  <c r="R315" i="4"/>
  <c r="Q315" i="4"/>
  <c r="T316" i="4"/>
  <c r="S316" i="4"/>
  <c r="R316" i="4"/>
  <c r="Q316" i="4"/>
  <c r="T317" i="4"/>
  <c r="S317" i="4"/>
  <c r="R317" i="4"/>
  <c r="Q317" i="4"/>
  <c r="T318" i="4"/>
  <c r="S318" i="4"/>
  <c r="R318" i="4"/>
  <c r="Q318" i="4"/>
  <c r="T319" i="4"/>
  <c r="S319" i="4"/>
  <c r="R319" i="4"/>
  <c r="Q319" i="4"/>
  <c r="T320" i="4"/>
  <c r="S320" i="4"/>
  <c r="R320" i="4"/>
  <c r="Q320" i="4"/>
  <c r="T321" i="4"/>
  <c r="S321" i="4"/>
  <c r="R321" i="4"/>
  <c r="Q321" i="4"/>
  <c r="T322" i="4"/>
  <c r="S322" i="4"/>
  <c r="R322" i="4"/>
  <c r="Q322" i="4"/>
  <c r="T323" i="4"/>
  <c r="S323" i="4"/>
  <c r="R323" i="4"/>
  <c r="Q323" i="4"/>
  <c r="T324" i="4"/>
  <c r="S324" i="4"/>
  <c r="R324" i="4"/>
  <c r="Q324" i="4"/>
  <c r="T325" i="4"/>
  <c r="S325" i="4"/>
  <c r="R325" i="4"/>
  <c r="Q325" i="4"/>
  <c r="T326" i="4"/>
  <c r="S326" i="4"/>
  <c r="R326" i="4"/>
  <c r="Q326" i="4"/>
  <c r="T327" i="4"/>
  <c r="S327" i="4"/>
  <c r="R327" i="4"/>
  <c r="Q327" i="4"/>
  <c r="T328" i="4"/>
  <c r="S328" i="4"/>
  <c r="R328" i="4"/>
  <c r="Q328" i="4"/>
  <c r="T329" i="4"/>
  <c r="S329" i="4"/>
  <c r="R329" i="4"/>
  <c r="Q329" i="4"/>
  <c r="T330" i="4"/>
  <c r="S330" i="4"/>
  <c r="R330" i="4"/>
  <c r="Q330" i="4"/>
  <c r="T331" i="4"/>
  <c r="S331" i="4"/>
  <c r="R331" i="4"/>
  <c r="Q331" i="4"/>
  <c r="T332" i="4"/>
  <c r="S332" i="4"/>
  <c r="R332" i="4"/>
  <c r="Q332" i="4"/>
  <c r="T333" i="4"/>
  <c r="S333" i="4"/>
  <c r="R333" i="4"/>
  <c r="Q333" i="4"/>
  <c r="T334" i="4"/>
  <c r="S334" i="4"/>
  <c r="R334" i="4"/>
  <c r="Q334" i="4"/>
  <c r="T335" i="4"/>
  <c r="S335" i="4"/>
  <c r="R335" i="4"/>
  <c r="Q335" i="4"/>
  <c r="T336" i="4"/>
  <c r="S336" i="4"/>
  <c r="R336" i="4"/>
  <c r="Q336" i="4"/>
  <c r="T337" i="4"/>
  <c r="S337" i="4"/>
  <c r="R337" i="4"/>
  <c r="Q337" i="4"/>
  <c r="T338" i="4"/>
  <c r="S338" i="4"/>
  <c r="R338" i="4"/>
  <c r="Q338" i="4"/>
  <c r="T339" i="4"/>
  <c r="S339" i="4"/>
  <c r="R339" i="4"/>
  <c r="Q339" i="4"/>
  <c r="T340" i="4"/>
  <c r="S340" i="4"/>
  <c r="R340" i="4"/>
  <c r="Q340" i="4"/>
  <c r="T341" i="4"/>
  <c r="S341" i="4"/>
  <c r="R341" i="4"/>
  <c r="Q341" i="4"/>
  <c r="T342" i="4"/>
  <c r="S342" i="4"/>
  <c r="R342" i="4"/>
  <c r="Q342" i="4"/>
  <c r="T343" i="4"/>
  <c r="S343" i="4"/>
  <c r="R343" i="4"/>
  <c r="Q343" i="4"/>
  <c r="T344" i="4"/>
  <c r="S344" i="4"/>
  <c r="R344" i="4"/>
  <c r="Q344" i="4"/>
  <c r="T345" i="4"/>
  <c r="S345" i="4"/>
  <c r="R345" i="4"/>
  <c r="Q345" i="4"/>
  <c r="T346" i="4"/>
  <c r="S346" i="4"/>
  <c r="R346" i="4"/>
  <c r="Q346" i="4"/>
  <c r="T347" i="4"/>
  <c r="S347" i="4"/>
  <c r="R347" i="4"/>
  <c r="Q347" i="4"/>
  <c r="T348" i="4"/>
  <c r="S348" i="4"/>
  <c r="R348" i="4"/>
  <c r="Q348" i="4"/>
  <c r="T349" i="4"/>
  <c r="S349" i="4"/>
  <c r="R349" i="4"/>
  <c r="Q349" i="4"/>
  <c r="T350" i="4"/>
  <c r="S350" i="4"/>
  <c r="R350" i="4"/>
  <c r="Q350" i="4"/>
  <c r="T351" i="4"/>
  <c r="S351" i="4"/>
  <c r="R351" i="4"/>
  <c r="Q351" i="4"/>
  <c r="T352" i="4"/>
  <c r="S352" i="4"/>
  <c r="R352" i="4"/>
  <c r="Q352" i="4"/>
  <c r="T353" i="4"/>
  <c r="S353" i="4"/>
  <c r="R353" i="4"/>
  <c r="Q353" i="4"/>
  <c r="T354" i="4"/>
  <c r="S354" i="4"/>
  <c r="R354" i="4"/>
  <c r="Q354" i="4"/>
  <c r="T355" i="4"/>
  <c r="S355" i="4"/>
  <c r="R355" i="4"/>
  <c r="Q355" i="4"/>
  <c r="T356" i="4"/>
  <c r="S356" i="4"/>
  <c r="R356" i="4"/>
  <c r="Q356" i="4"/>
  <c r="T357" i="4"/>
  <c r="S357" i="4"/>
  <c r="R357" i="4"/>
  <c r="Q357" i="4"/>
  <c r="T358" i="4"/>
  <c r="S358" i="4"/>
  <c r="R358" i="4"/>
  <c r="Q358" i="4"/>
  <c r="T359" i="4"/>
  <c r="S359" i="4"/>
  <c r="R359" i="4"/>
  <c r="Q359" i="4"/>
  <c r="T360" i="4"/>
  <c r="S360" i="4"/>
  <c r="R360" i="4"/>
  <c r="Q360" i="4"/>
  <c r="T361" i="4"/>
  <c r="S361" i="4"/>
  <c r="R361" i="4"/>
  <c r="Q361" i="4"/>
  <c r="T362" i="4"/>
  <c r="S362" i="4"/>
  <c r="R362" i="4"/>
  <c r="Q362" i="4"/>
  <c r="T363" i="4"/>
  <c r="S363" i="4"/>
  <c r="R363" i="4"/>
  <c r="Q363" i="4"/>
  <c r="T364" i="4"/>
  <c r="S364" i="4"/>
  <c r="R364" i="4"/>
  <c r="Q364" i="4"/>
  <c r="T365" i="4"/>
  <c r="S365" i="4"/>
  <c r="R365" i="4"/>
  <c r="Q365" i="4"/>
  <c r="T366" i="4"/>
  <c r="S366" i="4"/>
  <c r="R366" i="4"/>
  <c r="Q366" i="4"/>
  <c r="T367" i="4"/>
  <c r="S367" i="4"/>
  <c r="R367" i="4"/>
  <c r="Q367" i="4"/>
  <c r="T368" i="4"/>
  <c r="S368" i="4"/>
  <c r="R368" i="4"/>
  <c r="Q368" i="4"/>
  <c r="Q369" i="4"/>
  <c r="R369" i="4"/>
  <c r="S369" i="4"/>
  <c r="T369" i="4"/>
  <c r="T370" i="4"/>
  <c r="S370" i="4"/>
  <c r="R370" i="4"/>
  <c r="Q370" i="4"/>
  <c r="T371" i="4"/>
  <c r="S371" i="4"/>
  <c r="R371" i="4"/>
  <c r="Q371" i="4"/>
  <c r="T372" i="4"/>
  <c r="S372" i="4"/>
  <c r="R372" i="4"/>
  <c r="Q372" i="4"/>
  <c r="T373" i="4"/>
  <c r="S373" i="4"/>
  <c r="R373" i="4"/>
  <c r="Q373" i="4"/>
  <c r="T374" i="4"/>
  <c r="S374" i="4"/>
  <c r="R374" i="4"/>
  <c r="Q374" i="4"/>
  <c r="T375" i="4"/>
  <c r="S375" i="4"/>
  <c r="R375" i="4"/>
  <c r="Q375" i="4"/>
  <c r="T376" i="4"/>
  <c r="S376" i="4"/>
  <c r="R376" i="4"/>
  <c r="Q376" i="4"/>
  <c r="T377" i="4"/>
  <c r="S377" i="4"/>
  <c r="R377" i="4"/>
  <c r="Q377" i="4"/>
  <c r="T378" i="4"/>
  <c r="S378" i="4"/>
  <c r="R378" i="4"/>
  <c r="Q378" i="4"/>
  <c r="T379" i="4"/>
  <c r="S379" i="4"/>
  <c r="R379" i="4"/>
  <c r="Q379" i="4"/>
  <c r="T380" i="4"/>
  <c r="S380" i="4"/>
  <c r="R380" i="4"/>
  <c r="Q380" i="4"/>
  <c r="T381" i="4"/>
  <c r="S381" i="4"/>
  <c r="R381" i="4"/>
  <c r="Q381" i="4"/>
  <c r="T382" i="4"/>
  <c r="S382" i="4"/>
  <c r="R382" i="4"/>
  <c r="Q382" i="4"/>
  <c r="T383" i="4"/>
  <c r="S383" i="4"/>
  <c r="R383" i="4"/>
  <c r="Q383" i="4"/>
  <c r="T384" i="4"/>
  <c r="S384" i="4"/>
  <c r="R384" i="4"/>
  <c r="Q384" i="4"/>
  <c r="T385" i="4"/>
  <c r="S385" i="4"/>
  <c r="R385" i="4"/>
  <c r="Q385" i="4"/>
  <c r="T386" i="4"/>
  <c r="S386" i="4"/>
  <c r="R386" i="4"/>
  <c r="Q386" i="4"/>
  <c r="T387" i="4"/>
  <c r="S387" i="4"/>
  <c r="R387" i="4"/>
  <c r="Q387" i="4"/>
  <c r="T388" i="4"/>
  <c r="S388" i="4"/>
  <c r="R388" i="4"/>
  <c r="Q388" i="4"/>
  <c r="T389" i="4"/>
  <c r="S389" i="4"/>
  <c r="R389" i="4"/>
  <c r="Q389" i="4"/>
  <c r="T390" i="4"/>
  <c r="S390" i="4"/>
  <c r="R390" i="4"/>
  <c r="Q390" i="4"/>
  <c r="T391" i="4"/>
  <c r="S391" i="4"/>
  <c r="R391" i="4"/>
  <c r="Q391" i="4"/>
  <c r="T392" i="4"/>
  <c r="S392" i="4"/>
  <c r="R392" i="4"/>
  <c r="Q392" i="4"/>
  <c r="T393" i="4"/>
  <c r="S393" i="4"/>
  <c r="R393" i="4"/>
  <c r="Q393" i="4"/>
  <c r="T394" i="4"/>
  <c r="S394" i="4"/>
  <c r="R394" i="4"/>
  <c r="Q394" i="4"/>
  <c r="T395" i="4"/>
  <c r="S395" i="4"/>
  <c r="R395" i="4"/>
  <c r="Q395" i="4"/>
  <c r="T396" i="4"/>
  <c r="S396" i="4"/>
  <c r="R396" i="4"/>
  <c r="Q396" i="4"/>
  <c r="T397" i="4"/>
  <c r="S397" i="4"/>
  <c r="R397" i="4"/>
  <c r="Q397" i="4"/>
  <c r="T398" i="4"/>
  <c r="S398" i="4"/>
  <c r="R398" i="4"/>
  <c r="Q398" i="4"/>
  <c r="T399" i="4"/>
  <c r="S399" i="4"/>
  <c r="R399" i="4"/>
  <c r="Q399" i="4"/>
  <c r="T400" i="4"/>
  <c r="S400" i="4"/>
  <c r="R400" i="4"/>
  <c r="Q400" i="4"/>
  <c r="T401" i="4"/>
  <c r="S401" i="4"/>
  <c r="R401" i="4"/>
  <c r="Q401" i="4"/>
  <c r="T402" i="4"/>
  <c r="S402" i="4"/>
  <c r="R402" i="4"/>
  <c r="Q402" i="4"/>
  <c r="T403" i="4"/>
  <c r="S403" i="4"/>
  <c r="R403" i="4"/>
  <c r="Q403" i="4"/>
  <c r="T404" i="4"/>
  <c r="S404" i="4"/>
  <c r="R404" i="4"/>
  <c r="Q404" i="4"/>
  <c r="T405" i="4"/>
  <c r="S405" i="4"/>
  <c r="R405" i="4"/>
  <c r="Q405" i="4"/>
  <c r="T406" i="4"/>
  <c r="S406" i="4"/>
  <c r="R406" i="4"/>
  <c r="Q406" i="4"/>
  <c r="T407" i="4"/>
  <c r="S407" i="4"/>
  <c r="R407" i="4"/>
  <c r="Q407" i="4"/>
  <c r="T408" i="4"/>
  <c r="S408" i="4"/>
  <c r="R408" i="4"/>
  <c r="Q408" i="4"/>
  <c r="T409" i="4"/>
  <c r="S409" i="4"/>
  <c r="R409" i="4"/>
  <c r="Q409" i="4"/>
  <c r="T410" i="4"/>
  <c r="S410" i="4"/>
  <c r="R410" i="4"/>
  <c r="Q410" i="4"/>
  <c r="T411" i="4"/>
  <c r="S411" i="4"/>
  <c r="R411" i="4"/>
  <c r="Q411" i="4"/>
  <c r="T412" i="4"/>
  <c r="S412" i="4"/>
  <c r="R412" i="4"/>
  <c r="Q412" i="4"/>
  <c r="T413" i="4"/>
  <c r="R413" i="4"/>
  <c r="Q413" i="4"/>
  <c r="S413" i="4"/>
  <c r="R414" i="4"/>
  <c r="Q414" i="4"/>
  <c r="T414" i="4"/>
  <c r="S414" i="4"/>
  <c r="Q415" i="4"/>
  <c r="T415" i="4"/>
  <c r="S415" i="4"/>
  <c r="R415" i="4"/>
  <c r="Q416" i="4"/>
  <c r="T416" i="4"/>
  <c r="S416" i="4"/>
  <c r="R416" i="4"/>
  <c r="T417" i="4"/>
  <c r="S417" i="4"/>
  <c r="R417" i="4"/>
  <c r="Q417" i="4"/>
  <c r="T418" i="4"/>
  <c r="S418" i="4"/>
  <c r="R418" i="4"/>
  <c r="Q418" i="4"/>
  <c r="T419" i="4"/>
  <c r="S419" i="4"/>
  <c r="R419" i="4"/>
  <c r="Q419" i="4"/>
  <c r="T420" i="4"/>
  <c r="S420" i="4"/>
  <c r="R420" i="4"/>
  <c r="Q420" i="4"/>
  <c r="T421" i="4"/>
  <c r="S421" i="4"/>
  <c r="R421" i="4"/>
  <c r="Q421" i="4"/>
  <c r="T422" i="4"/>
  <c r="S422" i="4"/>
  <c r="R422" i="4"/>
  <c r="Q422" i="4"/>
  <c r="S423" i="4"/>
  <c r="T423" i="4"/>
  <c r="R423" i="4"/>
  <c r="Q423" i="4"/>
  <c r="Q424" i="4"/>
  <c r="T424" i="4"/>
  <c r="S424" i="4"/>
  <c r="R424" i="4"/>
  <c r="T425" i="4"/>
  <c r="S425" i="4"/>
  <c r="R425" i="4"/>
  <c r="Q425" i="4"/>
  <c r="T426" i="4"/>
  <c r="S426" i="4"/>
  <c r="R426" i="4"/>
  <c r="Q426" i="4"/>
  <c r="T427" i="4"/>
  <c r="S427" i="4"/>
  <c r="R427" i="4"/>
  <c r="Q427" i="4"/>
  <c r="Q428" i="4"/>
  <c r="T428" i="4"/>
  <c r="S428" i="4"/>
  <c r="R428" i="4"/>
  <c r="T429" i="4"/>
  <c r="S429" i="4"/>
  <c r="R429" i="4"/>
  <c r="Q429" i="4"/>
  <c r="Q430" i="4"/>
  <c r="T430" i="4"/>
  <c r="S430" i="4"/>
  <c r="R430" i="4"/>
  <c r="T431" i="4"/>
  <c r="S431" i="4"/>
  <c r="R431" i="4"/>
  <c r="Q431" i="4"/>
  <c r="Q432" i="4"/>
  <c r="T432" i="4"/>
  <c r="S432" i="4"/>
  <c r="R432" i="4"/>
  <c r="Q433" i="4"/>
  <c r="T433" i="4"/>
  <c r="S433" i="4"/>
  <c r="R433" i="4"/>
  <c r="T434" i="4"/>
  <c r="S434" i="4"/>
  <c r="R434" i="4"/>
  <c r="Q434" i="4"/>
  <c r="T435" i="4"/>
  <c r="S435" i="4"/>
  <c r="R435" i="4"/>
  <c r="Q435" i="4"/>
  <c r="T436" i="4"/>
  <c r="S436" i="4"/>
  <c r="R436" i="4"/>
  <c r="Q436" i="4"/>
  <c r="T437" i="4"/>
  <c r="S437" i="4"/>
  <c r="R437" i="4"/>
  <c r="Q437" i="4"/>
  <c r="T438" i="4"/>
  <c r="S438" i="4"/>
  <c r="R438" i="4"/>
  <c r="Q438" i="4"/>
  <c r="T439" i="4"/>
  <c r="S439" i="4"/>
  <c r="R439" i="4"/>
  <c r="Q439" i="4"/>
  <c r="T440" i="4"/>
  <c r="S440" i="4"/>
  <c r="R440" i="4"/>
  <c r="Q440" i="4"/>
  <c r="Q441" i="4"/>
  <c r="T441" i="4"/>
  <c r="S441" i="4"/>
  <c r="R441" i="4"/>
  <c r="Q442" i="4"/>
  <c r="T442" i="4"/>
  <c r="S442" i="4"/>
  <c r="R442" i="4"/>
  <c r="T443" i="4"/>
  <c r="S443" i="4"/>
  <c r="R443" i="4"/>
  <c r="Q443" i="4"/>
  <c r="T444" i="4"/>
  <c r="S444" i="4"/>
  <c r="R444" i="4"/>
  <c r="Q444" i="4"/>
  <c r="Q445" i="4"/>
  <c r="T445" i="4"/>
  <c r="S445" i="4"/>
  <c r="R445" i="4"/>
  <c r="T446" i="4"/>
  <c r="S446" i="4"/>
  <c r="R446" i="4"/>
  <c r="Q446" i="4"/>
  <c r="Q447" i="4"/>
  <c r="T447" i="4"/>
  <c r="S447" i="4"/>
  <c r="R447" i="4"/>
  <c r="T448" i="4"/>
  <c r="S448" i="4"/>
  <c r="R448" i="4"/>
  <c r="Q448" i="4"/>
  <c r="Q449" i="4"/>
  <c r="T449" i="4"/>
  <c r="S449" i="4"/>
  <c r="R449" i="4"/>
  <c r="Q450" i="4"/>
  <c r="T450" i="4"/>
  <c r="S450" i="4"/>
  <c r="R450" i="4"/>
  <c r="T451" i="4"/>
  <c r="S451" i="4"/>
  <c r="R451" i="4"/>
  <c r="Q451" i="4"/>
  <c r="T452" i="4"/>
  <c r="S452" i="4"/>
  <c r="R452" i="4"/>
  <c r="Q452" i="4"/>
  <c r="T453" i="4"/>
  <c r="S453" i="4"/>
  <c r="R453" i="4"/>
  <c r="Q453" i="4"/>
  <c r="T454" i="4"/>
  <c r="S454" i="4"/>
  <c r="R454" i="4"/>
  <c r="Q454" i="4"/>
  <c r="T455" i="4"/>
  <c r="S455" i="4"/>
  <c r="R455" i="4"/>
  <c r="Q455" i="4"/>
  <c r="T456" i="4"/>
  <c r="S456" i="4"/>
  <c r="R456" i="4"/>
  <c r="Q456" i="4"/>
  <c r="T457" i="4"/>
  <c r="S457" i="4"/>
  <c r="R457" i="4"/>
  <c r="Q457" i="4"/>
  <c r="T458" i="4"/>
  <c r="S458" i="4"/>
  <c r="R458" i="4"/>
  <c r="Q458" i="4"/>
  <c r="T459" i="4"/>
  <c r="S459" i="4"/>
  <c r="R459" i="4"/>
  <c r="Q459" i="4"/>
  <c r="T460" i="4"/>
  <c r="S460" i="4"/>
  <c r="R460" i="4"/>
  <c r="Q460" i="4"/>
  <c r="T461" i="4"/>
  <c r="S461" i="4"/>
  <c r="R461" i="4"/>
  <c r="Q461" i="4"/>
  <c r="T462" i="4"/>
  <c r="S462" i="4"/>
  <c r="R462" i="4"/>
  <c r="Q462" i="4"/>
  <c r="T463" i="4"/>
  <c r="S463" i="4"/>
  <c r="R463" i="4"/>
  <c r="Q463" i="4"/>
  <c r="T464" i="4"/>
  <c r="S464" i="4"/>
  <c r="R464" i="4"/>
  <c r="Q464" i="4"/>
  <c r="T465" i="4"/>
  <c r="S465" i="4"/>
  <c r="R465" i="4"/>
  <c r="Q465" i="4"/>
  <c r="T466" i="4"/>
  <c r="S466" i="4"/>
  <c r="R466" i="4"/>
  <c r="Q466" i="4"/>
  <c r="T467" i="4"/>
  <c r="S467" i="4"/>
  <c r="R467" i="4"/>
  <c r="Q467" i="4"/>
  <c r="T468" i="4"/>
  <c r="S468" i="4"/>
  <c r="R468" i="4"/>
  <c r="Q468" i="4"/>
  <c r="T469" i="4"/>
  <c r="S469" i="4"/>
  <c r="R469" i="4"/>
  <c r="Q469" i="4"/>
  <c r="T470" i="4"/>
  <c r="S470" i="4"/>
  <c r="R470" i="4"/>
  <c r="Q470" i="4"/>
  <c r="T471" i="4"/>
  <c r="S471" i="4"/>
  <c r="R471" i="4"/>
  <c r="Q471" i="4"/>
  <c r="T472" i="4"/>
  <c r="S472" i="4"/>
  <c r="R472" i="4"/>
  <c r="Q472" i="4"/>
  <c r="T473" i="4"/>
  <c r="S473" i="4"/>
  <c r="R473" i="4"/>
  <c r="Q473" i="4"/>
  <c r="T474" i="4"/>
  <c r="S474" i="4"/>
  <c r="R474" i="4"/>
  <c r="Q474" i="4"/>
  <c r="T475" i="4"/>
  <c r="S475" i="4"/>
  <c r="R475" i="4"/>
  <c r="Q475" i="4"/>
  <c r="T476" i="4"/>
  <c r="S476" i="4"/>
  <c r="R476" i="4"/>
  <c r="Q476" i="4"/>
  <c r="T477" i="4"/>
  <c r="S477" i="4"/>
  <c r="R477" i="4"/>
  <c r="Q477" i="4"/>
  <c r="T478" i="4"/>
  <c r="S478" i="4"/>
  <c r="R478" i="4"/>
  <c r="Q478" i="4"/>
  <c r="T479" i="4"/>
  <c r="S479" i="4"/>
  <c r="R479" i="4"/>
  <c r="Q479" i="4"/>
  <c r="T480" i="4"/>
  <c r="S480" i="4"/>
  <c r="R480" i="4"/>
  <c r="Q480" i="4"/>
  <c r="T481" i="4"/>
  <c r="S481" i="4"/>
  <c r="R481" i="4"/>
  <c r="Q481" i="4"/>
  <c r="T482" i="4"/>
  <c r="S482" i="4"/>
  <c r="R482" i="4"/>
  <c r="Q482" i="4"/>
  <c r="T483" i="4"/>
  <c r="S483" i="4"/>
  <c r="R483" i="4"/>
  <c r="Q483" i="4"/>
  <c r="T484" i="4"/>
  <c r="S484" i="4"/>
  <c r="R484" i="4"/>
  <c r="Q484" i="4"/>
  <c r="T485" i="4"/>
  <c r="S485" i="4"/>
  <c r="R485" i="4"/>
  <c r="Q485" i="4"/>
  <c r="T486" i="4"/>
  <c r="S486" i="4"/>
  <c r="R486" i="4"/>
  <c r="Q486" i="4"/>
  <c r="T487" i="4"/>
  <c r="S487" i="4"/>
  <c r="R487" i="4"/>
  <c r="Q487" i="4"/>
  <c r="T488" i="4"/>
  <c r="S488" i="4"/>
  <c r="R488" i="4"/>
  <c r="Q488" i="4"/>
  <c r="T489" i="4"/>
  <c r="S489" i="4"/>
  <c r="R489" i="4"/>
  <c r="Q489" i="4"/>
  <c r="T490" i="4"/>
  <c r="S490" i="4"/>
  <c r="R490" i="4"/>
  <c r="Q490" i="4"/>
  <c r="T491" i="4"/>
  <c r="S491" i="4"/>
  <c r="R491" i="4"/>
  <c r="Q491" i="4"/>
  <c r="T492" i="4"/>
  <c r="S492" i="4"/>
  <c r="R492" i="4"/>
  <c r="Q492" i="4"/>
  <c r="T493" i="4"/>
  <c r="S493" i="4"/>
  <c r="R493" i="4"/>
  <c r="Q493" i="4"/>
  <c r="T494" i="4"/>
  <c r="S494" i="4"/>
  <c r="R494" i="4"/>
  <c r="Q494" i="4"/>
  <c r="T495" i="4"/>
  <c r="S495" i="4"/>
  <c r="R495" i="4"/>
  <c r="Q495" i="4"/>
  <c r="T496" i="4"/>
  <c r="S496" i="4"/>
  <c r="R496" i="4"/>
  <c r="Q496" i="4"/>
  <c r="T497" i="4"/>
  <c r="S497" i="4"/>
  <c r="R497" i="4"/>
  <c r="Q497" i="4"/>
  <c r="T498" i="4"/>
  <c r="S498" i="4"/>
  <c r="R498" i="4"/>
  <c r="Q498" i="4"/>
  <c r="T499" i="4"/>
  <c r="S499" i="4"/>
  <c r="R499" i="4"/>
  <c r="Q499" i="4"/>
  <c r="T500" i="4"/>
  <c r="S500" i="4"/>
  <c r="R500" i="4"/>
  <c r="Q500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<sst xmlns="http://schemas.openxmlformats.org/spreadsheetml/2006/main" count="2198" uniqueCount="261">
  <si>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</si>
  <si>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</si>
  <si>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</si>
  <si>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</si>
  <si>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</si>
  <si>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</si>
  <si>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</si>
  <si>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</si>
  <si>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</si>
  <si>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</si>
  <si>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</si>
  <si>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</si>
  <si>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</si>
  <si>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</si>
  <si>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</si>
  <si>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</si>
  <si>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</si>
  <si>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</si>
  <si>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</si>
  <si>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</si>
  <si>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</si>
  <si>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</si>
  <si>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</si>
  <si>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</si>
  <si>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</si>
  <si>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</si>
  <si>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</si>
  <si>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</si>
  <si>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</si>
  <si>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</si>
  <si>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</si>
  <si>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</si>
  <si>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</si>
  <si>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</si>
  <si>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</si>
  <si>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</si>
  <si>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</si>
  <si>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</si>
  <si>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</si>
  <si>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</si>
  <si>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</si>
  <si>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</si>
  <si>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</si>
  <si>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</si>
  <si>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</si>
  <si>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</si>
  <si>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</si>
  <si>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</si>
  <si>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</si>
  <si>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</si>
  <si>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</si>
  <si>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</si>
  <si>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</si>
  <si>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</si>
  <si>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</si>
  <si>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</si>
  <si>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</si>
  <si>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</si>
  <si>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</si>
  <si>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</si>
  <si>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</si>
  <si>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</si>
  <si>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</si>
  <si>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</si>
  <si>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</si>
  <si>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</si>
  <si>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</si>
  <si>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</si>
  <si>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</si>
  <si>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</si>
  <si>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</si>
  <si>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</si>
  <si>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</si>
  <si>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</si>
  <si>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</si>
  <si>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</si>
  <si>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</si>
  <si>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</si>
  <si>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</si>
  <si>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</si>
  <si>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</si>
  <si>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</si>
  <si>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</si>
  <si>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</si>
  <si>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</si>
  <si>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</si>
  <si>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</si>
  <si>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</si>
  <si>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</si>
  <si>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</si>
  <si>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</si>
  <si>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</si>
  <si>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</si>
  <si>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</si>
  <si>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</si>
  <si>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</si>
  <si>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</si>
  <si>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</si>
  <si>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</si>
  <si>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</si>
  <si>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</si>
  <si>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</si>
  <si>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</si>
  <si>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</si>
  <si>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</si>
  <si>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</si>
  <si>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</si>
  <si>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</si>
  <si>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</si>
  <si>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</si>
  <si>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</si>
  <si>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</si>
  <si>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</si>
  <si>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</si>
  <si>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QA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</si>
  <si>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</si>
  <si>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</si>
  <si>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</si>
  <si>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</si>
  <si>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</si>
  <si>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</si>
  <si>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</si>
  <si>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DB Dev</t>
  </si>
  <si>
    <t>Yes – needs DB Dev to fix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</si>
  <si>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</si>
  <si>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</si>
  <si>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</si>
  <si>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</si>
  <si>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Yes – other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</si>
  <si>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</si>
  <si>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</si>
  <si>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PBI Dev</t>
  </si>
  <si>
    <t>Bardia</t>
  </si>
  <si>
    <t>Available for PBI with one know issue will be presenting to business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</si>
  <si>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</si>
  <si>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</si>
  <si>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</si>
  <si>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</si>
  <si>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</si>
  <si>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</si>
  <si>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</si>
  <si>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</si>
  <si>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</si>
  <si>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</si>
  <si>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</si>
  <si>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</si>
  <si>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RPT_02_GRO Control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</si>
  <si>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</si>
  <si>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</si>
  <si>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</si>
  <si>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</si>
  <si>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</si>
  <si>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</si>
  <si>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</si>
  <si>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NOT STARTED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</si>
  <si>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</si>
  <si>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</si>
  <si>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</si>
  <si>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</si>
  <si>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</si>
  <si>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</si>
  <si>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</si>
  <si>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</si>
  <si>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</si>
  <si>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</si>
  <si>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</si>
  <si>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</si>
  <si>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</si>
  <si>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</si>
  <si>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</si>
  <si>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</si>
  <si>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</si>
  <si>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</si>
  <si>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PI2, S5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</si>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</sst>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0" fontId="2" fillId="6" borderId="14" xfId="0" applyFont="1" applyFill="1" applyBorder="1" applyAlignment="1">
      <alignment vertical="center" wrapText="1"/>
    </xf>
    <xf numFmtId="0" fontId="6" fillId="0" borderId="14" xfId="0" applyFont="1" applyBorder="1"/>
    <xf numFmtId="0" fontId="20" fillId="0" borderId="14" xfId="0" applyFont="1" applyBorder="1"/>
    <xf numFmtId="0" fontId="0" fillId="0" borderId="14" xfId="0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C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/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60" zoomScaleNormal="60" workbookViewId="0">
      <pane xSplit="2" ySplit="1" topLeftCell="Z20" activePane="bottomRight" state="frozen"/>
      <selection pane="bottomRight" activeCell="AG30" sqref="AG30"/>
      <selection pane="bottomLeft"/>
      <selection pane="topRight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4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61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7" customWidth="1"/>
    <col min="16" max="16" width="17" customWidth="1"/>
    <col min="17" max="17" width="15" customWidth="1"/>
    <col min="18" max="18" width="19" customWidth="1"/>
    <col min="19" max="19" width="16" style="72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2" max="32" width="25.7109375" customWidth="1"/>
    <col min="33" max="33" width="61.285156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58" t="s">
        <v>8</v>
      </c>
      <c r="J1" s="57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2" t="s">
        <v>14</v>
      </c>
      <c r="P1" s="16" t="s">
        <v>15</v>
      </c>
      <c r="Q1" s="16" t="s">
        <v>16</v>
      </c>
      <c r="R1" s="16" t="s">
        <v>17</v>
      </c>
      <c r="S1" s="68" t="s">
        <v>18</v>
      </c>
      <c r="T1" s="56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9" t="s">
        <v>37</v>
      </c>
      <c r="J2" s="33" t="s">
        <v>38</v>
      </c>
      <c r="K2" s="4">
        <v>46122</v>
      </c>
      <c r="L2" s="36"/>
      <c r="M2" s="36">
        <v>46115</v>
      </c>
      <c r="N2" s="36"/>
      <c r="O2" s="63" t="s">
        <v>39</v>
      </c>
      <c r="P2" s="4">
        <v>46129</v>
      </c>
      <c r="Q2" s="36"/>
      <c r="R2" s="36">
        <v>46114</v>
      </c>
      <c r="S2" s="69"/>
      <c r="T2" s="33" t="s">
        <v>40</v>
      </c>
      <c r="U2" s="4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9" t="s">
        <v>37</v>
      </c>
      <c r="J3" s="33" t="s">
        <v>38</v>
      </c>
      <c r="K3" s="4">
        <v>46122</v>
      </c>
      <c r="L3" s="36"/>
      <c r="M3" s="36">
        <v>46115</v>
      </c>
      <c r="N3" s="36"/>
      <c r="O3" s="63" t="s">
        <v>39</v>
      </c>
      <c r="P3" s="4">
        <v>46129</v>
      </c>
      <c r="Q3" s="36"/>
      <c r="R3" s="36">
        <v>46114</v>
      </c>
      <c r="S3" s="69"/>
      <c r="T3" s="33" t="s">
        <v>40</v>
      </c>
      <c r="U3" s="4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9" t="s">
        <v>37</v>
      </c>
      <c r="J4" s="33" t="s">
        <v>51</v>
      </c>
      <c r="K4" s="4">
        <v>46122</v>
      </c>
      <c r="L4" s="36"/>
      <c r="M4" s="36">
        <v>46115</v>
      </c>
      <c r="N4" s="36"/>
      <c r="O4" s="63" t="s">
        <v>52</v>
      </c>
      <c r="P4" s="4">
        <v>46129</v>
      </c>
      <c r="Q4" s="36"/>
      <c r="R4" s="36">
        <v>46126</v>
      </c>
      <c r="S4" s="69"/>
      <c r="T4" s="33" t="s">
        <v>40</v>
      </c>
      <c r="U4" s="4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9" t="s">
        <v>37</v>
      </c>
      <c r="J5" s="33" t="s">
        <v>57</v>
      </c>
      <c r="K5" s="4">
        <v>46122</v>
      </c>
      <c r="L5" s="36"/>
      <c r="M5" s="36">
        <v>46115</v>
      </c>
      <c r="N5" s="36"/>
      <c r="O5" s="63" t="s">
        <v>39</v>
      </c>
      <c r="P5" s="4">
        <v>46129</v>
      </c>
      <c r="Q5" s="36"/>
      <c r="R5" s="36">
        <v>46120</v>
      </c>
      <c r="S5" s="69"/>
      <c r="T5" s="33" t="s">
        <v>40</v>
      </c>
      <c r="U5" s="4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9" t="s">
        <v>37</v>
      </c>
      <c r="J6" s="33"/>
      <c r="K6" s="4"/>
      <c r="L6" s="47"/>
      <c r="M6" s="36"/>
      <c r="N6" s="36"/>
      <c r="O6" s="63"/>
      <c r="P6" s="4"/>
      <c r="Q6" s="43"/>
      <c r="R6" s="36"/>
      <c r="S6" s="69"/>
      <c r="T6" s="33"/>
      <c r="U6" s="4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9" t="s">
        <v>37</v>
      </c>
      <c r="J7" s="33"/>
      <c r="K7" s="4"/>
      <c r="L7" s="47"/>
      <c r="M7" s="36"/>
      <c r="N7" s="36"/>
      <c r="O7" s="63"/>
      <c r="P7" s="4"/>
      <c r="Q7" s="43"/>
      <c r="R7" s="36"/>
      <c r="S7" s="69"/>
      <c r="T7" s="33"/>
      <c r="U7" s="4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9" t="s">
        <v>37</v>
      </c>
      <c r="J8" s="33"/>
      <c r="K8" s="4"/>
      <c r="L8" s="47"/>
      <c r="M8" s="36"/>
      <c r="N8" s="36"/>
      <c r="O8" s="63"/>
      <c r="P8" s="4"/>
      <c r="Q8" s="43"/>
      <c r="R8" s="36"/>
      <c r="S8" s="69"/>
      <c r="T8" s="33"/>
      <c r="U8" s="4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9" t="s">
        <v>37</v>
      </c>
      <c r="J9" s="33"/>
      <c r="K9" s="4"/>
      <c r="L9" s="47"/>
      <c r="M9" s="36"/>
      <c r="N9" s="36"/>
      <c r="O9" s="63"/>
      <c r="P9" s="4"/>
      <c r="Q9" s="43"/>
      <c r="R9" s="36"/>
      <c r="S9" s="69"/>
      <c r="T9" s="33"/>
      <c r="U9" s="4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9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3" t="s">
        <v>69</v>
      </c>
      <c r="P10" s="4">
        <v>46157</v>
      </c>
      <c r="Q10" s="36"/>
      <c r="R10" s="36">
        <v>46134</v>
      </c>
      <c r="S10" s="69"/>
      <c r="T10" s="33" t="s">
        <v>40</v>
      </c>
      <c r="U10" s="4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9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4" t="s">
        <v>69</v>
      </c>
      <c r="P11" s="4">
        <v>46157</v>
      </c>
      <c r="Q11" s="36"/>
      <c r="R11" s="36">
        <v>46139</v>
      </c>
      <c r="S11" s="69"/>
      <c r="T11" s="33" t="s">
        <v>40</v>
      </c>
      <c r="U11" s="4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9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3" t="s">
        <v>52</v>
      </c>
      <c r="P12" s="4">
        <v>46157</v>
      </c>
      <c r="Q12" s="36"/>
      <c r="R12" s="36">
        <v>46147</v>
      </c>
      <c r="S12" s="69"/>
      <c r="T12" s="33" t="s">
        <v>40</v>
      </c>
      <c r="U12" s="4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9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3" t="s">
        <v>39</v>
      </c>
      <c r="P13" s="4">
        <v>46157</v>
      </c>
      <c r="Q13" s="36"/>
      <c r="R13" s="36">
        <v>46175</v>
      </c>
      <c r="S13" s="69"/>
      <c r="T13" s="33" t="s">
        <v>80</v>
      </c>
      <c r="U13" s="4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9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3" t="s">
        <v>52</v>
      </c>
      <c r="P14" s="4">
        <v>46157</v>
      </c>
      <c r="Q14" s="36"/>
      <c r="R14" s="36">
        <v>46143</v>
      </c>
      <c r="S14" s="69"/>
      <c r="T14" s="33" t="s">
        <v>80</v>
      </c>
      <c r="U14" s="4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9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3" t="s">
        <v>69</v>
      </c>
      <c r="P15" s="4">
        <v>46157</v>
      </c>
      <c r="Q15" s="36"/>
      <c r="R15" s="36">
        <v>46178</v>
      </c>
      <c r="S15" s="69"/>
      <c r="T15" s="33" t="s">
        <v>40</v>
      </c>
      <c r="U15" s="4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9" t="s">
        <v>67</v>
      </c>
      <c r="J16" s="33"/>
      <c r="K16" s="4"/>
      <c r="L16" s="43"/>
      <c r="M16" s="36"/>
      <c r="N16" s="36"/>
      <c r="O16" s="63"/>
      <c r="P16" s="4"/>
      <c r="Q16" s="43"/>
      <c r="R16" s="36"/>
      <c r="S16" s="69"/>
      <c r="T16" s="33"/>
      <c r="U16" s="4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9" t="s">
        <v>67</v>
      </c>
      <c r="J17" s="33"/>
      <c r="K17" s="4"/>
      <c r="L17" s="43"/>
      <c r="M17" s="36"/>
      <c r="N17" s="36"/>
      <c r="O17" s="63"/>
      <c r="P17" s="4"/>
      <c r="Q17" s="43"/>
      <c r="R17" s="36"/>
      <c r="S17" s="69"/>
      <c r="T17" s="33"/>
      <c r="U17" s="4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9" t="s">
        <v>67</v>
      </c>
      <c r="J18" s="33"/>
      <c r="K18" s="4"/>
      <c r="L18" s="43"/>
      <c r="M18" s="36"/>
      <c r="N18" s="36"/>
      <c r="O18" s="63"/>
      <c r="P18" s="4"/>
      <c r="Q18" s="43"/>
      <c r="R18" s="36"/>
      <c r="S18" s="69"/>
      <c r="T18" s="33"/>
      <c r="U18" s="4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9" t="s">
        <v>67</v>
      </c>
      <c r="J19" s="33"/>
      <c r="K19" s="4"/>
      <c r="L19" s="43"/>
      <c r="M19" s="36"/>
      <c r="N19" s="36"/>
      <c r="O19" s="63"/>
      <c r="P19" s="4"/>
      <c r="Q19" s="43"/>
      <c r="R19" s="36"/>
      <c r="S19" s="69"/>
      <c r="T19" s="33"/>
      <c r="U19" s="4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9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3" t="s">
        <v>52</v>
      </c>
      <c r="P20" s="4">
        <v>46192</v>
      </c>
      <c r="Q20" s="36"/>
      <c r="R20" s="36">
        <v>46183</v>
      </c>
      <c r="S20" s="69"/>
      <c r="T20" s="33" t="s">
        <v>40</v>
      </c>
      <c r="U20" s="4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9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3" t="s">
        <v>69</v>
      </c>
      <c r="P21" s="4">
        <v>46192</v>
      </c>
      <c r="Q21" s="36"/>
      <c r="R21" s="36">
        <v>46182</v>
      </c>
      <c r="S21" s="69"/>
      <c r="T21" s="33" t="s">
        <v>40</v>
      </c>
      <c r="U21" s="4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9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3" t="s">
        <v>52</v>
      </c>
      <c r="P22" s="4">
        <v>46192</v>
      </c>
      <c r="Q22" s="36"/>
      <c r="R22" s="36">
        <v>46183</v>
      </c>
      <c r="S22" s="69"/>
      <c r="T22" s="33" t="s">
        <v>40</v>
      </c>
      <c r="U22" s="4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9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3" t="s">
        <v>52</v>
      </c>
      <c r="P23" s="4">
        <v>46192</v>
      </c>
      <c r="Q23" s="36"/>
      <c r="R23" s="36">
        <v>46153</v>
      </c>
      <c r="S23" s="69"/>
      <c r="T23" s="33" t="s">
        <v>40</v>
      </c>
      <c r="U23" s="4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9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3" t="s">
        <v>39</v>
      </c>
      <c r="P24" s="4">
        <v>46192</v>
      </c>
      <c r="Q24" s="36"/>
      <c r="R24" s="36">
        <v>46186</v>
      </c>
      <c r="S24" s="69"/>
      <c r="T24" s="33" t="s">
        <v>80</v>
      </c>
      <c r="U24" s="4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9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3" t="s">
        <v>69</v>
      </c>
      <c r="P25" s="4">
        <v>46192</v>
      </c>
      <c r="Q25" s="36"/>
      <c r="R25" s="36">
        <v>46164</v>
      </c>
      <c r="S25" s="69"/>
      <c r="T25" s="33" t="s">
        <v>40</v>
      </c>
      <c r="U25" s="4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9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3" t="s">
        <v>52</v>
      </c>
      <c r="P26" s="4">
        <v>46192</v>
      </c>
      <c r="Q26" s="36"/>
      <c r="R26" s="36">
        <v>46191</v>
      </c>
      <c r="S26" s="69"/>
      <c r="T26" s="33" t="s">
        <v>80</v>
      </c>
      <c r="U26" s="4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9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3" t="s">
        <v>69</v>
      </c>
      <c r="P27" s="4">
        <v>46192</v>
      </c>
      <c r="Q27" s="36"/>
      <c r="R27" s="36">
        <v>46189</v>
      </c>
      <c r="S27" s="69"/>
      <c r="T27" s="33" t="s">
        <v>80</v>
      </c>
      <c r="U27" s="4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9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3" t="s">
        <v>69</v>
      </c>
      <c r="P28" s="4">
        <v>46192</v>
      </c>
      <c r="Q28" s="36"/>
      <c r="R28" s="36">
        <v>46195</v>
      </c>
      <c r="S28" s="69"/>
      <c r="T28" s="33"/>
      <c r="U28" s="4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0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5" t="s">
        <v>52</v>
      </c>
      <c r="P29" s="4">
        <v>46220</v>
      </c>
      <c r="Q29" s="36">
        <v>46245</v>
      </c>
      <c r="R29" s="36"/>
      <c r="S29" s="69"/>
      <c r="T29" s="55" t="s">
        <v>115</v>
      </c>
      <c r="U29" s="4">
        <v>46227</v>
      </c>
      <c r="V29" s="36">
        <v>46247</v>
      </c>
      <c r="W29" s="36"/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>Open rework row - mark Blocked? or close it</v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0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5" t="s">
        <v>69</v>
      </c>
      <c r="P30" s="4">
        <v>46220</v>
      </c>
      <c r="Q30" s="36">
        <v>46245</v>
      </c>
      <c r="R30" s="36">
        <v>46246</v>
      </c>
      <c r="S30" s="69"/>
      <c r="T30" s="55" t="s">
        <v>115</v>
      </c>
      <c r="U30" s="4">
        <v>46227</v>
      </c>
      <c r="V30" s="36">
        <v>46248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120</v>
      </c>
    </row>
    <row r="31" spans="1:34" ht="14.45">
      <c r="A31" s="33" t="s">
        <v>112</v>
      </c>
      <c r="B31" s="33" t="s">
        <v>121</v>
      </c>
      <c r="C31" s="33" t="s">
        <v>122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Blocked - needs DB Dev to fix</v>
      </c>
      <c r="E31" s="33">
        <v>3</v>
      </c>
      <c r="F31" s="34" t="s">
        <v>115</v>
      </c>
      <c r="G31" s="33"/>
      <c r="H31" s="50">
        <v>46234</v>
      </c>
      <c r="I31" s="60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5" t="s">
        <v>69</v>
      </c>
      <c r="P31" s="4">
        <v>46220</v>
      </c>
      <c r="Q31" s="36">
        <v>46246</v>
      </c>
      <c r="R31" s="36"/>
      <c r="S31" s="69"/>
      <c r="T31" s="55" t="s">
        <v>115</v>
      </c>
      <c r="U31" s="4">
        <v>46227</v>
      </c>
      <c r="V31" s="36">
        <v>46248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123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>Blocked - log it on Rework Log</v>
      </c>
      <c r="AH31" s="41" t="s">
        <v>124</v>
      </c>
    </row>
    <row r="32" spans="1:34" ht="14.45">
      <c r="A32" s="33" t="s">
        <v>112</v>
      </c>
      <c r="B32" s="33" t="s">
        <v>125</v>
      </c>
      <c r="C32" s="33" t="s">
        <v>122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0" t="s">
        <v>116</v>
      </c>
      <c r="J32" s="33" t="s">
        <v>51</v>
      </c>
      <c r="K32" s="4">
        <v>46213</v>
      </c>
      <c r="L32" s="36">
        <v>46248</v>
      </c>
      <c r="M32" s="37"/>
      <c r="N32" s="36" t="s">
        <v>117</v>
      </c>
      <c r="O32" s="65" t="s">
        <v>39</v>
      </c>
      <c r="P32" s="4">
        <v>46220</v>
      </c>
      <c r="Q32" s="36">
        <v>46247</v>
      </c>
      <c r="R32" s="36"/>
      <c r="S32" s="69"/>
      <c r="T32" s="55" t="s">
        <v>40</v>
      </c>
      <c r="U32" s="4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123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126</v>
      </c>
    </row>
    <row r="33" spans="1:34" ht="14.45">
      <c r="A33" s="33" t="s">
        <v>112</v>
      </c>
      <c r="B33" s="33" t="s">
        <v>127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other - unclaimed</v>
      </c>
      <c r="E33" s="33">
        <v>5</v>
      </c>
      <c r="F33" s="34" t="s">
        <v>115</v>
      </c>
      <c r="G33" s="33"/>
      <c r="H33" s="50">
        <v>46234</v>
      </c>
      <c r="I33" s="60" t="s">
        <v>116</v>
      </c>
      <c r="J33" s="33" t="s">
        <v>94</v>
      </c>
      <c r="K33" s="4">
        <v>46213</v>
      </c>
      <c r="L33" s="36">
        <v>46246</v>
      </c>
      <c r="M33" s="37"/>
      <c r="N33" s="36" t="s">
        <v>117</v>
      </c>
      <c r="O33" s="65" t="s">
        <v>69</v>
      </c>
      <c r="P33" s="4">
        <v>46220</v>
      </c>
      <c r="Q33" s="36">
        <v>46246</v>
      </c>
      <c r="R33" s="36">
        <v>46244</v>
      </c>
      <c r="S33" s="69"/>
      <c r="T33" s="55" t="s">
        <v>40</v>
      </c>
      <c r="U33" s="4">
        <v>46227</v>
      </c>
      <c r="V33" s="36">
        <v>46248</v>
      </c>
      <c r="W33" s="36"/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128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fix",M33&lt;&gt;"",SUMPRODUCT(MAX((('Rework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fix",R33&lt;&gt;"",SUMPRODUCT(MAX((('Rework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Log'!$A$3:$A$500,$B33)&gt;0,"",IF(AND(U33&lt;&gt;"",K33&lt;&gt;"",U33&lt;K33),"QA target is before DB Dev target",IF(AND(U33&lt;&gt;"",P33&lt;&gt;"",U33&lt;P33),"QA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129</v>
      </c>
    </row>
    <row r="34" spans="1:34" ht="14.45">
      <c r="A34" s="33" t="s">
        <v>112</v>
      </c>
      <c r="B34" s="33" t="s">
        <v>130</v>
      </c>
      <c r="C34" s="33" t="s">
        <v>131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132</v>
      </c>
      <c r="G34" s="33"/>
      <c r="H34" s="50">
        <v>46234</v>
      </c>
      <c r="I34" s="60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5" t="s">
        <v>52</v>
      </c>
      <c r="P34" s="4">
        <v>46220</v>
      </c>
      <c r="Q34" s="36">
        <v>46247</v>
      </c>
      <c r="R34" s="36"/>
      <c r="S34" s="69"/>
      <c r="T34" s="55" t="s">
        <v>132</v>
      </c>
      <c r="U34" s="4">
        <v>46227</v>
      </c>
      <c r="V34" s="36">
        <v>46225</v>
      </c>
      <c r="W34" s="36"/>
      <c r="X34" s="36"/>
      <c r="Y34" s="53">
        <v>46232</v>
      </c>
      <c r="Z34" s="36">
        <v>46266</v>
      </c>
      <c r="AA34" s="33"/>
      <c r="AB34" s="38"/>
      <c r="AC34" s="36"/>
      <c r="AD34" s="39"/>
      <c r="AE34" s="33"/>
      <c r="AF34" s="40" t="s">
        <v>45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133</v>
      </c>
    </row>
    <row r="35" spans="1:34" ht="14.45">
      <c r="A35" s="33" t="s">
        <v>112</v>
      </c>
      <c r="B35" s="33" t="s">
        <v>134</v>
      </c>
      <c r="C35" s="33" t="s">
        <v>122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DB Dev to fix</v>
      </c>
      <c r="E35" s="33">
        <v>7</v>
      </c>
      <c r="F35" s="34" t="s">
        <v>132</v>
      </c>
      <c r="G35" s="33"/>
      <c r="H35" s="50">
        <v>46234</v>
      </c>
      <c r="I35" s="60" t="s">
        <v>116</v>
      </c>
      <c r="J35" s="33" t="s">
        <v>105</v>
      </c>
      <c r="K35" s="4">
        <v>46213</v>
      </c>
      <c r="L35" s="36">
        <v>46244</v>
      </c>
      <c r="M35" s="35"/>
      <c r="N35" s="36" t="s">
        <v>117</v>
      </c>
      <c r="O35" s="65" t="s">
        <v>39</v>
      </c>
      <c r="P35" s="4">
        <v>46220</v>
      </c>
      <c r="Q35" s="36">
        <v>46245</v>
      </c>
      <c r="R35" s="36">
        <v>46247</v>
      </c>
      <c r="S35" s="69"/>
      <c r="T35" s="55" t="s">
        <v>132</v>
      </c>
      <c r="U35" s="4">
        <v>46227</v>
      </c>
      <c r="V35" s="36">
        <v>46248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123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1" t="s">
        <v>135</v>
      </c>
    </row>
    <row r="36" spans="1:34" ht="14.45">
      <c r="A36" s="33" t="s">
        <v>112</v>
      </c>
      <c r="B36" s="33" t="s">
        <v>136</v>
      </c>
      <c r="C36" s="33" t="s">
        <v>114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132</v>
      </c>
      <c r="G36" s="33"/>
      <c r="H36" s="50">
        <v>46234</v>
      </c>
      <c r="I36" s="60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5" t="s">
        <v>69</v>
      </c>
      <c r="P36" s="4">
        <v>46220</v>
      </c>
      <c r="Q36" s="36">
        <v>46246</v>
      </c>
      <c r="R36" s="36">
        <v>46246</v>
      </c>
      <c r="S36" s="69"/>
      <c r="T36" s="55" t="s">
        <v>132</v>
      </c>
      <c r="U36" s="4">
        <v>46227</v>
      </c>
      <c r="V36" s="36">
        <v>46248</v>
      </c>
      <c r="W36" s="36"/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120</v>
      </c>
    </row>
    <row r="37" spans="1:34" ht="14.45">
      <c r="A37" s="33" t="s">
        <v>112</v>
      </c>
      <c r="B37" s="33" t="s">
        <v>137</v>
      </c>
      <c r="C37" s="33" t="s">
        <v>131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132</v>
      </c>
      <c r="G37" s="33"/>
      <c r="H37" s="50">
        <v>46234</v>
      </c>
      <c r="I37" s="60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5" t="s">
        <v>52</v>
      </c>
      <c r="P37" s="4">
        <v>46220</v>
      </c>
      <c r="Q37" s="36">
        <v>46247</v>
      </c>
      <c r="R37" s="36"/>
      <c r="S37" s="69"/>
      <c r="T37" s="55" t="s">
        <v>132</v>
      </c>
      <c r="U37" s="4">
        <v>46227</v>
      </c>
      <c r="V37" s="36">
        <v>46252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138</v>
      </c>
    </row>
    <row r="38" spans="1:34" ht="14.45">
      <c r="A38" s="33" t="s">
        <v>112</v>
      </c>
      <c r="B38" s="33" t="s">
        <v>139</v>
      </c>
      <c r="C38" s="33" t="s">
        <v>131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Overdue</v>
      </c>
      <c r="E38" s="33" t="s">
        <v>140</v>
      </c>
      <c r="F38" s="34" t="s">
        <v>132</v>
      </c>
      <c r="G38" s="33"/>
      <c r="H38" s="50">
        <v>46234</v>
      </c>
      <c r="I38" s="60" t="s">
        <v>116</v>
      </c>
      <c r="J38" s="33" t="s">
        <v>141</v>
      </c>
      <c r="K38" s="4">
        <v>46213</v>
      </c>
      <c r="L38" s="36">
        <v>46246</v>
      </c>
      <c r="M38" s="35">
        <v>46245</v>
      </c>
      <c r="N38" s="36" t="s">
        <v>117</v>
      </c>
      <c r="O38" s="65" t="s">
        <v>52</v>
      </c>
      <c r="P38" s="4">
        <v>46220</v>
      </c>
      <c r="Q38" s="36">
        <v>46247</v>
      </c>
      <c r="R38" s="36"/>
      <c r="S38" s="69"/>
      <c r="T38" s="55" t="s">
        <v>132</v>
      </c>
      <c r="U38" s="4">
        <v>46227</v>
      </c>
      <c r="V38" s="36">
        <v>46247</v>
      </c>
      <c r="W38" s="36"/>
      <c r="X38" s="36"/>
      <c r="Y38" s="53">
        <v>46232</v>
      </c>
      <c r="Z38" s="36">
        <v>46258</v>
      </c>
      <c r="AA38" s="33"/>
      <c r="AB38" s="38"/>
      <c r="AC38" s="36"/>
      <c r="AD38" s="39"/>
      <c r="AE38" s="33"/>
      <c r="AF38" s="40" t="s">
        <v>45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>Open rework row - mark Blocked? or close it</v>
      </c>
      <c r="AH38" s="41"/>
    </row>
    <row r="39" spans="1:34" ht="14.45">
      <c r="A39" s="33" t="s">
        <v>112</v>
      </c>
      <c r="B39" s="33" t="s">
        <v>142</v>
      </c>
      <c r="C39" s="33" t="s">
        <v>114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33">
        <v>11</v>
      </c>
      <c r="F39" s="34" t="s">
        <v>132</v>
      </c>
      <c r="G39" s="33"/>
      <c r="H39" s="50">
        <v>46234</v>
      </c>
      <c r="I39" s="60" t="s">
        <v>116</v>
      </c>
      <c r="J39" s="33" t="s">
        <v>141</v>
      </c>
      <c r="K39" s="4">
        <v>46213</v>
      </c>
      <c r="L39" s="36">
        <v>46246</v>
      </c>
      <c r="M39" s="36">
        <v>46245</v>
      </c>
      <c r="N39" s="36" t="s">
        <v>117</v>
      </c>
      <c r="O39" s="65" t="s">
        <v>69</v>
      </c>
      <c r="P39" s="4">
        <v>46220</v>
      </c>
      <c r="Q39" s="36">
        <v>46247</v>
      </c>
      <c r="R39" s="36">
        <v>46246</v>
      </c>
      <c r="S39" s="69"/>
      <c r="T39" s="55" t="s">
        <v>40</v>
      </c>
      <c r="U39" s="4">
        <v>46227</v>
      </c>
      <c r="V39" s="36">
        <v>46247</v>
      </c>
      <c r="W39" s="36"/>
      <c r="X39" s="36"/>
      <c r="Y39" s="53">
        <v>46232</v>
      </c>
      <c r="Z39" s="36">
        <v>46258</v>
      </c>
      <c r="AA39" s="33"/>
      <c r="AB39" s="38"/>
      <c r="AC39" s="36"/>
      <c r="AD39" s="39"/>
      <c r="AE39" s="33"/>
      <c r="AF39" s="40" t="s">
        <v>45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143</v>
      </c>
    </row>
    <row r="40" spans="1:34" ht="14.45">
      <c r="A40" s="33" t="s">
        <v>112</v>
      </c>
      <c r="B40" s="33" t="s">
        <v>144</v>
      </c>
      <c r="C40" s="33" t="s">
        <v>122</v>
      </c>
      <c r="D40" s="3" t="s">
        <v>145</v>
      </c>
      <c r="E40" s="33">
        <v>13</v>
      </c>
      <c r="F40" s="34" t="s">
        <v>115</v>
      </c>
      <c r="G40" s="33"/>
      <c r="H40" s="50">
        <v>46234</v>
      </c>
      <c r="I40" s="60" t="s">
        <v>116</v>
      </c>
      <c r="J40" s="33" t="s">
        <v>68</v>
      </c>
      <c r="K40" s="4">
        <v>46213</v>
      </c>
      <c r="L40" s="36">
        <v>46249</v>
      </c>
      <c r="M40" s="37"/>
      <c r="N40" s="36" t="s">
        <v>117</v>
      </c>
      <c r="O40" s="65" t="s">
        <v>69</v>
      </c>
      <c r="P40" s="4">
        <v>46220</v>
      </c>
      <c r="Q40" s="36">
        <v>46251</v>
      </c>
      <c r="R40" s="36"/>
      <c r="S40" s="69"/>
      <c r="T40" s="55" t="s">
        <v>40</v>
      </c>
      <c r="U40" s="4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123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146</v>
      </c>
      <c r="C41" s="33" t="s">
        <v>122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Blocked - needs DB Dev to fix</v>
      </c>
      <c r="E41" s="33">
        <v>14</v>
      </c>
      <c r="F41" s="34" t="s">
        <v>115</v>
      </c>
      <c r="G41" s="33"/>
      <c r="H41" s="50">
        <v>46234</v>
      </c>
      <c r="I41" s="60" t="s">
        <v>116</v>
      </c>
      <c r="J41" s="33" t="s">
        <v>51</v>
      </c>
      <c r="K41" s="4">
        <v>46213</v>
      </c>
      <c r="L41" s="35">
        <v>46248</v>
      </c>
      <c r="M41" s="37"/>
      <c r="N41" s="36" t="s">
        <v>117</v>
      </c>
      <c r="O41" s="65" t="s">
        <v>52</v>
      </c>
      <c r="P41" s="4">
        <v>46220</v>
      </c>
      <c r="Q41" s="36">
        <v>46246</v>
      </c>
      <c r="R41" s="36"/>
      <c r="S41" s="69"/>
      <c r="T41" s="55" t="s">
        <v>40</v>
      </c>
      <c r="U41" s="4">
        <v>46227</v>
      </c>
      <c r="V41" s="36">
        <v>46253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123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>Blocked - log it on Rework Log</v>
      </c>
      <c r="AH41" s="41"/>
    </row>
    <row r="42" spans="1:34" ht="14.45">
      <c r="A42" s="33" t="s">
        <v>112</v>
      </c>
      <c r="B42" s="33" t="s">
        <v>147</v>
      </c>
      <c r="C42" s="33" t="s">
        <v>131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132</v>
      </c>
      <c r="G42" s="33"/>
      <c r="H42" s="50">
        <v>46234</v>
      </c>
      <c r="I42" s="60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148</v>
      </c>
      <c r="O42" s="65" t="s">
        <v>39</v>
      </c>
      <c r="P42" s="4">
        <v>46220</v>
      </c>
      <c r="Q42" s="36">
        <v>46251</v>
      </c>
      <c r="R42" s="36"/>
      <c r="S42" s="69"/>
      <c r="T42" s="55" t="s">
        <v>40</v>
      </c>
      <c r="U42" s="4">
        <v>46227</v>
      </c>
      <c r="V42" s="36">
        <v>46258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149</v>
      </c>
      <c r="C43" s="33" t="s">
        <v>122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150</v>
      </c>
      <c r="F43" s="34"/>
      <c r="G43" s="33"/>
      <c r="H43" s="50">
        <v>46265</v>
      </c>
      <c r="I43" s="60" t="s">
        <v>151</v>
      </c>
      <c r="J43" s="33" t="s">
        <v>94</v>
      </c>
      <c r="K43" s="4">
        <v>46234</v>
      </c>
      <c r="L43" s="36">
        <v>46251</v>
      </c>
      <c r="M43" s="36"/>
      <c r="N43" s="36" t="s">
        <v>152</v>
      </c>
      <c r="O43" s="65" t="s">
        <v>52</v>
      </c>
      <c r="P43" s="4">
        <v>46241</v>
      </c>
      <c r="Q43" s="36"/>
      <c r="R43" s="36"/>
      <c r="S43" s="69"/>
      <c r="T43" s="55"/>
      <c r="U43" s="4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153</v>
      </c>
      <c r="C44" s="33" t="s">
        <v>154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/>
      <c r="H44" s="50">
        <v>46265</v>
      </c>
      <c r="I44" s="60" t="s">
        <v>151</v>
      </c>
      <c r="J44" s="33" t="s">
        <v>51</v>
      </c>
      <c r="K44" s="4">
        <v>46234</v>
      </c>
      <c r="L44" s="36">
        <v>46255</v>
      </c>
      <c r="M44" s="36"/>
      <c r="N44" s="36" t="s">
        <v>152</v>
      </c>
      <c r="O44" s="65" t="s">
        <v>39</v>
      </c>
      <c r="P44" s="4">
        <v>46241</v>
      </c>
      <c r="Q44" s="36"/>
      <c r="R44" s="36"/>
      <c r="S44" s="69"/>
      <c r="T44" s="55"/>
      <c r="U44" s="4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155</v>
      </c>
      <c r="C45" s="33" t="s">
        <v>122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/>
      <c r="H45" s="50">
        <v>46265</v>
      </c>
      <c r="I45" s="60" t="s">
        <v>151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152</v>
      </c>
      <c r="O45" s="65" t="s">
        <v>69</v>
      </c>
      <c r="P45" s="4">
        <v>46241</v>
      </c>
      <c r="Q45" s="36"/>
      <c r="R45" s="36"/>
      <c r="S45" s="69"/>
      <c r="T45" s="55"/>
      <c r="U45" s="4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156</v>
      </c>
      <c r="C46" s="33" t="s">
        <v>131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/>
      <c r="G46" s="33"/>
      <c r="H46" s="50">
        <v>46265</v>
      </c>
      <c r="I46" s="60" t="s">
        <v>151</v>
      </c>
      <c r="J46" s="33" t="s">
        <v>76</v>
      </c>
      <c r="K46" s="4">
        <v>46234</v>
      </c>
      <c r="L46" s="36">
        <v>46213</v>
      </c>
      <c r="M46" s="36">
        <v>46213</v>
      </c>
      <c r="N46" s="36" t="s">
        <v>157</v>
      </c>
      <c r="O46" s="65" t="s">
        <v>52</v>
      </c>
      <c r="P46" s="4">
        <v>46241</v>
      </c>
      <c r="Q46" s="36"/>
      <c r="R46" s="36"/>
      <c r="S46" s="69"/>
      <c r="T46" s="55"/>
      <c r="U46" s="4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158</v>
      </c>
      <c r="C47" s="33" t="s">
        <v>131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/>
      <c r="G47" s="33"/>
      <c r="H47" s="50">
        <v>46265</v>
      </c>
      <c r="I47" s="60" t="s">
        <v>151</v>
      </c>
      <c r="J47" s="33" t="s">
        <v>141</v>
      </c>
      <c r="K47" s="4">
        <v>46234</v>
      </c>
      <c r="L47" s="36">
        <v>46246</v>
      </c>
      <c r="M47" s="36">
        <v>46246</v>
      </c>
      <c r="N47" s="36" t="s">
        <v>159</v>
      </c>
      <c r="O47" s="65" t="s">
        <v>69</v>
      </c>
      <c r="P47" s="4">
        <v>46241</v>
      </c>
      <c r="Q47" s="36"/>
      <c r="R47" s="36"/>
      <c r="S47" s="69"/>
      <c r="T47" s="55"/>
      <c r="U47" s="4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160</v>
      </c>
      <c r="C48" s="33" t="s">
        <v>131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Overdue</v>
      </c>
      <c r="E48" s="33">
        <v>22</v>
      </c>
      <c r="F48" s="34"/>
      <c r="G48" s="33"/>
      <c r="H48" s="50">
        <v>46265</v>
      </c>
      <c r="I48" s="60" t="s">
        <v>151</v>
      </c>
      <c r="J48" s="33" t="s">
        <v>51</v>
      </c>
      <c r="K48" s="4">
        <v>46234</v>
      </c>
      <c r="L48" s="36">
        <v>46259</v>
      </c>
      <c r="M48" s="36"/>
      <c r="N48" s="36" t="s">
        <v>159</v>
      </c>
      <c r="O48" s="65" t="s">
        <v>39</v>
      </c>
      <c r="P48" s="4">
        <v>46241</v>
      </c>
      <c r="Q48" s="36"/>
      <c r="R48" s="36"/>
      <c r="S48" s="69"/>
      <c r="T48" s="55"/>
      <c r="U48" s="4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161</v>
      </c>
      <c r="C49" s="33" t="s">
        <v>154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/>
      <c r="H49" s="50">
        <v>46265</v>
      </c>
      <c r="I49" s="60" t="s">
        <v>151</v>
      </c>
      <c r="J49" s="33" t="s">
        <v>141</v>
      </c>
      <c r="K49" s="4">
        <v>46234</v>
      </c>
      <c r="L49" s="36">
        <v>46253</v>
      </c>
      <c r="M49" s="36"/>
      <c r="N49" s="36" t="s">
        <v>117</v>
      </c>
      <c r="O49" s="65" t="s">
        <v>39</v>
      </c>
      <c r="P49" s="4">
        <v>46241</v>
      </c>
      <c r="Q49" s="36"/>
      <c r="R49" s="36"/>
      <c r="S49" s="69"/>
      <c r="T49" s="55"/>
      <c r="U49" s="4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162</v>
      </c>
      <c r="C50" s="33" t="s">
        <v>154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/>
      <c r="H50" s="50">
        <v>46265</v>
      </c>
      <c r="I50" s="60" t="s">
        <v>151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159</v>
      </c>
      <c r="O50" s="65" t="s">
        <v>52</v>
      </c>
      <c r="P50" s="4">
        <v>46241</v>
      </c>
      <c r="Q50" s="36"/>
      <c r="R50" s="36"/>
      <c r="S50" s="69"/>
      <c r="T50" s="55"/>
      <c r="U50" s="4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163</v>
      </c>
      <c r="C51" s="33" t="s">
        <v>131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/>
      <c r="G51" s="33"/>
      <c r="H51" s="50">
        <v>46265</v>
      </c>
      <c r="I51" s="60" t="s">
        <v>151</v>
      </c>
      <c r="J51" s="33" t="s">
        <v>76</v>
      </c>
      <c r="K51" s="4">
        <v>46234</v>
      </c>
      <c r="L51" s="36">
        <v>46255</v>
      </c>
      <c r="M51" s="36">
        <v>46255</v>
      </c>
      <c r="N51" s="36" t="s">
        <v>159</v>
      </c>
      <c r="O51" s="65" t="s">
        <v>69</v>
      </c>
      <c r="P51" s="4">
        <v>46241</v>
      </c>
      <c r="Q51" s="36"/>
      <c r="R51" s="36"/>
      <c r="S51" s="69"/>
      <c r="T51" s="55"/>
      <c r="U51" s="4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164</v>
      </c>
      <c r="C52" s="33" t="s">
        <v>131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Overdue</v>
      </c>
      <c r="E52" s="33">
        <v>27</v>
      </c>
      <c r="F52" s="34"/>
      <c r="G52" s="33"/>
      <c r="H52" s="50">
        <v>46265</v>
      </c>
      <c r="I52" s="60" t="s">
        <v>151</v>
      </c>
      <c r="J52" s="33" t="s">
        <v>105</v>
      </c>
      <c r="K52" s="4">
        <v>46234</v>
      </c>
      <c r="L52" s="36">
        <v>46253</v>
      </c>
      <c r="M52" s="36"/>
      <c r="N52" s="36" t="s">
        <v>159</v>
      </c>
      <c r="O52" s="65" t="s">
        <v>39</v>
      </c>
      <c r="P52" s="4">
        <v>46241</v>
      </c>
      <c r="Q52" s="36"/>
      <c r="R52" s="36"/>
      <c r="S52" s="69"/>
      <c r="T52" s="55"/>
      <c r="U52" s="4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165</v>
      </c>
      <c r="C53" s="33" t="s">
        <v>122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/>
      <c r="G53" s="33"/>
      <c r="H53" s="50">
        <v>46265</v>
      </c>
      <c r="I53" s="60" t="s">
        <v>151</v>
      </c>
      <c r="J53" s="33" t="s">
        <v>68</v>
      </c>
      <c r="K53" s="4">
        <v>46234</v>
      </c>
      <c r="L53" s="36"/>
      <c r="M53" s="36"/>
      <c r="N53" s="36" t="s">
        <v>117</v>
      </c>
      <c r="O53" s="65" t="s">
        <v>69</v>
      </c>
      <c r="P53" s="4">
        <v>46241</v>
      </c>
      <c r="Q53" s="36"/>
      <c r="R53" s="36"/>
      <c r="S53" s="69"/>
      <c r="T53" s="55"/>
      <c r="U53" s="4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166</v>
      </c>
      <c r="C54" s="33" t="s">
        <v>154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50">
        <v>46265</v>
      </c>
      <c r="I54" s="60" t="s">
        <v>151</v>
      </c>
      <c r="J54" s="33"/>
      <c r="K54" s="4">
        <v>46234</v>
      </c>
      <c r="L54" s="36"/>
      <c r="M54" s="36"/>
      <c r="N54" s="36"/>
      <c r="O54" s="65" t="s">
        <v>52</v>
      </c>
      <c r="P54" s="4">
        <v>46241</v>
      </c>
      <c r="Q54" s="36"/>
      <c r="R54" s="36"/>
      <c r="S54" s="69"/>
      <c r="T54" s="55"/>
      <c r="U54" s="4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167</v>
      </c>
      <c r="C55" s="33" t="s">
        <v>154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9" t="s">
        <v>168</v>
      </c>
      <c r="J55" s="33"/>
      <c r="K55" s="4">
        <v>46262</v>
      </c>
      <c r="L55" s="36"/>
      <c r="M55" s="36"/>
      <c r="N55" s="36"/>
      <c r="O55" s="63"/>
      <c r="P55" s="4">
        <v>46269</v>
      </c>
      <c r="Q55" s="36"/>
      <c r="R55" s="36"/>
      <c r="S55" s="69"/>
      <c r="T55" s="33"/>
      <c r="U55" s="4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169</v>
      </c>
      <c r="C56" s="33" t="s">
        <v>154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9" t="s">
        <v>168</v>
      </c>
      <c r="J56" s="33"/>
      <c r="K56" s="4">
        <v>46262</v>
      </c>
      <c r="L56" s="36"/>
      <c r="M56" s="36"/>
      <c r="N56" s="36"/>
      <c r="O56" s="63"/>
      <c r="P56" s="4">
        <v>46269</v>
      </c>
      <c r="Q56" s="36"/>
      <c r="R56" s="36"/>
      <c r="S56" s="69"/>
      <c r="T56" s="33"/>
      <c r="U56" s="4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>
      <c r="A57" s="33" t="s">
        <v>112</v>
      </c>
      <c r="B57" s="33" t="s">
        <v>170</v>
      </c>
      <c r="C57" s="33" t="s">
        <v>154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9" t="s">
        <v>168</v>
      </c>
      <c r="J57" s="33"/>
      <c r="K57" s="4">
        <v>46262</v>
      </c>
      <c r="L57" s="36"/>
      <c r="M57" s="36"/>
      <c r="N57" s="36"/>
      <c r="O57" s="63"/>
      <c r="P57" s="4">
        <v>46269</v>
      </c>
      <c r="Q57" s="36"/>
      <c r="R57" s="36"/>
      <c r="S57" s="69"/>
      <c r="T57" s="33"/>
      <c r="U57" s="4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>
      <c r="A58" s="33" t="s">
        <v>112</v>
      </c>
      <c r="B58" s="33" t="s">
        <v>171</v>
      </c>
      <c r="C58" s="33" t="s">
        <v>154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9" t="s">
        <v>168</v>
      </c>
      <c r="J58" s="33"/>
      <c r="K58" s="4">
        <v>46262</v>
      </c>
      <c r="L58" s="36"/>
      <c r="M58" s="36"/>
      <c r="N58" s="36"/>
      <c r="O58" s="63"/>
      <c r="P58" s="4">
        <v>46269</v>
      </c>
      <c r="Q58" s="36"/>
      <c r="R58" s="36"/>
      <c r="S58" s="69"/>
      <c r="T58" s="33"/>
      <c r="U58" s="4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172</v>
      </c>
      <c r="C59" s="33" t="s">
        <v>154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9" t="s">
        <v>168</v>
      </c>
      <c r="J59" s="33" t="s">
        <v>38</v>
      </c>
      <c r="K59" s="4">
        <v>46262</v>
      </c>
      <c r="L59" s="36"/>
      <c r="M59" s="36"/>
      <c r="N59" s="36" t="s">
        <v>173</v>
      </c>
      <c r="O59" s="63"/>
      <c r="P59" s="4">
        <v>46269</v>
      </c>
      <c r="Q59" s="36"/>
      <c r="R59" s="36"/>
      <c r="S59" s="69"/>
      <c r="T59" s="33"/>
      <c r="U59" s="4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174</v>
      </c>
      <c r="C60" s="33" t="s">
        <v>154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9" t="s">
        <v>168</v>
      </c>
      <c r="J60" s="33"/>
      <c r="K60" s="4">
        <v>46262</v>
      </c>
      <c r="L60" s="36"/>
      <c r="M60" s="36"/>
      <c r="N60" s="36"/>
      <c r="O60" s="63"/>
      <c r="P60" s="4">
        <v>46269</v>
      </c>
      <c r="Q60" s="36"/>
      <c r="R60" s="36"/>
      <c r="S60" s="69"/>
      <c r="T60" s="33"/>
      <c r="U60" s="4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175</v>
      </c>
      <c r="C61" s="33" t="s">
        <v>154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9" t="s">
        <v>168</v>
      </c>
      <c r="J61" s="33" t="s">
        <v>38</v>
      </c>
      <c r="K61" s="4">
        <v>46262</v>
      </c>
      <c r="L61" s="36"/>
      <c r="M61" s="36"/>
      <c r="N61" s="36" t="s">
        <v>173</v>
      </c>
      <c r="O61" s="63"/>
      <c r="P61" s="4">
        <v>46269</v>
      </c>
      <c r="Q61" s="36"/>
      <c r="R61" s="36"/>
      <c r="S61" s="69"/>
      <c r="T61" s="33"/>
      <c r="U61" s="4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176</v>
      </c>
      <c r="C62" s="33" t="s">
        <v>154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9" t="s">
        <v>168</v>
      </c>
      <c r="J62" s="33"/>
      <c r="K62" s="4">
        <v>46262</v>
      </c>
      <c r="L62" s="36"/>
      <c r="M62" s="36"/>
      <c r="N62" s="36"/>
      <c r="O62" s="63"/>
      <c r="P62" s="4">
        <v>46269</v>
      </c>
      <c r="Q62" s="36"/>
      <c r="R62" s="36"/>
      <c r="S62" s="69"/>
      <c r="T62" s="33"/>
      <c r="U62" s="4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177</v>
      </c>
      <c r="C63" s="33" t="s">
        <v>154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9" t="s">
        <v>168</v>
      </c>
      <c r="J63" s="33"/>
      <c r="K63" s="4">
        <v>46276</v>
      </c>
      <c r="L63" s="36"/>
      <c r="M63" s="36"/>
      <c r="N63" s="36"/>
      <c r="O63" s="63"/>
      <c r="P63" s="4">
        <v>46286</v>
      </c>
      <c r="Q63" s="36"/>
      <c r="R63" s="36"/>
      <c r="S63" s="69"/>
      <c r="T63" s="33"/>
      <c r="U63" s="4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178</v>
      </c>
      <c r="C64" s="33" t="s">
        <v>154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9" t="s">
        <v>168</v>
      </c>
      <c r="J64" s="33"/>
      <c r="K64" s="4">
        <v>46276</v>
      </c>
      <c r="L64" s="36"/>
      <c r="M64" s="36"/>
      <c r="N64" s="36"/>
      <c r="O64" s="63"/>
      <c r="P64" s="4">
        <v>46286</v>
      </c>
      <c r="Q64" s="36"/>
      <c r="R64" s="36"/>
      <c r="S64" s="69"/>
      <c r="T64" s="33"/>
      <c r="U64" s="4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179</v>
      </c>
      <c r="C65" s="33" t="s">
        <v>154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9" t="s">
        <v>168</v>
      </c>
      <c r="J65" s="33"/>
      <c r="K65" s="4">
        <v>46276</v>
      </c>
      <c r="L65" s="36"/>
      <c r="M65" s="36"/>
      <c r="N65" s="36"/>
      <c r="O65" s="63"/>
      <c r="P65" s="4">
        <v>46286</v>
      </c>
      <c r="Q65" s="36"/>
      <c r="R65" s="36"/>
      <c r="S65" s="69"/>
      <c r="T65" s="33"/>
      <c r="U65" s="4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180</v>
      </c>
      <c r="C66" s="33" t="s">
        <v>154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9" t="s">
        <v>168</v>
      </c>
      <c r="J66" s="33"/>
      <c r="K66" s="4">
        <v>46276</v>
      </c>
      <c r="L66" s="36"/>
      <c r="M66" s="36"/>
      <c r="N66" s="36"/>
      <c r="O66" s="63"/>
      <c r="P66" s="4">
        <v>46286</v>
      </c>
      <c r="Q66" s="36"/>
      <c r="R66" s="36"/>
      <c r="S66" s="69"/>
      <c r="T66" s="33"/>
      <c r="U66" s="4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181</v>
      </c>
      <c r="C67" s="33" t="s">
        <v>154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9" t="s">
        <v>168</v>
      </c>
      <c r="J67" s="33"/>
      <c r="K67" s="4">
        <v>46276</v>
      </c>
      <c r="L67" s="36"/>
      <c r="M67" s="36"/>
      <c r="N67" s="36"/>
      <c r="O67" s="63"/>
      <c r="P67" s="4">
        <v>46286</v>
      </c>
      <c r="Q67" s="36"/>
      <c r="R67" s="36"/>
      <c r="S67" s="69"/>
      <c r="T67" s="33"/>
      <c r="U67" s="4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182</v>
      </c>
      <c r="C68" s="33" t="s">
        <v>154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9" t="s">
        <v>168</v>
      </c>
      <c r="J68" s="33"/>
      <c r="K68" s="4">
        <v>46276</v>
      </c>
      <c r="L68" s="36"/>
      <c r="M68" s="36"/>
      <c r="N68" s="36"/>
      <c r="O68" s="63"/>
      <c r="P68" s="4">
        <v>46286</v>
      </c>
      <c r="Q68" s="36"/>
      <c r="R68" s="36"/>
      <c r="S68" s="69"/>
      <c r="T68" s="33"/>
      <c r="U68" s="4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183</v>
      </c>
      <c r="C69" s="33" t="s">
        <v>154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9" t="s">
        <v>168</v>
      </c>
      <c r="J69" s="33"/>
      <c r="K69" s="4">
        <v>46276</v>
      </c>
      <c r="L69" s="36"/>
      <c r="M69" s="36"/>
      <c r="N69" s="36"/>
      <c r="O69" s="63"/>
      <c r="P69" s="4">
        <v>46286</v>
      </c>
      <c r="Q69" s="36"/>
      <c r="R69" s="36"/>
      <c r="S69" s="69"/>
      <c r="T69" s="33"/>
      <c r="U69" s="4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184</v>
      </c>
      <c r="C70" s="33" t="s">
        <v>154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9" t="s">
        <v>168</v>
      </c>
      <c r="J70" s="33"/>
      <c r="K70" s="4">
        <v>46276</v>
      </c>
      <c r="L70" s="36"/>
      <c r="M70" s="36"/>
      <c r="N70" s="36"/>
      <c r="O70" s="63"/>
      <c r="P70" s="4">
        <v>46286</v>
      </c>
      <c r="Q70" s="36"/>
      <c r="R70" s="36"/>
      <c r="S70" s="69"/>
      <c r="T70" s="33"/>
      <c r="U70" s="4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185</v>
      </c>
      <c r="C71" s="33" t="s">
        <v>154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9" t="s">
        <v>168</v>
      </c>
      <c r="J71" s="33"/>
      <c r="K71" s="4">
        <v>46276</v>
      </c>
      <c r="L71" s="36"/>
      <c r="M71" s="36"/>
      <c r="N71" s="36"/>
      <c r="O71" s="63"/>
      <c r="P71" s="4">
        <v>46286</v>
      </c>
      <c r="Q71" s="36"/>
      <c r="R71" s="36"/>
      <c r="S71" s="69"/>
      <c r="T71" s="33"/>
      <c r="U71" s="4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186</v>
      </c>
      <c r="C72" s="33" t="s">
        <v>154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9" t="s">
        <v>168</v>
      </c>
      <c r="J72" s="33"/>
      <c r="K72" s="4">
        <v>46276</v>
      </c>
      <c r="L72" s="36"/>
      <c r="M72" s="36"/>
      <c r="N72" s="36"/>
      <c r="O72" s="63"/>
      <c r="P72" s="4">
        <v>46286</v>
      </c>
      <c r="Q72" s="36"/>
      <c r="R72" s="36"/>
      <c r="S72" s="69"/>
      <c r="T72" s="33"/>
      <c r="U72" s="4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6"/>
      <c r="P73" s="51"/>
      <c r="Q73" s="43"/>
      <c r="R73" s="44"/>
      <c r="S73" s="70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6"/>
      <c r="Q74" s="31"/>
      <c r="R74" s="31"/>
      <c r="S74" s="7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6"/>
      <c r="Q75" s="31"/>
      <c r="R75" s="31"/>
      <c r="S75" s="7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6"/>
      <c r="Q76" s="31"/>
      <c r="R76" s="31"/>
      <c r="S76" s="7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6"/>
      <c r="Q77" s="31"/>
      <c r="R77" s="31"/>
      <c r="S77" s="7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6"/>
      <c r="Q78" s="31"/>
      <c r="R78" s="31"/>
      <c r="S78" s="7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6"/>
      <c r="Q79" s="31"/>
      <c r="R79" s="31"/>
      <c r="S79" s="7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6"/>
      <c r="Q80" s="31"/>
      <c r="R80" s="31"/>
      <c r="S80" s="7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6"/>
      <c r="Q81" s="31"/>
      <c r="R81" s="31"/>
      <c r="S81" s="7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6"/>
      <c r="Q82" s="31"/>
      <c r="R82" s="31"/>
      <c r="S82" s="7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6"/>
      <c r="Q83" s="31"/>
      <c r="R83" s="31"/>
      <c r="S83" s="7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6"/>
      <c r="Q84" s="31"/>
      <c r="R84" s="31"/>
      <c r="S84" s="7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6"/>
      <c r="Q85" s="31"/>
      <c r="R85" s="31"/>
      <c r="S85" s="7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6"/>
      <c r="Q86" s="31"/>
      <c r="R86" s="31"/>
      <c r="S86" s="7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6"/>
      <c r="Q87" s="31"/>
      <c r="R87" s="31"/>
      <c r="S87" s="7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6"/>
      <c r="Q88" s="31"/>
      <c r="R88" s="31"/>
      <c r="S88" s="7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6"/>
      <c r="Q89" s="31"/>
      <c r="R89" s="31"/>
      <c r="S89" s="7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6"/>
      <c r="Q90" s="31"/>
      <c r="R90" s="31"/>
      <c r="S90" s="7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6"/>
      <c r="Q91" s="31"/>
      <c r="R91" s="31"/>
      <c r="S91" s="7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6"/>
      <c r="Q92" s="31"/>
      <c r="R92" s="31"/>
      <c r="S92" s="7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6"/>
      <c r="Q93" s="31"/>
      <c r="R93" s="31"/>
      <c r="S93" s="7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6"/>
      <c r="Q94" s="31"/>
      <c r="R94" s="31"/>
      <c r="S94" s="7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6"/>
      <c r="Q95" s="31"/>
      <c r="R95" s="31"/>
      <c r="S95" s="7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6"/>
      <c r="Q96" s="31"/>
      <c r="R96" s="31"/>
      <c r="S96" s="7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6"/>
      <c r="Q97" s="31"/>
      <c r="R97" s="31"/>
      <c r="S97" s="7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6"/>
      <c r="Q98" s="31"/>
      <c r="R98" s="31"/>
      <c r="S98" s="7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6"/>
      <c r="Q99" s="31"/>
      <c r="R99" s="31"/>
      <c r="S99" s="7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6"/>
      <c r="Q100" s="31"/>
      <c r="R100" s="31"/>
      <c r="S100" s="7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6"/>
      <c r="Q101" s="31"/>
      <c r="R101" s="31"/>
      <c r="S101" s="7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6"/>
      <c r="Q102" s="31"/>
      <c r="R102" s="31"/>
      <c r="S102" s="7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6"/>
      <c r="Q103" s="31"/>
      <c r="R103" s="31"/>
      <c r="S103" s="7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6"/>
      <c r="Q104" s="31"/>
      <c r="R104" s="31"/>
      <c r="S104" s="7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6"/>
      <c r="Q105" s="31"/>
      <c r="R105" s="31"/>
      <c r="S105" s="7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6"/>
      <c r="Q106" s="31"/>
      <c r="R106" s="31"/>
      <c r="S106" s="7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6"/>
      <c r="Q107" s="31"/>
      <c r="R107" s="31"/>
      <c r="S107" s="7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6"/>
      <c r="Q108" s="31"/>
      <c r="R108" s="31"/>
      <c r="S108" s="7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6"/>
      <c r="Q109" s="31"/>
      <c r="R109" s="31"/>
      <c r="S109" s="7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6"/>
      <c r="Q110" s="31"/>
      <c r="R110" s="31"/>
      <c r="S110" s="7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6"/>
      <c r="Q111" s="31"/>
      <c r="R111" s="31"/>
      <c r="S111" s="7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6"/>
      <c r="Q112" s="31"/>
      <c r="R112" s="31"/>
      <c r="S112" s="7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6"/>
      <c r="Q113" s="31"/>
      <c r="R113" s="31"/>
      <c r="S113" s="7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6"/>
      <c r="Q114" s="31"/>
      <c r="R114" s="31"/>
      <c r="S114" s="7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6"/>
      <c r="Q115" s="31"/>
      <c r="R115" s="31"/>
      <c r="S115" s="7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6"/>
      <c r="Q116" s="31"/>
      <c r="R116" s="31"/>
      <c r="S116" s="7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6"/>
      <c r="Q117" s="31"/>
      <c r="R117" s="31"/>
      <c r="S117" s="7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6"/>
      <c r="Q118" s="31"/>
      <c r="R118" s="31"/>
      <c r="S118" s="7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6"/>
      <c r="Q119" s="31"/>
      <c r="R119" s="31"/>
      <c r="S119" s="7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6"/>
      <c r="Q120" s="31"/>
      <c r="R120" s="31"/>
      <c r="S120" s="7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6"/>
      <c r="Q121" s="31"/>
      <c r="R121" s="31"/>
      <c r="S121" s="7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6"/>
      <c r="Q122" s="31"/>
      <c r="R122" s="31"/>
      <c r="S122" s="7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6"/>
      <c r="Q123" s="31"/>
      <c r="R123" s="31"/>
      <c r="S123" s="7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6"/>
      <c r="Q124" s="31"/>
      <c r="R124" s="31"/>
      <c r="S124" s="7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6"/>
      <c r="Q125" s="31"/>
      <c r="R125" s="31"/>
      <c r="S125" s="7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6"/>
      <c r="Q126" s="31"/>
      <c r="R126" s="31"/>
      <c r="S126" s="7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6"/>
      <c r="Q127" s="31"/>
      <c r="R127" s="31"/>
      <c r="S127" s="7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6"/>
      <c r="Q128" s="31"/>
      <c r="R128" s="31"/>
      <c r="S128" s="7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6"/>
      <c r="Q129" s="31"/>
      <c r="R129" s="31"/>
      <c r="S129" s="7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6"/>
      <c r="Q130" s="31"/>
      <c r="R130" s="31"/>
      <c r="S130" s="7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6"/>
      <c r="Q131" s="31"/>
      <c r="R131" s="31"/>
      <c r="S131" s="7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6"/>
      <c r="Q132" s="31"/>
      <c r="R132" s="31"/>
      <c r="S132" s="7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6"/>
      <c r="Q133" s="31"/>
      <c r="R133" s="31"/>
      <c r="S133" s="7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6"/>
      <c r="Q134" s="31"/>
      <c r="R134" s="31"/>
      <c r="S134" s="7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6"/>
      <c r="Q135" s="31"/>
      <c r="R135" s="31"/>
      <c r="S135" s="7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6"/>
      <c r="Q136" s="31"/>
      <c r="R136" s="31"/>
      <c r="S136" s="7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6"/>
      <c r="Q137" s="31"/>
      <c r="R137" s="31"/>
      <c r="S137" s="7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6"/>
      <c r="Q138" s="31"/>
      <c r="R138" s="31"/>
      <c r="S138" s="7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6"/>
      <c r="Q139" s="31"/>
      <c r="R139" s="31"/>
      <c r="S139" s="7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6"/>
      <c r="Q140" s="31"/>
      <c r="R140" s="31"/>
      <c r="S140" s="7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6"/>
      <c r="Q141" s="31"/>
      <c r="R141" s="31"/>
      <c r="S141" s="7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6"/>
      <c r="Q142" s="31"/>
      <c r="R142" s="31"/>
      <c r="S142" s="7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6"/>
      <c r="Q143" s="31"/>
      <c r="R143" s="31"/>
      <c r="S143" s="7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6"/>
      <c r="Q144" s="31"/>
      <c r="R144" s="31"/>
      <c r="S144" s="7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6"/>
      <c r="Q145" s="31"/>
      <c r="R145" s="31"/>
      <c r="S145" s="7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6"/>
      <c r="Q146" s="31"/>
      <c r="R146" s="31"/>
      <c r="S146" s="7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6"/>
      <c r="Q147" s="31"/>
      <c r="R147" s="31"/>
      <c r="S147" s="7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6"/>
      <c r="Q148" s="31"/>
      <c r="R148" s="31"/>
      <c r="S148" s="7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6"/>
      <c r="Q149" s="31"/>
      <c r="R149" s="31"/>
      <c r="S149" s="7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6"/>
      <c r="Q150" s="31"/>
      <c r="R150" s="31"/>
      <c r="S150" s="7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6"/>
      <c r="Q151" s="31"/>
      <c r="R151" s="31"/>
      <c r="S151" s="7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6"/>
      <c r="Q152" s="31"/>
      <c r="R152" s="31"/>
      <c r="S152" s="7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6"/>
      <c r="Q153" s="31"/>
      <c r="R153" s="31"/>
      <c r="S153" s="7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6"/>
      <c r="Q154" s="31"/>
      <c r="R154" s="31"/>
      <c r="S154" s="7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6"/>
      <c r="Q155" s="31"/>
      <c r="R155" s="31"/>
      <c r="S155" s="7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6"/>
      <c r="Q156" s="31"/>
      <c r="R156" s="31"/>
      <c r="S156" s="7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6"/>
      <c r="Q157" s="31"/>
      <c r="R157" s="31"/>
      <c r="S157" s="7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6"/>
      <c r="Q158" s="31"/>
      <c r="R158" s="31"/>
      <c r="S158" s="7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6"/>
      <c r="Q159" s="31"/>
      <c r="R159" s="31"/>
      <c r="S159" s="7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6"/>
      <c r="Q160" s="31"/>
      <c r="R160" s="31"/>
      <c r="S160" s="7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6"/>
      <c r="Q161" s="31"/>
      <c r="R161" s="31"/>
      <c r="S161" s="7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6"/>
      <c r="Q162" s="31"/>
      <c r="R162" s="31"/>
      <c r="S162" s="7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6"/>
      <c r="Q163" s="31"/>
      <c r="R163" s="31"/>
      <c r="S163" s="7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6"/>
      <c r="Q164" s="31"/>
      <c r="R164" s="31"/>
      <c r="S164" s="7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6"/>
      <c r="Q165" s="31"/>
      <c r="R165" s="31"/>
      <c r="S165" s="7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6"/>
      <c r="Q166" s="31"/>
      <c r="R166" s="31"/>
      <c r="S166" s="7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6"/>
      <c r="Q167" s="31"/>
      <c r="R167" s="31"/>
      <c r="S167" s="7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6"/>
      <c r="Q168" s="31"/>
      <c r="R168" s="31"/>
      <c r="S168" s="7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6"/>
      <c r="Q169" s="31"/>
      <c r="R169" s="31"/>
      <c r="S169" s="7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6"/>
      <c r="Q170" s="31"/>
      <c r="R170" s="31"/>
      <c r="S170" s="7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6"/>
      <c r="Q171" s="31"/>
      <c r="R171" s="31"/>
      <c r="S171" s="7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6"/>
      <c r="Q172" s="31"/>
      <c r="R172" s="31"/>
      <c r="S172" s="7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6"/>
      <c r="Q173" s="31"/>
      <c r="R173" s="31"/>
      <c r="S173" s="7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6"/>
      <c r="Q174" s="31"/>
      <c r="R174" s="31"/>
      <c r="S174" s="7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6"/>
      <c r="Q175" s="31"/>
      <c r="R175" s="31"/>
      <c r="S175" s="7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6"/>
      <c r="Q176" s="31"/>
      <c r="R176" s="31"/>
      <c r="S176" s="7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6"/>
      <c r="Q177" s="31"/>
      <c r="R177" s="31"/>
      <c r="S177" s="7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6"/>
      <c r="Q178" s="31"/>
      <c r="R178" s="31"/>
      <c r="S178" s="7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6"/>
      <c r="Q179" s="31"/>
      <c r="R179" s="31"/>
      <c r="S179" s="7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6"/>
      <c r="Q180" s="31"/>
      <c r="R180" s="31"/>
      <c r="S180" s="7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6"/>
      <c r="Q181" s="31"/>
      <c r="R181" s="31"/>
      <c r="S181" s="7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6"/>
      <c r="Q182" s="31"/>
      <c r="R182" s="31"/>
      <c r="S182" s="7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6"/>
      <c r="Q183" s="31"/>
      <c r="R183" s="31"/>
      <c r="S183" s="7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6"/>
      <c r="Q184" s="31"/>
      <c r="R184" s="31"/>
      <c r="S184" s="7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6"/>
      <c r="Q185" s="31"/>
      <c r="R185" s="31"/>
      <c r="S185" s="7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6"/>
      <c r="Q186" s="31"/>
      <c r="R186" s="31"/>
      <c r="S186" s="7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6"/>
      <c r="Q187" s="31"/>
      <c r="R187" s="31"/>
      <c r="S187" s="7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6"/>
      <c r="Q188" s="31"/>
      <c r="R188" s="31"/>
      <c r="S188" s="7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6"/>
      <c r="Q189" s="31"/>
      <c r="R189" s="31"/>
      <c r="S189" s="7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6"/>
      <c r="Q190" s="31"/>
      <c r="R190" s="31"/>
      <c r="S190" s="7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6"/>
      <c r="Q191" s="31"/>
      <c r="R191" s="31"/>
      <c r="S191" s="7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6"/>
      <c r="Q192" s="31"/>
      <c r="R192" s="31"/>
      <c r="S192" s="7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6"/>
      <c r="Q193" s="31"/>
      <c r="R193" s="31"/>
      <c r="S193" s="7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6"/>
      <c r="Q194" s="31"/>
      <c r="R194" s="31"/>
      <c r="S194" s="7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6"/>
      <c r="Q195" s="31"/>
      <c r="R195" s="31"/>
      <c r="S195" s="7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6"/>
      <c r="Q196" s="31"/>
      <c r="R196" s="31"/>
      <c r="S196" s="7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6"/>
      <c r="Q197" s="31"/>
      <c r="R197" s="31"/>
      <c r="S197" s="7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6"/>
      <c r="Q198" s="31"/>
      <c r="R198" s="31"/>
      <c r="S198" s="7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6"/>
      <c r="Q199" s="31"/>
      <c r="R199" s="31"/>
      <c r="S199" s="7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6"/>
      <c r="Q200" s="31"/>
      <c r="R200" s="31"/>
      <c r="S200" s="7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6"/>
      <c r="Q201" s="31"/>
      <c r="R201" s="31"/>
      <c r="S201" s="7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6"/>
      <c r="Q202" s="31"/>
      <c r="R202" s="31"/>
      <c r="S202" s="7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6"/>
      <c r="Q203" s="31"/>
      <c r="R203" s="31"/>
      <c r="S203" s="7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6"/>
      <c r="Q204" s="31"/>
      <c r="R204" s="31"/>
      <c r="S204" s="7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6"/>
      <c r="Q205" s="31"/>
      <c r="R205" s="31"/>
      <c r="S205" s="7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6"/>
      <c r="Q206" s="31"/>
      <c r="R206" s="31"/>
      <c r="S206" s="7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6"/>
      <c r="Q207" s="31"/>
      <c r="R207" s="31"/>
      <c r="S207" s="7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6"/>
      <c r="Q208" s="31"/>
      <c r="R208" s="31"/>
      <c r="S208" s="7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6"/>
      <c r="Q209" s="31"/>
      <c r="R209" s="31"/>
      <c r="S209" s="7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6"/>
      <c r="Q210" s="31"/>
      <c r="R210" s="31"/>
      <c r="S210" s="7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6"/>
      <c r="Q211" s="31"/>
      <c r="R211" s="31"/>
      <c r="S211" s="7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6"/>
      <c r="Q212" s="31"/>
      <c r="R212" s="31"/>
      <c r="S212" s="7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6"/>
      <c r="Q213" s="31"/>
      <c r="R213" s="31"/>
      <c r="S213" s="7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6"/>
      <c r="Q214" s="31"/>
      <c r="R214" s="31"/>
      <c r="S214" s="7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6"/>
      <c r="Q215" s="31"/>
      <c r="R215" s="31"/>
      <c r="S215" s="7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6"/>
      <c r="Q216" s="31"/>
      <c r="R216" s="31"/>
      <c r="S216" s="7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6"/>
      <c r="Q217" s="31"/>
      <c r="R217" s="31"/>
      <c r="S217" s="7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6"/>
      <c r="Q218" s="31"/>
      <c r="R218" s="31"/>
      <c r="S218" s="7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6"/>
      <c r="Q219" s="31"/>
      <c r="R219" s="31"/>
      <c r="S219" s="7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6"/>
      <c r="Q220" s="31"/>
      <c r="R220" s="31"/>
      <c r="S220" s="7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6"/>
      <c r="Q221" s="31"/>
      <c r="R221" s="31"/>
      <c r="S221" s="7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6"/>
      <c r="Q222" s="31"/>
      <c r="R222" s="31"/>
      <c r="S222" s="7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6"/>
      <c r="Q223" s="31"/>
      <c r="R223" s="31"/>
      <c r="S223" s="7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6"/>
      <c r="Q224" s="31"/>
      <c r="R224" s="31"/>
      <c r="S224" s="7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6"/>
      <c r="Q225" s="31"/>
      <c r="R225" s="31"/>
      <c r="S225" s="7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6"/>
      <c r="Q226" s="31"/>
      <c r="R226" s="31"/>
      <c r="S226" s="7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6"/>
      <c r="Q227" s="31"/>
      <c r="R227" s="31"/>
      <c r="S227" s="7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6"/>
      <c r="Q228" s="31"/>
      <c r="R228" s="31"/>
      <c r="S228" s="7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6"/>
      <c r="Q229" s="31"/>
      <c r="R229" s="31"/>
      <c r="S229" s="7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6"/>
      <c r="Q230" s="31"/>
      <c r="R230" s="31"/>
      <c r="S230" s="7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6"/>
      <c r="Q231" s="31"/>
      <c r="R231" s="31"/>
      <c r="S231" s="7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6"/>
      <c r="Q232" s="31"/>
      <c r="R232" s="31"/>
      <c r="S232" s="7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6"/>
      <c r="Q233" s="31"/>
      <c r="R233" s="31"/>
      <c r="S233" s="7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6"/>
      <c r="Q234" s="31"/>
      <c r="R234" s="31"/>
      <c r="S234" s="7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6"/>
      <c r="Q235" s="31"/>
      <c r="R235" s="31"/>
      <c r="S235" s="7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6"/>
      <c r="Q236" s="31"/>
      <c r="R236" s="31"/>
      <c r="S236" s="7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6"/>
      <c r="Q237" s="31"/>
      <c r="R237" s="31"/>
      <c r="S237" s="7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6"/>
      <c r="Q238" s="31"/>
      <c r="R238" s="31"/>
      <c r="S238" s="7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6"/>
      <c r="Q239" s="31"/>
      <c r="R239" s="31"/>
      <c r="S239" s="7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6"/>
      <c r="Q240" s="31"/>
      <c r="R240" s="31"/>
      <c r="S240" s="7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6"/>
      <c r="Q241" s="31"/>
      <c r="R241" s="31"/>
      <c r="S241" s="7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6"/>
      <c r="Q242" s="31"/>
      <c r="R242" s="31"/>
      <c r="S242" s="7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6"/>
      <c r="Q243" s="31"/>
      <c r="R243" s="31"/>
      <c r="S243" s="7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6"/>
      <c r="Q244" s="31"/>
      <c r="R244" s="31"/>
      <c r="S244" s="7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6"/>
      <c r="Q245" s="31"/>
      <c r="R245" s="31"/>
      <c r="S245" s="7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6"/>
      <c r="Q246" s="31"/>
      <c r="R246" s="31"/>
      <c r="S246" s="7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6"/>
      <c r="Q247" s="31"/>
      <c r="R247" s="31"/>
      <c r="S247" s="7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6"/>
      <c r="Q248" s="31"/>
      <c r="R248" s="31"/>
      <c r="S248" s="7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6"/>
      <c r="Q249" s="31"/>
      <c r="R249" s="31"/>
      <c r="S249" s="7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6"/>
      <c r="Q250" s="31"/>
      <c r="R250" s="31"/>
      <c r="S250" s="7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6"/>
      <c r="Q251" s="31"/>
      <c r="R251" s="31"/>
      <c r="S251" s="7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6"/>
      <c r="Q252" s="31"/>
      <c r="R252" s="31"/>
      <c r="S252" s="7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6"/>
      <c r="Q253" s="31"/>
      <c r="R253" s="31"/>
      <c r="S253" s="7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6"/>
      <c r="Q254" s="31"/>
      <c r="R254" s="31"/>
      <c r="S254" s="7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6"/>
      <c r="Q255" s="31"/>
      <c r="R255" s="31"/>
      <c r="S255" s="7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6"/>
      <c r="Q256" s="31"/>
      <c r="R256" s="31"/>
      <c r="S256" s="7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6"/>
      <c r="Q257" s="31"/>
      <c r="R257" s="31"/>
      <c r="S257" s="7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6"/>
      <c r="Q258" s="31"/>
      <c r="R258" s="31"/>
      <c r="S258" s="7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6"/>
      <c r="Q259" s="31"/>
      <c r="R259" s="31"/>
      <c r="S259" s="7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6"/>
      <c r="Q260" s="31"/>
      <c r="R260" s="31"/>
      <c r="S260" s="7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6"/>
      <c r="Q261" s="31"/>
      <c r="R261" s="31"/>
      <c r="S261" s="7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6"/>
      <c r="Q262" s="31"/>
      <c r="R262" s="31"/>
      <c r="S262" s="7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6"/>
      <c r="Q263" s="31"/>
      <c r="R263" s="31"/>
      <c r="S263" s="7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6"/>
      <c r="Q264" s="31"/>
      <c r="R264" s="31"/>
      <c r="S264" s="7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6"/>
      <c r="Q265" s="31"/>
      <c r="R265" s="31"/>
      <c r="S265" s="7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6"/>
      <c r="Q266" s="31"/>
      <c r="R266" s="31"/>
      <c r="S266" s="7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6"/>
      <c r="Q267" s="31"/>
      <c r="R267" s="31"/>
      <c r="S267" s="7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6"/>
      <c r="Q268" s="31"/>
      <c r="R268" s="31"/>
      <c r="S268" s="7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6"/>
      <c r="Q269" s="31"/>
      <c r="R269" s="31"/>
      <c r="S269" s="7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6"/>
      <c r="Q270" s="31"/>
      <c r="R270" s="31"/>
      <c r="S270" s="7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6"/>
      <c r="Q271" s="31"/>
      <c r="R271" s="31"/>
      <c r="S271" s="7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6"/>
      <c r="Q272" s="31"/>
      <c r="R272" s="31"/>
      <c r="S272" s="7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6"/>
      <c r="Q273" s="31"/>
      <c r="R273" s="31"/>
      <c r="S273" s="7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6"/>
      <c r="Q274" s="31"/>
      <c r="R274" s="31"/>
      <c r="S274" s="7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6"/>
      <c r="Q275" s="31"/>
      <c r="R275" s="31"/>
      <c r="S275" s="7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6"/>
      <c r="Q276" s="31"/>
      <c r="R276" s="31"/>
      <c r="S276" s="7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6"/>
      <c r="Q277" s="31"/>
      <c r="R277" s="31"/>
      <c r="S277" s="7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6"/>
      <c r="Q278" s="31"/>
      <c r="R278" s="31"/>
      <c r="S278" s="7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6"/>
      <c r="Q279" s="31"/>
      <c r="R279" s="31"/>
      <c r="S279" s="7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6"/>
      <c r="Q280" s="31"/>
      <c r="R280" s="31"/>
      <c r="S280" s="7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6"/>
      <c r="Q281" s="31"/>
      <c r="R281" s="31"/>
      <c r="S281" s="7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6"/>
      <c r="Q282" s="31"/>
      <c r="R282" s="31"/>
      <c r="S282" s="7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6"/>
      <c r="Q283" s="31"/>
      <c r="R283" s="31"/>
      <c r="S283" s="7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6"/>
      <c r="Q284" s="31"/>
      <c r="R284" s="31"/>
      <c r="S284" s="7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6"/>
      <c r="Q285" s="31"/>
      <c r="R285" s="31"/>
      <c r="S285" s="7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6"/>
      <c r="Q286" s="31"/>
      <c r="R286" s="31"/>
      <c r="S286" s="7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6"/>
      <c r="Q287" s="31"/>
      <c r="R287" s="31"/>
      <c r="S287" s="7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6"/>
      <c r="Q288" s="31"/>
      <c r="R288" s="31"/>
      <c r="S288" s="7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6"/>
      <c r="Q289" s="31"/>
      <c r="R289" s="31"/>
      <c r="S289" s="7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6"/>
      <c r="Q290" s="31"/>
      <c r="R290" s="31"/>
      <c r="S290" s="7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6"/>
      <c r="Q291" s="31"/>
      <c r="R291" s="31"/>
      <c r="S291" s="7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6"/>
      <c r="Q292" s="31"/>
      <c r="R292" s="31"/>
      <c r="S292" s="7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6"/>
      <c r="Q293" s="31"/>
      <c r="R293" s="31"/>
      <c r="S293" s="7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6"/>
      <c r="Q294" s="31"/>
      <c r="R294" s="31"/>
      <c r="S294" s="7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6"/>
      <c r="Q295" s="31"/>
      <c r="R295" s="31"/>
      <c r="S295" s="7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6"/>
      <c r="Q296" s="31"/>
      <c r="R296" s="31"/>
      <c r="S296" s="7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6"/>
      <c r="Q297" s="31"/>
      <c r="R297" s="31"/>
      <c r="S297" s="7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6"/>
      <c r="Q298" s="31"/>
      <c r="R298" s="31"/>
      <c r="S298" s="7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6"/>
      <c r="Q299" s="31"/>
      <c r="R299" s="31"/>
      <c r="S299" s="7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6"/>
      <c r="Q300" s="31"/>
      <c r="R300" s="31"/>
      <c r="S300" s="7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6"/>
      <c r="Q301" s="31"/>
      <c r="R301" s="31"/>
      <c r="S301" s="7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6"/>
      <c r="Q302" s="31"/>
      <c r="R302" s="31"/>
      <c r="S302" s="7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6"/>
      <c r="Q303" s="31"/>
      <c r="R303" s="31"/>
      <c r="S303" s="7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6"/>
      <c r="Q304" s="31"/>
      <c r="R304" s="31"/>
      <c r="S304" s="7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6"/>
      <c r="Q305" s="31"/>
      <c r="R305" s="31"/>
      <c r="S305" s="7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6"/>
      <c r="Q306" s="31"/>
      <c r="R306" s="31"/>
      <c r="S306" s="7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6"/>
      <c r="Q307" s="31"/>
      <c r="R307" s="31"/>
      <c r="S307" s="7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6"/>
      <c r="Q308" s="31"/>
      <c r="R308" s="31"/>
      <c r="S308" s="7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6"/>
      <c r="Q309" s="31"/>
      <c r="R309" s="31"/>
      <c r="S309" s="7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6"/>
      <c r="Q310" s="31"/>
      <c r="R310" s="31"/>
      <c r="S310" s="7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6"/>
      <c r="Q311" s="31"/>
      <c r="R311" s="31"/>
      <c r="S311" s="7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6"/>
      <c r="Q312" s="31"/>
      <c r="R312" s="31"/>
      <c r="S312" s="7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6"/>
      <c r="Q313" s="31"/>
      <c r="R313" s="31"/>
      <c r="S313" s="7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6"/>
      <c r="Q314" s="31"/>
      <c r="R314" s="31"/>
      <c r="S314" s="7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6"/>
      <c r="Q315" s="31"/>
      <c r="R315" s="31"/>
      <c r="S315" s="7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6"/>
      <c r="Q316" s="31"/>
      <c r="R316" s="31"/>
      <c r="S316" s="7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6"/>
      <c r="Q317" s="31"/>
      <c r="R317" s="31"/>
      <c r="S317" s="7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6"/>
      <c r="Q318" s="31"/>
      <c r="R318" s="31"/>
      <c r="S318" s="7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6"/>
      <c r="Q319" s="31"/>
      <c r="R319" s="31"/>
      <c r="S319" s="7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6"/>
      <c r="Q320" s="31"/>
      <c r="R320" s="31"/>
      <c r="S320" s="7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6"/>
      <c r="Q321" s="31"/>
      <c r="R321" s="31"/>
      <c r="S321" s="7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6"/>
      <c r="Q322" s="31"/>
      <c r="R322" s="31"/>
      <c r="S322" s="7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6"/>
      <c r="Q323" s="31"/>
      <c r="R323" s="31"/>
      <c r="S323" s="7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6"/>
      <c r="Q324" s="31"/>
      <c r="R324" s="31"/>
      <c r="S324" s="7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6"/>
      <c r="Q325" s="31"/>
      <c r="R325" s="31"/>
      <c r="S325" s="7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6"/>
      <c r="Q326" s="31"/>
      <c r="R326" s="31"/>
      <c r="S326" s="7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6"/>
      <c r="Q327" s="31"/>
      <c r="R327" s="31"/>
      <c r="S327" s="7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6"/>
      <c r="Q328" s="31"/>
      <c r="R328" s="31"/>
      <c r="S328" s="7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6"/>
      <c r="Q329" s="31"/>
      <c r="R329" s="31"/>
      <c r="S329" s="7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6"/>
      <c r="Q330" s="31"/>
      <c r="R330" s="31"/>
      <c r="S330" s="7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6"/>
      <c r="Q331" s="31"/>
      <c r="R331" s="31"/>
      <c r="S331" s="7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6"/>
      <c r="Q332" s="31"/>
      <c r="R332" s="31"/>
      <c r="S332" s="7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6"/>
      <c r="Q333" s="31"/>
      <c r="R333" s="31"/>
      <c r="S333" s="7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6"/>
      <c r="Q334" s="31"/>
      <c r="R334" s="31"/>
      <c r="S334" s="7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6"/>
      <c r="Q335" s="31"/>
      <c r="R335" s="31"/>
      <c r="S335" s="7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6"/>
      <c r="Q336" s="31"/>
      <c r="R336" s="31"/>
      <c r="S336" s="7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6"/>
      <c r="Q337" s="31"/>
      <c r="R337" s="31"/>
      <c r="S337" s="7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6"/>
      <c r="Q338" s="31"/>
      <c r="R338" s="31"/>
      <c r="S338" s="7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6"/>
      <c r="Q339" s="31"/>
      <c r="R339" s="31"/>
      <c r="S339" s="7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6"/>
      <c r="Q340" s="31"/>
      <c r="R340" s="31"/>
      <c r="S340" s="7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6"/>
      <c r="Q341" s="31"/>
      <c r="R341" s="31"/>
      <c r="S341" s="7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6"/>
      <c r="Q342" s="31"/>
      <c r="R342" s="31"/>
      <c r="S342" s="7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6"/>
      <c r="Q343" s="31"/>
      <c r="R343" s="31"/>
      <c r="S343" s="7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6"/>
      <c r="Q344" s="31"/>
      <c r="R344" s="31"/>
      <c r="S344" s="7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6"/>
      <c r="Q345" s="31"/>
      <c r="R345" s="31"/>
      <c r="S345" s="7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6"/>
      <c r="Q346" s="31"/>
      <c r="R346" s="31"/>
      <c r="S346" s="7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6"/>
      <c r="Q347" s="31"/>
      <c r="R347" s="31"/>
      <c r="S347" s="7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6"/>
      <c r="Q348" s="31"/>
      <c r="R348" s="31"/>
      <c r="S348" s="7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6"/>
      <c r="Q349" s="31"/>
      <c r="R349" s="31"/>
      <c r="S349" s="7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6"/>
      <c r="Q350" s="31"/>
      <c r="R350" s="31"/>
      <c r="S350" s="7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6"/>
      <c r="Q351" s="31"/>
      <c r="R351" s="31"/>
      <c r="S351" s="7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6"/>
      <c r="Q352" s="31"/>
      <c r="R352" s="31"/>
      <c r="S352" s="7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6"/>
      <c r="Q353" s="31"/>
      <c r="R353" s="31"/>
      <c r="S353" s="7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6"/>
      <c r="Q354" s="31"/>
      <c r="R354" s="31"/>
      <c r="S354" s="7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6"/>
      <c r="Q355" s="31"/>
      <c r="R355" s="31"/>
      <c r="S355" s="7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6"/>
      <c r="Q356" s="31"/>
      <c r="R356" s="31"/>
      <c r="S356" s="7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6"/>
      <c r="Q357" s="31"/>
      <c r="R357" s="31"/>
      <c r="S357" s="7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6"/>
      <c r="Q358" s="31"/>
      <c r="R358" s="31"/>
      <c r="S358" s="7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6"/>
      <c r="Q359" s="31"/>
      <c r="R359" s="31"/>
      <c r="S359" s="7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6"/>
      <c r="Q360" s="31"/>
      <c r="R360" s="31"/>
      <c r="S360" s="7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6"/>
      <c r="Q361" s="31"/>
      <c r="R361" s="31"/>
      <c r="S361" s="7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6"/>
      <c r="Q362" s="31"/>
      <c r="R362" s="31"/>
      <c r="S362" s="7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6"/>
      <c r="Q363" s="31"/>
      <c r="R363" s="31"/>
      <c r="S363" s="7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6"/>
      <c r="Q364" s="31"/>
      <c r="R364" s="31"/>
      <c r="S364" s="7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6"/>
      <c r="Q365" s="31"/>
      <c r="R365" s="31"/>
      <c r="S365" s="7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6"/>
      <c r="Q366" s="31"/>
      <c r="R366" s="31"/>
      <c r="S366" s="7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6"/>
      <c r="Q367" s="31"/>
      <c r="R367" s="31"/>
      <c r="S367" s="7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6"/>
      <c r="Q368" s="31"/>
      <c r="R368" s="31"/>
      <c r="S368" s="7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6"/>
      <c r="Q369" s="31"/>
      <c r="R369" s="31"/>
      <c r="S369" s="7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6"/>
      <c r="Q370" s="31"/>
      <c r="R370" s="31"/>
      <c r="S370" s="7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6"/>
      <c r="Q371" s="31"/>
      <c r="R371" s="31"/>
      <c r="S371" s="7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6"/>
      <c r="Q372" s="31"/>
      <c r="R372" s="31"/>
      <c r="S372" s="7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6"/>
      <c r="Q373" s="31"/>
      <c r="R373" s="31"/>
      <c r="S373" s="7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6"/>
      <c r="Q374" s="31"/>
      <c r="R374" s="31"/>
      <c r="S374" s="7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6"/>
      <c r="Q375" s="31"/>
      <c r="R375" s="31"/>
      <c r="S375" s="7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6"/>
      <c r="Q376" s="31"/>
      <c r="R376" s="31"/>
      <c r="S376" s="7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6"/>
      <c r="Q377" s="31"/>
      <c r="R377" s="31"/>
      <c r="S377" s="7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6"/>
      <c r="Q378" s="31"/>
      <c r="R378" s="31"/>
      <c r="S378" s="7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6"/>
      <c r="Q379" s="31"/>
      <c r="R379" s="31"/>
      <c r="S379" s="7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6"/>
      <c r="Q380" s="31"/>
      <c r="R380" s="31"/>
      <c r="S380" s="7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6"/>
      <c r="Q381" s="31"/>
      <c r="R381" s="31"/>
      <c r="S381" s="7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6"/>
      <c r="Q382" s="31"/>
      <c r="R382" s="31"/>
      <c r="S382" s="7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6"/>
      <c r="Q383" s="31"/>
      <c r="R383" s="31"/>
      <c r="S383" s="7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6"/>
      <c r="Q384" s="31"/>
      <c r="R384" s="31"/>
      <c r="S384" s="7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6"/>
      <c r="Q385" s="31"/>
      <c r="R385" s="31"/>
      <c r="S385" s="7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6"/>
      <c r="Q386" s="31"/>
      <c r="R386" s="31"/>
      <c r="S386" s="7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6"/>
      <c r="Q387" s="31"/>
      <c r="R387" s="31"/>
      <c r="S387" s="7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6"/>
      <c r="Q388" s="31"/>
      <c r="R388" s="31"/>
      <c r="S388" s="7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6"/>
      <c r="Q389" s="31"/>
      <c r="R389" s="31"/>
      <c r="S389" s="7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6"/>
      <c r="Q390" s="31"/>
      <c r="R390" s="31"/>
      <c r="S390" s="7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6"/>
      <c r="Q391" s="31"/>
      <c r="R391" s="31"/>
      <c r="S391" s="7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6"/>
      <c r="Q392" s="31"/>
      <c r="R392" s="31"/>
      <c r="S392" s="7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6"/>
      <c r="Q393" s="31"/>
      <c r="R393" s="31"/>
      <c r="S393" s="7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6"/>
      <c r="Q394" s="31"/>
      <c r="R394" s="31"/>
      <c r="S394" s="7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6"/>
      <c r="Q395" s="31"/>
      <c r="R395" s="31"/>
      <c r="S395" s="7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6"/>
      <c r="Q396" s="31"/>
      <c r="R396" s="31"/>
      <c r="S396" s="7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6"/>
      <c r="Q397" s="31"/>
      <c r="R397" s="31"/>
      <c r="S397" s="7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6"/>
      <c r="Q398" s="31"/>
      <c r="R398" s="31"/>
      <c r="S398" s="7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6"/>
      <c r="Q399" s="31"/>
      <c r="R399" s="31"/>
      <c r="S399" s="7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6"/>
      <c r="Q400" s="31"/>
      <c r="R400" s="31"/>
      <c r="S400" s="7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6"/>
      <c r="Q401" s="31"/>
      <c r="R401" s="31"/>
      <c r="S401" s="7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6"/>
      <c r="Q402" s="31"/>
      <c r="R402" s="31"/>
      <c r="S402" s="7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6"/>
      <c r="Q403" s="31"/>
      <c r="R403" s="31"/>
      <c r="S403" s="7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6"/>
      <c r="Q404" s="31"/>
      <c r="R404" s="31"/>
      <c r="S404" s="7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6"/>
      <c r="Q405" s="31"/>
      <c r="R405" s="31"/>
      <c r="S405" s="7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6"/>
      <c r="Q406" s="31"/>
      <c r="R406" s="31"/>
      <c r="S406" s="7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6"/>
      <c r="Q407" s="31"/>
      <c r="R407" s="31"/>
      <c r="S407" s="7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6"/>
      <c r="Q408" s="31"/>
      <c r="R408" s="31"/>
      <c r="S408" s="7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6"/>
      <c r="Q409" s="31"/>
      <c r="R409" s="31"/>
      <c r="S409" s="7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6"/>
      <c r="Q410" s="31"/>
      <c r="R410" s="31"/>
      <c r="S410" s="7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6"/>
      <c r="Q411" s="31"/>
      <c r="R411" s="31"/>
      <c r="S411" s="7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6"/>
      <c r="Q412" s="31"/>
      <c r="R412" s="31"/>
      <c r="S412" s="7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6"/>
      <c r="Q413" s="31"/>
      <c r="R413" s="31"/>
      <c r="S413" s="7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6"/>
      <c r="Q414" s="31"/>
      <c r="R414" s="31"/>
      <c r="S414" s="7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6"/>
      <c r="Q415" s="31"/>
      <c r="R415" s="31"/>
      <c r="S415" s="7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6"/>
      <c r="Q416" s="31"/>
      <c r="R416" s="31"/>
      <c r="S416" s="7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6"/>
      <c r="Q417" s="31"/>
      <c r="R417" s="31"/>
      <c r="S417" s="7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6"/>
      <c r="Q418" s="31"/>
      <c r="R418" s="31"/>
      <c r="S418" s="7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6"/>
      <c r="Q419" s="31"/>
      <c r="R419" s="31"/>
      <c r="S419" s="7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6"/>
      <c r="Q420" s="31"/>
      <c r="R420" s="31"/>
      <c r="S420" s="7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6"/>
      <c r="Q421" s="31"/>
      <c r="R421" s="31"/>
      <c r="S421" s="7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6"/>
      <c r="Q422" s="31"/>
      <c r="R422" s="31"/>
      <c r="S422" s="7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6"/>
      <c r="Q423" s="31"/>
      <c r="R423" s="31"/>
      <c r="S423" s="7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6"/>
      <c r="Q424" s="31"/>
      <c r="R424" s="31"/>
      <c r="S424" s="7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6"/>
      <c r="Q425" s="31"/>
      <c r="R425" s="31"/>
      <c r="S425" s="7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6"/>
      <c r="Q426" s="31"/>
      <c r="R426" s="31"/>
      <c r="S426" s="7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6"/>
      <c r="Q427" s="31"/>
      <c r="R427" s="31"/>
      <c r="S427" s="7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6"/>
      <c r="Q428" s="31"/>
      <c r="R428" s="31"/>
      <c r="S428" s="7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6"/>
      <c r="Q429" s="31"/>
      <c r="R429" s="31"/>
      <c r="S429" s="7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6"/>
      <c r="Q430" s="31"/>
      <c r="R430" s="31"/>
      <c r="S430" s="7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6"/>
      <c r="Q431" s="31"/>
      <c r="R431" s="31"/>
      <c r="S431" s="7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6"/>
      <c r="Q432" s="31"/>
      <c r="R432" s="31"/>
      <c r="S432" s="7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6"/>
      <c r="Q433" s="31"/>
      <c r="R433" s="31"/>
      <c r="S433" s="7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6"/>
      <c r="Q434" s="31"/>
      <c r="R434" s="31"/>
      <c r="S434" s="7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6"/>
      <c r="Q435" s="31"/>
      <c r="R435" s="31"/>
      <c r="S435" s="7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6"/>
      <c r="Q436" s="31"/>
      <c r="R436" s="31"/>
      <c r="S436" s="7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6"/>
      <c r="Q437" s="31"/>
      <c r="R437" s="31"/>
      <c r="S437" s="7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6"/>
      <c r="Q438" s="31"/>
      <c r="R438" s="31"/>
      <c r="S438" s="7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6"/>
      <c r="Q439" s="31"/>
      <c r="R439" s="31"/>
      <c r="S439" s="7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6"/>
      <c r="Q440" s="31"/>
      <c r="R440" s="31"/>
      <c r="S440" s="7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6"/>
      <c r="Q441" s="31"/>
      <c r="R441" s="31"/>
      <c r="S441" s="7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6"/>
      <c r="Q442" s="31"/>
      <c r="R442" s="31"/>
      <c r="S442" s="7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6"/>
      <c r="Q443" s="31"/>
      <c r="R443" s="31"/>
      <c r="S443" s="7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6"/>
      <c r="Q444" s="31"/>
      <c r="R444" s="31"/>
      <c r="S444" s="7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6"/>
      <c r="Q445" s="31"/>
      <c r="R445" s="31"/>
      <c r="S445" s="7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6"/>
      <c r="Q446" s="31"/>
      <c r="R446" s="31"/>
      <c r="S446" s="7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6"/>
      <c r="Q447" s="31"/>
      <c r="R447" s="31"/>
      <c r="S447" s="7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6"/>
      <c r="Q448" s="31"/>
      <c r="R448" s="31"/>
      <c r="S448" s="7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6"/>
      <c r="Q449" s="31"/>
      <c r="R449" s="31"/>
      <c r="S449" s="7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6"/>
      <c r="Q450" s="31"/>
      <c r="R450" s="31"/>
      <c r="S450" s="7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6"/>
      <c r="Q451" s="31"/>
      <c r="R451" s="31"/>
      <c r="S451" s="7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6"/>
      <c r="Q452" s="31"/>
      <c r="R452" s="31"/>
      <c r="S452" s="7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6"/>
      <c r="Q453" s="31"/>
      <c r="R453" s="31"/>
      <c r="S453" s="7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6"/>
      <c r="Q454" s="31"/>
      <c r="R454" s="31"/>
      <c r="S454" s="7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6"/>
      <c r="Q455" s="31"/>
      <c r="R455" s="31"/>
      <c r="S455" s="7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6"/>
      <c r="Q456" s="31"/>
      <c r="R456" s="31"/>
      <c r="S456" s="7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6"/>
      <c r="Q457" s="31"/>
      <c r="R457" s="31"/>
      <c r="S457" s="7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6"/>
      <c r="Q458" s="31"/>
      <c r="R458" s="31"/>
      <c r="S458" s="7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6"/>
      <c r="Q459" s="31"/>
      <c r="R459" s="31"/>
      <c r="S459" s="7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6"/>
      <c r="Q460" s="31"/>
      <c r="R460" s="31"/>
      <c r="S460" s="7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6"/>
      <c r="Q461" s="31"/>
      <c r="R461" s="31"/>
      <c r="S461" s="7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6"/>
      <c r="Q462" s="31"/>
      <c r="R462" s="31"/>
      <c r="S462" s="7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6"/>
      <c r="Q463" s="31"/>
      <c r="R463" s="31"/>
      <c r="S463" s="7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6"/>
      <c r="Q464" s="31"/>
      <c r="R464" s="31"/>
      <c r="S464" s="7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6"/>
      <c r="Q465" s="31"/>
      <c r="R465" s="31"/>
      <c r="S465" s="7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6"/>
      <c r="Q466" s="31"/>
      <c r="R466" s="31"/>
      <c r="S466" s="7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6"/>
      <c r="Q467" s="31"/>
      <c r="R467" s="31"/>
      <c r="S467" s="7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6"/>
      <c r="Q468" s="31"/>
      <c r="R468" s="31"/>
      <c r="S468" s="7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6"/>
      <c r="Q469" s="31"/>
      <c r="R469" s="31"/>
      <c r="S469" s="7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6"/>
      <c r="Q470" s="31"/>
      <c r="R470" s="31"/>
      <c r="S470" s="7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6"/>
      <c r="Q471" s="31"/>
      <c r="R471" s="31"/>
      <c r="S471" s="7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6"/>
      <c r="Q472" s="31"/>
      <c r="R472" s="31"/>
      <c r="S472" s="7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6"/>
      <c r="Q473" s="31"/>
      <c r="R473" s="31"/>
      <c r="S473" s="7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6"/>
      <c r="Q474" s="31"/>
      <c r="R474" s="31"/>
      <c r="S474" s="7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6"/>
      <c r="Q475" s="31"/>
      <c r="R475" s="31"/>
      <c r="S475" s="7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6"/>
      <c r="Q476" s="31"/>
      <c r="R476" s="31"/>
      <c r="S476" s="7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6"/>
      <c r="Q477" s="31"/>
      <c r="R477" s="31"/>
      <c r="S477" s="7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6"/>
      <c r="Q478" s="31"/>
      <c r="R478" s="31"/>
      <c r="S478" s="7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6"/>
      <c r="Q479" s="31"/>
      <c r="R479" s="31"/>
      <c r="S479" s="7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6"/>
      <c r="Q480" s="31"/>
      <c r="R480" s="31"/>
      <c r="S480" s="7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6"/>
      <c r="Q481" s="31"/>
      <c r="R481" s="31"/>
      <c r="S481" s="7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6"/>
      <c r="Q482" s="31"/>
      <c r="R482" s="31"/>
      <c r="S482" s="7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6"/>
      <c r="Q483" s="31"/>
      <c r="R483" s="31"/>
      <c r="S483" s="7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6"/>
      <c r="Q484" s="31"/>
      <c r="R484" s="31"/>
      <c r="S484" s="7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6"/>
      <c r="Q485" s="31"/>
      <c r="R485" s="31"/>
      <c r="S485" s="7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6"/>
      <c r="Q486" s="31"/>
      <c r="R486" s="31"/>
      <c r="S486" s="7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6"/>
      <c r="Q487" s="31"/>
      <c r="R487" s="31"/>
      <c r="S487" s="7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6"/>
      <c r="Q488" s="31"/>
      <c r="R488" s="31"/>
      <c r="S488" s="7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6"/>
      <c r="Q489" s="31"/>
      <c r="R489" s="31"/>
      <c r="S489" s="7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6"/>
      <c r="Q490" s="31"/>
      <c r="R490" s="31"/>
      <c r="S490" s="7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6"/>
      <c r="Q491" s="31"/>
      <c r="R491" s="31"/>
      <c r="S491" s="7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6"/>
      <c r="Q492" s="31"/>
      <c r="R492" s="31"/>
      <c r="S492" s="7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6"/>
      <c r="Q493" s="31"/>
      <c r="R493" s="31"/>
      <c r="S493" s="7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6"/>
      <c r="Q494" s="31"/>
      <c r="R494" s="31"/>
      <c r="S494" s="7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6"/>
      <c r="Q495" s="31"/>
      <c r="R495" s="31"/>
      <c r="S495" s="7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6"/>
      <c r="Q496" s="31"/>
      <c r="R496" s="31"/>
      <c r="S496" s="7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6"/>
      <c r="Q497" s="31"/>
      <c r="R497" s="31"/>
      <c r="S497" s="7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6"/>
      <c r="Q498" s="31"/>
      <c r="R498" s="31"/>
      <c r="S498" s="7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6"/>
      <c r="Q499" s="31"/>
      <c r="R499" s="31"/>
      <c r="S499" s="7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Z3:AH3 A2:F499 G41:J42 V74:AA499 V2:AH2 V4:AH72 V73:AD73 V3:X3 L41:U42 G43:U499 G2:U40">
    <cfRule type="expression" dxfId="95" priority="34">
      <formula>AND($B2&lt;&gt;"",MOD(ROW(),2)=0)</formula>
    </cfRule>
  </conditionalFormatting>
  <conditionalFormatting sqref="D2:D499"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0">
      <formula>ISNUMBER(SEARCH("no target",$D2))</formula>
    </cfRule>
    <cfRule type="expression" dxfId="91" priority="21">
      <formula>ISNUMBER(SEARCH("Review",$D2))</formula>
    </cfRule>
    <cfRule type="expression" dxfId="90" priority="22">
      <formula>OR($D2="On track",$D2="Delivered")</formula>
    </cfRule>
  </conditionalFormatting>
  <conditionalFormatting sqref="J32:J33 J29 T10:U19 M29:O29 M32:O33 M40:O41">
    <cfRule type="expression" dxfId="89" priority="17">
      <formula>$AF10="Yes – needs PBI Dev to fix"</formula>
    </cfRule>
  </conditionalFormatting>
  <conditionalFormatting sqref="K40:K41">
    <cfRule type="expression" dxfId="88" priority="8">
      <formula>$AF40="Yes – needs PBI Dev to fix"</formula>
    </cfRule>
  </conditionalFormatting>
  <conditionalFormatting sqref="K73:L73">
    <cfRule type="expression" dxfId="87" priority="93">
      <formula>$AB73="Yes – needs DB Dev to fix"</formula>
    </cfRule>
  </conditionalFormatting>
  <conditionalFormatting sqref="K74:L499">
    <cfRule type="expression" dxfId="86" priority="27">
      <formula>$Y74="Yes – needs DB Dev to fix"</formula>
    </cfRule>
  </conditionalFormatting>
  <conditionalFormatting sqref="J2:N164">
    <cfRule type="expression" dxfId="85" priority="1">
      <formula>$AF2="Yes – needs DB Dev to fix"</formula>
    </cfRule>
  </conditionalFormatting>
  <conditionalFormatting sqref="P73">
    <cfRule type="expression" dxfId="84" priority="97">
      <formula>$AB73="Yes – needs PBI Dev to fix"</formula>
    </cfRule>
  </conditionalFormatting>
  <conditionalFormatting sqref="P74:Q499">
    <cfRule type="expression" dxfId="83" priority="29">
      <formula>$Y74="Yes – needs QA to fix"</formula>
    </cfRule>
  </conditionalFormatting>
  <conditionalFormatting sqref="P2:T73">
    <cfRule type="expression" dxfId="82" priority="15">
      <formula>$AF2="Yes – needs PBI Dev to fix"</formula>
    </cfRule>
  </conditionalFormatting>
  <conditionalFormatting sqref="Q73:T73">
    <cfRule type="expression" dxfId="81" priority="99">
      <formula>$AB73="Yes – needs QA to fix"</formula>
    </cfRule>
  </conditionalFormatting>
  <conditionalFormatting sqref="R74:T499">
    <cfRule type="expression" dxfId="80" priority="30">
      <formula>$Y74="Yes – needs DPO Approval to fix"</formula>
    </cfRule>
  </conditionalFormatting>
  <conditionalFormatting sqref="T74:U499">
    <cfRule type="expression" dxfId="79" priority="26">
      <formula>$U74="Yes"</formula>
    </cfRule>
  </conditionalFormatting>
  <conditionalFormatting sqref="T73:V73">
    <cfRule type="expression" dxfId="78" priority="101">
      <formula>$AB73="Yes – needs DPO Approval to fix"</formula>
    </cfRule>
  </conditionalFormatting>
  <conditionalFormatting sqref="T2:X73">
    <cfRule type="expression" dxfId="77" priority="72">
      <formula>$AF2="Yes – needs QA to fix"</formula>
    </cfRule>
  </conditionalFormatting>
  <conditionalFormatting sqref="W73:X73">
    <cfRule type="expression" dxfId="76" priority="103">
      <formula>$W73="Yes"</formula>
    </cfRule>
  </conditionalFormatting>
  <conditionalFormatting sqref="Y74:Y499">
    <cfRule type="expression" dxfId="75" priority="23">
      <formula>LEFT($Y74,3)="Yes"</formula>
    </cfRule>
  </conditionalFormatting>
  <conditionalFormatting sqref="Y2:AA2 Z3:AA3 Y4:AA73">
    <cfRule type="expression" dxfId="74" priority="75">
      <formula>$AF2="Yes – needs DPO Approval to fix"</formula>
    </cfRule>
  </conditionalFormatting>
  <conditionalFormatting sqref="Z74:Z499">
    <cfRule type="expression" dxfId="73" priority="31">
      <formula>ISNUMBER(SEARCH("Move old",$Z74))</formula>
    </cfRule>
    <cfRule type="expression" dxfId="72" priority="31">
      <formula>ISNUMBER(SEARCH("Open rework",$Z74))</formula>
    </cfRule>
    <cfRule type="expression" dxfId="71" priority="31">
      <formula>ISNUMBER(SEARCH("log it",$Z74))</formula>
    </cfRule>
    <cfRule type="expression" dxfId="70" priority="32">
      <formula>ISNUMBER(SEARCH("Duplicate",$Z74))</formula>
    </cfRule>
    <cfRule type="expression" dxfId="69" priority="33">
      <formula>$Z74&lt;&gt;""</formula>
    </cfRule>
  </conditionalFormatting>
  <conditionalFormatting sqref="AB2:AB73">
    <cfRule type="expression" dxfId="68" priority="47">
      <formula>$AB2="Yes"</formula>
    </cfRule>
  </conditionalFormatting>
  <conditionalFormatting sqref="AB73">
    <cfRule type="expression" dxfId="67" priority="105">
      <formula>LEFT($AB73,3)="Yes"</formula>
    </cfRule>
  </conditionalFormatting>
  <conditionalFormatting sqref="AC73">
    <cfRule type="expression" dxfId="66" priority="111">
      <formula>ISNUMBER(SEARCH("Open rework",$AC73))</formula>
    </cfRule>
    <cfRule type="expression" dxfId="65" priority="112">
      <formula>ISNUMBER(SEARCH("Move old",$AC73))</formula>
    </cfRule>
    <cfRule type="expression" dxfId="64" priority="113">
      <formula>ISNUMBER(SEARCH("log it",$AC73))</formula>
    </cfRule>
    <cfRule type="expression" dxfId="63" priority="114">
      <formula>ISNUMBER(SEARCH("Duplicate",$AC73))</formula>
    </cfRule>
    <cfRule type="expression" dxfId="62" priority="115">
      <formula>$AC73&lt;&gt;""</formula>
    </cfRule>
  </conditionalFormatting>
  <conditionalFormatting sqref="AF2:AF73">
    <cfRule type="expression" dxfId="61" priority="49">
      <formula>LEFT($AF2,3)="Yes"</formula>
    </cfRule>
  </conditionalFormatting>
  <conditionalFormatting sqref="AG2:AG73">
    <cfRule type="expression" dxfId="60" priority="55">
      <formula>ISNUMBER(SEARCH("log it",$AG2))</formula>
    </cfRule>
    <cfRule type="expression" dxfId="59" priority="56">
      <formula>ISNUMBER(SEARCH("Open rework",$AG2))</formula>
    </cfRule>
    <cfRule type="expression" dxfId="58" priority="57">
      <formula>ISNUMBER(SEARCH("Move old",$AG2))</formula>
    </cfRule>
    <cfRule type="expression" dxfId="57" priority="58">
      <formula>ISNUMBER(SEARCH("Duplicate",$AG2))</formula>
    </cfRule>
    <cfRule type="expression" dxfId="56" priority="59">
      <formula>$AG2&lt;&gt;""</formula>
    </cfRule>
  </conditionalFormatting>
  <conditionalFormatting sqref="M73:O73">
    <cfRule type="expression" dxfId="55" priority="278">
      <formula>$AA73="Yes – needs PBI Dev to fix"</formula>
    </cfRule>
  </conditionalFormatting>
  <conditionalFormatting sqref="M74:O499">
    <cfRule type="expression" dxfId="54" priority="280">
      <formula>$Y74="Yes – needs PBI Dev to fix"</formula>
    </cfRule>
  </conditionalFormatting>
  <conditionalFormatting sqref="K41">
    <cfRule type="expression" dxfId="53" priority="284">
      <formula>AND($B41&lt;&gt;"",MOD(ROW(),2)=0)</formula>
    </cfRule>
    <cfRule type="expression" dxfId="52" priority="285">
      <formula>$AF41="Yes – needs DB Dev to fix"</formula>
    </cfRule>
  </conditionalFormatting>
  <conditionalFormatting sqref="K42">
    <cfRule type="expression" dxfId="51" priority="286">
      <formula>AND($B41&lt;&gt;"",MOD(ROW(),2)=0)</formula>
    </cfRule>
    <cfRule type="expression" dxfId="50" priority="287">
      <formula>$AF41="Yes – needs DB Dev to fix"</formula>
    </cfRule>
  </conditionalFormatting>
  <conditionalFormatting sqref="Y3">
    <cfRule type="expression" dxfId="49" priority="288">
      <formula>AND($B3&lt;&gt;"",MOD(ROW(),2)=0)</formula>
    </cfRule>
    <cfRule type="expression" dxfId="48" priority="289">
      <formula>$AF3="Yes – needs DPO Approval to fix"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AC2:AC72 H2:H499 Y2:Y73 Z2:Z72 K2:M499 P74:R499 V2:X72 P2:U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J2:J499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187</v>
      </c>
    </row>
    <row r="2" spans="1:5">
      <c r="A2" s="6" t="s">
        <v>188</v>
      </c>
    </row>
    <row r="4" spans="1:5" ht="21.95" customHeight="1">
      <c r="A4" s="5" t="s">
        <v>189</v>
      </c>
      <c r="B4" s="76"/>
      <c r="C4" s="77"/>
      <c r="D4" s="77"/>
      <c r="E4" s="77"/>
    </row>
    <row r="6" spans="1:5">
      <c r="A6" s="42" t="s">
        <v>0</v>
      </c>
      <c r="B6" s="74" t="str">
        <f>IF($B$4="","",IFERROR(INDEX('Combined Delivery Data'!$A:$A,MATCH($B$4,'Combined Delivery Data'!$B:$B,0)),""))</f>
        <v/>
      </c>
      <c r="C6" s="78"/>
      <c r="D6" s="78"/>
      <c r="E6" s="79"/>
    </row>
    <row r="7" spans="1:5">
      <c r="A7" s="42" t="s">
        <v>2</v>
      </c>
      <c r="B7" s="74" t="str">
        <f>IF($B$4="","",IFERROR(INDEX('Combined Delivery Data'!$C:$C,MATCH($B$4,'Combined Delivery Data'!$B:$B,0)),""))</f>
        <v/>
      </c>
      <c r="C7" s="78"/>
      <c r="D7" s="78"/>
      <c r="E7" s="79"/>
    </row>
    <row r="8" spans="1:5">
      <c r="A8" s="42" t="s">
        <v>3</v>
      </c>
      <c r="B8" s="74" t="str">
        <f>IF($B$4="","",IFERROR(INDEX('Combined Delivery Data'!$D:$D,MATCH($B$4,'Combined Delivery Data'!$B:$B,0)),""))</f>
        <v/>
      </c>
      <c r="C8" s="78"/>
      <c r="D8" s="78"/>
      <c r="E8" s="79"/>
    </row>
    <row r="9" spans="1:5">
      <c r="A9" s="42" t="s">
        <v>4</v>
      </c>
      <c r="B9" s="74" t="str">
        <f>IF($B$4="","",IFERROR(INDEX('Combined Delivery Data'!$E:$E,MATCH($B$4,'Combined Delivery Data'!$B:$B,0)),""))</f>
        <v/>
      </c>
      <c r="C9" s="78"/>
      <c r="D9" s="78"/>
      <c r="E9" s="79"/>
    </row>
    <row r="10" spans="1:5">
      <c r="A10" s="42" t="s">
        <v>5</v>
      </c>
      <c r="B10" s="74" t="str">
        <f>IF($B$4="","",IFERROR(INDEX('Combined Delivery Data'!$F:$F,MATCH($B$4,'Combined Delivery Data'!$B:$B,0)),""))</f>
        <v/>
      </c>
      <c r="C10" s="78"/>
      <c r="D10" s="78"/>
      <c r="E10" s="79"/>
    </row>
    <row r="11" spans="1:5">
      <c r="A11" s="42" t="s">
        <v>9</v>
      </c>
      <c r="B11" s="74" t="str">
        <f>IF($B$4="","",IFERROR(INDEX('Combined Delivery Data'!$J:$J,MATCH($B$4,'Combined Delivery Data'!$B:$B,0)),""))</f>
        <v/>
      </c>
      <c r="C11" s="78"/>
      <c r="D11" s="78"/>
      <c r="E11" s="79"/>
    </row>
    <row r="12" spans="1:5">
      <c r="A12" s="42" t="s">
        <v>14</v>
      </c>
      <c r="B12" s="74" t="str">
        <f>IF($B$4="","",IFERROR(INDEX('Combined Delivery Data'!$O:$O,MATCH($B$4,'Combined Delivery Data'!$B:$B,0)),""))</f>
        <v/>
      </c>
      <c r="C12" s="78"/>
      <c r="D12" s="78"/>
      <c r="E12" s="79"/>
    </row>
    <row r="13" spans="1:5">
      <c r="A13" s="42" t="s">
        <v>19</v>
      </c>
      <c r="B13" s="74" t="str">
        <f>IF($B$4="","",IFERROR(INDEX('Combined Delivery Data'!$T:$T,MATCH($B$4,'Combined Delivery Data'!$B:$B,0)),""))</f>
        <v/>
      </c>
      <c r="C13" s="78"/>
      <c r="D13" s="78"/>
      <c r="E13" s="79"/>
    </row>
    <row r="14" spans="1:5">
      <c r="A14" s="42" t="s">
        <v>190</v>
      </c>
      <c r="B14" s="73" t="str">
        <f>IF($B$4="","",IFERROR(INDEX('Combined Delivery Data'!$K:$K,MATCH($B$4,'Combined Delivery Data'!$B:$B,0)),""))</f>
        <v/>
      </c>
      <c r="C14" s="78"/>
      <c r="D14" s="78"/>
      <c r="E14" s="79"/>
    </row>
    <row r="15" spans="1:5">
      <c r="A15" s="42" t="s">
        <v>191</v>
      </c>
      <c r="B15" s="73" t="str">
        <f>IF($B$4="","",IFERROR(INDEX('Combined Delivery Data'!$L:$L,MATCH($B$4,'Combined Delivery Data'!$B:$B,0)),""))</f>
        <v/>
      </c>
      <c r="C15" s="78"/>
      <c r="D15" s="78"/>
      <c r="E15" s="79"/>
    </row>
    <row r="16" spans="1:5">
      <c r="A16" s="42" t="s">
        <v>192</v>
      </c>
      <c r="B16" s="73" t="str">
        <f>IF($B$4="","",IFERROR(INDEX('Combined Delivery Data'!$M:$M,MATCH($B$4,'Combined Delivery Data'!$B:$B,0)),""))</f>
        <v/>
      </c>
      <c r="C16" s="78"/>
      <c r="D16" s="78"/>
      <c r="E16" s="79"/>
    </row>
    <row r="17" spans="1:5">
      <c r="A17" s="42" t="s">
        <v>193</v>
      </c>
      <c r="B17" s="73" t="str">
        <f>IF($B$4="","",IFERROR(INDEX('Combined Delivery Data'!$N:$N,MATCH($B$4,'Combined Delivery Data'!$B:$B,0)),""))</f>
        <v/>
      </c>
      <c r="C17" s="78"/>
      <c r="D17" s="78"/>
      <c r="E17" s="79"/>
    </row>
    <row r="18" spans="1:5">
      <c r="A18" s="42" t="s">
        <v>194</v>
      </c>
      <c r="B18" s="73" t="str">
        <f>IF($B$4="","",IFERROR(INDEX('Combined Delivery Data'!$P:$P,MATCH($B$4,'Combined Delivery Data'!$B:$B,0)),""))</f>
        <v/>
      </c>
      <c r="C18" s="78"/>
      <c r="D18" s="78"/>
      <c r="E18" s="79"/>
    </row>
    <row r="19" spans="1:5">
      <c r="A19" s="42" t="s">
        <v>195</v>
      </c>
      <c r="B19" s="73" t="str">
        <f>IF($B$4="","",IFERROR(INDEX('Combined Delivery Data'!$Q:$Q,MATCH($B$4,'Combined Delivery Data'!$B:$B,0)),""))</f>
        <v/>
      </c>
      <c r="C19" s="78"/>
      <c r="D19" s="78"/>
      <c r="E19" s="79"/>
    </row>
    <row r="20" spans="1:5">
      <c r="A20" s="42" t="s">
        <v>196</v>
      </c>
      <c r="B20" s="73" t="str">
        <f>IF($B$4="","",IFERROR(INDEX('Combined Delivery Data'!$R:$R,MATCH($B$4,'Combined Delivery Data'!$B:$B,0)),""))</f>
        <v/>
      </c>
      <c r="C20" s="78"/>
      <c r="D20" s="78"/>
      <c r="E20" s="79"/>
    </row>
    <row r="21" spans="1:5">
      <c r="A21" s="42" t="s">
        <v>26</v>
      </c>
      <c r="B21" s="74" t="str">
        <f>IF($B$4="","",IFERROR(INDEX('Combined Delivery Data'!$S:$S,MATCH($B$4,'Combined Delivery Data'!$B:$B,0)),""))</f>
        <v/>
      </c>
      <c r="C21" s="78"/>
      <c r="D21" s="78"/>
      <c r="E21" s="79"/>
    </row>
    <row r="22" spans="1:5">
      <c r="A22" s="42" t="s">
        <v>27</v>
      </c>
      <c r="B22" s="74" t="str">
        <f>IF($B$4="","",IFERROR(INDEX('Combined Delivery Data'!$U:$U,MATCH($B$4,'Combined Delivery Data'!$B:$B,0)),""))</f>
        <v/>
      </c>
      <c r="C22" s="78"/>
      <c r="D22" s="78"/>
      <c r="E22" s="79"/>
    </row>
    <row r="23" spans="1:5">
      <c r="A23" s="42" t="s">
        <v>28</v>
      </c>
      <c r="B23" s="73" t="str">
        <f>IF($B$4="","",IFERROR(INDEX('Combined Delivery Data'!$V:$V,MATCH($B$4,'Combined Delivery Data'!$B:$B,0)),""))</f>
        <v/>
      </c>
      <c r="C23" s="78"/>
      <c r="D23" s="78"/>
      <c r="E23" s="79"/>
    </row>
    <row r="24" spans="1:5">
      <c r="A24" s="42" t="s">
        <v>31</v>
      </c>
      <c r="B24" s="74" t="str">
        <f>IF($B$4="","",IFERROR(INDEX('Combined Delivery Data'!$Y:$Y,MATCH($B$4,'Combined Delivery Data'!$B:$B,0)),""))</f>
        <v/>
      </c>
      <c r="C24" s="78"/>
      <c r="D24" s="78"/>
      <c r="E24" s="79"/>
    </row>
    <row r="25" spans="1:5">
      <c r="A25" s="42" t="s">
        <v>32</v>
      </c>
      <c r="B25" s="74" t="str">
        <f>IF($B$4="","",IFERROR(INDEX('Combined Delivery Data'!$Z:$Z,MATCH($B$4,'Combined Delivery Data'!$B:$B,0)),""))</f>
        <v/>
      </c>
      <c r="C25" s="78"/>
      <c r="D25" s="78"/>
      <c r="E25" s="79"/>
    </row>
    <row r="26" spans="1:5">
      <c r="A26" s="42" t="s">
        <v>197</v>
      </c>
      <c r="B26" s="74" t="str">
        <f>IF($B$4="","",IFERROR(INDEX('Rework Log'!$Q:$Q,MATCH($B$4,'Rework Log'!$P:$P,0)),""))</f>
        <v/>
      </c>
      <c r="C26" s="78"/>
      <c r="D26" s="78"/>
      <c r="E26" s="79"/>
    </row>
    <row r="27" spans="1:5">
      <c r="A27" s="42" t="s">
        <v>198</v>
      </c>
      <c r="B27" s="74" t="str">
        <f>IF($B$4="","",IFERROR(INDEX('Rework Log'!$R:$R,MATCH($B$4,'Rework Log'!$P:$P,0)),""))</f>
        <v/>
      </c>
      <c r="C27" s="78"/>
      <c r="D27" s="78"/>
      <c r="E27" s="79"/>
    </row>
    <row r="28" spans="1:5">
      <c r="A28" s="42" t="s">
        <v>199</v>
      </c>
      <c r="B28" s="74" t="str">
        <f>IF($B$4="","",IFERROR(INDEX('Rework Log'!$S:$S,MATCH($B$4,'Rework Log'!$P:$P,0)),""))</f>
        <v/>
      </c>
      <c r="C28" s="78"/>
      <c r="D28" s="78"/>
      <c r="E28" s="79"/>
    </row>
    <row r="29" spans="1:5">
      <c r="A29" s="42" t="s">
        <v>200</v>
      </c>
      <c r="B29" s="74" t="str">
        <f>IF($B$4="","",IFERROR(INDEX('Rework Log'!$T:$T,MATCH($B$4,'Rework Log'!$P:$P,0)),""))</f>
        <v/>
      </c>
      <c r="C29" s="78"/>
      <c r="D29" s="78"/>
      <c r="E29" s="79"/>
    </row>
    <row r="30" spans="1:5" ht="15.6" customHeight="1">
      <c r="A30" s="42"/>
      <c r="B30" s="74"/>
      <c r="C30" s="78"/>
      <c r="D30" s="78"/>
      <c r="E30" s="79"/>
    </row>
    <row r="31" spans="1:5" ht="15.6" customHeight="1">
      <c r="A31" s="5" t="s">
        <v>33</v>
      </c>
      <c r="B31" s="80" t="str">
        <f>IF($B$4="","",IFERROR(INDEX('Combined Delivery Data'!$AA:$AA,MATCH($B$4,'Combined Delivery Data'!$B:$B,0)),""))</f>
        <v/>
      </c>
      <c r="C31" s="77"/>
      <c r="D31" s="77"/>
      <c r="E31" s="77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J3" sqref="J3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5703125" customWidth="1"/>
    <col min="8" max="8" width="23.140625" customWidth="1"/>
    <col min="9" max="9" width="17.570312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5" t="s">
        <v>201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P1" s="81" t="s">
        <v>202</v>
      </c>
      <c r="Q1" s="77"/>
      <c r="R1" s="77"/>
      <c r="S1" s="77"/>
      <c r="T1" s="77"/>
    </row>
    <row r="2" spans="1:20" ht="30" customHeight="1">
      <c r="A2" s="17" t="s">
        <v>1</v>
      </c>
      <c r="B2" s="17" t="s">
        <v>203</v>
      </c>
      <c r="C2" s="17" t="s">
        <v>204</v>
      </c>
      <c r="D2" s="17" t="s">
        <v>205</v>
      </c>
      <c r="E2" s="17" t="s">
        <v>206</v>
      </c>
      <c r="F2" s="17" t="s">
        <v>207</v>
      </c>
      <c r="G2" s="17" t="s">
        <v>208</v>
      </c>
      <c r="H2" s="30" t="s">
        <v>209</v>
      </c>
      <c r="I2" s="30" t="s">
        <v>210</v>
      </c>
      <c r="J2" s="30" t="s">
        <v>211</v>
      </c>
      <c r="K2" s="30" t="s">
        <v>212</v>
      </c>
      <c r="L2" s="30" t="s">
        <v>213</v>
      </c>
      <c r="M2" s="21" t="s">
        <v>214</v>
      </c>
      <c r="N2" s="21" t="s">
        <v>215</v>
      </c>
      <c r="P2" s="13" t="s">
        <v>1</v>
      </c>
      <c r="Q2" s="13" t="s">
        <v>197</v>
      </c>
      <c r="R2" s="13" t="s">
        <v>198</v>
      </c>
      <c r="S2" s="13" t="s">
        <v>199</v>
      </c>
      <c r="T2" s="13" t="s">
        <v>200</v>
      </c>
    </row>
    <row r="3" spans="1:20" ht="15">
      <c r="A3" s="33" t="s">
        <v>130</v>
      </c>
      <c r="B3" s="36">
        <v>46230</v>
      </c>
      <c r="C3" s="33" t="s">
        <v>114</v>
      </c>
      <c r="D3" s="33" t="s">
        <v>122</v>
      </c>
      <c r="E3" s="33" t="s">
        <v>132</v>
      </c>
      <c r="F3" s="33" t="s">
        <v>216</v>
      </c>
      <c r="G3" s="33" t="s">
        <v>45</v>
      </c>
      <c r="H3" s="36"/>
      <c r="I3" s="54"/>
      <c r="J3" s="54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17 d</v>
      </c>
      <c r="N3" t="s">
        <v>42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ht="15">
      <c r="A4" s="31" t="s">
        <v>139</v>
      </c>
      <c r="B4" s="32">
        <v>46237</v>
      </c>
      <c r="C4" s="31" t="s">
        <v>114</v>
      </c>
      <c r="D4" s="31" t="s">
        <v>122</v>
      </c>
      <c r="E4" s="31" t="s">
        <v>132</v>
      </c>
      <c r="F4" s="31" t="s">
        <v>217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10 d</v>
      </c>
      <c r="N4" t="s">
        <v>218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 ht="15">
      <c r="A5" s="55" t="s">
        <v>113</v>
      </c>
      <c r="B5" s="32">
        <v>46238</v>
      </c>
      <c r="C5" s="31" t="s">
        <v>114</v>
      </c>
      <c r="D5" s="31" t="s">
        <v>122</v>
      </c>
      <c r="E5" s="31" t="s">
        <v>115</v>
      </c>
      <c r="F5" s="31" t="s">
        <v>219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9 d</v>
      </c>
      <c r="N5" t="s">
        <v>42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 ht="15">
      <c r="A6" s="55" t="s">
        <v>127</v>
      </c>
      <c r="B6" s="32">
        <v>46234</v>
      </c>
      <c r="C6" s="31" t="s">
        <v>114</v>
      </c>
      <c r="D6" s="31" t="s">
        <v>122</v>
      </c>
      <c r="E6" s="31" t="s">
        <v>115</v>
      </c>
      <c r="F6" s="31" t="s">
        <v>220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13 d</v>
      </c>
      <c r="N6" t="s">
        <v>42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 ht="15">
      <c r="A7" s="55" t="s">
        <v>119</v>
      </c>
      <c r="B7" s="32">
        <v>46239</v>
      </c>
      <c r="C7" s="31" t="s">
        <v>114</v>
      </c>
      <c r="D7" s="31" t="s">
        <v>122</v>
      </c>
      <c r="E7" s="31" t="s">
        <v>115</v>
      </c>
      <c r="F7" s="31" t="s">
        <v>221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8 d</v>
      </c>
      <c r="N7" t="s">
        <v>42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 ht="15">
      <c r="A8" s="31"/>
      <c r="B8" s="32"/>
      <c r="C8" s="31" t="s">
        <v>114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 ht="15">
      <c r="A9" s="31"/>
      <c r="B9" s="32"/>
      <c r="C9" s="31" t="s">
        <v>114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 ht="15">
      <c r="A10" s="31"/>
      <c r="B10" s="32"/>
      <c r="C10" s="31" t="s">
        <v>114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 ht="15">
      <c r="A11" s="31"/>
      <c r="B11" s="32"/>
      <c r="C11" s="31" t="s">
        <v>114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 ht="15">
      <c r="A12" s="31"/>
      <c r="B12" s="32"/>
      <c r="C12" s="31" t="s">
        <v>114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 ht="15">
      <c r="A13" s="31"/>
      <c r="B13" s="32"/>
      <c r="C13" s="31" t="s">
        <v>114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 ht="15">
      <c r="A14" s="31"/>
      <c r="B14" s="32"/>
      <c r="C14" s="31" t="s">
        <v>114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 ht="15">
      <c r="A15" s="31"/>
      <c r="B15" s="32"/>
      <c r="C15" s="31" t="s">
        <v>114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 ht="15">
      <c r="A16" s="31"/>
      <c r="B16" s="32"/>
      <c r="C16" s="31" t="s">
        <v>114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 ht="15">
      <c r="A17" s="31"/>
      <c r="B17" s="32"/>
      <c r="C17" s="31" t="s">
        <v>114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 ht="15">
      <c r="A18" s="31"/>
      <c r="B18" s="32"/>
      <c r="C18" s="31" t="s">
        <v>114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 ht="15">
      <c r="A19" s="31"/>
      <c r="B19" s="32"/>
      <c r="C19" s="31" t="s">
        <v>114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 ht="15">
      <c r="A20" s="31"/>
      <c r="B20" s="32"/>
      <c r="C20" s="31" t="s">
        <v>114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 ht="15">
      <c r="A21" s="31"/>
      <c r="B21" s="32"/>
      <c r="C21" s="31" t="s">
        <v>114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 ht="15">
      <c r="A22" s="31"/>
      <c r="B22" s="32"/>
      <c r="C22" s="31" t="s">
        <v>114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 ht="15">
      <c r="A23" s="31"/>
      <c r="B23" s="32"/>
      <c r="C23" s="31" t="s">
        <v>114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 ht="15">
      <c r="A24" s="31"/>
      <c r="B24" s="32"/>
      <c r="C24" s="31" t="s">
        <v>114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 ht="15">
      <c r="A25" s="31"/>
      <c r="B25" s="32"/>
      <c r="C25" s="31" t="s">
        <v>114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 ht="15">
      <c r="A26" s="31"/>
      <c r="B26" s="32"/>
      <c r="C26" s="31" t="s">
        <v>114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 ht="15">
      <c r="A27" s="31"/>
      <c r="B27" s="32"/>
      <c r="C27" s="31" t="s">
        <v>114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 ht="15">
      <c r="A28" s="31"/>
      <c r="B28" s="32"/>
      <c r="C28" s="31" t="s">
        <v>114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 ht="15">
      <c r="A29" s="31"/>
      <c r="B29" s="32"/>
      <c r="C29" s="31" t="s">
        <v>114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 ht="15">
      <c r="A30" s="31"/>
      <c r="B30" s="32"/>
      <c r="C30" s="31" t="s">
        <v>114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 ht="15">
      <c r="A31" s="31"/>
      <c r="B31" s="32"/>
      <c r="C31" s="31" t="s">
        <v>114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1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 ht="15">
      <c r="A32" s="31"/>
      <c r="B32" s="32"/>
      <c r="C32" s="31" t="s">
        <v>114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1</v>
      </c>
      <c r="R32">
        <f>IF($P32="","",SUMPRODUCT(($A$3:$A$500=$P32)*($G$3:$G$500&lt;&gt;"Yes")*($G$3:$G$500&lt;&gt;"Did not pass re-test")))</f>
        <v>1</v>
      </c>
      <c r="S32" s="28">
        <f>IF($P32="","",IF(SUMPRODUCT(MAX(($A$3:$A$500=$P32)*ROW($A$3:$A$500)))=0,"",INDEX($B:$B,SUMPRODUCT(MAX(($A$3:$A$500=$P32)*ROW($A$3:$A$500))))))</f>
        <v>46239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 ht="15">
      <c r="A33" s="31"/>
      <c r="B33" s="32"/>
      <c r="C33" s="31" t="s">
        <v>114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 ht="15">
      <c r="A34" s="31"/>
      <c r="B34" s="32"/>
      <c r="C34" s="31" t="s">
        <v>114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0</v>
      </c>
      <c r="R34">
        <f>IF($P34="","",SUMPRODUCT(($A$3:$A$500=$P34)*($G$3:$G$500&lt;&gt;"Yes")*($G$3:$G$500&lt;&gt;"Did not pass re-test")))</f>
        <v>0</v>
      </c>
      <c r="S34" s="28" t="str">
        <f>IF($P34="","",IF(SUMPRODUCT(MAX(($A$3:$A$500=$P34)*ROW($A$3:$A$500)))=0,"",INDEX($B:$B,SUMPRODUCT(MAX(($A$3:$A$500=$P34)*ROW($A$3:$A$500))))))</f>
        <v/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/>
      </c>
    </row>
    <row r="35" spans="1:20" ht="15">
      <c r="A35" s="31"/>
      <c r="B35" s="32"/>
      <c r="C35" s="31" t="s">
        <v>114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1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 ht="15">
      <c r="A36" s="31"/>
      <c r="B36" s="32"/>
      <c r="C36" s="31" t="s">
        <v>114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1</v>
      </c>
      <c r="R36">
        <f>IF($P36="","",SUMPRODUCT(($A$3:$A$500=$P36)*($G$3:$G$500&lt;&gt;"Yes")*($G$3:$G$500&lt;&gt;"Did not pass re-test")))</f>
        <v>1</v>
      </c>
      <c r="S36" s="28">
        <f>IF($P36="","",IF(SUMPRODUCT(MAX(($A$3:$A$500=$P36)*ROW($A$3:$A$500)))=0,"",INDEX($B:$B,SUMPRODUCT(MAX(($A$3:$A$500=$P36)*ROW($A$3:$A$500))))))</f>
        <v>46230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 ht="15">
      <c r="A37" s="31"/>
      <c r="B37" s="32"/>
      <c r="C37" s="31" t="s">
        <v>114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0</v>
      </c>
      <c r="R37">
        <f>IF($P37="","",SUMPRODUCT(($A$3:$A$500=$P37)*($G$3:$G$500&lt;&gt;"Yes")*($G$3:$G$500&lt;&gt;"Did not pass re-test")))</f>
        <v>0</v>
      </c>
      <c r="S37" s="28" t="str">
        <f>IF($P37="","",IF(SUMPRODUCT(MAX(($A$3:$A$500=$P37)*ROW($A$3:$A$500)))=0,"",INDEX($B:$B,SUMPRODUCT(MAX(($A$3:$A$500=$P37)*ROW($A$3:$A$500))))))</f>
        <v/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/>
      </c>
    </row>
    <row r="38" spans="1:20" ht="15">
      <c r="A38" s="31"/>
      <c r="B38" s="32"/>
      <c r="C38" s="31" t="s">
        <v>114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0</v>
      </c>
      <c r="R38">
        <f>IF($P38="","",SUMPRODUCT(($A$3:$A$500=$P38)*($G$3:$G$500&lt;&gt;"Yes")*($G$3:$G$500&lt;&gt;"Did not pass re-test")))</f>
        <v>0</v>
      </c>
      <c r="S38" s="28" t="str">
        <f>IF($P38="","",IF(SUMPRODUCT(MAX(($A$3:$A$500=$P38)*ROW($A$3:$A$500)))=0,"",INDEX($B:$B,SUMPRODUCT(MAX(($A$3:$A$500=$P38)*ROW($A$3:$A$500))))))</f>
        <v/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/>
      </c>
    </row>
    <row r="39" spans="1:20" ht="15">
      <c r="A39" s="31"/>
      <c r="B39" s="32"/>
      <c r="C39" s="31" t="s">
        <v>114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0</v>
      </c>
      <c r="R39">
        <f>IF($P39="","",SUMPRODUCT(($A$3:$A$500=$P39)*($G$3:$G$500&lt;&gt;"Yes")*($G$3:$G$500&lt;&gt;"Did not pass re-test")))</f>
        <v>0</v>
      </c>
      <c r="S39" s="28" t="str">
        <f>IF($P39="","",IF(SUMPRODUCT(MAX(($A$3:$A$500=$P39)*ROW($A$3:$A$500)))=0,"",INDEX($B:$B,SUMPRODUCT(MAX(($A$3:$A$500=$P39)*ROW($A$3:$A$500))))))</f>
        <v/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/>
      </c>
    </row>
    <row r="40" spans="1:20" ht="15">
      <c r="A40" s="31"/>
      <c r="B40" s="32"/>
      <c r="C40" s="31" t="s">
        <v>114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1</v>
      </c>
      <c r="R40">
        <f>IF($P40="","",SUMPRODUCT(($A$3:$A$500=$P40)*($G$3:$G$500&lt;&gt;"Yes")*($G$3:$G$500&lt;&gt;"Did not pass re-test")))</f>
        <v>1</v>
      </c>
      <c r="S40" s="28">
        <f>IF($P40="","",IF(SUMPRODUCT(MAX(($A$3:$A$500=$P40)*ROW($A$3:$A$500)))=0,"",INDEX($B:$B,SUMPRODUCT(MAX(($A$3:$A$500=$P40)*ROW($A$3:$A$500))))))</f>
        <v>46237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 ht="15">
      <c r="A41" s="31"/>
      <c r="B41" s="32"/>
      <c r="C41" s="31" t="s">
        <v>114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0</v>
      </c>
      <c r="R41">
        <f>IF($P41="","",SUMPRODUCT(($A$3:$A$500=$P41)*($G$3:$G$500&lt;&gt;"Yes")*($G$3:$G$500&lt;&gt;"Did not pass re-test")))</f>
        <v>0</v>
      </c>
      <c r="S41" s="28" t="str">
        <f>IF($P41="","",IF(SUMPRODUCT(MAX(($A$3:$A$500=$P41)*ROW($A$3:$A$500)))=0,"",INDEX($B:$B,SUMPRODUCT(MAX(($A$3:$A$500=$P41)*ROW($A$3:$A$500))))))</f>
        <v/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/>
      </c>
    </row>
    <row r="42" spans="1:20" ht="15">
      <c r="A42" s="31"/>
      <c r="B42" s="32"/>
      <c r="C42" s="31" t="s">
        <v>114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 ht="15">
      <c r="A43" s="31"/>
      <c r="B43" s="32"/>
      <c r="C43" s="31" t="s">
        <v>114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 ht="15">
      <c r="A44" s="31"/>
      <c r="B44" s="32"/>
      <c r="C44" s="31" t="s">
        <v>114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 ht="15">
      <c r="A45" s="31"/>
      <c r="B45" s="32"/>
      <c r="C45" s="31" t="s">
        <v>114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 ht="15">
      <c r="A46" s="31"/>
      <c r="B46" s="32"/>
      <c r="C46" s="31" t="s">
        <v>114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 ht="15">
      <c r="A47" s="31"/>
      <c r="B47" s="32"/>
      <c r="C47" s="31" t="s">
        <v>114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 ht="15">
      <c r="A48" s="31"/>
      <c r="B48" s="32"/>
      <c r="C48" s="31" t="s">
        <v>114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 ht="15">
      <c r="A49" s="31"/>
      <c r="B49" s="32"/>
      <c r="C49" s="31" t="s">
        <v>114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 ht="15">
      <c r="A50" s="31"/>
      <c r="B50" s="32"/>
      <c r="C50" s="31" t="s">
        <v>114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 ht="15">
      <c r="A51" s="31"/>
      <c r="B51" s="32"/>
      <c r="C51" s="31" t="s">
        <v>114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 ht="15">
      <c r="A52" s="31"/>
      <c r="B52" s="32"/>
      <c r="C52" s="31" t="s">
        <v>114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 ht="15">
      <c r="A53" s="31"/>
      <c r="B53" s="32"/>
      <c r="C53" s="31" t="s">
        <v>114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 ht="15">
      <c r="A54" s="31"/>
      <c r="B54" s="32"/>
      <c r="C54" s="31" t="s">
        <v>114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 ht="15">
      <c r="A55" s="31"/>
      <c r="B55" s="32"/>
      <c r="C55" s="31" t="s">
        <v>114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 ht="15">
      <c r="A56" s="31"/>
      <c r="B56" s="32"/>
      <c r="C56" s="31" t="s">
        <v>114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 ht="15">
      <c r="A57" s="31"/>
      <c r="B57" s="32"/>
      <c r="C57" s="31" t="s">
        <v>114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 ht="15">
      <c r="A58" s="31"/>
      <c r="B58" s="32"/>
      <c r="C58" s="31" t="s">
        <v>114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 ht="15">
      <c r="A59" s="31"/>
      <c r="B59" s="32"/>
      <c r="C59" s="31" t="s">
        <v>114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 ht="15">
      <c r="A60" s="31"/>
      <c r="B60" s="32"/>
      <c r="C60" s="31" t="s">
        <v>114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 ht="15">
      <c r="A61" s="31"/>
      <c r="B61" s="32"/>
      <c r="C61" s="31" t="s">
        <v>114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 ht="15">
      <c r="A62" s="31"/>
      <c r="B62" s="32"/>
      <c r="C62" s="31" t="s">
        <v>114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 ht="15">
      <c r="A63" s="31"/>
      <c r="B63" s="32"/>
      <c r="C63" s="31" t="s">
        <v>114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 ht="15">
      <c r="A64" s="31"/>
      <c r="B64" s="32"/>
      <c r="C64" s="31" t="s">
        <v>114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 ht="15">
      <c r="A65" s="31"/>
      <c r="B65" s="32"/>
      <c r="C65" s="31" t="s">
        <v>114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 ht="15">
      <c r="A66" s="31"/>
      <c r="B66" s="32"/>
      <c r="C66" s="31" t="s">
        <v>114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 ht="15">
      <c r="A67" s="31"/>
      <c r="B67" s="32"/>
      <c r="C67" s="31" t="s">
        <v>114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1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ht="15">
      <c r="A68" s="31"/>
      <c r="B68" s="32"/>
      <c r="C68" s="31" t="s">
        <v>114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 ht="15">
      <c r="A69" s="31"/>
      <c r="B69" s="32"/>
      <c r="C69" s="31" t="s">
        <v>114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 ht="15">
      <c r="A70" s="31"/>
      <c r="B70" s="32"/>
      <c r="C70" s="31" t="s">
        <v>114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 ht="15">
      <c r="A71" s="31"/>
      <c r="B71" s="32"/>
      <c r="C71" s="31" t="s">
        <v>114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 ht="15">
      <c r="A72" s="31"/>
      <c r="B72" s="32"/>
      <c r="C72" s="31" t="s">
        <v>114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1"/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 ht="15">
      <c r="A73" s="31"/>
      <c r="B73" s="32"/>
      <c r="C73" s="31" t="s">
        <v>114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 ht="15">
      <c r="A74" s="31"/>
      <c r="B74" s="32"/>
      <c r="C74" s="31" t="s">
        <v>114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 ht="15">
      <c r="A75" s="31"/>
      <c r="B75" s="32"/>
      <c r="C75" s="31" t="s">
        <v>114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"/>
        <v/>
      </c>
      <c r="P75">
        <f>'Combined Delivery Data'!B73</f>
        <v>0</v>
      </c>
      <c r="Q75">
        <f>IF($P75="","",COUNTIF($A$3:$A$500,$P75))</f>
        <v>0</v>
      </c>
      <c r="R75">
        <f>IF($P75="","",SUMPRODUCT(($A$3:$A$500=$P75)*($G$3:$G$500&lt;&gt;"Yes")*($G$3:$G$500&lt;&gt;"Did not pass re-test")))</f>
        <v>493</v>
      </c>
      <c r="S75" s="28">
        <f>IF($P75="","",IF(SUMPRODUCT(MAX(($A$3:$A$500=$P75)*ROW($A$3:$A$500)))=0,"",INDEX($B:$B,SUMPRODUCT(MAX(($A$3:$A$500=$P75)*ROW($A$3:$A$500))))))</f>
        <v>0</v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 xml:space="preserve"> -&gt; </v>
      </c>
    </row>
    <row r="76" spans="1:20" ht="15">
      <c r="A76" s="31"/>
      <c r="B76" s="32"/>
      <c r="C76" s="31" t="s">
        <v>114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"/>
        <v/>
      </c>
      <c r="P76">
        <f>'Combined Delivery Data'!B74</f>
        <v>0</v>
      </c>
      <c r="Q76">
        <f>IF($P76="","",COUNTIF($A$3:$A$500,$P76))</f>
        <v>0</v>
      </c>
      <c r="R76">
        <f>IF($P76="","",SUMPRODUCT(($A$3:$A$500=$P76)*($G$3:$G$500&lt;&gt;"Yes")*($G$3:$G$500&lt;&gt;"Did not pass re-test")))</f>
        <v>493</v>
      </c>
      <c r="S76" s="28">
        <f>IF($P76="","",IF(SUMPRODUCT(MAX(($A$3:$A$500=$P76)*ROW($A$3:$A$500)))=0,"",INDEX($B:$B,SUMPRODUCT(MAX(($A$3:$A$500=$P76)*ROW($A$3:$A$500))))))</f>
        <v>0</v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 xml:space="preserve"> -&gt; </v>
      </c>
    </row>
    <row r="77" spans="1:20" ht="15">
      <c r="A77" s="31"/>
      <c r="B77" s="32"/>
      <c r="C77" s="31" t="s">
        <v>114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"/>
        <v/>
      </c>
      <c r="P77">
        <f>'Combined Delivery Data'!B75</f>
        <v>0</v>
      </c>
      <c r="Q77">
        <f>IF($P77="","",COUNTIF($A$3:$A$500,$P77))</f>
        <v>0</v>
      </c>
      <c r="R77">
        <f>IF($P77="","",SUMPRODUCT(($A$3:$A$500=$P77)*($G$3:$G$500&lt;&gt;"Yes")*($G$3:$G$500&lt;&gt;"Did not pass re-test")))</f>
        <v>493</v>
      </c>
      <c r="S77" s="28">
        <f>IF($P77="","",IF(SUMPRODUCT(MAX(($A$3:$A$500=$P77)*ROW($A$3:$A$500)))=0,"",INDEX($B:$B,SUMPRODUCT(MAX(($A$3:$A$500=$P77)*ROW($A$3:$A$500))))))</f>
        <v>0</v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 xml:space="preserve"> -&gt; </v>
      </c>
    </row>
    <row r="78" spans="1:20" ht="15">
      <c r="A78" s="31"/>
      <c r="B78" s="32"/>
      <c r="C78" s="31" t="s">
        <v>114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"/>
        <v/>
      </c>
      <c r="P78">
        <f>'Combined Delivery Data'!B76</f>
        <v>0</v>
      </c>
      <c r="Q78">
        <f>IF($P78="","",COUNTIF($A$3:$A$500,$P78))</f>
        <v>0</v>
      </c>
      <c r="R78">
        <f>IF($P78="","",SUMPRODUCT(($A$3:$A$500=$P78)*($G$3:$G$500&lt;&gt;"Yes")*($G$3:$G$500&lt;&gt;"Did not pass re-test")))</f>
        <v>493</v>
      </c>
      <c r="S78" s="28">
        <f>IF($P78="","",IF(SUMPRODUCT(MAX(($A$3:$A$500=$P78)*ROW($A$3:$A$500)))=0,"",INDEX($B:$B,SUMPRODUCT(MAX(($A$3:$A$500=$P78)*ROW($A$3:$A$500))))))</f>
        <v>0</v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 xml:space="preserve"> -&gt; </v>
      </c>
    </row>
    <row r="79" spans="1:20" ht="15">
      <c r="A79" s="31"/>
      <c r="B79" s="32"/>
      <c r="C79" s="31" t="s">
        <v>114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"/>
        <v/>
      </c>
      <c r="P79">
        <f>'Combined Delivery Data'!B77</f>
        <v>0</v>
      </c>
      <c r="Q79">
        <f>IF($P79="","",COUNTIF($A$3:$A$500,$P79))</f>
        <v>0</v>
      </c>
      <c r="R79">
        <f>IF($P79="","",SUMPRODUCT(($A$3:$A$500=$P79)*($G$3:$G$500&lt;&gt;"Yes")*($G$3:$G$500&lt;&gt;"Did not pass re-test")))</f>
        <v>493</v>
      </c>
      <c r="S79" s="28">
        <f>IF($P79="","",IF(SUMPRODUCT(MAX(($A$3:$A$500=$P79)*ROW($A$3:$A$500)))=0,"",INDEX($B:$B,SUMPRODUCT(MAX(($A$3:$A$500=$P79)*ROW($A$3:$A$500))))))</f>
        <v>0</v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 xml:space="preserve"> -&gt; </v>
      </c>
    </row>
    <row r="80" spans="1:20" ht="15">
      <c r="A80" s="31"/>
      <c r="B80" s="32"/>
      <c r="C80" s="31" t="s">
        <v>114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"/>
        <v/>
      </c>
      <c r="P80">
        <f>'Combined Delivery Data'!B78</f>
        <v>0</v>
      </c>
      <c r="Q80">
        <f>IF($P80="","",COUNTIF($A$3:$A$500,$P80))</f>
        <v>0</v>
      </c>
      <c r="R80">
        <f>IF($P80="","",SUMPRODUCT(($A$3:$A$500=$P80)*($G$3:$G$500&lt;&gt;"Yes")*($G$3:$G$500&lt;&gt;"Did not pass re-test")))</f>
        <v>493</v>
      </c>
      <c r="S80" s="28">
        <f>IF($P80="","",IF(SUMPRODUCT(MAX(($A$3:$A$500=$P80)*ROW($A$3:$A$500)))=0,"",INDEX($B:$B,SUMPRODUCT(MAX(($A$3:$A$500=$P80)*ROW($A$3:$A$500))))))</f>
        <v>0</v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 xml:space="preserve"> -&gt; </v>
      </c>
    </row>
    <row r="81" spans="1:20" ht="15">
      <c r="A81" s="31"/>
      <c r="B81" s="32"/>
      <c r="C81" s="31" t="s">
        <v>114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"/>
        <v/>
      </c>
      <c r="P81">
        <f>'Combined Delivery Data'!B79</f>
        <v>0</v>
      </c>
      <c r="Q81">
        <f>IF($P81="","",COUNTIF($A$3:$A$500,$P81))</f>
        <v>0</v>
      </c>
      <c r="R81">
        <f>IF($P81="","",SUMPRODUCT(($A$3:$A$500=$P81)*($G$3:$G$500&lt;&gt;"Yes")*($G$3:$G$500&lt;&gt;"Did not pass re-test")))</f>
        <v>493</v>
      </c>
      <c r="S81" s="28">
        <f>IF($P81="","",IF(SUMPRODUCT(MAX(($A$3:$A$500=$P81)*ROW($A$3:$A$500)))=0,"",INDEX($B:$B,SUMPRODUCT(MAX(($A$3:$A$500=$P81)*ROW($A$3:$A$500))))))</f>
        <v>0</v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 xml:space="preserve"> -&gt; </v>
      </c>
    </row>
    <row r="82" spans="1:20" ht="15">
      <c r="A82" s="31"/>
      <c r="B82" s="32"/>
      <c r="C82" s="31" t="s">
        <v>114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"/>
        <v/>
      </c>
      <c r="P82">
        <f>'Combined Delivery Data'!B80</f>
        <v>0</v>
      </c>
      <c r="Q82">
        <f>IF($P82="","",COUNTIF($A$3:$A$500,$P82))</f>
        <v>0</v>
      </c>
      <c r="R82">
        <f>IF($P82="","",SUMPRODUCT(($A$3:$A$500=$P82)*($G$3:$G$500&lt;&gt;"Yes")*($G$3:$G$500&lt;&gt;"Did not pass re-test")))</f>
        <v>493</v>
      </c>
      <c r="S82" s="28">
        <f>IF($P82="","",IF(SUMPRODUCT(MAX(($A$3:$A$500=$P82)*ROW($A$3:$A$500)))=0,"",INDEX($B:$B,SUMPRODUCT(MAX(($A$3:$A$500=$P82)*ROW($A$3:$A$500))))))</f>
        <v>0</v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 xml:space="preserve"> -&gt; </v>
      </c>
    </row>
    <row r="83" spans="1:20" ht="15">
      <c r="A83" s="31"/>
      <c r="B83" s="32"/>
      <c r="C83" s="31" t="s">
        <v>114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"/>
        <v/>
      </c>
      <c r="P83">
        <f>'Combined Delivery Data'!B81</f>
        <v>0</v>
      </c>
      <c r="Q83">
        <f>IF($P83="","",COUNTIF($A$3:$A$500,$P83))</f>
        <v>0</v>
      </c>
      <c r="R83">
        <f>IF($P83="","",SUMPRODUCT(($A$3:$A$500=$P83)*($G$3:$G$500&lt;&gt;"Yes")*($G$3:$G$500&lt;&gt;"Did not pass re-test")))</f>
        <v>493</v>
      </c>
      <c r="S83" s="28">
        <f>IF($P83="","",IF(SUMPRODUCT(MAX(($A$3:$A$500=$P83)*ROW($A$3:$A$500)))=0,"",INDEX($B:$B,SUMPRODUCT(MAX(($A$3:$A$500=$P83)*ROW($A$3:$A$500))))))</f>
        <v>0</v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 xml:space="preserve"> -&gt; </v>
      </c>
    </row>
    <row r="84" spans="1:20" ht="15">
      <c r="A84" s="31"/>
      <c r="B84" s="32"/>
      <c r="C84" s="31" t="s">
        <v>114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"/>
        <v/>
      </c>
      <c r="P84">
        <f>'Combined Delivery Data'!B82</f>
        <v>0</v>
      </c>
      <c r="Q84">
        <f>IF($P84="","",COUNTIF($A$3:$A$500,$P84))</f>
        <v>0</v>
      </c>
      <c r="R84">
        <f>IF($P84="","",SUMPRODUCT(($A$3:$A$500=$P84)*($G$3:$G$500&lt;&gt;"Yes")*($G$3:$G$500&lt;&gt;"Did not pass re-test")))</f>
        <v>493</v>
      </c>
      <c r="S84" s="28">
        <f>IF($P84="","",IF(SUMPRODUCT(MAX(($A$3:$A$500=$P84)*ROW($A$3:$A$500)))=0,"",INDEX($B:$B,SUMPRODUCT(MAX(($A$3:$A$500=$P84)*ROW($A$3:$A$500))))))</f>
        <v>0</v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 xml:space="preserve"> -&gt; </v>
      </c>
    </row>
    <row r="85" spans="1:20" ht="15">
      <c r="A85" s="31"/>
      <c r="B85" s="32"/>
      <c r="C85" s="31" t="s">
        <v>114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"/>
        <v/>
      </c>
      <c r="P85">
        <f>'Combined Delivery Data'!B83</f>
        <v>0</v>
      </c>
      <c r="Q85">
        <f>IF($P85="","",COUNTIF($A$3:$A$500,$P85))</f>
        <v>0</v>
      </c>
      <c r="R85">
        <f>IF($P85="","",SUMPRODUCT(($A$3:$A$500=$P85)*($G$3:$G$500&lt;&gt;"Yes")*($G$3:$G$500&lt;&gt;"Did not pass re-test")))</f>
        <v>493</v>
      </c>
      <c r="S85" s="28">
        <f>IF($P85="","",IF(SUMPRODUCT(MAX(($A$3:$A$500=$P85)*ROW($A$3:$A$500)))=0,"",INDEX($B:$B,SUMPRODUCT(MAX(($A$3:$A$500=$P85)*ROW($A$3:$A$500))))))</f>
        <v>0</v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 xml:space="preserve"> -&gt; </v>
      </c>
    </row>
    <row r="86" spans="1:20" ht="15">
      <c r="A86" s="31"/>
      <c r="B86" s="32"/>
      <c r="C86" s="31" t="s">
        <v>114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"/>
        <v/>
      </c>
      <c r="P86">
        <f>'Combined Delivery Data'!B84</f>
        <v>0</v>
      </c>
      <c r="Q86">
        <f>IF($P86="","",COUNTIF($A$3:$A$500,$P86))</f>
        <v>0</v>
      </c>
      <c r="R86">
        <f>IF($P86="","",SUMPRODUCT(($A$3:$A$500=$P86)*($G$3:$G$500&lt;&gt;"Yes")*($G$3:$G$500&lt;&gt;"Did not pass re-test")))</f>
        <v>493</v>
      </c>
      <c r="S86" s="28">
        <f>IF($P86="","",IF(SUMPRODUCT(MAX(($A$3:$A$500=$P86)*ROW($A$3:$A$500)))=0,"",INDEX($B:$B,SUMPRODUCT(MAX(($A$3:$A$500=$P86)*ROW($A$3:$A$500))))))</f>
        <v>0</v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 xml:space="preserve"> -&gt; </v>
      </c>
    </row>
    <row r="87" spans="1:20" ht="15">
      <c r="A87" s="31"/>
      <c r="B87" s="32"/>
      <c r="C87" s="31" t="s">
        <v>114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"/>
        <v/>
      </c>
      <c r="P87">
        <f>'Combined Delivery Data'!B85</f>
        <v>0</v>
      </c>
      <c r="Q87">
        <f>IF($P87="","",COUNTIF($A$3:$A$500,$P87))</f>
        <v>0</v>
      </c>
      <c r="R87">
        <f>IF($P87="","",SUMPRODUCT(($A$3:$A$500=$P87)*($G$3:$G$500&lt;&gt;"Yes")*($G$3:$G$500&lt;&gt;"Did not pass re-test")))</f>
        <v>493</v>
      </c>
      <c r="S87" s="28">
        <f>IF($P87="","",IF(SUMPRODUCT(MAX(($A$3:$A$500=$P87)*ROW($A$3:$A$500)))=0,"",INDEX($B:$B,SUMPRODUCT(MAX(($A$3:$A$500=$P87)*ROW($A$3:$A$500))))))</f>
        <v>0</v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 xml:space="preserve"> -&gt; </v>
      </c>
    </row>
    <row r="88" spans="1:20" ht="15">
      <c r="A88" s="31"/>
      <c r="B88" s="32"/>
      <c r="C88" s="31" t="s">
        <v>114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"/>
        <v/>
      </c>
      <c r="P88">
        <f>'Combined Delivery Data'!B86</f>
        <v>0</v>
      </c>
      <c r="Q88">
        <f>IF($P88="","",COUNTIF($A$3:$A$500,$P88))</f>
        <v>0</v>
      </c>
      <c r="R88">
        <f>IF($P88="","",SUMPRODUCT(($A$3:$A$500=$P88)*($G$3:$G$500&lt;&gt;"Yes")*($G$3:$G$500&lt;&gt;"Did not pass re-test")))</f>
        <v>493</v>
      </c>
      <c r="S88" s="28">
        <f>IF($P88="","",IF(SUMPRODUCT(MAX(($A$3:$A$500=$P88)*ROW($A$3:$A$500)))=0,"",INDEX($B:$B,SUMPRODUCT(MAX(($A$3:$A$500=$P88)*ROW($A$3:$A$500))))))</f>
        <v>0</v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 xml:space="preserve"> -&gt; </v>
      </c>
    </row>
    <row r="89" spans="1:20" ht="15">
      <c r="A89" s="31"/>
      <c r="B89" s="32"/>
      <c r="C89" s="31" t="s">
        <v>114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"/>
        <v/>
      </c>
      <c r="P89">
        <f>'Combined Delivery Data'!B87</f>
        <v>0</v>
      </c>
      <c r="Q89">
        <f>IF($P89="","",COUNTIF($A$3:$A$500,$P89))</f>
        <v>0</v>
      </c>
      <c r="R89">
        <f>IF($P89="","",SUMPRODUCT(($A$3:$A$500=$P89)*($G$3:$G$500&lt;&gt;"Yes")*($G$3:$G$500&lt;&gt;"Did not pass re-test")))</f>
        <v>493</v>
      </c>
      <c r="S89" s="28">
        <f>IF($P89="","",IF(SUMPRODUCT(MAX(($A$3:$A$500=$P89)*ROW($A$3:$A$500)))=0,"",INDEX($B:$B,SUMPRODUCT(MAX(($A$3:$A$500=$P89)*ROW($A$3:$A$500))))))</f>
        <v>0</v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 xml:space="preserve"> -&gt; </v>
      </c>
    </row>
    <row r="90" spans="1:20" ht="15">
      <c r="A90" s="31"/>
      <c r="B90" s="32"/>
      <c r="C90" s="31" t="s">
        <v>114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"/>
        <v/>
      </c>
      <c r="P90">
        <f>'Combined Delivery Data'!B88</f>
        <v>0</v>
      </c>
      <c r="Q90">
        <f>IF($P90="","",COUNTIF($A$3:$A$500,$P90))</f>
        <v>0</v>
      </c>
      <c r="R90">
        <f>IF($P90="","",SUMPRODUCT(($A$3:$A$500=$P90)*($G$3:$G$500&lt;&gt;"Yes")*($G$3:$G$500&lt;&gt;"Did not pass re-test")))</f>
        <v>493</v>
      </c>
      <c r="S90" s="28">
        <f>IF($P90="","",IF(SUMPRODUCT(MAX(($A$3:$A$500=$P90)*ROW($A$3:$A$500)))=0,"",INDEX($B:$B,SUMPRODUCT(MAX(($A$3:$A$500=$P90)*ROW($A$3:$A$500))))))</f>
        <v>0</v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 xml:space="preserve"> -&gt; </v>
      </c>
    </row>
    <row r="91" spans="1:20" ht="15">
      <c r="A91" s="31"/>
      <c r="B91" s="32"/>
      <c r="C91" s="31" t="s">
        <v>114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"/>
        <v/>
      </c>
      <c r="P91">
        <f>'Combined Delivery Data'!B89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493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 ht="15">
      <c r="A92" s="31"/>
      <c r="B92" s="32"/>
      <c r="C92" s="31" t="s">
        <v>114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"/>
        <v/>
      </c>
      <c r="P92">
        <f>'Combined Delivery Data'!B90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493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 ht="15">
      <c r="A93" s="31"/>
      <c r="B93" s="32"/>
      <c r="C93" s="31" t="s">
        <v>114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"/>
        <v/>
      </c>
      <c r="P93">
        <f>'Combined Delivery Data'!B91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493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 ht="15">
      <c r="A94" s="31"/>
      <c r="B94" s="32"/>
      <c r="C94" s="31" t="s">
        <v>114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"/>
        <v/>
      </c>
      <c r="P94">
        <f>'Combined Delivery Data'!B92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493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 ht="15">
      <c r="A95" s="31"/>
      <c r="B95" s="32"/>
      <c r="C95" s="31" t="s">
        <v>114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"/>
        <v/>
      </c>
      <c r="P95">
        <f>'Combined Delivery Data'!B93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493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 ht="15">
      <c r="A96" s="31"/>
      <c r="B96" s="32"/>
      <c r="C96" s="31" t="s">
        <v>114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"/>
        <v/>
      </c>
      <c r="P96">
        <f>'Combined Delivery Data'!B94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493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 ht="15">
      <c r="A97" s="31"/>
      <c r="B97" s="32"/>
      <c r="C97" s="31" t="s">
        <v>114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"/>
        <v/>
      </c>
      <c r="P97">
        <f>'Combined Delivery Data'!B95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493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 ht="15">
      <c r="A98" s="31"/>
      <c r="B98" s="32"/>
      <c r="C98" s="31" t="s">
        <v>114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"/>
        <v/>
      </c>
      <c r="P98">
        <f>'Combined Delivery Data'!B96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493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 ht="15">
      <c r="A99" s="31"/>
      <c r="B99" s="32"/>
      <c r="C99" s="31" t="s">
        <v>114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"/>
        <v/>
      </c>
      <c r="P99">
        <f>'Combined Delivery Data'!B97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493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 ht="15">
      <c r="A100" s="31"/>
      <c r="B100" s="32"/>
      <c r="C100" s="31" t="s">
        <v>114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"/>
        <v/>
      </c>
      <c r="P100">
        <f>'Combined Delivery Data'!B98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493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 ht="15">
      <c r="A101" s="31"/>
      <c r="B101" s="32"/>
      <c r="C101" s="31" t="s">
        <v>114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"/>
        <v/>
      </c>
      <c r="P101">
        <f>'Combined Delivery Data'!B99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493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 ht="15">
      <c r="A102" s="31"/>
      <c r="B102" s="32"/>
      <c r="C102" s="31" t="s">
        <v>114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"/>
        <v/>
      </c>
      <c r="P102">
        <f>'Combined Delivery Data'!B100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493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 ht="15">
      <c r="A103" s="31"/>
      <c r="B103" s="32"/>
      <c r="C103" s="31" t="s">
        <v>114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"/>
        <v/>
      </c>
      <c r="P103">
        <f>'Combined Delivery Data'!B101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493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 ht="15">
      <c r="A104" s="31"/>
      <c r="B104" s="32"/>
      <c r="C104" s="31" t="s">
        <v>114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"/>
        <v/>
      </c>
      <c r="P104">
        <f>'Combined Delivery Data'!B102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493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 ht="15">
      <c r="A105" s="31"/>
      <c r="B105" s="32"/>
      <c r="C105" s="31" t="s">
        <v>114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"/>
        <v/>
      </c>
      <c r="P105">
        <f>'Combined Delivery Data'!B103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493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 ht="15">
      <c r="A106" s="31"/>
      <c r="B106" s="32"/>
      <c r="C106" s="31" t="s">
        <v>114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"/>
        <v/>
      </c>
      <c r="P106">
        <f>'Combined Delivery Data'!B104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493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 ht="15">
      <c r="A107" s="31"/>
      <c r="B107" s="32"/>
      <c r="C107" s="31" t="s">
        <v>114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"/>
        <v/>
      </c>
      <c r="P107">
        <f>'Combined Delivery Data'!B105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493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 ht="15">
      <c r="A108" s="31"/>
      <c r="B108" s="32"/>
      <c r="C108" s="31" t="s">
        <v>114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"/>
        <v/>
      </c>
      <c r="P108">
        <f>'Combined Delivery Data'!B106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493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 ht="15">
      <c r="A109" s="31"/>
      <c r="B109" s="32"/>
      <c r="C109" s="31" t="s">
        <v>114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"/>
        <v/>
      </c>
      <c r="P109">
        <f>'Combined Delivery Data'!B107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493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 ht="15">
      <c r="A110" s="31"/>
      <c r="B110" s="32"/>
      <c r="C110" s="31" t="s">
        <v>114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"/>
        <v/>
      </c>
      <c r="P110">
        <f>'Combined Delivery Data'!B108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493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 ht="15">
      <c r="A111" s="31"/>
      <c r="B111" s="32"/>
      <c r="C111" s="31" t="s">
        <v>114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"/>
        <v/>
      </c>
      <c r="P111">
        <f>'Combined Delivery Data'!B109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493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 ht="15">
      <c r="A112" s="31"/>
      <c r="B112" s="32"/>
      <c r="C112" s="31" t="s">
        <v>114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"/>
        <v/>
      </c>
      <c r="P112">
        <f>'Combined Delivery Data'!B110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493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 ht="15">
      <c r="A113" s="31"/>
      <c r="B113" s="32"/>
      <c r="C113" s="31" t="s">
        <v>114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"/>
        <v/>
      </c>
      <c r="P113">
        <f>'Combined Delivery Data'!B111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493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 ht="15">
      <c r="A114" s="31"/>
      <c r="B114" s="32"/>
      <c r="C114" s="31" t="s">
        <v>114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"/>
        <v/>
      </c>
      <c r="P114">
        <f>'Combined Delivery Data'!B112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493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 ht="15">
      <c r="A115" s="31"/>
      <c r="B115" s="32"/>
      <c r="C115" s="31" t="s">
        <v>114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"/>
        <v/>
      </c>
      <c r="P115">
        <f>'Combined Delivery Data'!B113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493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 ht="15">
      <c r="A116" s="31"/>
      <c r="B116" s="32"/>
      <c r="C116" s="31" t="s">
        <v>114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"/>
        <v/>
      </c>
      <c r="P116">
        <f>'Combined Delivery Data'!B114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493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 ht="15">
      <c r="A117" s="31"/>
      <c r="B117" s="32"/>
      <c r="C117" s="31" t="s">
        <v>114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"/>
        <v/>
      </c>
      <c r="P117">
        <f>'Combined Delivery Data'!B115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493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 ht="15">
      <c r="A118" s="31"/>
      <c r="B118" s="32"/>
      <c r="C118" s="31" t="s">
        <v>114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"/>
        <v/>
      </c>
      <c r="P118">
        <f>'Combined Delivery Data'!B116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493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 ht="15">
      <c r="A119" s="31"/>
      <c r="B119" s="32"/>
      <c r="C119" s="31" t="s">
        <v>114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"/>
        <v/>
      </c>
      <c r="P119">
        <f>'Combined Delivery Data'!B117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493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 ht="15">
      <c r="A120" s="31"/>
      <c r="B120" s="32"/>
      <c r="C120" s="31" t="s">
        <v>114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"/>
        <v/>
      </c>
      <c r="P120">
        <f>'Combined Delivery Data'!B118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493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 ht="15">
      <c r="A121" s="31"/>
      <c r="B121" s="32"/>
      <c r="C121" s="31" t="s">
        <v>114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"/>
        <v/>
      </c>
      <c r="P121">
        <f>'Combined Delivery Data'!B119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493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 ht="15">
      <c r="A122" s="31"/>
      <c r="B122" s="32"/>
      <c r="C122" s="31" t="s">
        <v>114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"/>
        <v/>
      </c>
      <c r="P122">
        <f>'Combined Delivery Data'!B120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493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 ht="15">
      <c r="A123" s="31"/>
      <c r="B123" s="32"/>
      <c r="C123" s="31" t="s">
        <v>114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"/>
        <v/>
      </c>
      <c r="P123">
        <f>'Combined Delivery Data'!B121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493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 ht="15">
      <c r="A124" s="31"/>
      <c r="B124" s="32"/>
      <c r="C124" s="31" t="s">
        <v>114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"/>
        <v/>
      </c>
      <c r="P124">
        <f>'Combined Delivery Data'!B122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493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 ht="15">
      <c r="A125" s="31"/>
      <c r="B125" s="32"/>
      <c r="C125" s="31" t="s">
        <v>114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"/>
        <v/>
      </c>
      <c r="P125">
        <f>'Combined Delivery Data'!B123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493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 ht="15">
      <c r="A126" s="31"/>
      <c r="B126" s="32"/>
      <c r="C126" s="31" t="s">
        <v>114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"/>
        <v/>
      </c>
      <c r="P126">
        <f>'Combined Delivery Data'!B124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493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 ht="15">
      <c r="A127" s="31"/>
      <c r="B127" s="32"/>
      <c r="C127" s="31" t="s">
        <v>114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"/>
        <v/>
      </c>
      <c r="P127">
        <f>'Combined Delivery Data'!B125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493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 ht="15">
      <c r="A128" s="31"/>
      <c r="B128" s="32"/>
      <c r="C128" s="31" t="s">
        <v>114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"/>
        <v/>
      </c>
      <c r="P128">
        <f>'Combined Delivery Data'!B126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493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 ht="15">
      <c r="A129" s="31"/>
      <c r="B129" s="32"/>
      <c r="C129" s="31" t="s">
        <v>114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"/>
        <v/>
      </c>
      <c r="P129">
        <f>'Combined Delivery Data'!B127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493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 ht="15">
      <c r="A130" s="31"/>
      <c r="B130" s="32"/>
      <c r="C130" s="31" t="s">
        <v>114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"/>
        <v/>
      </c>
      <c r="P130">
        <f>'Combined Delivery Data'!B128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493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 ht="15">
      <c r="A131" s="31"/>
      <c r="B131" s="32"/>
      <c r="C131" s="31" t="s">
        <v>114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2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493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ht="15">
      <c r="A132" s="31"/>
      <c r="B132" s="32"/>
      <c r="C132" s="31" t="s">
        <v>114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2"/>
        <v/>
      </c>
      <c r="P132">
        <f>'Combined Delivery Data'!B130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493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 ht="15">
      <c r="A133" s="31"/>
      <c r="B133" s="32"/>
      <c r="C133" s="31" t="s">
        <v>114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2"/>
        <v/>
      </c>
      <c r="P133">
        <f>'Combined Delivery Data'!B131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493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 ht="15">
      <c r="A134" s="31"/>
      <c r="B134" s="32"/>
      <c r="C134" s="31" t="s">
        <v>114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2"/>
        <v/>
      </c>
      <c r="P134">
        <f>'Combined Delivery Data'!B132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493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 ht="15">
      <c r="A135" s="31"/>
      <c r="B135" s="32"/>
      <c r="C135" s="31" t="s">
        <v>114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2"/>
        <v/>
      </c>
      <c r="P135">
        <f>'Combined Delivery Data'!B133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493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 ht="15">
      <c r="A136" s="31"/>
      <c r="B136" s="32"/>
      <c r="C136" s="31" t="s">
        <v>114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2"/>
        <v/>
      </c>
      <c r="P136">
        <f>'Combined Delivery Data'!B134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493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 ht="15">
      <c r="A137" s="31"/>
      <c r="B137" s="32"/>
      <c r="C137" s="31" t="s">
        <v>114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2"/>
        <v/>
      </c>
      <c r="P137">
        <f>'Combined Delivery Data'!B135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493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 ht="15">
      <c r="A138" s="31"/>
      <c r="B138" s="32"/>
      <c r="C138" s="31" t="s">
        <v>114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2"/>
        <v/>
      </c>
      <c r="P138">
        <f>'Combined Delivery Data'!B136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493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 ht="15">
      <c r="A139" s="31"/>
      <c r="B139" s="32"/>
      <c r="C139" s="31" t="s">
        <v>114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2"/>
        <v/>
      </c>
      <c r="P139">
        <f>'Combined Delivery Data'!B137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493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 ht="15">
      <c r="A140" s="31"/>
      <c r="B140" s="32"/>
      <c r="C140" s="31" t="s">
        <v>114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2"/>
        <v/>
      </c>
      <c r="P140">
        <f>'Combined Delivery Data'!B138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493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 ht="15">
      <c r="A141" s="31"/>
      <c r="B141" s="32"/>
      <c r="C141" s="31" t="s">
        <v>114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2"/>
        <v/>
      </c>
      <c r="P141">
        <f>'Combined Delivery Data'!B139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493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 ht="15">
      <c r="A142" s="31"/>
      <c r="B142" s="32"/>
      <c r="C142" s="31" t="s">
        <v>114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2"/>
        <v/>
      </c>
      <c r="P142">
        <f>'Combined Delivery Data'!B140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493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 ht="15">
      <c r="A143" s="31"/>
      <c r="B143" s="32"/>
      <c r="C143" s="31" t="s">
        <v>114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2"/>
        <v/>
      </c>
      <c r="P143">
        <f>'Combined Delivery Data'!B141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493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 ht="15">
      <c r="A144" s="31"/>
      <c r="B144" s="32"/>
      <c r="C144" s="31" t="s">
        <v>114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2"/>
        <v/>
      </c>
      <c r="P144">
        <f>'Combined Delivery Data'!B142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493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 ht="15">
      <c r="A145" s="31"/>
      <c r="B145" s="32"/>
      <c r="C145" s="31" t="s">
        <v>114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2"/>
        <v/>
      </c>
      <c r="P145">
        <f>'Combined Delivery Data'!B143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493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 ht="15">
      <c r="A146" s="31"/>
      <c r="B146" s="32"/>
      <c r="C146" s="31" t="s">
        <v>114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2"/>
        <v/>
      </c>
      <c r="P146">
        <f>'Combined Delivery Data'!B144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493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 ht="15">
      <c r="A147" s="31"/>
      <c r="B147" s="32"/>
      <c r="C147" s="31" t="s">
        <v>114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2"/>
        <v/>
      </c>
      <c r="P147">
        <f>'Combined Delivery Data'!B145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493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 ht="15">
      <c r="A148" s="31"/>
      <c r="B148" s="32"/>
      <c r="C148" s="31" t="s">
        <v>114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2"/>
        <v/>
      </c>
      <c r="P148">
        <f>'Combined Delivery Data'!B146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493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 ht="15">
      <c r="A149" s="31"/>
      <c r="B149" s="32"/>
      <c r="C149" s="31" t="s">
        <v>114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2"/>
        <v/>
      </c>
      <c r="P149">
        <f>'Combined Delivery Data'!B147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493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 ht="15">
      <c r="A150" s="31"/>
      <c r="B150" s="32"/>
      <c r="C150" s="31" t="s">
        <v>114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2"/>
        <v/>
      </c>
      <c r="P150">
        <f>'Combined Delivery Data'!B148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493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 ht="15">
      <c r="A151" s="31"/>
      <c r="B151" s="32"/>
      <c r="C151" s="31" t="s">
        <v>114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2"/>
        <v/>
      </c>
      <c r="P151">
        <f>'Combined Delivery Data'!B149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493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 ht="15">
      <c r="A152" s="31"/>
      <c r="B152" s="32"/>
      <c r="C152" s="31" t="s">
        <v>114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2"/>
        <v/>
      </c>
      <c r="P152">
        <f>'Combined Delivery Data'!B150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493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 ht="15">
      <c r="A153" s="31"/>
      <c r="B153" s="32"/>
      <c r="C153" s="31" t="s">
        <v>114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2"/>
        <v/>
      </c>
      <c r="P153">
        <f>'Combined Delivery Data'!B151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493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 ht="15">
      <c r="A154" s="31"/>
      <c r="B154" s="32"/>
      <c r="C154" s="31" t="s">
        <v>114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2"/>
        <v/>
      </c>
      <c r="P154">
        <f>'Combined Delivery Data'!B152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493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 ht="15">
      <c r="A155" s="31"/>
      <c r="B155" s="32"/>
      <c r="C155" s="31" t="s">
        <v>114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2"/>
        <v/>
      </c>
      <c r="P155">
        <f>'Combined Delivery Data'!B153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493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 ht="15">
      <c r="A156" s="31"/>
      <c r="B156" s="32"/>
      <c r="C156" s="31" t="s">
        <v>114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2"/>
        <v/>
      </c>
      <c r="P156">
        <f>'Combined Delivery Data'!B154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493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 ht="15">
      <c r="A157" s="31"/>
      <c r="B157" s="32"/>
      <c r="C157" s="31" t="s">
        <v>114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2"/>
        <v/>
      </c>
      <c r="P157">
        <f>'Combined Delivery Data'!B155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493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 ht="15">
      <c r="A158" s="31"/>
      <c r="B158" s="32"/>
      <c r="C158" s="31" t="s">
        <v>114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2"/>
        <v/>
      </c>
      <c r="P158">
        <f>'Combined Delivery Data'!B156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493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 ht="15">
      <c r="A159" s="31"/>
      <c r="B159" s="32"/>
      <c r="C159" s="31" t="s">
        <v>114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2"/>
        <v/>
      </c>
      <c r="P159">
        <f>'Combined Delivery Data'!B157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493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 ht="15">
      <c r="A160" s="31"/>
      <c r="B160" s="32"/>
      <c r="C160" s="31" t="s">
        <v>114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2"/>
        <v/>
      </c>
      <c r="P160">
        <f>'Combined Delivery Data'!B158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493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 ht="15">
      <c r="A161" s="31"/>
      <c r="B161" s="32"/>
      <c r="C161" s="31" t="s">
        <v>114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2"/>
        <v/>
      </c>
      <c r="P161">
        <f>'Combined Delivery Data'!B159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493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 ht="15">
      <c r="A162" s="31"/>
      <c r="B162" s="32"/>
      <c r="C162" s="31" t="s">
        <v>114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2"/>
        <v/>
      </c>
      <c r="P162">
        <f>'Combined Delivery Data'!B160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493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 ht="15">
      <c r="A163" s="31"/>
      <c r="B163" s="32"/>
      <c r="C163" s="31" t="s">
        <v>114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2"/>
        <v/>
      </c>
      <c r="P163">
        <f>'Combined Delivery Data'!B161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493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 ht="15">
      <c r="A164" s="31"/>
      <c r="B164" s="32"/>
      <c r="C164" s="31" t="s">
        <v>114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2"/>
        <v/>
      </c>
      <c r="P164">
        <f>'Combined Delivery Data'!B162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493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 ht="15">
      <c r="A165" s="31"/>
      <c r="B165" s="32"/>
      <c r="C165" s="31" t="s">
        <v>114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2"/>
        <v/>
      </c>
      <c r="P165">
        <f>'Combined Delivery Data'!B163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493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 ht="15">
      <c r="A166" s="31"/>
      <c r="B166" s="32"/>
      <c r="C166" s="31" t="s">
        <v>114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2"/>
        <v/>
      </c>
      <c r="P166">
        <f>'Combined Delivery Data'!B164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493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 ht="15">
      <c r="A167" s="31"/>
      <c r="B167" s="32"/>
      <c r="C167" s="31" t="s">
        <v>114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2"/>
        <v/>
      </c>
      <c r="P167">
        <f>'Combined Delivery Data'!B165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493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 ht="15">
      <c r="A168" s="31"/>
      <c r="B168" s="32"/>
      <c r="C168" s="31" t="s">
        <v>114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2"/>
        <v/>
      </c>
      <c r="P168">
        <f>'Combined Delivery Data'!B166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493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 ht="15">
      <c r="A169" s="31"/>
      <c r="B169" s="32"/>
      <c r="C169" s="31" t="s">
        <v>114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2"/>
        <v/>
      </c>
      <c r="P169">
        <f>'Combined Delivery Data'!B167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493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 ht="15">
      <c r="A170" s="31"/>
      <c r="B170" s="32"/>
      <c r="C170" s="31" t="s">
        <v>114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2"/>
        <v/>
      </c>
      <c r="P170">
        <f>'Combined Delivery Data'!B168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493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 ht="15">
      <c r="A171" s="31"/>
      <c r="B171" s="32"/>
      <c r="C171" s="31" t="s">
        <v>114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2"/>
        <v/>
      </c>
      <c r="P171">
        <f>'Combined Delivery Data'!B169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493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 ht="15">
      <c r="A172" s="31"/>
      <c r="B172" s="32"/>
      <c r="C172" s="31" t="s">
        <v>114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2"/>
        <v/>
      </c>
      <c r="P172">
        <f>'Combined Delivery Data'!B170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493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 ht="15">
      <c r="A173" s="31"/>
      <c r="B173" s="32"/>
      <c r="C173" s="31" t="s">
        <v>114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2"/>
        <v/>
      </c>
      <c r="P173">
        <f>'Combined Delivery Data'!B171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493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 ht="15">
      <c r="A174" s="31"/>
      <c r="B174" s="32"/>
      <c r="C174" s="31" t="s">
        <v>114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2"/>
        <v/>
      </c>
      <c r="P174">
        <f>'Combined Delivery Data'!B172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493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 ht="15">
      <c r="A175" s="31"/>
      <c r="B175" s="32"/>
      <c r="C175" s="31" t="s">
        <v>114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2"/>
        <v/>
      </c>
      <c r="P175">
        <f>'Combined Delivery Data'!B173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493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 ht="15">
      <c r="A176" s="31"/>
      <c r="B176" s="32"/>
      <c r="C176" s="31" t="s">
        <v>114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2"/>
        <v/>
      </c>
      <c r="P176">
        <f>'Combined Delivery Data'!B174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493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 ht="15">
      <c r="A177" s="31"/>
      <c r="B177" s="32"/>
      <c r="C177" s="31" t="s">
        <v>114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2"/>
        <v/>
      </c>
      <c r="P177">
        <f>'Combined Delivery Data'!B175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493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 ht="15">
      <c r="A178" s="31"/>
      <c r="B178" s="32"/>
      <c r="C178" s="31" t="s">
        <v>114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2"/>
        <v/>
      </c>
      <c r="P178">
        <f>'Combined Delivery Data'!B176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493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 ht="15">
      <c r="A179" s="31"/>
      <c r="B179" s="32"/>
      <c r="C179" s="31" t="s">
        <v>114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2"/>
        <v/>
      </c>
      <c r="P179">
        <f>'Combined Delivery Data'!B177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493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 ht="15">
      <c r="A180" s="31"/>
      <c r="B180" s="32"/>
      <c r="C180" s="31" t="s">
        <v>114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2"/>
        <v/>
      </c>
      <c r="P180">
        <f>'Combined Delivery Data'!B178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493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 ht="15">
      <c r="A181" s="31"/>
      <c r="B181" s="32"/>
      <c r="C181" s="31" t="s">
        <v>114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2"/>
        <v/>
      </c>
      <c r="P181">
        <f>'Combined Delivery Data'!B179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493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 ht="15">
      <c r="A182" s="31"/>
      <c r="B182" s="32"/>
      <c r="C182" s="31" t="s">
        <v>114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2"/>
        <v/>
      </c>
      <c r="P182">
        <f>'Combined Delivery Data'!B180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493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 ht="15">
      <c r="A183" s="31"/>
      <c r="B183" s="32"/>
      <c r="C183" s="31" t="s">
        <v>114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2"/>
        <v/>
      </c>
      <c r="P183">
        <f>'Combined Delivery Data'!B181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493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 ht="15">
      <c r="A184" s="31"/>
      <c r="B184" s="32"/>
      <c r="C184" s="31" t="s">
        <v>114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2"/>
        <v/>
      </c>
      <c r="P184">
        <f>'Combined Delivery Data'!B182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493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 ht="15">
      <c r="A185" s="31"/>
      <c r="B185" s="32"/>
      <c r="C185" s="31" t="s">
        <v>114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2"/>
        <v/>
      </c>
      <c r="P185">
        <f>'Combined Delivery Data'!B183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493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 ht="15">
      <c r="A186" s="31"/>
      <c r="B186" s="32"/>
      <c r="C186" s="31" t="s">
        <v>114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2"/>
        <v/>
      </c>
      <c r="P186">
        <f>'Combined Delivery Data'!B184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493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 ht="15">
      <c r="A187" s="31"/>
      <c r="B187" s="32"/>
      <c r="C187" s="31" t="s">
        <v>114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2"/>
        <v/>
      </c>
      <c r="P187">
        <f>'Combined Delivery Data'!B185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493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 ht="15">
      <c r="A188" s="31"/>
      <c r="B188" s="32"/>
      <c r="C188" s="31" t="s">
        <v>114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2"/>
        <v/>
      </c>
      <c r="P188">
        <f>'Combined Delivery Data'!B186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493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 ht="15">
      <c r="A189" s="31"/>
      <c r="B189" s="32"/>
      <c r="C189" s="31" t="s">
        <v>114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2"/>
        <v/>
      </c>
      <c r="P189">
        <f>'Combined Delivery Data'!B187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493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 ht="15">
      <c r="A190" s="31"/>
      <c r="B190" s="32"/>
      <c r="C190" s="31" t="s">
        <v>114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2"/>
        <v/>
      </c>
      <c r="P190">
        <f>'Combined Delivery Data'!B188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493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 ht="15">
      <c r="A191" s="31"/>
      <c r="B191" s="32"/>
      <c r="C191" s="31" t="s">
        <v>114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2"/>
        <v/>
      </c>
      <c r="P191">
        <f>'Combined Delivery Data'!B189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493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 ht="15">
      <c r="A192" s="31"/>
      <c r="B192" s="32"/>
      <c r="C192" s="31" t="s">
        <v>114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2"/>
        <v/>
      </c>
      <c r="P192">
        <f>'Combined Delivery Data'!B190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493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 ht="15">
      <c r="A193" s="31"/>
      <c r="B193" s="32"/>
      <c r="C193" s="31" t="s">
        <v>114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2"/>
        <v/>
      </c>
      <c r="P193">
        <f>'Combined Delivery Data'!B191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493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 ht="15">
      <c r="A194" s="31"/>
      <c r="B194" s="32"/>
      <c r="C194" s="31" t="s">
        <v>114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2"/>
        <v/>
      </c>
      <c r="P194">
        <f>'Combined Delivery Data'!B192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493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 ht="15">
      <c r="A195" s="31"/>
      <c r="B195" s="32"/>
      <c r="C195" s="31" t="s">
        <v>114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3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493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ht="15">
      <c r="A196" s="31"/>
      <c r="B196" s="32"/>
      <c r="C196" s="31" t="s">
        <v>114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3"/>
        <v/>
      </c>
      <c r="P196">
        <f>'Combined Delivery Data'!B194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493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 ht="15">
      <c r="A197" s="31"/>
      <c r="B197" s="32"/>
      <c r="C197" s="31" t="s">
        <v>114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3"/>
        <v/>
      </c>
      <c r="P197">
        <f>'Combined Delivery Data'!B195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493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 ht="15">
      <c r="A198" s="31"/>
      <c r="B198" s="32"/>
      <c r="C198" s="31" t="s">
        <v>114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3"/>
        <v/>
      </c>
      <c r="P198">
        <f>'Combined Delivery Data'!B196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493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 ht="15">
      <c r="A199" s="31"/>
      <c r="B199" s="32"/>
      <c r="C199" s="31" t="s">
        <v>114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3"/>
        <v/>
      </c>
      <c r="P199">
        <f>'Combined Delivery Data'!B197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493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 ht="15">
      <c r="A200" s="31"/>
      <c r="B200" s="32"/>
      <c r="C200" s="31" t="s">
        <v>114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3"/>
        <v/>
      </c>
      <c r="P200">
        <f>'Combined Delivery Data'!B198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493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 ht="15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3"/>
        <v/>
      </c>
      <c r="P201">
        <f>'Combined Delivery Data'!B199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493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 ht="15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3"/>
        <v/>
      </c>
      <c r="P202">
        <f>'Combined Delivery Data'!B200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493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 ht="15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3"/>
        <v/>
      </c>
      <c r="P203">
        <f>'Combined Delivery Data'!B201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493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 ht="15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3"/>
        <v/>
      </c>
      <c r="P204">
        <f>'Combined Delivery Data'!B202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493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 ht="15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3"/>
        <v/>
      </c>
      <c r="P205">
        <f>'Combined Delivery Data'!B203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493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 ht="15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3"/>
        <v/>
      </c>
      <c r="P206">
        <f>'Combined Delivery Data'!B204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493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 ht="15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3"/>
        <v/>
      </c>
      <c r="P207">
        <f>'Combined Delivery Data'!B205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493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 ht="15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3"/>
        <v/>
      </c>
      <c r="P208">
        <f>'Combined Delivery Data'!B206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493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 ht="15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3"/>
        <v/>
      </c>
      <c r="P209">
        <f>'Combined Delivery Data'!B207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493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 ht="15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3"/>
        <v/>
      </c>
      <c r="P210">
        <f>'Combined Delivery Data'!B208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493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 ht="15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3"/>
        <v/>
      </c>
      <c r="P211">
        <f>'Combined Delivery Data'!B209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493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 ht="15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3"/>
        <v/>
      </c>
      <c r="P212">
        <f>'Combined Delivery Data'!B210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493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 ht="15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3"/>
        <v/>
      </c>
      <c r="P213">
        <f>'Combined Delivery Data'!B211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493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 ht="15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3"/>
        <v/>
      </c>
      <c r="P214">
        <f>'Combined Delivery Data'!B212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493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 ht="15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3"/>
        <v/>
      </c>
      <c r="P215">
        <f>'Combined Delivery Data'!B213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493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 ht="15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3"/>
        <v/>
      </c>
      <c r="P216">
        <f>'Combined Delivery Data'!B214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493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 ht="15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3"/>
        <v/>
      </c>
      <c r="P217">
        <f>'Combined Delivery Data'!B215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493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 ht="15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3"/>
        <v/>
      </c>
      <c r="P218">
        <f>'Combined Delivery Data'!B216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493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 ht="15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3"/>
        <v/>
      </c>
      <c r="P219">
        <f>'Combined Delivery Data'!B217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493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 ht="15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3"/>
        <v/>
      </c>
      <c r="P220">
        <f>'Combined Delivery Data'!B218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493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 ht="15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3"/>
        <v/>
      </c>
      <c r="P221">
        <f>'Combined Delivery Data'!B219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493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 ht="15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3"/>
        <v/>
      </c>
      <c r="P222">
        <f>'Combined Delivery Data'!B220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493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 ht="15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3"/>
        <v/>
      </c>
      <c r="P223">
        <f>'Combined Delivery Data'!B221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493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 ht="15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3"/>
        <v/>
      </c>
      <c r="P224">
        <f>'Combined Delivery Data'!B222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493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 ht="15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3"/>
        <v/>
      </c>
      <c r="P225">
        <f>'Combined Delivery Data'!B223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493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 ht="15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3"/>
        <v/>
      </c>
      <c r="P226">
        <f>'Combined Delivery Data'!B224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493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 ht="15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3"/>
        <v/>
      </c>
      <c r="P227">
        <f>'Combined Delivery Data'!B225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493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 ht="15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3"/>
        <v/>
      </c>
      <c r="P228">
        <f>'Combined Delivery Data'!B226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493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 ht="15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3"/>
        <v/>
      </c>
      <c r="P229">
        <f>'Combined Delivery Data'!B227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493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 ht="15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3"/>
        <v/>
      </c>
      <c r="P230">
        <f>'Combined Delivery Data'!B228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493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 ht="15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3"/>
        <v/>
      </c>
      <c r="P231">
        <f>'Combined Delivery Data'!B229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493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 ht="15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3"/>
        <v/>
      </c>
      <c r="P232">
        <f>'Combined Delivery Data'!B230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493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 ht="15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3"/>
        <v/>
      </c>
      <c r="P233">
        <f>'Combined Delivery Data'!B231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493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 ht="15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3"/>
        <v/>
      </c>
      <c r="P234">
        <f>'Combined Delivery Data'!B232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493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 ht="15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3"/>
        <v/>
      </c>
      <c r="P235">
        <f>'Combined Delivery Data'!B233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493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 ht="15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3"/>
        <v/>
      </c>
      <c r="P236">
        <f>'Combined Delivery Data'!B234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493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 ht="15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3"/>
        <v/>
      </c>
      <c r="P237">
        <f>'Combined Delivery Data'!B235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493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 ht="15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3"/>
        <v/>
      </c>
      <c r="P238">
        <f>'Combined Delivery Data'!B236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493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 ht="15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3"/>
        <v/>
      </c>
      <c r="P239">
        <f>'Combined Delivery Data'!B237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493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 ht="15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3"/>
        <v/>
      </c>
      <c r="P240">
        <f>'Combined Delivery Data'!B238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493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 ht="15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3"/>
        <v/>
      </c>
      <c r="P241">
        <f>'Combined Delivery Data'!B239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493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 ht="15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3"/>
        <v/>
      </c>
      <c r="P242">
        <f>'Combined Delivery Data'!B240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493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 ht="15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3"/>
        <v/>
      </c>
      <c r="P243">
        <f>'Combined Delivery Data'!B241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493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 ht="15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3"/>
        <v/>
      </c>
      <c r="P244">
        <f>'Combined Delivery Data'!B242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493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 ht="15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3"/>
        <v/>
      </c>
      <c r="P245">
        <f>'Combined Delivery Data'!B243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493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 ht="15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3"/>
        <v/>
      </c>
      <c r="P246">
        <f>'Combined Delivery Data'!B244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493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 ht="15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3"/>
        <v/>
      </c>
      <c r="P247">
        <f>'Combined Delivery Data'!B245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493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 ht="15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3"/>
        <v/>
      </c>
      <c r="P248">
        <f>'Combined Delivery Data'!B246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493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 ht="15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3"/>
        <v/>
      </c>
      <c r="P249">
        <f>'Combined Delivery Data'!B247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493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 ht="15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3"/>
        <v/>
      </c>
      <c r="P250">
        <f>'Combined Delivery Data'!B248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493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 ht="15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3"/>
        <v/>
      </c>
      <c r="P251">
        <f>'Combined Delivery Data'!B249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493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 ht="15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3"/>
        <v/>
      </c>
      <c r="P252">
        <f>'Combined Delivery Data'!B250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493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 ht="15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3"/>
        <v/>
      </c>
      <c r="P253">
        <f>'Combined Delivery Data'!B251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493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 ht="15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3"/>
        <v/>
      </c>
      <c r="P254">
        <f>'Combined Delivery Data'!B252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493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 ht="15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3"/>
        <v/>
      </c>
      <c r="P255">
        <f>'Combined Delivery Data'!B253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493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 ht="15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3"/>
        <v/>
      </c>
      <c r="P256">
        <f>'Combined Delivery Data'!B254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493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 ht="15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3"/>
        <v/>
      </c>
      <c r="P257">
        <f>'Combined Delivery Data'!B255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493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 ht="15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3"/>
        <v/>
      </c>
      <c r="P258">
        <f>'Combined Delivery Data'!B256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493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 ht="15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4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493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ht="15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4"/>
        <v/>
      </c>
      <c r="P260">
        <f>'Combined Delivery Data'!B258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493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 ht="15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4"/>
        <v/>
      </c>
      <c r="P261">
        <f>'Combined Delivery Data'!B259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493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 ht="15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4"/>
        <v/>
      </c>
      <c r="P262">
        <f>'Combined Delivery Data'!B260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493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 ht="15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4"/>
        <v/>
      </c>
      <c r="P263">
        <f>'Combined Delivery Data'!B261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493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 ht="15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4"/>
        <v/>
      </c>
      <c r="P264">
        <f>'Combined Delivery Data'!B262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493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 ht="15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4"/>
        <v/>
      </c>
      <c r="P265">
        <f>'Combined Delivery Data'!B263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493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 ht="15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4"/>
        <v/>
      </c>
      <c r="P266">
        <f>'Combined Delivery Data'!B264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493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 ht="15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4"/>
        <v/>
      </c>
      <c r="P267">
        <f>'Combined Delivery Data'!B265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493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 ht="15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4"/>
        <v/>
      </c>
      <c r="P268">
        <f>'Combined Delivery Data'!B266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493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 ht="15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4"/>
        <v/>
      </c>
      <c r="P269">
        <f>'Combined Delivery Data'!B267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493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 ht="15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4"/>
        <v/>
      </c>
      <c r="P270">
        <f>'Combined Delivery Data'!B268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493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 ht="15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4"/>
        <v/>
      </c>
      <c r="P271">
        <f>'Combined Delivery Data'!B269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493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 ht="15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4"/>
        <v/>
      </c>
      <c r="P272">
        <f>'Combined Delivery Data'!B270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493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 ht="15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4"/>
        <v/>
      </c>
      <c r="P273">
        <f>'Combined Delivery Data'!B271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493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 ht="15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4"/>
        <v/>
      </c>
      <c r="P274">
        <f>'Combined Delivery Data'!B272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493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 ht="15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4"/>
        <v/>
      </c>
      <c r="P275">
        <f>'Combined Delivery Data'!B273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493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 ht="15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4"/>
        <v/>
      </c>
      <c r="P276">
        <f>'Combined Delivery Data'!B274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493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 ht="15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4"/>
        <v/>
      </c>
      <c r="P277">
        <f>'Combined Delivery Data'!B275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493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 ht="15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4"/>
        <v/>
      </c>
      <c r="P278">
        <f>'Combined Delivery Data'!B276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493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 ht="15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4"/>
        <v/>
      </c>
      <c r="P279">
        <f>'Combined Delivery Data'!B277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493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 ht="15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4"/>
        <v/>
      </c>
      <c r="P280">
        <f>'Combined Delivery Data'!B278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493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 ht="15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4"/>
        <v/>
      </c>
      <c r="P281">
        <f>'Combined Delivery Data'!B279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493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 ht="15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4"/>
        <v/>
      </c>
      <c r="P282">
        <f>'Combined Delivery Data'!B280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493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 ht="15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4"/>
        <v/>
      </c>
      <c r="P283">
        <f>'Combined Delivery Data'!B281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493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 ht="15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4"/>
        <v/>
      </c>
      <c r="P284">
        <f>'Combined Delivery Data'!B282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493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 ht="15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4"/>
        <v/>
      </c>
      <c r="P285">
        <f>'Combined Delivery Data'!B283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493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 ht="15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4"/>
        <v/>
      </c>
      <c r="P286">
        <f>'Combined Delivery Data'!B284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493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 ht="15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4"/>
        <v/>
      </c>
      <c r="P287">
        <f>'Combined Delivery Data'!B285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493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 ht="15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4"/>
        <v/>
      </c>
      <c r="P288">
        <f>'Combined Delivery Data'!B286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493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 ht="15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4"/>
        <v/>
      </c>
      <c r="P289">
        <f>'Combined Delivery Data'!B287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493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 ht="15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4"/>
        <v/>
      </c>
      <c r="P290">
        <f>'Combined Delivery Data'!B288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493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 ht="15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4"/>
        <v/>
      </c>
      <c r="P291">
        <f>'Combined Delivery Data'!B289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493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 ht="15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4"/>
        <v/>
      </c>
      <c r="P292">
        <f>'Combined Delivery Data'!B290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493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 ht="15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4"/>
        <v/>
      </c>
      <c r="P293">
        <f>'Combined Delivery Data'!B291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493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 ht="15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4"/>
        <v/>
      </c>
      <c r="P294">
        <f>'Combined Delivery Data'!B292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493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 ht="15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4"/>
        <v/>
      </c>
      <c r="P295">
        <f>'Combined Delivery Data'!B293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493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 ht="15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4"/>
        <v/>
      </c>
      <c r="P296">
        <f>'Combined Delivery Data'!B294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493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 ht="15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4"/>
        <v/>
      </c>
      <c r="P297">
        <f>'Combined Delivery Data'!B295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493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 ht="15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4"/>
        <v/>
      </c>
      <c r="P298">
        <f>'Combined Delivery Data'!B296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493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 ht="15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4"/>
        <v/>
      </c>
      <c r="P299">
        <f>'Combined Delivery Data'!B297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493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 ht="15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4"/>
        <v/>
      </c>
      <c r="P300">
        <f>'Combined Delivery Data'!B298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493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 ht="15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4"/>
        <v/>
      </c>
      <c r="P301">
        <f>'Combined Delivery Data'!B299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493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 ht="15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4"/>
        <v/>
      </c>
      <c r="P302">
        <f>'Combined Delivery Data'!B300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493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 ht="15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4"/>
        <v/>
      </c>
      <c r="P303">
        <f>'Combined Delivery Data'!B301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493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 ht="15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4"/>
        <v/>
      </c>
      <c r="P304">
        <f>'Combined Delivery Data'!B302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493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 ht="15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4"/>
        <v/>
      </c>
      <c r="P305">
        <f>'Combined Delivery Data'!B303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493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 ht="15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4"/>
        <v/>
      </c>
      <c r="P306">
        <f>'Combined Delivery Data'!B304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493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 ht="15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4"/>
        <v/>
      </c>
      <c r="P307">
        <f>'Combined Delivery Data'!B305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493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 ht="15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4"/>
        <v/>
      </c>
      <c r="P308">
        <f>'Combined Delivery Data'!B306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493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 ht="15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4"/>
        <v/>
      </c>
      <c r="P309">
        <f>'Combined Delivery Data'!B307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493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 ht="15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4"/>
        <v/>
      </c>
      <c r="P310">
        <f>'Combined Delivery Data'!B308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493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 ht="15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4"/>
        <v/>
      </c>
      <c r="P311">
        <f>'Combined Delivery Data'!B309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493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 ht="15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4"/>
        <v/>
      </c>
      <c r="P312">
        <f>'Combined Delivery Data'!B310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493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 ht="15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4"/>
        <v/>
      </c>
      <c r="P313">
        <f>'Combined Delivery Data'!B311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493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 ht="15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4"/>
        <v/>
      </c>
      <c r="P314">
        <f>'Combined Delivery Data'!B312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493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 ht="15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4"/>
        <v/>
      </c>
      <c r="P315">
        <f>'Combined Delivery Data'!B313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493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 ht="15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4"/>
        <v/>
      </c>
      <c r="P316">
        <f>'Combined Delivery Data'!B314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493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 ht="15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4"/>
        <v/>
      </c>
      <c r="P317">
        <f>'Combined Delivery Data'!B315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493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 ht="15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4"/>
        <v/>
      </c>
      <c r="P318">
        <f>'Combined Delivery Data'!B316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493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 ht="15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4"/>
        <v/>
      </c>
      <c r="P319">
        <f>'Combined Delivery Data'!B317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493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 ht="15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4"/>
        <v/>
      </c>
      <c r="P320">
        <f>'Combined Delivery Data'!B318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493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 ht="15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4"/>
        <v/>
      </c>
      <c r="P321">
        <f>'Combined Delivery Data'!B319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493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 ht="15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4"/>
        <v/>
      </c>
      <c r="P322">
        <f>'Combined Delivery Data'!B320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493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 ht="15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493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ht="15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5"/>
        <v/>
      </c>
      <c r="P324">
        <f>'Combined Delivery Data'!B322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493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 ht="15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5"/>
        <v/>
      </c>
      <c r="P325">
        <f>'Combined Delivery Data'!B323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493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 ht="15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5"/>
        <v/>
      </c>
      <c r="P326">
        <f>'Combined Delivery Data'!B324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493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 ht="15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5"/>
        <v/>
      </c>
      <c r="P327">
        <f>'Combined Delivery Data'!B325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493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 ht="15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5"/>
        <v/>
      </c>
      <c r="P328">
        <f>'Combined Delivery Data'!B326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493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 ht="15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5"/>
        <v/>
      </c>
      <c r="P329">
        <f>'Combined Delivery Data'!B327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493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 ht="15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5"/>
        <v/>
      </c>
      <c r="P330">
        <f>'Combined Delivery Data'!B328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493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 ht="15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5"/>
        <v/>
      </c>
      <c r="P331">
        <f>'Combined Delivery Data'!B329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493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 ht="15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5"/>
        <v/>
      </c>
      <c r="P332">
        <f>'Combined Delivery Data'!B330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493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 ht="15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5"/>
        <v/>
      </c>
      <c r="P333">
        <f>'Combined Delivery Data'!B331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493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 ht="15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5"/>
        <v/>
      </c>
      <c r="P334">
        <f>'Combined Delivery Data'!B332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493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 ht="15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5"/>
        <v/>
      </c>
      <c r="P335">
        <f>'Combined Delivery Data'!B333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493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 ht="15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5"/>
        <v/>
      </c>
      <c r="P336">
        <f>'Combined Delivery Data'!B334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493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 ht="15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5"/>
        <v/>
      </c>
      <c r="P337">
        <f>'Combined Delivery Data'!B335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493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 ht="15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5"/>
        <v/>
      </c>
      <c r="P338">
        <f>'Combined Delivery Data'!B336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493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 ht="15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5"/>
        <v/>
      </c>
      <c r="P339">
        <f>'Combined Delivery Data'!B337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493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 ht="15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5"/>
        <v/>
      </c>
      <c r="P340">
        <f>'Combined Delivery Data'!B338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493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 ht="15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5"/>
        <v/>
      </c>
      <c r="P341">
        <f>'Combined Delivery Data'!B339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493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 ht="15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5"/>
        <v/>
      </c>
      <c r="P342">
        <f>'Combined Delivery Data'!B340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493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 ht="15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5"/>
        <v/>
      </c>
      <c r="P343">
        <f>'Combined Delivery Data'!B341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493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 ht="15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5"/>
        <v/>
      </c>
      <c r="P344">
        <f>'Combined Delivery Data'!B342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493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 ht="15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5"/>
        <v/>
      </c>
      <c r="P345">
        <f>'Combined Delivery Data'!B343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493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 ht="15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5"/>
        <v/>
      </c>
      <c r="P346">
        <f>'Combined Delivery Data'!B344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493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 ht="15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5"/>
        <v/>
      </c>
      <c r="P347">
        <f>'Combined Delivery Data'!B345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493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 ht="15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5"/>
        <v/>
      </c>
      <c r="P348">
        <f>'Combined Delivery Data'!B346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493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 ht="15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5"/>
        <v/>
      </c>
      <c r="P349">
        <f>'Combined Delivery Data'!B347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493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 ht="15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5"/>
        <v/>
      </c>
      <c r="P350">
        <f>'Combined Delivery Data'!B348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493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 ht="15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5"/>
        <v/>
      </c>
      <c r="P351">
        <f>'Combined Delivery Data'!B349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493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 ht="15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5"/>
        <v/>
      </c>
      <c r="P352">
        <f>'Combined Delivery Data'!B350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493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 ht="15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5"/>
        <v/>
      </c>
      <c r="P353">
        <f>'Combined Delivery Data'!B351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493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 ht="15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5"/>
        <v/>
      </c>
      <c r="P354">
        <f>'Combined Delivery Data'!B352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493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 ht="15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5"/>
        <v/>
      </c>
      <c r="P355">
        <f>'Combined Delivery Data'!B353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493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 ht="15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5"/>
        <v/>
      </c>
      <c r="P356">
        <f>'Combined Delivery Data'!B354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493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 ht="15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5"/>
        <v/>
      </c>
      <c r="P357">
        <f>'Combined Delivery Data'!B355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493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 ht="15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5"/>
        <v/>
      </c>
      <c r="P358">
        <f>'Combined Delivery Data'!B356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493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 ht="15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5"/>
        <v/>
      </c>
      <c r="P359">
        <f>'Combined Delivery Data'!B357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493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 ht="15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5"/>
        <v/>
      </c>
      <c r="P360">
        <f>'Combined Delivery Data'!B358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493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 ht="15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5"/>
        <v/>
      </c>
      <c r="P361">
        <f>'Combined Delivery Data'!B359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493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 ht="15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5"/>
        <v/>
      </c>
      <c r="P362">
        <f>'Combined Delivery Data'!B360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493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 ht="15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5"/>
        <v/>
      </c>
      <c r="P363">
        <f>'Combined Delivery Data'!B361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493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 ht="15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5"/>
        <v/>
      </c>
      <c r="P364">
        <f>'Combined Delivery Data'!B362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493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 ht="15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5"/>
        <v/>
      </c>
      <c r="P365">
        <f>'Combined Delivery Data'!B363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493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 ht="15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5"/>
        <v/>
      </c>
      <c r="P366">
        <f>'Combined Delivery Data'!B364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493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 ht="15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5"/>
        <v/>
      </c>
      <c r="P367">
        <f>'Combined Delivery Data'!B365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493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 ht="15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5"/>
        <v/>
      </c>
      <c r="P368">
        <f>'Combined Delivery Data'!B366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493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 ht="15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5"/>
        <v/>
      </c>
      <c r="P369">
        <f>'Combined Delivery Data'!B367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493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 ht="15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5"/>
        <v/>
      </c>
      <c r="P370">
        <f>'Combined Delivery Data'!B368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493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 ht="15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5"/>
        <v/>
      </c>
      <c r="P371">
        <f>'Combined Delivery Data'!B369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493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 ht="15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5"/>
        <v/>
      </c>
      <c r="P372">
        <f>'Combined Delivery Data'!B370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493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 ht="15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5"/>
        <v/>
      </c>
      <c r="P373">
        <f>'Combined Delivery Data'!B371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493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 ht="15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5"/>
        <v/>
      </c>
      <c r="P374">
        <f>'Combined Delivery Data'!B372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493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 ht="15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5"/>
        <v/>
      </c>
      <c r="P375">
        <f>'Combined Delivery Data'!B373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493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 ht="15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5"/>
        <v/>
      </c>
      <c r="P376">
        <f>'Combined Delivery Data'!B374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493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 ht="15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5"/>
        <v/>
      </c>
      <c r="P377">
        <f>'Combined Delivery Data'!B375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493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 ht="15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5"/>
        <v/>
      </c>
      <c r="P378">
        <f>'Combined Delivery Data'!B376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493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 ht="15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5"/>
        <v/>
      </c>
      <c r="P379">
        <f>'Combined Delivery Data'!B377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493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 ht="15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5"/>
        <v/>
      </c>
      <c r="P380">
        <f>'Combined Delivery Data'!B378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493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 ht="15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5"/>
        <v/>
      </c>
      <c r="P381">
        <f>'Combined Delivery Data'!B379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493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 ht="15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5"/>
        <v/>
      </c>
      <c r="P382">
        <f>'Combined Delivery Data'!B380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493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 ht="15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5"/>
        <v/>
      </c>
      <c r="P383">
        <f>'Combined Delivery Data'!B381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493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 ht="15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5"/>
        <v/>
      </c>
      <c r="P384">
        <f>'Combined Delivery Data'!B382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493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 ht="15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5"/>
        <v/>
      </c>
      <c r="P385">
        <f>'Combined Delivery Data'!B383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493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 ht="15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5"/>
        <v/>
      </c>
      <c r="P386">
        <f>'Combined Delivery Data'!B384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493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 ht="15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6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493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ht="15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6"/>
        <v/>
      </c>
      <c r="P388">
        <f>'Combined Delivery Data'!B386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493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 ht="15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6"/>
        <v/>
      </c>
      <c r="P389">
        <f>'Combined Delivery Data'!B387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493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 ht="15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6"/>
        <v/>
      </c>
      <c r="P390">
        <f>'Combined Delivery Data'!B388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493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 ht="15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6"/>
        <v/>
      </c>
      <c r="P391">
        <f>'Combined Delivery Data'!B389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493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 ht="15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6"/>
        <v/>
      </c>
      <c r="P392">
        <f>'Combined Delivery Data'!B390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493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 ht="15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6"/>
        <v/>
      </c>
      <c r="P393">
        <f>'Combined Delivery Data'!B391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493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 ht="15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6"/>
        <v/>
      </c>
      <c r="P394">
        <f>'Combined Delivery Data'!B392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493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 ht="15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6"/>
        <v/>
      </c>
      <c r="P395">
        <f>'Combined Delivery Data'!B393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493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 ht="15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6"/>
        <v/>
      </c>
      <c r="P396">
        <f>'Combined Delivery Data'!B394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493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 ht="15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6"/>
        <v/>
      </c>
      <c r="P397">
        <f>'Combined Delivery Data'!B395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493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 ht="15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6"/>
        <v/>
      </c>
      <c r="P398">
        <f>'Combined Delivery Data'!B396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493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 ht="15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6"/>
        <v/>
      </c>
      <c r="P399">
        <f>'Combined Delivery Data'!B397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493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 ht="15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6"/>
        <v/>
      </c>
      <c r="P400">
        <f>'Combined Delivery Data'!B398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493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 ht="15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6"/>
        <v/>
      </c>
      <c r="P401">
        <f>'Combined Delivery Data'!B399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493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 ht="15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6"/>
        <v/>
      </c>
      <c r="P402">
        <f>'Combined Delivery Data'!B400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493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 ht="15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6"/>
        <v/>
      </c>
      <c r="P403">
        <f>'Combined Delivery Data'!B401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493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 ht="15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6"/>
        <v/>
      </c>
      <c r="P404">
        <f>'Combined Delivery Data'!B402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493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 ht="15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6"/>
        <v/>
      </c>
      <c r="P405">
        <f>'Combined Delivery Data'!B403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493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 ht="15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6"/>
        <v/>
      </c>
      <c r="P406">
        <f>'Combined Delivery Data'!B404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493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 ht="15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6"/>
        <v/>
      </c>
      <c r="P407">
        <f>'Combined Delivery Data'!B405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493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 ht="15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6"/>
        <v/>
      </c>
      <c r="P408">
        <f>'Combined Delivery Data'!B406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493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 ht="15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6"/>
        <v/>
      </c>
      <c r="P409">
        <f>'Combined Delivery Data'!B407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493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 ht="15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6"/>
        <v/>
      </c>
      <c r="P410">
        <f>'Combined Delivery Data'!B408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493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 ht="15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6"/>
        <v/>
      </c>
      <c r="P411">
        <f>'Combined Delivery Data'!B409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493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 ht="15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6"/>
        <v/>
      </c>
      <c r="P412">
        <f>'Combined Delivery Data'!B410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493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 ht="15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6"/>
        <v/>
      </c>
      <c r="P413">
        <f>'Combined Delivery Data'!B411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493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 ht="15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6"/>
        <v/>
      </c>
      <c r="P414">
        <f>'Combined Delivery Data'!B412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493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 ht="15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6"/>
        <v/>
      </c>
      <c r="P415">
        <f>'Combined Delivery Data'!B413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493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 ht="15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6"/>
        <v/>
      </c>
      <c r="P416">
        <f>'Combined Delivery Data'!B414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493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 ht="15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6"/>
        <v/>
      </c>
      <c r="P417">
        <f>'Combined Delivery Data'!B415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493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 ht="15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6"/>
        <v/>
      </c>
      <c r="P418">
        <f>'Combined Delivery Data'!B416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493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 ht="15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6"/>
        <v/>
      </c>
      <c r="P419">
        <f>'Combined Delivery Data'!B417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493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 ht="15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6"/>
        <v/>
      </c>
      <c r="P420">
        <f>'Combined Delivery Data'!B418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493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 ht="15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6"/>
        <v/>
      </c>
      <c r="P421">
        <f>'Combined Delivery Data'!B419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493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 ht="15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6"/>
        <v/>
      </c>
      <c r="P422">
        <f>'Combined Delivery Data'!B420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493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 ht="15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6"/>
        <v/>
      </c>
      <c r="P423">
        <f>'Combined Delivery Data'!B421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493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 ht="15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6"/>
        <v/>
      </c>
      <c r="P424">
        <f>'Combined Delivery Data'!B422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493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 ht="15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6"/>
        <v/>
      </c>
      <c r="P425">
        <f>'Combined Delivery Data'!B423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493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 ht="15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6"/>
        <v/>
      </c>
      <c r="P426">
        <f>'Combined Delivery Data'!B424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493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 ht="15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6"/>
        <v/>
      </c>
      <c r="P427">
        <f>'Combined Delivery Data'!B425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493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 ht="15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6"/>
        <v/>
      </c>
      <c r="P428">
        <f>'Combined Delivery Data'!B426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493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 ht="15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6"/>
        <v/>
      </c>
      <c r="P429">
        <f>'Combined Delivery Data'!B427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493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 ht="15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6"/>
        <v/>
      </c>
      <c r="P430">
        <f>'Combined Delivery Data'!B428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493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 ht="15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6"/>
        <v/>
      </c>
      <c r="P431">
        <f>'Combined Delivery Data'!B429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493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 ht="15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6"/>
        <v/>
      </c>
      <c r="P432">
        <f>'Combined Delivery Data'!B430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493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 ht="15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6"/>
        <v/>
      </c>
      <c r="P433">
        <f>'Combined Delivery Data'!B431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493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 ht="15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6"/>
        <v/>
      </c>
      <c r="P434">
        <f>'Combined Delivery Data'!B432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493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 ht="15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6"/>
        <v/>
      </c>
      <c r="P435">
        <f>'Combined Delivery Data'!B433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493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 ht="15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6"/>
        <v/>
      </c>
      <c r="P436">
        <f>'Combined Delivery Data'!B434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493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 ht="15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6"/>
        <v/>
      </c>
      <c r="P437">
        <f>'Combined Delivery Data'!B435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493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 ht="15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6"/>
        <v/>
      </c>
      <c r="P438">
        <f>'Combined Delivery Data'!B436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493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 ht="15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6"/>
        <v/>
      </c>
      <c r="P439">
        <f>'Combined Delivery Data'!B437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493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 ht="15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6"/>
        <v/>
      </c>
      <c r="P440">
        <f>'Combined Delivery Data'!B438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493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 ht="15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6"/>
        <v/>
      </c>
      <c r="P441">
        <f>'Combined Delivery Data'!B439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493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 ht="15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6"/>
        <v/>
      </c>
      <c r="P442">
        <f>'Combined Delivery Data'!B440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493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 ht="15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6"/>
        <v/>
      </c>
      <c r="P443">
        <f>'Combined Delivery Data'!B441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493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 ht="15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6"/>
        <v/>
      </c>
      <c r="P444">
        <f>'Combined Delivery Data'!B442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493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 ht="15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6"/>
        <v/>
      </c>
      <c r="P445">
        <f>'Combined Delivery Data'!B443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493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 ht="15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6"/>
        <v/>
      </c>
      <c r="P446">
        <f>'Combined Delivery Data'!B444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493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 ht="15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6"/>
        <v/>
      </c>
      <c r="P447">
        <f>'Combined Delivery Data'!B445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493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 ht="15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6"/>
        <v/>
      </c>
      <c r="P448">
        <f>'Combined Delivery Data'!B446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493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 ht="15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6"/>
        <v/>
      </c>
      <c r="P449">
        <f>'Combined Delivery Data'!B447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493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 ht="15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6"/>
        <v/>
      </c>
      <c r="P450">
        <f>'Combined Delivery Data'!B448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493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 ht="15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7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493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ht="15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7"/>
        <v/>
      </c>
      <c r="P452">
        <f>'Combined Delivery Data'!B450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493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 ht="15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7"/>
        <v/>
      </c>
      <c r="P453">
        <f>'Combined Delivery Data'!B451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493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 ht="15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7"/>
        <v/>
      </c>
      <c r="P454">
        <f>'Combined Delivery Data'!B452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493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 ht="15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7"/>
        <v/>
      </c>
      <c r="P455">
        <f>'Combined Delivery Data'!B453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493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 ht="15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7"/>
        <v/>
      </c>
      <c r="P456">
        <f>'Combined Delivery Data'!B454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493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 ht="15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7"/>
        <v/>
      </c>
      <c r="P457">
        <f>'Combined Delivery Data'!B455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493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 ht="15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7"/>
        <v/>
      </c>
      <c r="P458">
        <f>'Combined Delivery Data'!B456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493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 ht="15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7"/>
        <v/>
      </c>
      <c r="P459">
        <f>'Combined Delivery Data'!B457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493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 ht="15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7"/>
        <v/>
      </c>
      <c r="P460">
        <f>'Combined Delivery Data'!B458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493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 ht="15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7"/>
        <v/>
      </c>
      <c r="P461">
        <f>'Combined Delivery Data'!B459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493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 ht="15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7"/>
        <v/>
      </c>
      <c r="P462">
        <f>'Combined Delivery Data'!B460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493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 ht="15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7"/>
        <v/>
      </c>
      <c r="P463">
        <f>'Combined Delivery Data'!B461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493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 ht="15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7"/>
        <v/>
      </c>
      <c r="P464">
        <f>'Combined Delivery Data'!B462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493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 ht="15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7"/>
        <v/>
      </c>
      <c r="P465">
        <f>'Combined Delivery Data'!B463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493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 ht="15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7"/>
        <v/>
      </c>
      <c r="P466">
        <f>'Combined Delivery Data'!B464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493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 ht="15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7"/>
        <v/>
      </c>
      <c r="P467">
        <f>'Combined Delivery Data'!B465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493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 ht="15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7"/>
        <v/>
      </c>
      <c r="P468">
        <f>'Combined Delivery Data'!B466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493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 ht="15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7"/>
        <v/>
      </c>
      <c r="P469">
        <f>'Combined Delivery Data'!B467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493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 ht="15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7"/>
        <v/>
      </c>
      <c r="P470">
        <f>'Combined Delivery Data'!B468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493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 ht="15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7"/>
        <v/>
      </c>
      <c r="P471">
        <f>'Combined Delivery Data'!B469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493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 ht="15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7"/>
        <v/>
      </c>
      <c r="P472">
        <f>'Combined Delivery Data'!B470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493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 ht="15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7"/>
        <v/>
      </c>
      <c r="P473">
        <f>'Combined Delivery Data'!B471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493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 ht="15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7"/>
        <v/>
      </c>
      <c r="P474">
        <f>'Combined Delivery Data'!B472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493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 ht="15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7"/>
        <v/>
      </c>
      <c r="P475">
        <f>'Combined Delivery Data'!B473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493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 ht="15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7"/>
        <v/>
      </c>
      <c r="P476">
        <f>'Combined Delivery Data'!B474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493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 ht="15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7"/>
        <v/>
      </c>
      <c r="P477">
        <f>'Combined Delivery Data'!B475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493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 ht="15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7"/>
        <v/>
      </c>
      <c r="P478">
        <f>'Combined Delivery Data'!B476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493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 ht="15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7"/>
        <v/>
      </c>
      <c r="P479">
        <f>'Combined Delivery Data'!B477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493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 ht="15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7"/>
        <v/>
      </c>
      <c r="P480">
        <f>'Combined Delivery Data'!B478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493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 ht="15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7"/>
        <v/>
      </c>
      <c r="P481">
        <f>'Combined Delivery Data'!B479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493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 ht="15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7"/>
        <v/>
      </c>
      <c r="P482">
        <f>'Combined Delivery Data'!B480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493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 ht="15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7"/>
        <v/>
      </c>
      <c r="P483">
        <f>'Combined Delivery Data'!B481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493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 ht="15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7"/>
        <v/>
      </c>
      <c r="P484">
        <f>'Combined Delivery Data'!B482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493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 ht="15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7"/>
        <v/>
      </c>
      <c r="P485">
        <f>'Combined Delivery Data'!B483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493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 ht="15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7"/>
        <v/>
      </c>
      <c r="P486">
        <f>'Combined Delivery Data'!B484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493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 ht="15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7"/>
        <v/>
      </c>
      <c r="P487">
        <f>'Combined Delivery Data'!B485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493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 ht="15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7"/>
        <v/>
      </c>
      <c r="P488">
        <f>'Combined Delivery Data'!B486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493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 ht="15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7"/>
        <v/>
      </c>
      <c r="P489">
        <f>'Combined Delivery Data'!B487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493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 ht="15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7"/>
        <v/>
      </c>
      <c r="P490">
        <f>'Combined Delivery Data'!B488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493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 ht="15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7"/>
        <v/>
      </c>
      <c r="P491">
        <f>'Combined Delivery Data'!B489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493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 ht="15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7"/>
        <v/>
      </c>
      <c r="P492">
        <f>'Combined Delivery Data'!B490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493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 ht="15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7"/>
        <v/>
      </c>
      <c r="P493">
        <f>'Combined Delivery Data'!B491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493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 ht="15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7"/>
        <v/>
      </c>
      <c r="P494">
        <f>'Combined Delivery Data'!B492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493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 ht="15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7"/>
        <v/>
      </c>
      <c r="P495">
        <f>'Combined Delivery Data'!B493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493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 ht="15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7"/>
        <v/>
      </c>
      <c r="P496">
        <f>'Combined Delivery Data'!B494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493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 ht="15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7"/>
        <v/>
      </c>
      <c r="P497">
        <f>'Combined Delivery Data'!B495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493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 ht="15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7"/>
        <v/>
      </c>
      <c r="P498">
        <f>'Combined Delivery Data'!B496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493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 ht="15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7"/>
        <v/>
      </c>
      <c r="P499">
        <f>'Combined Delivery Data'!B497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493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 ht="15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7"/>
        <v/>
      </c>
      <c r="P500">
        <f>'Combined Delivery Data'!B498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493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7">
    <cfRule type="expression" dxfId="12" priority="1">
      <formula>AND($B5&lt;&gt;"",MOD(ROW(),2)=0)</formula>
    </cfRule>
  </conditionalFormatting>
  <conditionalFormatting sqref="A3:H3 K3:M3 A4:M4 B5:M7 A8:M500">
    <cfRule type="expression" dxfId="11" priority="11">
      <formula>AND($A3&lt;&gt;"",$G3="Yes")</formula>
    </cfRule>
    <cfRule type="expression" dxfId="10" priority="12">
      <formula>AND($A3&lt;&gt;"",$J3&lt;&gt;"")</formula>
    </cfRule>
    <cfRule type="expression" dxfId="9" priority="13">
      <formula>$A3&lt;&gt;""</formula>
    </cfRule>
  </conditionalFormatting>
  <conditionalFormatting sqref="C3:C200">
    <cfRule type="expression" dxfId="8" priority="14">
      <formula>$A3=""</formula>
    </cfRule>
  </conditionalFormatting>
  <conditionalFormatting sqref="G3:G200">
    <cfRule type="expression" dxfId="7" priority="15">
      <formula>$A3=""</formula>
    </cfRule>
  </conditionalFormatting>
  <conditionalFormatting sqref="K3:M3 A4:M4 B5:M7 A8:M500 A3:H3">
    <cfRule type="expression" dxfId="6" priority="10">
      <formula>AND($A3&lt;&gt;"",$G3="Did not pass re-test")</formula>
    </cfRule>
  </conditionalFormatting>
  <conditionalFormatting sqref="M3:M500">
    <cfRule type="expression" dxfId="5" priority="4">
      <formula>ISNUMBER(SEARCH("Sent back again",$M3))</formula>
    </cfRule>
    <cfRule type="expression" dxfId="4" priority="5">
      <formula>ISNUMBER(SEARCH("LATE",$M3))</formula>
    </cfRule>
    <cfRule type="expression" dxfId="3" priority="6">
      <formula>ISNUMBER(SEARCH("UNCLAIMED",$M3))</formula>
    </cfRule>
    <cfRule type="expression" dxfId="2" priority="7">
      <formula>ISNUMBER(SEARCH("Missing",$M3))</formula>
    </cfRule>
    <cfRule type="expression" dxfId="1" priority="8">
      <formula>ISNUMBER(SEARCH("Fixed in",$M3))</formula>
    </cfRule>
    <cfRule type="expression" dxfId="0" priority="9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570312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2" t="s">
        <v>222</v>
      </c>
      <c r="B1" s="77"/>
      <c r="C1" s="77"/>
      <c r="D1" s="77"/>
      <c r="E1" s="77"/>
      <c r="F1" s="77"/>
      <c r="G1" s="77"/>
      <c r="H1" s="77"/>
      <c r="I1" s="77"/>
      <c r="J1" s="77"/>
    </row>
    <row r="2" spans="1:10" ht="27" customHeight="1">
      <c r="A2" s="8" t="s">
        <v>0</v>
      </c>
      <c r="B2" s="8" t="s">
        <v>223</v>
      </c>
      <c r="C2" s="8" t="s">
        <v>1</v>
      </c>
      <c r="D2" s="8" t="s">
        <v>224</v>
      </c>
      <c r="E2" s="8" t="s">
        <v>225</v>
      </c>
      <c r="F2" s="8" t="s">
        <v>6</v>
      </c>
      <c r="G2" s="8" t="s">
        <v>5</v>
      </c>
      <c r="H2" s="8" t="s">
        <v>226</v>
      </c>
      <c r="I2" s="8" t="s">
        <v>227</v>
      </c>
      <c r="J2" s="8" t="s">
        <v>228</v>
      </c>
    </row>
    <row r="3" spans="1:10" ht="14.25" customHeight="1">
      <c r="A3" s="9" t="s">
        <v>34</v>
      </c>
      <c r="B3" s="9" t="s">
        <v>122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131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114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229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122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131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114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229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122</v>
      </c>
      <c r="C13" s="9" t="s">
        <v>230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131</v>
      </c>
      <c r="C14" s="9" t="s">
        <v>230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114</v>
      </c>
      <c r="C15" s="9" t="s">
        <v>230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229</v>
      </c>
      <c r="C16" s="9" t="s">
        <v>230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230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122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131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114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229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122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131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114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229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122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131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114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229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122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131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114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229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122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131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114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229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122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131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114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229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122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131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114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229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122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131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114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229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122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131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114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229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122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131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114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229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122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131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114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229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122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131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114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229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122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131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114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229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122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131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114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229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122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131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114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229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122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131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114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229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122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131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114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229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122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131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114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229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122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131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114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229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122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131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114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229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122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131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114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122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131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114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229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122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131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114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229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122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131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114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229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122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131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114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229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122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131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114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122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131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114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122</v>
      </c>
      <c r="C147" s="9" t="s">
        <v>121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131</v>
      </c>
      <c r="C148" s="9" t="s">
        <v>121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114</v>
      </c>
      <c r="C149" s="9" t="s">
        <v>121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122</v>
      </c>
      <c r="C150" s="9" t="s">
        <v>125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131</v>
      </c>
      <c r="C151" s="9" t="s">
        <v>125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114</v>
      </c>
      <c r="C152" s="9" t="s">
        <v>125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122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131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114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122</v>
      </c>
      <c r="C156" s="9" t="s">
        <v>130</v>
      </c>
      <c r="D156" s="9" t="s">
        <v>76</v>
      </c>
      <c r="E156" s="9" t="s">
        <v>52</v>
      </c>
      <c r="F156" s="9"/>
      <c r="G156" s="9" t="s">
        <v>132</v>
      </c>
      <c r="H156" s="9"/>
      <c r="I156" s="9"/>
      <c r="J156" s="9"/>
    </row>
    <row r="157" spans="1:10">
      <c r="A157" s="3" t="s">
        <v>112</v>
      </c>
      <c r="B157" s="3" t="s">
        <v>122</v>
      </c>
      <c r="C157" s="3" t="s">
        <v>134</v>
      </c>
      <c r="D157" s="3" t="s">
        <v>105</v>
      </c>
      <c r="E157" s="3" t="s">
        <v>39</v>
      </c>
      <c r="F157" s="3"/>
      <c r="G157" s="3" t="s">
        <v>132</v>
      </c>
      <c r="H157" s="3"/>
      <c r="I157" s="3"/>
      <c r="J157" s="3"/>
    </row>
    <row r="158" spans="1:10">
      <c r="A158" s="3" t="s">
        <v>112</v>
      </c>
      <c r="B158" s="3" t="s">
        <v>122</v>
      </c>
      <c r="C158" s="3" t="s">
        <v>136</v>
      </c>
      <c r="D158" s="3" t="s">
        <v>105</v>
      </c>
      <c r="E158" s="3" t="s">
        <v>39</v>
      </c>
      <c r="F158" s="3"/>
      <c r="G158" s="3" t="s">
        <v>132</v>
      </c>
      <c r="H158" s="3"/>
      <c r="I158" s="3"/>
      <c r="J158" s="3"/>
    </row>
    <row r="159" spans="1:10">
      <c r="A159" s="3" t="s">
        <v>112</v>
      </c>
      <c r="B159" s="3" t="s">
        <v>131</v>
      </c>
      <c r="C159" s="3" t="s">
        <v>136</v>
      </c>
      <c r="D159" s="3" t="s">
        <v>105</v>
      </c>
      <c r="E159" s="3" t="s">
        <v>39</v>
      </c>
      <c r="F159" s="3"/>
      <c r="G159" s="3" t="s">
        <v>132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114</v>
      </c>
      <c r="C160" s="3" t="s">
        <v>136</v>
      </c>
      <c r="D160" s="3" t="s">
        <v>105</v>
      </c>
      <c r="E160" s="3" t="s">
        <v>39</v>
      </c>
      <c r="F160" s="3"/>
      <c r="G160" s="3" t="s">
        <v>132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122</v>
      </c>
      <c r="C161" s="3" t="s">
        <v>137</v>
      </c>
      <c r="D161" s="3" t="s">
        <v>76</v>
      </c>
      <c r="E161" s="3" t="s">
        <v>52</v>
      </c>
      <c r="F161" s="3"/>
      <c r="G161" s="3" t="s">
        <v>132</v>
      </c>
      <c r="H161" s="3"/>
      <c r="I161" s="3"/>
      <c r="J161" s="3"/>
    </row>
    <row r="162" spans="1:10">
      <c r="A162" s="3" t="s">
        <v>112</v>
      </c>
      <c r="B162" s="3" t="s">
        <v>131</v>
      </c>
      <c r="C162" s="3" t="s">
        <v>137</v>
      </c>
      <c r="D162" s="3" t="s">
        <v>76</v>
      </c>
      <c r="E162" s="3" t="s">
        <v>52</v>
      </c>
      <c r="F162" s="3"/>
      <c r="G162" s="3" t="s">
        <v>132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114</v>
      </c>
      <c r="C163" s="3" t="s">
        <v>137</v>
      </c>
      <c r="D163" s="3" t="s">
        <v>76</v>
      </c>
      <c r="E163" s="3" t="s">
        <v>52</v>
      </c>
      <c r="F163" s="3"/>
      <c r="G163" s="3" t="s">
        <v>132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122</v>
      </c>
      <c r="C164" s="3" t="s">
        <v>139</v>
      </c>
      <c r="D164" s="3" t="s">
        <v>141</v>
      </c>
      <c r="E164" s="3" t="s">
        <v>52</v>
      </c>
      <c r="F164" s="3"/>
      <c r="G164" s="3" t="s">
        <v>132</v>
      </c>
      <c r="H164" s="3"/>
      <c r="I164" s="3"/>
      <c r="J164" s="3"/>
    </row>
    <row r="165" spans="1:10">
      <c r="A165" s="3" t="s">
        <v>112</v>
      </c>
      <c r="B165" s="3" t="s">
        <v>131</v>
      </c>
      <c r="C165" s="3" t="s">
        <v>139</v>
      </c>
      <c r="D165" s="3" t="s">
        <v>141</v>
      </c>
      <c r="E165" s="3" t="s">
        <v>52</v>
      </c>
      <c r="F165" s="3"/>
      <c r="G165" s="3" t="s">
        <v>132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114</v>
      </c>
      <c r="C166" s="3" t="s">
        <v>139</v>
      </c>
      <c r="D166" s="3" t="s">
        <v>141</v>
      </c>
      <c r="E166" s="3" t="s">
        <v>52</v>
      </c>
      <c r="F166" s="3"/>
      <c r="G166" s="3" t="s">
        <v>132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122</v>
      </c>
      <c r="C167" s="3" t="s">
        <v>142</v>
      </c>
      <c r="D167" s="3" t="s">
        <v>141</v>
      </c>
      <c r="E167" s="3" t="s">
        <v>69</v>
      </c>
      <c r="F167" s="3"/>
      <c r="G167" s="3" t="s">
        <v>132</v>
      </c>
      <c r="H167" s="3"/>
      <c r="I167" s="3"/>
      <c r="J167" s="3"/>
    </row>
    <row r="168" spans="1:10">
      <c r="A168" s="3" t="s">
        <v>112</v>
      </c>
      <c r="B168" s="3" t="s">
        <v>131</v>
      </c>
      <c r="C168" s="3" t="s">
        <v>142</v>
      </c>
      <c r="D168" s="3" t="s">
        <v>141</v>
      </c>
      <c r="E168" s="3" t="s">
        <v>69</v>
      </c>
      <c r="F168" s="3"/>
      <c r="G168" s="3" t="s">
        <v>132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114</v>
      </c>
      <c r="C169" s="3" t="s">
        <v>142</v>
      </c>
      <c r="D169" s="3" t="s">
        <v>141</v>
      </c>
      <c r="E169" s="3" t="s">
        <v>69</v>
      </c>
      <c r="F169" s="3"/>
      <c r="G169" s="3" t="s">
        <v>132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122</v>
      </c>
      <c r="C170" s="3" t="s">
        <v>144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131</v>
      </c>
      <c r="C171" s="3" t="s">
        <v>144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114</v>
      </c>
      <c r="C172" s="3" t="s">
        <v>144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122</v>
      </c>
      <c r="C173" s="3" t="s">
        <v>146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131</v>
      </c>
      <c r="C174" s="3" t="s">
        <v>146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114</v>
      </c>
      <c r="C175" s="3" t="s">
        <v>146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122</v>
      </c>
      <c r="C176" s="3" t="s">
        <v>147</v>
      </c>
      <c r="D176" s="3" t="s">
        <v>68</v>
      </c>
      <c r="E176" s="3" t="s">
        <v>69</v>
      </c>
      <c r="F176" s="3"/>
      <c r="G176" s="3" t="s">
        <v>132</v>
      </c>
      <c r="H176" s="3"/>
      <c r="I176" s="3"/>
      <c r="J176" s="3"/>
    </row>
    <row r="177" spans="1:10">
      <c r="A177" s="3" t="s">
        <v>112</v>
      </c>
      <c r="B177" s="3" t="s">
        <v>131</v>
      </c>
      <c r="C177" s="3" t="s">
        <v>147</v>
      </c>
      <c r="D177" s="3" t="s">
        <v>68</v>
      </c>
      <c r="E177" s="3" t="s">
        <v>69</v>
      </c>
      <c r="F177" s="3"/>
      <c r="G177" s="3" t="s">
        <v>132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114</v>
      </c>
      <c r="C178" s="3" t="s">
        <v>147</v>
      </c>
      <c r="D178" s="3" t="s">
        <v>68</v>
      </c>
      <c r="E178" s="3" t="s">
        <v>69</v>
      </c>
      <c r="F178" s="3"/>
      <c r="G178" s="3" t="s">
        <v>132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122</v>
      </c>
      <c r="C179" s="3" t="s">
        <v>149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131</v>
      </c>
      <c r="C180" s="3" t="s">
        <v>149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114</v>
      </c>
      <c r="C181" s="3" t="s">
        <v>149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122</v>
      </c>
      <c r="C182" s="3" t="s">
        <v>156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131</v>
      </c>
      <c r="C183" s="3" t="s">
        <v>156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114</v>
      </c>
      <c r="C184" s="3" t="s">
        <v>156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5703125" defaultRowHeight="14.45"/>
  <cols>
    <col min="1" max="3" width="22" customWidth="1"/>
  </cols>
  <sheetData>
    <row r="1" spans="1:3" ht="14.25" hidden="1" customHeight="1">
      <c r="A1" s="83" t="s">
        <v>231</v>
      </c>
      <c r="B1" s="77"/>
      <c r="C1" s="77"/>
    </row>
    <row r="2" spans="1:3" ht="14.25" customHeight="1">
      <c r="A2" s="8" t="s">
        <v>0</v>
      </c>
      <c r="B2" s="8" t="s">
        <v>232</v>
      </c>
      <c r="C2" s="8" t="s">
        <v>227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233</v>
      </c>
      <c r="B11" s="11">
        <v>18</v>
      </c>
      <c r="C11" s="12">
        <v>46386</v>
      </c>
    </row>
    <row r="12" spans="1:3" ht="14.25" customHeight="1">
      <c r="A12" s="11" t="s">
        <v>233</v>
      </c>
      <c r="B12" s="11">
        <v>18</v>
      </c>
      <c r="C12" s="12">
        <v>46417</v>
      </c>
    </row>
    <row r="13" spans="1:3" ht="14.25" customHeight="1">
      <c r="A13" s="11" t="s">
        <v>233</v>
      </c>
      <c r="B13" s="11">
        <v>19</v>
      </c>
      <c r="C13" s="12">
        <v>46446</v>
      </c>
    </row>
    <row r="14" spans="1:3" ht="14.25" customHeight="1">
      <c r="A14" s="11" t="s">
        <v>234</v>
      </c>
      <c r="B14" s="11">
        <v>9</v>
      </c>
      <c r="C14" s="12">
        <v>46476</v>
      </c>
    </row>
    <row r="15" spans="1:3" ht="14.25" customHeight="1">
      <c r="A15" s="11" t="s">
        <v>235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570312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236</v>
      </c>
      <c r="F1" s="1" t="s">
        <v>2</v>
      </c>
      <c r="G1" s="5" t="s">
        <v>237</v>
      </c>
      <c r="H1" s="5" t="s">
        <v>19</v>
      </c>
      <c r="I1" t="s">
        <v>31</v>
      </c>
      <c r="J1" s="5" t="s">
        <v>238</v>
      </c>
      <c r="K1" s="5" t="s">
        <v>229</v>
      </c>
      <c r="L1" s="5" t="s">
        <v>208</v>
      </c>
      <c r="M1" s="1" t="s">
        <v>239</v>
      </c>
      <c r="N1" s="1" t="s">
        <v>240</v>
      </c>
    </row>
    <row r="2" spans="1:14" ht="13.5" customHeight="1">
      <c r="A2" s="2" t="s">
        <v>241</v>
      </c>
      <c r="B2" s="2" t="s">
        <v>242</v>
      </c>
      <c r="C2" s="2" t="s">
        <v>243</v>
      </c>
      <c r="D2" s="2" t="s">
        <v>244</v>
      </c>
      <c r="E2" s="2" t="s">
        <v>245</v>
      </c>
      <c r="F2" s="2" t="s">
        <v>246</v>
      </c>
      <c r="G2" t="s">
        <v>247</v>
      </c>
      <c r="H2" t="s">
        <v>248</v>
      </c>
      <c r="I2" t="s">
        <v>249</v>
      </c>
      <c r="J2" s="29" t="s">
        <v>250</v>
      </c>
      <c r="K2" s="29" t="s">
        <v>251</v>
      </c>
      <c r="L2" s="29" t="s">
        <v>252</v>
      </c>
      <c r="M2" t="s">
        <v>132</v>
      </c>
      <c r="N2" s="45" t="s">
        <v>253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154</v>
      </c>
      <c r="G3" t="s">
        <v>38</v>
      </c>
      <c r="H3" t="s">
        <v>40</v>
      </c>
      <c r="I3" t="s">
        <v>45</v>
      </c>
      <c r="J3" t="s">
        <v>122</v>
      </c>
      <c r="K3" t="s">
        <v>41</v>
      </c>
      <c r="L3" t="s">
        <v>45</v>
      </c>
      <c r="M3" t="s">
        <v>38</v>
      </c>
      <c r="N3" s="45" t="s">
        <v>254</v>
      </c>
    </row>
    <row r="4" spans="1:14" ht="15" customHeight="1">
      <c r="A4" t="s">
        <v>112</v>
      </c>
      <c r="B4" t="s">
        <v>51</v>
      </c>
      <c r="C4" t="s">
        <v>39</v>
      </c>
      <c r="D4" t="s">
        <v>132</v>
      </c>
      <c r="E4" t="s">
        <v>45</v>
      </c>
      <c r="F4" t="s">
        <v>122</v>
      </c>
      <c r="G4" t="s">
        <v>51</v>
      </c>
      <c r="H4" t="s">
        <v>80</v>
      </c>
      <c r="I4" t="s">
        <v>128</v>
      </c>
      <c r="J4" t="s">
        <v>131</v>
      </c>
      <c r="L4" t="s">
        <v>42</v>
      </c>
      <c r="M4" t="s">
        <v>94</v>
      </c>
      <c r="N4" s="45" t="s">
        <v>254</v>
      </c>
    </row>
    <row r="5" spans="1:14" ht="15" customHeight="1">
      <c r="A5" t="s">
        <v>233</v>
      </c>
      <c r="B5" t="s">
        <v>57</v>
      </c>
      <c r="C5" t="s">
        <v>69</v>
      </c>
      <c r="F5" t="s">
        <v>131</v>
      </c>
      <c r="G5" t="s">
        <v>57</v>
      </c>
      <c r="H5" t="s">
        <v>115</v>
      </c>
      <c r="I5" t="s">
        <v>123</v>
      </c>
      <c r="J5" t="s">
        <v>114</v>
      </c>
      <c r="L5" t="s">
        <v>255</v>
      </c>
      <c r="M5" t="s">
        <v>80</v>
      </c>
      <c r="N5" s="45" t="s">
        <v>254</v>
      </c>
    </row>
    <row r="6" spans="1:14" ht="15" customHeight="1">
      <c r="A6" t="s">
        <v>234</v>
      </c>
      <c r="B6" t="s">
        <v>76</v>
      </c>
      <c r="F6" t="s">
        <v>114</v>
      </c>
      <c r="G6" t="s">
        <v>76</v>
      </c>
      <c r="H6" t="s">
        <v>132</v>
      </c>
      <c r="I6" t="s">
        <v>256</v>
      </c>
      <c r="J6" t="s">
        <v>229</v>
      </c>
      <c r="M6" t="s">
        <v>41</v>
      </c>
      <c r="N6" s="45" t="s">
        <v>254</v>
      </c>
    </row>
    <row r="7" spans="1:14" ht="15" customHeight="1">
      <c r="A7" t="s">
        <v>235</v>
      </c>
      <c r="B7" t="s">
        <v>105</v>
      </c>
      <c r="F7" t="s">
        <v>229</v>
      </c>
      <c r="G7" t="s">
        <v>105</v>
      </c>
      <c r="I7" t="s">
        <v>257</v>
      </c>
      <c r="M7" t="s">
        <v>115</v>
      </c>
      <c r="N7" s="45" t="s">
        <v>254</v>
      </c>
    </row>
    <row r="8" spans="1:14" ht="15" customHeight="1">
      <c r="B8" t="s">
        <v>68</v>
      </c>
      <c r="F8" t="s">
        <v>36</v>
      </c>
      <c r="G8" t="s">
        <v>68</v>
      </c>
      <c r="I8" t="s">
        <v>258</v>
      </c>
      <c r="M8" t="s">
        <v>52</v>
      </c>
      <c r="N8" s="45" t="s">
        <v>254</v>
      </c>
    </row>
    <row r="9" spans="1:14" ht="15" customHeight="1">
      <c r="B9" t="s">
        <v>94</v>
      </c>
      <c r="G9" t="s">
        <v>94</v>
      </c>
      <c r="I9" t="s">
        <v>259</v>
      </c>
      <c r="M9" t="s">
        <v>141</v>
      </c>
      <c r="N9" s="45" t="s">
        <v>254</v>
      </c>
    </row>
    <row r="10" spans="1:14" ht="15" customHeight="1">
      <c r="B10" t="s">
        <v>141</v>
      </c>
      <c r="G10" t="s">
        <v>141</v>
      </c>
      <c r="M10" t="s">
        <v>40</v>
      </c>
      <c r="N10" s="45" t="s">
        <v>254</v>
      </c>
    </row>
    <row r="11" spans="1:14">
      <c r="G11" t="s">
        <v>52</v>
      </c>
      <c r="M11" t="s">
        <v>68</v>
      </c>
      <c r="N11" s="45" t="s">
        <v>254</v>
      </c>
    </row>
    <row r="12" spans="1:14">
      <c r="G12" t="s">
        <v>39</v>
      </c>
      <c r="M12" t="s">
        <v>39</v>
      </c>
      <c r="N12" s="45" t="s">
        <v>254</v>
      </c>
    </row>
    <row r="13" spans="1:14">
      <c r="G13" t="s">
        <v>69</v>
      </c>
      <c r="M13" t="s">
        <v>69</v>
      </c>
      <c r="N13" s="45" t="s">
        <v>254</v>
      </c>
    </row>
    <row r="14" spans="1:14">
      <c r="M14" t="s">
        <v>76</v>
      </c>
      <c r="N14" s="45" t="s">
        <v>260</v>
      </c>
    </row>
    <row r="15" spans="1:14">
      <c r="M15" t="s">
        <v>51</v>
      </c>
      <c r="N15" s="45" t="s">
        <v>254</v>
      </c>
    </row>
    <row r="16" spans="1:14">
      <c r="M16" t="s">
        <v>105</v>
      </c>
      <c r="N16" s="45" t="s">
        <v>254</v>
      </c>
    </row>
    <row r="17" spans="13:14">
      <c r="M17" t="s">
        <v>57</v>
      </c>
      <c r="N17" s="45" t="s">
        <v>254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Fetwi Hayelom</cp:lastModifiedBy>
  <cp:revision>0</cp:revision>
  <dcterms:created xsi:type="dcterms:W3CDTF">2026-07-21T14:32:59Z</dcterms:created>
  <dcterms:modified xsi:type="dcterms:W3CDTF">2026-08-13T11:54:52Z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