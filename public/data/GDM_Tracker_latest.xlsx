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00" documentId="13_ncr:1_{52745E9B-3AA1-4770-AAD3-E6166BFC13AE}" xr6:coauthVersionLast="47" xr6:coauthVersionMax="47" xr10:uidLastSave="{37BEAF0B-F5C7-4C8F-9A5C-A78C2EC8FE1E}"/>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<sst xmlns="http://schemas.openxmlformats.org/spreadsheetml/2006/main" count="3632" uniqueCount="522">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</sst>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topLeftCell="A65" zoomScaleNormal="100" workbookViewId="0">
      <pane xSplit="2" topLeftCell="Y41" activePane="topRight" state="frozen"/>
      <selection pane="topRight" activeCell="AC56" sqref="AC56"/>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tr" cm="1">
        <f t="array" aca="1" ref="D56" ca="1">IF(AND(C56="Ready for Release in Prod",LEFT($AJ56,3)&lt;&gt;"Yes"),IF(AG56&lt;&gt;"","Delivered","On track"),IF($B56="","",IF(LEFT($AJ56,3)="Yes","Blocked - "&amp;MID($AJ56,7,100)&amp;IF(SUMPRODUCT(('Rework Log'!$A$2:$A$497=$B56)*('Rework Log'!$G$2:$G$497&lt;&gt;"Yes")*('Rework Log'!$G$2:$G$497&lt;&gt;"Did not pass re-test"))=0,"",IF(SUMPRODUCT(MAX((('Rework Log'!$A$2:$A$497=$B56)*('Rework Log'!$G$2:$G$497&lt;&gt;"Yes")*('Rework Log'!$G$2:$G$497&lt;&gt;"Did not pass re-test"))*'Rework Log'!$I$2:$I$497))=0," - unclaimed"," - promised "&amp;TEXT(SUMPRODUCT(MAX((('Rework Log'!$A$2:$A$497=$B56)*('Rework Log'!$G$2:$G$497&lt;&gt;"Yes")*('Rework Log'!$G$2:$G$497&lt;&gt;"Did not pass re-test"))*'Rework Log'!$I$2:$I$497)),"m/d"))),IF(C56="NOT STARTED",IF(H56="","No plan date set",IF(H56&lt;TODAY(),"Review - planned start passed","On track")),IF(C56="DB Dev",_xlfn.LET(_xlpm.sent,_xlfn.MAXIFS('Rework Log'!$B$2:$B$497,'Rework Log'!$A$2:$A$497,$B56,'Rework Log'!$D$2:$D$497,"DB Dev"),_xlpm.expfix,_xlfn.MAXIFS('Rework Log'!$I$2:$I$497,'Rework Log'!$A$2:$A$497,$B56,'Rework Log'!$D$2:$D$497,"DB Dev",'Rework Log'!$B$2:$B$497,_xlpm.sent),_xlpm.tgt,IF(_xlpm.expfix&gt;0,_xlpm.expfix,IF(L56&lt;&gt;"",L56,K56)),_xlpm.act,IF(AND(M56&lt;&gt;"",M56&gt;=_xlpm.sent),M56,""),IF(_xlpm.tgt="","No target set",IF(AND(_xlpm.tgt&lt;TODAY(),_xlpm.act=""),"Overdue","On track"))),IF(C56="PBI Dev",_xlfn.LET(_xlpm.sent,_xlfn.MAXIFS('Rework Log'!$B$2:$B$497,'Rework Log'!$A$2:$A$497,$B56,'Rework Log'!$D$2:$D$497,"PBI Dev"),_xlpm.expfix,_xlfn.MAXIFS('Rework Log'!$I$2:$I$497,'Rework Log'!$A$2:$A$497,$B56,'Rework Log'!$D$2:$D$497,"PBI Dev",'Rework Log'!$B$2:$B$497,_xlpm.sent),_xlpm.tgt,IF(_xlpm.expfix&gt;0,_xlpm.expfix,IF(R56&lt;&gt;"",R56,Q56)),_xlpm.act,IF(AND(S56&lt;&gt;"",S56&gt;=_xlpm.sent),S56,""),IF(_xlpm.tgt="","No target set",IF(AND(_xlpm.tgt&lt;TODAY(),_xlpm.act=""),"Overdue","On track"))),IF(C56="QA",_xlfn.LET(_xlpm.tgt,IF(AM56&lt;&gt;"",AM56,IF(W56&lt;&gt;"",W56,V56)),_xlpm.sent,_xlfn.MAXIFS('Rework Log'!$B$2:$B$497,'Rework Log'!$A$2:$A$497,$B56,'Rework Log'!$C$2:$C$497,"QA"),_xlpm.act,IF(AND(Y56&lt;&gt;"",Y56&gt;=_xlpm.sent),Y56,""),IF(_xlpm.tgt="","No target set",IF(AND(_xlpm.tgt&lt;TODAY(),_xlpm.act=""),"Overdue","On track"))),IF(C56="DPO Approval",_xlfn.LET(_xlpm.tgt,IF(AN56&lt;&gt;"",AN56,IF(AB56&lt;&gt;"",AB56,AA56)),_xlpm.sent,_xlfn.MAXIFS('Rework Log'!$B$2:$B$497,'Rework Log'!$A$2:$A$497,$B56,'Rework Log'!$C$2:$C$497,"DPO*"),_xlpm.act,IF(AND(AC56&lt;&gt;"",AC56&gt;=_xlpm.sent),AC56,""),IF(_xlpm.tgt="","No target set",IF(AND(_xlpm.tgt&lt;TODAY(),_xlpm.act=""),"Overdue","On track"))),IF(C56="RELEASED IN PROD","Delivered","")))))))))</f>
        <v>Overdue</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v>46297</v>
      </c>
      <c r="AC56" s="36"/>
      <c r="AD56" s="33" t="s">
        <v>201</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203</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204</v>
      </c>
      <c r="C58" s="33" t="s">
        <v>205</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220</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222</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223</v>
      </c>
      <c r="C66" s="203" t="s">
        <v>205</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220</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205</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237</v>
      </c>
      <c r="C70" s="33" t="s">
        <v>205</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147</v>
      </c>
      <c r="O70" s="36" t="s">
        <v>195</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205</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205</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205</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205</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1"/>
      <c r="Y80" s="31"/>
      <c r="Z80" s="36"/>
      <c r="AA80" s="28">
        <v>46325</v>
      </c>
      <c r="AB80" s="43"/>
      <c r="AC80" s="43"/>
      <c r="AD80" s="31" t="s">
        <v>211</v>
      </c>
      <c r="AE80" s="31" t="s">
        <v>94</v>
      </c>
      <c r="AF80" s="31"/>
      <c r="AG80" s="31"/>
      <c r="AH80" s="31"/>
      <c r="AI80" s="31"/>
      <c r="AJ80" s="31" t="s">
        <v>254</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220</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221</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220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31"/>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268</v>
      </c>
      <c r="C84" s="31" t="s">
        <v>205</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234</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c r="N85" s="44"/>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c r="M90" s="44"/>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263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4"/>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205</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291</v>
      </c>
      <c r="C96" s="31" t="s">
        <v>205</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296</v>
      </c>
      <c r="C98" s="31" t="s">
        <v>205</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297</v>
      </c>
      <c r="C99" s="31" t="s">
        <v>234</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302</v>
      </c>
      <c r="B102" s="31" t="s">
        <v>306</v>
      </c>
      <c r="C102" s="31" t="s">
        <v>205</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302</v>
      </c>
      <c r="B103" s="31" t="s">
        <v>309</v>
      </c>
      <c r="C103" s="31" t="s">
        <v>205</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302</v>
      </c>
      <c r="B105" s="31" t="s">
        <v>314</v>
      </c>
      <c r="C105" s="31" t="s">
        <v>205</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c r="K105" s="28">
        <v>46363</v>
      </c>
      <c r="L105" s="43"/>
      <c r="M105" s="31"/>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302</v>
      </c>
      <c r="B106" s="31" t="s">
        <v>317</v>
      </c>
      <c r="C106" s="31" t="s">
        <v>205</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c r="K106" s="28">
        <v>46363</v>
      </c>
      <c r="L106" s="43"/>
      <c r="M106" s="31"/>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302</v>
      </c>
      <c r="B107" s="31" t="s">
        <v>319</v>
      </c>
      <c r="C107" s="31" t="s">
        <v>205</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c r="K107" s="28">
        <v>46363</v>
      </c>
      <c r="L107" s="43"/>
      <c r="M107" s="31"/>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c r="K108" s="28">
        <v>46363</v>
      </c>
      <c r="L108" s="43"/>
      <c r="M108" s="31"/>
      <c r="N108" s="31"/>
      <c r="O108" s="36" t="s">
        <v>322</v>
      </c>
      <c r="P108" s="74"/>
      <c r="Q108" s="28">
        <v>46370</v>
      </c>
      <c r="R108" s="43"/>
      <c r="S108" s="31"/>
      <c r="T108" s="68" t="s">
        <v>307</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311</v>
      </c>
      <c r="B109" s="31" t="s">
        <v>324</v>
      </c>
      <c r="C109" s="31" t="s">
        <v>234</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c r="K109" s="28">
        <v>46363</v>
      </c>
      <c r="L109" s="43"/>
      <c r="M109" s="31"/>
      <c r="N109" s="31"/>
      <c r="O109" s="36" t="s">
        <v>322</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302</v>
      </c>
      <c r="B110" s="31" t="s">
        <v>327</v>
      </c>
      <c r="C110" s="31" t="s">
        <v>205</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c r="K110" s="28">
        <v>46363</v>
      </c>
      <c r="L110" s="43"/>
      <c r="M110" s="31"/>
      <c r="N110" s="31"/>
      <c r="O110" s="36" t="s">
        <v>322</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311</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c r="K111" s="28">
        <v>46363</v>
      </c>
      <c r="L111" s="43"/>
      <c r="M111" s="31"/>
      <c r="N111" s="31"/>
      <c r="O111" s="36" t="s">
        <v>322</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311</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c r="K112" s="28">
        <v>46363</v>
      </c>
      <c r="L112" s="43"/>
      <c r="M112" s="31"/>
      <c r="N112" s="31"/>
      <c r="O112" s="36" t="s">
        <v>322</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311</v>
      </c>
      <c r="B113" s="31" t="s">
        <v>332</v>
      </c>
      <c r="C113" s="31" t="s">
        <v>234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c r="K113" s="28">
        <v>46363</v>
      </c>
      <c r="L113" s="43"/>
      <c r="M113" s="31"/>
      <c r="N113" s="31"/>
      <c r="O113" s="36" t="s">
        <v>322</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311</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c r="K114" s="28">
        <v>46363</v>
      </c>
      <c r="L114" s="43"/>
      <c r="M114" s="31"/>
      <c r="N114" s="31"/>
      <c r="O114" s="36" t="s">
        <v>334</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335</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325</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336</v>
      </c>
    </row>
    <row r="2" spans="1:5">
      <c r="A2" s="6" t="s">
        <v>337</v>
      </c>
    </row>
    <row r="4" spans="1:5" ht="21.95" customHeight="1">
      <c r="A4" s="5" t="s">
        <v>338</v>
      </c>
      <c r="B4" s="265"/>
      <c r="C4" s="266"/>
      <c r="D4" s="266"/>
      <c r="E4" s="266"/>
    </row>
    <row r="6" spans="1:5">
      <c r="A6" s="42" t="s">
        <v>0</v>
      </c>
      <c r="B6" s="221" t="str">
        <f>IF($B$4="","",IFERROR(INDEX('Combined Delivery Data'!$A:$A,MATCH($B$4,'Combined Delivery Data'!$B:$B,0)),""))</f>
        <v/>
      </c>
      <c r="C6" s="267"/>
      <c r="D6" s="267"/>
      <c r="E6" s="268"/>
    </row>
    <row r="7" spans="1:5">
      <c r="A7" s="42" t="s">
        <v>339</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340</v>
      </c>
      <c r="B14" s="220" t="str">
        <f>IF($B$4="","",IFERROR(INDEX('Combined Delivery Data'!$K:$K,MATCH($B$4,'Combined Delivery Data'!$B:$B,0)),""))</f>
        <v/>
      </c>
      <c r="C14" s="267"/>
      <c r="D14" s="267"/>
      <c r="E14" s="268"/>
    </row>
    <row r="15" spans="1:5">
      <c r="A15" s="42" t="s">
        <v>341</v>
      </c>
      <c r="B15" s="220" t="str">
        <f>IF($B$4="","",IFERROR(INDEX('Combined Delivery Data'!$L:$L,MATCH($B$4,'Combined Delivery Data'!$B:$B,0)),""))</f>
        <v/>
      </c>
      <c r="C15" s="267"/>
      <c r="D15" s="267"/>
      <c r="E15" s="268"/>
    </row>
    <row r="16" spans="1:5">
      <c r="A16" s="42" t="s">
        <v>342</v>
      </c>
      <c r="B16" s="220" t="str">
        <f>IF($B$4="","",IFERROR(INDEX('Combined Delivery Data'!$M:$M,MATCH($B$4,'Combined Delivery Data'!$B:$B,0)),""))</f>
        <v/>
      </c>
      <c r="C16" s="267"/>
      <c r="D16" s="267"/>
      <c r="E16" s="268"/>
    </row>
    <row r="17" spans="1:5">
      <c r="A17" s="42" t="s">
        <v>343</v>
      </c>
      <c r="B17" s="220" t="str">
        <f>IF($B$4="","",IFERROR(INDEX('Combined Delivery Data'!$O:$O,MATCH($B$4,'Combined Delivery Data'!$B:$B,0)),""))</f>
        <v/>
      </c>
      <c r="C17" s="267"/>
      <c r="D17" s="267"/>
      <c r="E17" s="268"/>
    </row>
    <row r="18" spans="1:5">
      <c r="A18" s="42" t="s">
        <v>344</v>
      </c>
      <c r="B18" s="220" t="str">
        <f>IF($B$4="","",IFERROR(INDEX('Combined Delivery Data'!$Q:$Q,MATCH($B$4,'Combined Delivery Data'!$B:$B,0)),""))</f>
        <v/>
      </c>
      <c r="C18" s="267"/>
      <c r="D18" s="267"/>
      <c r="E18" s="268"/>
    </row>
    <row r="19" spans="1:5">
      <c r="A19" s="42" t="s">
        <v>345</v>
      </c>
      <c r="B19" s="220" t="str">
        <f>IF($B$4="","",IFERROR(INDEX('Combined Delivery Data'!$R:$R,MATCH($B$4,'Combined Delivery Data'!$B:$B,0)),""))</f>
        <v/>
      </c>
      <c r="C19" s="267"/>
      <c r="D19" s="267"/>
      <c r="E19" s="268"/>
    </row>
    <row r="20" spans="1:5">
      <c r="A20" s="42" t="s">
        <v>346</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347</v>
      </c>
      <c r="B26" s="221" t="str">
        <f>IF($B$4="","",IFERROR(INDEX('Rework Log'!$Q:$Q,MATCH($B$4,'Rework Log'!$P:$P,0)),""))</f>
        <v/>
      </c>
      <c r="C26" s="267"/>
      <c r="D26" s="267"/>
      <c r="E26" s="268"/>
    </row>
    <row r="27" spans="1:5">
      <c r="A27" s="42" t="s">
        <v>348</v>
      </c>
      <c r="B27" s="221" t="str">
        <f>IF($B$4="","",IFERROR(INDEX('Rework Log'!$R:$R,MATCH($B$4,'Rework Log'!$P:$P,0)),""))</f>
        <v/>
      </c>
      <c r="C27" s="267"/>
      <c r="D27" s="267"/>
      <c r="E27" s="268"/>
    </row>
    <row r="28" spans="1:5">
      <c r="A28" s="42" t="s">
        <v>349</v>
      </c>
      <c r="B28" s="221" t="str">
        <f>IF($B$4="","",IFERROR(INDEX('Rework Log'!$S:$S,MATCH($B$4,'Rework Log'!$P:$P,0)),""))</f>
        <v/>
      </c>
      <c r="C28" s="267"/>
      <c r="D28" s="267"/>
      <c r="E28" s="268"/>
    </row>
    <row r="29" spans="1:5">
      <c r="A29" s="42" t="s">
        <v>350</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5"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351</v>
      </c>
      <c r="C1" s="17" t="s">
        <v>352</v>
      </c>
      <c r="D1" s="17" t="s">
        <v>353</v>
      </c>
      <c r="E1" s="17" t="s">
        <v>354</v>
      </c>
      <c r="F1" s="17" t="s">
        <v>355</v>
      </c>
      <c r="G1" s="17" t="s">
        <v>356</v>
      </c>
      <c r="H1" s="56" t="s">
        <v>357</v>
      </c>
      <c r="I1" s="30" t="s">
        <v>358</v>
      </c>
      <c r="J1" s="30" t="s">
        <v>359</v>
      </c>
      <c r="K1" s="30" t="s">
        <v>360</v>
      </c>
      <c r="L1" s="30" t="s">
        <v>361</v>
      </c>
      <c r="M1" s="21" t="s">
        <v>362</v>
      </c>
      <c r="N1" s="21" t="s">
        <v>363</v>
      </c>
      <c r="P1" s="13" t="s">
        <v>1</v>
      </c>
      <c r="Q1" s="13" t="s">
        <v>347</v>
      </c>
      <c r="R1" s="13" t="s">
        <v>348</v>
      </c>
      <c r="S1" s="13" t="s">
        <v>349</v>
      </c>
      <c r="T1" s="13" t="s">
        <v>350</v>
      </c>
    </row>
    <row r="2" spans="1:20">
      <c r="A2" s="33" t="s">
        <v>143</v>
      </c>
      <c r="B2" s="36">
        <v>46230</v>
      </c>
      <c r="C2" s="33" t="s">
        <v>220</v>
      </c>
      <c r="D2" s="33" t="s">
        <v>263</v>
      </c>
      <c r="E2" s="33" t="s">
        <v>144</v>
      </c>
      <c r="F2" s="33" t="s">
        <v>364</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220</v>
      </c>
      <c r="D3" s="31" t="s">
        <v>263</v>
      </c>
      <c r="E3" s="31" t="s">
        <v>144</v>
      </c>
      <c r="F3" s="31" t="s">
        <v>365</v>
      </c>
      <c r="G3" s="31" t="s">
        <v>50</v>
      </c>
      <c r="H3" s="32" t="s">
        <v>155</v>
      </c>
      <c r="I3" s="32"/>
      <c r="J3" s="32">
        <v>46247</v>
      </c>
      <c r="K3" s="31" t="s">
        <v>60</v>
      </c>
      <c r="L3" s="31" t="s">
        <v>366</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220</v>
      </c>
      <c r="D4" s="31" t="s">
        <v>263</v>
      </c>
      <c r="E4" s="31" t="s">
        <v>129</v>
      </c>
      <c r="F4" s="31" t="s">
        <v>367</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220</v>
      </c>
      <c r="D5" s="31" t="s">
        <v>263</v>
      </c>
      <c r="E5" s="31" t="s">
        <v>129</v>
      </c>
      <c r="F5" s="31" t="s">
        <v>368</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220</v>
      </c>
      <c r="D6" s="31" t="s">
        <v>263</v>
      </c>
      <c r="E6" s="31" t="s">
        <v>129</v>
      </c>
      <c r="F6" s="31" t="s">
        <v>369</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220</v>
      </c>
      <c r="D7" s="31" t="s">
        <v>263</v>
      </c>
      <c r="E7" s="31" t="s">
        <v>129</v>
      </c>
      <c r="F7" s="31" t="s">
        <v>370</v>
      </c>
      <c r="G7" s="31" t="s">
        <v>50</v>
      </c>
      <c r="H7" s="32" t="s">
        <v>65</v>
      </c>
      <c r="I7" s="32"/>
      <c r="J7" s="32">
        <v>46251</v>
      </c>
      <c r="K7" s="31"/>
      <c r="L7" s="31"/>
      <c r="M7" s="3" t="str">
        <f t="shared" ca="1" si="4"/>
        <v>Fixed</v>
      </c>
      <c r="N7" t="s">
        <v>371</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220</v>
      </c>
      <c r="D8" s="31" t="s">
        <v>263</v>
      </c>
      <c r="E8" s="31" t="s">
        <v>144</v>
      </c>
      <c r="F8" s="31" t="s">
        <v>372</v>
      </c>
      <c r="G8" s="31" t="s">
        <v>50</v>
      </c>
      <c r="H8" s="32" t="s">
        <v>155</v>
      </c>
      <c r="I8" s="32"/>
      <c r="J8" s="32">
        <v>46254</v>
      </c>
      <c r="K8" s="31"/>
      <c r="L8" s="31"/>
      <c r="M8" s="3" t="str">
        <f t="shared" ca="1" si="4"/>
        <v>Fixed</v>
      </c>
      <c r="N8" t="s">
        <v>371</v>
      </c>
      <c r="P8" t="str">
        <f>'Combined Delivery Data'!B11</f>
        <v>RPT_04_SEI Leak Activity</v>
      </c>
      <c r="Q8">
        <f t="shared" si="0"/>
        <v>0</v>
      </c>
      <c r="R8">
        <f t="shared" si="1"/>
        <v>0</v>
      </c>
      <c r="S8" s="28" t="str">
        <f t="shared" si="2"/>
        <v/>
      </c>
      <c r="T8" t="str">
        <f t="shared" si="3"/>
        <v/>
      </c>
    </row>
    <row r="9" spans="1:20">
      <c r="A9" s="31" t="s">
        <v>143</v>
      </c>
      <c r="B9" s="32">
        <v>46237</v>
      </c>
      <c r="C9" s="31" t="s">
        <v>220</v>
      </c>
      <c r="D9" s="31" t="s">
        <v>263</v>
      </c>
      <c r="E9" s="31" t="s">
        <v>144</v>
      </c>
      <c r="F9" s="31" t="s">
        <v>365</v>
      </c>
      <c r="G9" s="31" t="s">
        <v>50</v>
      </c>
      <c r="H9" s="32" t="s">
        <v>84</v>
      </c>
      <c r="I9" s="32"/>
      <c r="J9" s="32">
        <v>46252</v>
      </c>
      <c r="K9" s="31"/>
      <c r="L9" s="31"/>
      <c r="M9" s="3" t="str">
        <f t="shared" ca="1" si="4"/>
        <v>Fixed</v>
      </c>
      <c r="N9" t="s">
        <v>371</v>
      </c>
      <c r="P9" t="str">
        <f>'Combined Delivery Data'!B12</f>
        <v>RPT_04_CMS Leak Productivity</v>
      </c>
      <c r="Q9">
        <f t="shared" si="0"/>
        <v>0</v>
      </c>
      <c r="R9">
        <f t="shared" si="1"/>
        <v>0</v>
      </c>
      <c r="S9" s="28" t="str">
        <f t="shared" si="2"/>
        <v/>
      </c>
      <c r="T9" t="str">
        <f t="shared" si="3"/>
        <v/>
      </c>
    </row>
    <row r="10" spans="1:20">
      <c r="A10" s="53" t="s">
        <v>135</v>
      </c>
      <c r="B10" s="32">
        <v>46254</v>
      </c>
      <c r="C10" s="31" t="s">
        <v>220</v>
      </c>
      <c r="D10" s="31" t="s">
        <v>263</v>
      </c>
      <c r="E10" s="31" t="s">
        <v>129</v>
      </c>
      <c r="F10" s="31" t="s">
        <v>367</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220</v>
      </c>
      <c r="D11" s="31" t="s">
        <v>263</v>
      </c>
      <c r="E11" s="31" t="s">
        <v>144</v>
      </c>
      <c r="F11" s="31" t="s">
        <v>373</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374</v>
      </c>
      <c r="P11" t="str">
        <f>'Combined Delivery Data'!B14</f>
        <v>RPT_04_Leak Summary Status</v>
      </c>
      <c r="Q11">
        <f t="shared" si="0"/>
        <v>0</v>
      </c>
      <c r="R11">
        <f t="shared" si="1"/>
        <v>0</v>
      </c>
      <c r="S11" s="28" t="str">
        <f t="shared" si="2"/>
        <v/>
      </c>
      <c r="T11" t="str">
        <f t="shared" si="3"/>
        <v/>
      </c>
    </row>
    <row r="12" spans="1:20">
      <c r="A12" s="53" t="s">
        <v>139</v>
      </c>
      <c r="B12" s="32">
        <v>46258</v>
      </c>
      <c r="C12" s="31" t="s">
        <v>220</v>
      </c>
      <c r="D12" s="31" t="s">
        <v>263</v>
      </c>
      <c r="E12" s="31" t="s">
        <v>129</v>
      </c>
      <c r="F12" s="31" t="s">
        <v>375</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220</v>
      </c>
      <c r="D13" s="31" t="s">
        <v>205</v>
      </c>
      <c r="E13" s="31" t="s">
        <v>144</v>
      </c>
      <c r="F13" s="31" t="s">
        <v>376</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220</v>
      </c>
      <c r="D14" s="31" t="s">
        <v>205</v>
      </c>
      <c r="E14" s="31" t="s">
        <v>144</v>
      </c>
      <c r="F14" s="31" t="s">
        <v>377</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220</v>
      </c>
      <c r="D15" s="31" t="s">
        <v>263</v>
      </c>
      <c r="E15" s="31" t="s">
        <v>144</v>
      </c>
      <c r="F15" s="31" t="s">
        <v>378</v>
      </c>
      <c r="G15" s="31" t="s">
        <v>50</v>
      </c>
      <c r="H15" s="32" t="s">
        <v>65</v>
      </c>
      <c r="I15" s="32"/>
      <c r="J15" s="32">
        <v>46258</v>
      </c>
      <c r="K15" s="31"/>
      <c r="L15" s="31"/>
      <c r="M15" s="3" t="str">
        <f t="shared" ca="1" si="4"/>
        <v>Fixed</v>
      </c>
      <c r="N15" t="s">
        <v>374</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220</v>
      </c>
      <c r="D16" s="31" t="s">
        <v>205</v>
      </c>
      <c r="E16" s="31" t="s">
        <v>144</v>
      </c>
      <c r="F16" s="31" t="s">
        <v>379</v>
      </c>
      <c r="G16" s="31" t="s">
        <v>50</v>
      </c>
      <c r="H16" s="32" t="s">
        <v>46</v>
      </c>
      <c r="I16" s="32"/>
      <c r="J16" s="32"/>
      <c r="K16" s="31"/>
      <c r="L16" s="31"/>
      <c r="M16" s="3"/>
      <c r="S16" s="28"/>
    </row>
    <row r="17" spans="1:20">
      <c r="A17" s="33" t="s">
        <v>181</v>
      </c>
      <c r="B17" s="32">
        <v>46261</v>
      </c>
      <c r="C17" s="31" t="s">
        <v>220</v>
      </c>
      <c r="D17" s="31" t="s">
        <v>263</v>
      </c>
      <c r="E17" s="31" t="s">
        <v>129</v>
      </c>
      <c r="F17" s="31" t="s">
        <v>380</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220</v>
      </c>
      <c r="D18" s="31" t="s">
        <v>205</v>
      </c>
      <c r="E18" s="31" t="s">
        <v>144</v>
      </c>
      <c r="F18" s="31" t="s">
        <v>381</v>
      </c>
      <c r="G18" s="31" t="s">
        <v>50</v>
      </c>
      <c r="H18" s="32" t="s">
        <v>46</v>
      </c>
      <c r="I18" s="32"/>
      <c r="J18" s="32">
        <v>46266</v>
      </c>
      <c r="K18" s="31"/>
      <c r="L18" s="31"/>
      <c r="M18" s="3" t="str">
        <f t="shared" ca="1" si="4"/>
        <v>Fixed</v>
      </c>
      <c r="N18" t="s">
        <v>371</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220</v>
      </c>
      <c r="D19" s="31" t="s">
        <v>205</v>
      </c>
      <c r="E19" s="31" t="s">
        <v>47</v>
      </c>
      <c r="F19" s="31" t="s">
        <v>382</v>
      </c>
      <c r="G19" s="31" t="s">
        <v>50</v>
      </c>
      <c r="H19" s="32" t="s">
        <v>77</v>
      </c>
      <c r="I19" s="32">
        <v>46265</v>
      </c>
      <c r="J19" s="32">
        <v>46265</v>
      </c>
      <c r="K19" s="31" t="s">
        <v>77</v>
      </c>
      <c r="L19" s="31" t="s">
        <v>383</v>
      </c>
      <c r="M19" s="3" t="str">
        <f t="shared" ca="1" si="4"/>
        <v>Fixed</v>
      </c>
      <c r="N19" t="s">
        <v>374</v>
      </c>
      <c r="P19" t="str">
        <f>'Combined Delivery Data'!B14</f>
        <v>RPT_04_Leak Summary Status</v>
      </c>
      <c r="Q19">
        <f t="shared" si="5"/>
        <v>0</v>
      </c>
      <c r="R19">
        <f t="shared" si="6"/>
        <v>0</v>
      </c>
      <c r="S19" s="28" t="str">
        <f t="shared" si="7"/>
        <v/>
      </c>
      <c r="T19" t="str">
        <f t="shared" si="8"/>
        <v/>
      </c>
    </row>
    <row r="20" spans="1:20">
      <c r="A20" s="31" t="s">
        <v>175</v>
      </c>
      <c r="B20" s="32">
        <v>46265</v>
      </c>
      <c r="C20" s="31" t="s">
        <v>220</v>
      </c>
      <c r="D20" s="31" t="s">
        <v>263</v>
      </c>
      <c r="E20" s="31" t="s">
        <v>47</v>
      </c>
      <c r="F20" s="31" t="s">
        <v>384</v>
      </c>
      <c r="G20" s="31" t="s">
        <v>50</v>
      </c>
      <c r="H20" s="32" t="s">
        <v>84</v>
      </c>
      <c r="I20" s="32">
        <v>46266</v>
      </c>
      <c r="J20" s="32">
        <v>46266</v>
      </c>
      <c r="K20" s="31"/>
      <c r="L20" s="31" t="s">
        <v>385</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220</v>
      </c>
      <c r="D21" s="31" t="s">
        <v>263</v>
      </c>
      <c r="E21" s="31" t="s">
        <v>129</v>
      </c>
      <c r="F21" s="31" t="s">
        <v>386</v>
      </c>
      <c r="G21" s="31" t="s">
        <v>50</v>
      </c>
      <c r="H21" s="32" t="s">
        <v>59</v>
      </c>
      <c r="I21" s="32"/>
      <c r="J21" s="32">
        <v>46266</v>
      </c>
      <c r="K21" s="31" t="s">
        <v>59</v>
      </c>
      <c r="L21" s="31"/>
      <c r="M21" s="3" t="str">
        <f t="shared" ca="1" si="4"/>
        <v>Fixed</v>
      </c>
      <c r="N21" t="s">
        <v>374</v>
      </c>
      <c r="P21" t="str">
        <f>'Combined Delivery Data'!B21</f>
        <v>RPT_04_Leak Life Cycle</v>
      </c>
      <c r="Q21">
        <f t="shared" si="5"/>
        <v>0</v>
      </c>
      <c r="R21">
        <f t="shared" si="6"/>
        <v>0</v>
      </c>
      <c r="S21" s="28" t="str">
        <f t="shared" si="7"/>
        <v/>
      </c>
      <c r="T21" t="str">
        <f t="shared" si="8"/>
        <v/>
      </c>
    </row>
    <row r="22" spans="1:20">
      <c r="A22" s="31" t="s">
        <v>169</v>
      </c>
      <c r="B22" s="32">
        <v>46266</v>
      </c>
      <c r="C22" s="31" t="s">
        <v>220</v>
      </c>
      <c r="D22" s="31" t="s">
        <v>205</v>
      </c>
      <c r="E22" s="31" t="s">
        <v>47</v>
      </c>
      <c r="F22" s="31" t="s">
        <v>387</v>
      </c>
      <c r="G22" s="31" t="s">
        <v>50</v>
      </c>
      <c r="H22" s="32" t="s">
        <v>46</v>
      </c>
      <c r="I22" s="32">
        <v>46267</v>
      </c>
      <c r="J22" s="32">
        <v>46268</v>
      </c>
      <c r="K22" s="31" t="s">
        <v>46</v>
      </c>
      <c r="L22" s="31" t="s">
        <v>385</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220</v>
      </c>
      <c r="D23" s="31" t="s">
        <v>205</v>
      </c>
      <c r="E23" s="31" t="s">
        <v>47</v>
      </c>
      <c r="F23" s="31" t="s">
        <v>388</v>
      </c>
      <c r="G23" s="31" t="s">
        <v>50</v>
      </c>
      <c r="H23" s="32" t="s">
        <v>46</v>
      </c>
      <c r="I23" s="138">
        <v>46267</v>
      </c>
      <c r="J23" s="32">
        <v>46268</v>
      </c>
      <c r="K23" s="31" t="s">
        <v>46</v>
      </c>
      <c r="L23" s="31" t="s">
        <v>385</v>
      </c>
      <c r="M23" s="3" t="str">
        <f t="shared" ca="1" si="4"/>
        <v>Fixed</v>
      </c>
      <c r="N23" t="s">
        <v>374</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220</v>
      </c>
      <c r="D24" s="31" t="s">
        <v>205</v>
      </c>
      <c r="E24" s="31" t="s">
        <v>47</v>
      </c>
      <c r="F24" s="76" t="s">
        <v>389</v>
      </c>
      <c r="G24" s="31" t="s">
        <v>50</v>
      </c>
      <c r="H24" s="32" t="s">
        <v>46</v>
      </c>
      <c r="I24" s="32">
        <v>46267</v>
      </c>
      <c r="J24" s="32">
        <v>46268</v>
      </c>
      <c r="K24" s="31" t="s">
        <v>46</v>
      </c>
      <c r="L24" s="31" t="s">
        <v>385</v>
      </c>
      <c r="M24" s="3" t="str">
        <f t="shared" ca="1" si="4"/>
        <v>Fixed</v>
      </c>
      <c r="N24" s="33" t="s">
        <v>374</v>
      </c>
      <c r="P24" t="str">
        <f>'Combined Delivery Data'!B24</f>
        <v>Leak 360 Dashboard</v>
      </c>
      <c r="Q24">
        <f t="shared" si="5"/>
        <v>0</v>
      </c>
      <c r="R24">
        <f t="shared" si="6"/>
        <v>0</v>
      </c>
      <c r="S24" s="28" t="str">
        <f t="shared" si="7"/>
        <v/>
      </c>
      <c r="T24" t="str">
        <f t="shared" si="8"/>
        <v/>
      </c>
    </row>
    <row r="25" spans="1:20">
      <c r="A25" s="53" t="s">
        <v>186</v>
      </c>
      <c r="B25" s="32">
        <v>46267</v>
      </c>
      <c r="C25" s="31" t="s">
        <v>220</v>
      </c>
      <c r="D25" s="31" t="s">
        <v>205</v>
      </c>
      <c r="E25" s="31" t="s">
        <v>129</v>
      </c>
      <c r="F25" s="31" t="s">
        <v>390</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220</v>
      </c>
      <c r="D26" s="31" t="s">
        <v>263</v>
      </c>
      <c r="E26" s="31" t="s">
        <v>129</v>
      </c>
      <c r="F26" s="31" t="s">
        <v>380</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374</v>
      </c>
      <c r="P26" t="str">
        <f>'Combined Delivery Data'!B26</f>
        <v>RPT_04_Main_Replacement Report</v>
      </c>
      <c r="Q26">
        <f t="shared" si="5"/>
        <v>0</v>
      </c>
      <c r="R26">
        <f t="shared" si="6"/>
        <v>0</v>
      </c>
      <c r="S26" s="28" t="str">
        <f t="shared" si="7"/>
        <v/>
      </c>
      <c r="T26" t="str">
        <f t="shared" si="8"/>
        <v/>
      </c>
    </row>
    <row r="27" spans="1:20">
      <c r="A27" s="31" t="s">
        <v>156</v>
      </c>
      <c r="B27" s="32">
        <v>46267</v>
      </c>
      <c r="C27" s="31" t="s">
        <v>220</v>
      </c>
      <c r="D27" s="31" t="s">
        <v>205</v>
      </c>
      <c r="E27" s="31" t="s">
        <v>144</v>
      </c>
      <c r="F27" s="31" t="s">
        <v>391</v>
      </c>
      <c r="G27" s="31" t="s">
        <v>50</v>
      </c>
      <c r="H27" s="32" t="s">
        <v>77</v>
      </c>
      <c r="I27" s="32"/>
      <c r="J27" s="32">
        <v>46267</v>
      </c>
      <c r="K27" s="31" t="s">
        <v>77</v>
      </c>
      <c r="L27" s="31" t="s">
        <v>392</v>
      </c>
      <c r="M27" s="3" t="str">
        <f t="shared" ca="1" si="4"/>
        <v>Fixed</v>
      </c>
      <c r="N27" t="s">
        <v>374</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220</v>
      </c>
      <c r="D28" s="31" t="s">
        <v>205</v>
      </c>
      <c r="E28" s="31" t="s">
        <v>129</v>
      </c>
      <c r="F28" s="31" t="s">
        <v>391</v>
      </c>
      <c r="G28" s="31" t="s">
        <v>50</v>
      </c>
      <c r="H28" s="32" t="s">
        <v>77</v>
      </c>
      <c r="I28" s="32"/>
      <c r="J28" s="32">
        <v>46267</v>
      </c>
      <c r="K28" s="31" t="s">
        <v>77</v>
      </c>
      <c r="L28" s="113" t="s">
        <v>392</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220</v>
      </c>
      <c r="D29" s="31" t="s">
        <v>205</v>
      </c>
      <c r="E29" s="31" t="s">
        <v>129</v>
      </c>
      <c r="F29" s="31" t="s">
        <v>391</v>
      </c>
      <c r="G29" s="31" t="s">
        <v>50</v>
      </c>
      <c r="H29" s="32" t="s">
        <v>77</v>
      </c>
      <c r="I29" s="32"/>
      <c r="J29" s="32">
        <v>46267</v>
      </c>
      <c r="K29" s="31" t="s">
        <v>77</v>
      </c>
      <c r="L29" s="113" t="s">
        <v>392</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220</v>
      </c>
      <c r="D30" s="31" t="s">
        <v>263</v>
      </c>
      <c r="E30" s="31" t="s">
        <v>129</v>
      </c>
      <c r="F30" s="31" t="s">
        <v>393</v>
      </c>
      <c r="G30" s="31" t="s">
        <v>50</v>
      </c>
      <c r="H30" s="32" t="s">
        <v>155</v>
      </c>
      <c r="I30" s="32"/>
      <c r="J30" s="32">
        <v>46267</v>
      </c>
      <c r="K30" s="31" t="s">
        <v>155</v>
      </c>
      <c r="L30" s="31"/>
      <c r="M30" s="3" t="str">
        <f t="shared" ca="1" si="4"/>
        <v>Fixed</v>
      </c>
      <c r="N30" t="s">
        <v>374</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220</v>
      </c>
      <c r="D31" s="31" t="s">
        <v>263</v>
      </c>
      <c r="E31" s="31" t="s">
        <v>47</v>
      </c>
      <c r="F31" s="31" t="s">
        <v>394</v>
      </c>
      <c r="G31" s="31" t="s">
        <v>50</v>
      </c>
      <c r="H31" s="32" t="s">
        <v>103</v>
      </c>
      <c r="I31" s="32">
        <v>46269</v>
      </c>
      <c r="J31" s="32">
        <v>46269</v>
      </c>
      <c r="K31" s="31"/>
      <c r="L31" s="31" t="s">
        <v>385</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220</v>
      </c>
      <c r="D32" s="31" t="s">
        <v>263</v>
      </c>
      <c r="E32" s="31" t="s">
        <v>200</v>
      </c>
      <c r="F32" s="31" t="s">
        <v>395</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220</v>
      </c>
      <c r="D33" s="31" t="s">
        <v>263</v>
      </c>
      <c r="E33" s="31" t="s">
        <v>47</v>
      </c>
      <c r="F33" s="31" t="s">
        <v>396</v>
      </c>
      <c r="G33" s="31" t="s">
        <v>50</v>
      </c>
      <c r="H33" s="32" t="s">
        <v>103</v>
      </c>
      <c r="I33" s="32">
        <v>46274</v>
      </c>
      <c r="J33" s="32">
        <v>46274</v>
      </c>
      <c r="K33" s="31"/>
      <c r="L33" s="31" t="s">
        <v>385</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220</v>
      </c>
      <c r="D34" s="31" t="s">
        <v>205</v>
      </c>
      <c r="E34" s="31" t="s">
        <v>47</v>
      </c>
      <c r="F34" s="76" t="s">
        <v>397</v>
      </c>
      <c r="G34" s="31" t="s">
        <v>50</v>
      </c>
      <c r="H34" s="32" t="s">
        <v>77</v>
      </c>
      <c r="I34" s="32">
        <v>46275</v>
      </c>
      <c r="J34" s="32">
        <v>46275</v>
      </c>
      <c r="K34" s="31" t="s">
        <v>77</v>
      </c>
      <c r="L34" s="31" t="s">
        <v>398</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220</v>
      </c>
      <c r="D35" s="31" t="s">
        <v>263</v>
      </c>
      <c r="E35" s="31" t="s">
        <v>129</v>
      </c>
      <c r="F35" s="31" t="s">
        <v>399</v>
      </c>
      <c r="G35" s="31" t="s">
        <v>50</v>
      </c>
      <c r="H35" s="32" t="s">
        <v>155</v>
      </c>
      <c r="I35" s="32"/>
      <c r="J35" s="32">
        <v>46276</v>
      </c>
      <c r="K35" s="31" t="s">
        <v>155</v>
      </c>
      <c r="L35" s="31"/>
      <c r="M35" s="3" t="str">
        <f t="shared" ca="1" si="4"/>
        <v>Fixed</v>
      </c>
      <c r="N35" t="s">
        <v>374</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220</v>
      </c>
      <c r="D36" s="31" t="s">
        <v>263</v>
      </c>
      <c r="E36" s="31" t="s">
        <v>129</v>
      </c>
      <c r="F36" s="31" t="s">
        <v>400</v>
      </c>
      <c r="G36" s="31" t="s">
        <v>53</v>
      </c>
      <c r="H36" s="32" t="s">
        <v>65</v>
      </c>
      <c r="I36" s="32"/>
      <c r="J36" s="32">
        <v>46288</v>
      </c>
      <c r="K36" s="31"/>
      <c r="L36" s="31"/>
      <c r="M36" s="3" t="str">
        <f t="shared" ca="1" si="4"/>
        <v>Fixed</v>
      </c>
      <c r="N36" t="s">
        <v>374</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220</v>
      </c>
      <c r="D37" s="31" t="s">
        <v>263</v>
      </c>
      <c r="E37" s="31" t="s">
        <v>129</v>
      </c>
      <c r="F37" s="31" t="s">
        <v>401</v>
      </c>
      <c r="G37" s="31" t="s">
        <v>50</v>
      </c>
      <c r="H37" s="32" t="s">
        <v>155</v>
      </c>
      <c r="I37" s="32">
        <v>46282</v>
      </c>
      <c r="J37" s="32">
        <v>46282</v>
      </c>
      <c r="K37" s="31" t="s">
        <v>155</v>
      </c>
      <c r="L37" s="31" t="s">
        <v>402</v>
      </c>
      <c r="M37" s="3" t="str">
        <f t="shared" ca="1" si="4"/>
        <v>Fixed</v>
      </c>
      <c r="N37" t="s">
        <v>374</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220</v>
      </c>
      <c r="D38" s="31" t="s">
        <v>205</v>
      </c>
      <c r="E38" s="31" t="s">
        <v>144</v>
      </c>
      <c r="F38" s="31" t="s">
        <v>403</v>
      </c>
      <c r="G38" s="31" t="s">
        <v>50</v>
      </c>
      <c r="H38" s="32" t="s">
        <v>77</v>
      </c>
      <c r="I38" s="32">
        <v>46281</v>
      </c>
      <c r="J38" s="32">
        <v>46281</v>
      </c>
      <c r="K38" s="31" t="s">
        <v>77</v>
      </c>
      <c r="L38" s="31" t="s">
        <v>404</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220</v>
      </c>
      <c r="D39" s="31" t="s">
        <v>263</v>
      </c>
      <c r="E39" s="31" t="s">
        <v>47</v>
      </c>
      <c r="F39" s="31" t="s">
        <v>405</v>
      </c>
      <c r="G39" s="31" t="s">
        <v>50</v>
      </c>
      <c r="H39" s="32" t="s">
        <v>44</v>
      </c>
      <c r="I39" s="32">
        <v>46283</v>
      </c>
      <c r="J39" s="32">
        <v>46283</v>
      </c>
      <c r="K39" s="31"/>
      <c r="L39" s="31" t="s">
        <v>406</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203</v>
      </c>
      <c r="B40" s="32">
        <v>46281</v>
      </c>
      <c r="C40" s="31" t="s">
        <v>220</v>
      </c>
      <c r="D40" s="31" t="s">
        <v>205</v>
      </c>
      <c r="E40" s="31" t="s">
        <v>200</v>
      </c>
      <c r="F40" s="31" t="s">
        <v>407</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c r="A41" s="31" t="s">
        <v>210</v>
      </c>
      <c r="B41" s="32">
        <v>46282</v>
      </c>
      <c r="C41" s="31" t="s">
        <v>220</v>
      </c>
      <c r="D41" s="31" t="s">
        <v>263</v>
      </c>
      <c r="E41" s="31" t="s">
        <v>47</v>
      </c>
      <c r="F41" s="31" t="s">
        <v>408</v>
      </c>
      <c r="G41" s="31" t="s">
        <v>50</v>
      </c>
      <c r="H41" s="32" t="s">
        <v>155</v>
      </c>
      <c r="I41" s="32">
        <v>46282</v>
      </c>
      <c r="J41" s="32">
        <v>46282</v>
      </c>
      <c r="K41" s="31"/>
      <c r="L41" s="31" t="s">
        <v>409</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220</v>
      </c>
      <c r="D42" s="31" t="s">
        <v>263</v>
      </c>
      <c r="E42" s="31" t="s">
        <v>129</v>
      </c>
      <c r="F42" s="31" t="s">
        <v>410</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205</v>
      </c>
      <c r="E43" s="31" t="s">
        <v>144</v>
      </c>
      <c r="F43" s="31" t="s">
        <v>411</v>
      </c>
      <c r="G43" s="31" t="s">
        <v>50</v>
      </c>
      <c r="H43" s="32" t="s">
        <v>60</v>
      </c>
      <c r="I43" s="32">
        <v>46294</v>
      </c>
      <c r="J43" s="32">
        <v>46295</v>
      </c>
      <c r="K43" s="31" t="s">
        <v>60</v>
      </c>
      <c r="L43" s="31" t="s">
        <v>412</v>
      </c>
      <c r="M43" s="3" t="str">
        <f t="shared" ca="1" si="4"/>
        <v>Fixed</v>
      </c>
      <c r="N43" t="s">
        <v>374</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220</v>
      </c>
      <c r="D44" s="31" t="s">
        <v>263</v>
      </c>
      <c r="E44" s="31" t="s">
        <v>129</v>
      </c>
      <c r="F44" s="31" t="s">
        <v>413</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220</v>
      </c>
      <c r="D45" s="31" t="s">
        <v>263</v>
      </c>
      <c r="E45" s="31" t="s">
        <v>200</v>
      </c>
      <c r="F45" s="31" t="s">
        <v>414</v>
      </c>
      <c r="G45" s="31" t="s">
        <v>50</v>
      </c>
      <c r="H45" s="32" t="s">
        <v>84</v>
      </c>
      <c r="I45" s="32"/>
      <c r="J45" s="32">
        <v>46300</v>
      </c>
      <c r="K45" s="31" t="s">
        <v>84</v>
      </c>
      <c r="L45" s="31"/>
      <c r="M45" s="3" t="s">
        <v>415</v>
      </c>
      <c r="N45" t="s">
        <v>50</v>
      </c>
      <c r="S45" s="28"/>
    </row>
    <row r="46" spans="1:20">
      <c r="A46" s="31"/>
      <c r="B46" s="32"/>
      <c r="C46" s="31" t="s">
        <v>220</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220</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220</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220</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220</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220</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220</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220</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220</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220</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220</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220</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220</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220</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220</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220</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220</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220</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220</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220</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220</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220</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220</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220</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220</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220</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220</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220</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220</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220</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220</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220</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220</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220</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220</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220</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220</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220</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220</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220</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220</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220</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220</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220</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220</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220</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220</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220</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220</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220</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220</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220</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220</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220</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220</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220</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220</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220</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220</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220</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220</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220</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220</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220</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220</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220</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220</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220</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220</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220</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220</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220</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220</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220</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220</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220</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220</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220</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220</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220</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220</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220</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220</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220</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220</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220</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220</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220</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220</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220</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220</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220</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220</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220</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220</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220</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220</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220</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220</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220</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220</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220</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220</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220</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220</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220</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220</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220</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220</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220</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220</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220</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220</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220</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220</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220</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220</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220</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220</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220</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220</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220</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220</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220</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220</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220</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220</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220</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220</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220</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220</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220</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220</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220</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220</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220</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220</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220</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220</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220</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220</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220</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220</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220</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220</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220</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220</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220</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220</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220</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220</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220</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416</v>
      </c>
      <c r="B1" s="266"/>
      <c r="C1" s="266"/>
    </row>
    <row r="2" spans="1:8" ht="14.25" customHeight="1">
      <c r="A2" s="8" t="s">
        <v>0</v>
      </c>
      <c r="B2" s="8" t="s">
        <v>417</v>
      </c>
      <c r="C2" s="8" t="s">
        <v>418</v>
      </c>
      <c r="E2" t="s">
        <v>419</v>
      </c>
      <c r="F2" t="s">
        <v>420</v>
      </c>
      <c r="G2" t="s">
        <v>421</v>
      </c>
      <c r="H2" t="s">
        <v>422</v>
      </c>
    </row>
    <row r="3" spans="1:8" ht="14.25" customHeight="1">
      <c r="A3" s="11" t="s">
        <v>40</v>
      </c>
      <c r="B3" s="11">
        <v>8</v>
      </c>
      <c r="C3" s="12">
        <v>46142</v>
      </c>
      <c r="E3" t="s">
        <v>423</v>
      </c>
      <c r="F3" s="28">
        <v>46233</v>
      </c>
      <c r="G3" s="28">
        <v>46274</v>
      </c>
    </row>
    <row r="4" spans="1:8" ht="14.25" customHeight="1">
      <c r="A4" s="11" t="s">
        <v>40</v>
      </c>
      <c r="B4" s="11">
        <v>10</v>
      </c>
      <c r="C4" s="12">
        <v>46172</v>
      </c>
      <c r="E4" t="s">
        <v>424</v>
      </c>
      <c r="F4" s="28">
        <v>46264</v>
      </c>
      <c r="G4" s="28">
        <v>46295</v>
      </c>
    </row>
    <row r="5" spans="1:8" ht="14.25" customHeight="1">
      <c r="A5" s="11" t="s">
        <v>40</v>
      </c>
      <c r="B5" s="11">
        <v>9</v>
      </c>
      <c r="C5" s="12">
        <v>46203</v>
      </c>
      <c r="E5" t="s">
        <v>425</v>
      </c>
      <c r="F5" s="28">
        <v>46295</v>
      </c>
      <c r="G5" s="28">
        <v>46325</v>
      </c>
    </row>
    <row r="6" spans="1:8" ht="14.25" customHeight="1">
      <c r="A6" s="11" t="s">
        <v>126</v>
      </c>
      <c r="B6" s="11">
        <v>15</v>
      </c>
      <c r="C6" s="12">
        <v>46233</v>
      </c>
      <c r="E6" t="s">
        <v>426</v>
      </c>
      <c r="F6" s="28">
        <v>46325</v>
      </c>
      <c r="G6" s="28">
        <v>46356</v>
      </c>
    </row>
    <row r="7" spans="1:8" ht="14.25" customHeight="1">
      <c r="A7" s="11" t="s">
        <v>126</v>
      </c>
      <c r="B7" s="11">
        <v>15</v>
      </c>
      <c r="C7" s="12">
        <v>46264</v>
      </c>
      <c r="E7" t="s">
        <v>427</v>
      </c>
      <c r="F7" s="28">
        <v>46356</v>
      </c>
      <c r="G7" s="28">
        <v>46387</v>
      </c>
    </row>
    <row r="8" spans="1:8" ht="14.25" customHeight="1">
      <c r="A8" s="11" t="s">
        <v>126</v>
      </c>
      <c r="B8" s="11">
        <v>17</v>
      </c>
      <c r="C8" s="12">
        <v>46295</v>
      </c>
      <c r="E8" t="s">
        <v>428</v>
      </c>
      <c r="F8" s="28">
        <v>46387</v>
      </c>
      <c r="G8" s="28">
        <v>46417</v>
      </c>
    </row>
    <row r="9" spans="1:8" ht="14.25" customHeight="1">
      <c r="A9" s="11" t="s">
        <v>126</v>
      </c>
      <c r="B9" s="11">
        <v>20</v>
      </c>
      <c r="C9" s="12">
        <v>46325</v>
      </c>
      <c r="E9" t="s">
        <v>429</v>
      </c>
      <c r="F9" s="28">
        <v>46417</v>
      </c>
      <c r="G9" s="28">
        <v>46445</v>
      </c>
    </row>
    <row r="10" spans="1:8" ht="14.25" customHeight="1">
      <c r="A10" s="11" t="s">
        <v>126</v>
      </c>
      <c r="B10" s="11">
        <v>20</v>
      </c>
      <c r="C10" s="12">
        <v>46356</v>
      </c>
      <c r="E10" t="s">
        <v>430</v>
      </c>
      <c r="F10" s="28">
        <v>46446</v>
      </c>
      <c r="G10" s="28">
        <v>46477</v>
      </c>
    </row>
    <row r="11" spans="1:8" ht="14.25" customHeight="1">
      <c r="A11" s="11" t="s">
        <v>431</v>
      </c>
      <c r="B11" s="11">
        <v>18</v>
      </c>
      <c r="C11" s="12">
        <v>46417</v>
      </c>
      <c r="E11" t="s">
        <v>432</v>
      </c>
      <c r="F11" s="28">
        <v>46477</v>
      </c>
      <c r="G11" s="28">
        <v>46480</v>
      </c>
    </row>
    <row r="12" spans="1:8" ht="14.25" customHeight="1">
      <c r="A12" s="11" t="s">
        <v>431</v>
      </c>
      <c r="B12" s="11">
        <v>18</v>
      </c>
      <c r="C12" s="12">
        <v>46446</v>
      </c>
    </row>
    <row r="13" spans="1:8" ht="14.25" customHeight="1">
      <c r="A13" s="11" t="s">
        <v>431</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433</v>
      </c>
      <c r="B1" s="266"/>
      <c r="C1" s="266"/>
      <c r="D1" s="266"/>
      <c r="E1" s="266"/>
      <c r="F1" s="266"/>
      <c r="G1" s="266"/>
      <c r="H1" s="266"/>
      <c r="I1" s="266"/>
      <c r="J1" s="266"/>
    </row>
    <row r="2" spans="1:10" ht="27" customHeight="1">
      <c r="A2" s="8" t="s">
        <v>0</v>
      </c>
      <c r="B2" s="8" t="s">
        <v>434</v>
      </c>
      <c r="C2" s="8" t="s">
        <v>1</v>
      </c>
      <c r="D2" s="8" t="s">
        <v>435</v>
      </c>
      <c r="E2" s="8" t="s">
        <v>436</v>
      </c>
      <c r="F2" s="8" t="s">
        <v>6</v>
      </c>
      <c r="G2" s="8" t="s">
        <v>5</v>
      </c>
      <c r="H2" s="8" t="s">
        <v>437</v>
      </c>
      <c r="I2" s="8" t="s">
        <v>418</v>
      </c>
      <c r="J2" s="8" t="s">
        <v>438</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205</v>
      </c>
      <c r="C4" s="9" t="s">
        <v>41</v>
      </c>
      <c r="D4" s="9" t="s">
        <v>44</v>
      </c>
      <c r="E4" s="9" t="s">
        <v>46</v>
      </c>
      <c r="F4" s="9"/>
      <c r="G4" s="9"/>
      <c r="H4" s="10">
        <v>46115</v>
      </c>
      <c r="I4" s="10">
        <v>46114</v>
      </c>
      <c r="J4" s="10">
        <v>46114</v>
      </c>
    </row>
    <row r="5" spans="1:10" ht="14.25" customHeight="1">
      <c r="A5" s="9" t="s">
        <v>40</v>
      </c>
      <c r="B5" s="9" t="s">
        <v>220</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205</v>
      </c>
      <c r="C9" s="9" t="s">
        <v>55</v>
      </c>
      <c r="D9" s="9" t="s">
        <v>44</v>
      </c>
      <c r="E9" s="9" t="s">
        <v>46</v>
      </c>
      <c r="F9" s="9"/>
      <c r="G9" s="9"/>
      <c r="H9" s="10">
        <v>46115</v>
      </c>
      <c r="I9" s="10">
        <v>46114</v>
      </c>
      <c r="J9" s="10">
        <v>46114</v>
      </c>
    </row>
    <row r="10" spans="1:10" ht="14.25" customHeight="1">
      <c r="A10" s="9" t="s">
        <v>40</v>
      </c>
      <c r="B10" s="9" t="s">
        <v>220</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439</v>
      </c>
      <c r="D13" s="9" t="s">
        <v>440</v>
      </c>
      <c r="E13" s="9" t="s">
        <v>46</v>
      </c>
      <c r="F13" s="9"/>
      <c r="G13" s="9"/>
      <c r="H13" s="10"/>
      <c r="I13" s="10">
        <v>46115</v>
      </c>
      <c r="J13" s="10">
        <v>46115</v>
      </c>
    </row>
    <row r="14" spans="1:10" ht="14.25" customHeight="1">
      <c r="A14" s="9" t="s">
        <v>40</v>
      </c>
      <c r="B14" s="9" t="s">
        <v>205</v>
      </c>
      <c r="C14" s="9" t="s">
        <v>439</v>
      </c>
      <c r="D14" s="9" t="s">
        <v>440</v>
      </c>
      <c r="E14" s="9" t="s">
        <v>46</v>
      </c>
      <c r="F14" s="9"/>
      <c r="G14" s="9"/>
      <c r="H14" s="10">
        <v>46115</v>
      </c>
      <c r="I14" s="10">
        <v>46120</v>
      </c>
      <c r="J14" s="10">
        <v>46120</v>
      </c>
    </row>
    <row r="15" spans="1:10" ht="14.25" customHeight="1">
      <c r="A15" s="9" t="s">
        <v>40</v>
      </c>
      <c r="B15" s="9" t="s">
        <v>220</v>
      </c>
      <c r="C15" s="9" t="s">
        <v>439</v>
      </c>
      <c r="D15" s="9" t="s">
        <v>440</v>
      </c>
      <c r="E15" s="9" t="s">
        <v>46</v>
      </c>
      <c r="F15" s="9"/>
      <c r="G15" s="9"/>
      <c r="H15" s="10">
        <v>46120</v>
      </c>
      <c r="I15" s="10">
        <v>46122</v>
      </c>
      <c r="J15" s="10">
        <v>46122</v>
      </c>
    </row>
    <row r="16" spans="1:10" ht="14.25" customHeight="1">
      <c r="A16" s="9" t="s">
        <v>40</v>
      </c>
      <c r="B16" s="9" t="s">
        <v>187</v>
      </c>
      <c r="C16" s="9" t="s">
        <v>439</v>
      </c>
      <c r="D16" s="9" t="s">
        <v>440</v>
      </c>
      <c r="E16" s="9" t="s">
        <v>46</v>
      </c>
      <c r="F16" s="9"/>
      <c r="G16" s="9"/>
      <c r="H16" s="10">
        <v>46122</v>
      </c>
      <c r="I16" s="10"/>
      <c r="J16" s="10"/>
    </row>
    <row r="17" spans="1:10" ht="14.25" customHeight="1">
      <c r="A17" s="9" t="s">
        <v>40</v>
      </c>
      <c r="B17" s="9" t="s">
        <v>42</v>
      </c>
      <c r="C17" s="9" t="s">
        <v>439</v>
      </c>
      <c r="D17" s="9" t="s">
        <v>440</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205</v>
      </c>
      <c r="C19" s="9" t="s">
        <v>58</v>
      </c>
      <c r="D19" s="9" t="s">
        <v>59</v>
      </c>
      <c r="E19" s="9" t="s">
        <v>60</v>
      </c>
      <c r="F19" s="9"/>
      <c r="G19" s="9"/>
      <c r="H19" s="10">
        <v>46115</v>
      </c>
      <c r="I19" s="10">
        <v>46126</v>
      </c>
      <c r="J19" s="10">
        <v>46126</v>
      </c>
    </row>
    <row r="20" spans="1:10" ht="14.25" customHeight="1">
      <c r="A20" s="9" t="s">
        <v>40</v>
      </c>
      <c r="B20" s="9" t="s">
        <v>220</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440</v>
      </c>
      <c r="E23" s="9" t="s">
        <v>46</v>
      </c>
      <c r="F23" s="9"/>
      <c r="G23" s="9"/>
      <c r="H23" s="10"/>
      <c r="I23" s="10">
        <v>46115</v>
      </c>
      <c r="J23" s="10">
        <v>46115</v>
      </c>
    </row>
    <row r="24" spans="1:10" ht="14.25" customHeight="1">
      <c r="A24" s="9" t="s">
        <v>40</v>
      </c>
      <c r="B24" s="9" t="s">
        <v>205</v>
      </c>
      <c r="C24" s="9" t="s">
        <v>64</v>
      </c>
      <c r="D24" s="9" t="s">
        <v>440</v>
      </c>
      <c r="E24" s="9" t="s">
        <v>46</v>
      </c>
      <c r="F24" s="9"/>
      <c r="G24" s="9"/>
      <c r="H24" s="10">
        <v>46115</v>
      </c>
      <c r="I24" s="10">
        <v>46120</v>
      </c>
      <c r="J24" s="10">
        <v>46120</v>
      </c>
    </row>
    <row r="25" spans="1:10" ht="14.25" customHeight="1">
      <c r="A25" s="9" t="s">
        <v>40</v>
      </c>
      <c r="B25" s="9" t="s">
        <v>220</v>
      </c>
      <c r="C25" s="9" t="s">
        <v>64</v>
      </c>
      <c r="D25" s="9" t="s">
        <v>440</v>
      </c>
      <c r="E25" s="9" t="s">
        <v>46</v>
      </c>
      <c r="F25" s="9"/>
      <c r="G25" s="9"/>
      <c r="H25" s="10">
        <v>46120</v>
      </c>
      <c r="I25" s="10">
        <v>46122</v>
      </c>
      <c r="J25" s="10">
        <v>46122</v>
      </c>
    </row>
    <row r="26" spans="1:10" ht="14.25" customHeight="1">
      <c r="A26" s="9" t="s">
        <v>40</v>
      </c>
      <c r="B26" s="9" t="s">
        <v>187</v>
      </c>
      <c r="C26" s="9" t="s">
        <v>64</v>
      </c>
      <c r="D26" s="9" t="s">
        <v>440</v>
      </c>
      <c r="E26" s="9" t="s">
        <v>46</v>
      </c>
      <c r="F26" s="9"/>
      <c r="G26" s="9"/>
      <c r="H26" s="10">
        <v>46122</v>
      </c>
      <c r="I26" s="10"/>
      <c r="J26" s="10"/>
    </row>
    <row r="27" spans="1:10" ht="14.25" customHeight="1">
      <c r="A27" s="9" t="s">
        <v>40</v>
      </c>
      <c r="B27" s="9" t="s">
        <v>42</v>
      </c>
      <c r="C27" s="9" t="s">
        <v>64</v>
      </c>
      <c r="D27" s="9" t="s">
        <v>440</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205</v>
      </c>
      <c r="C29" s="9" t="s">
        <v>69</v>
      </c>
      <c r="D29" s="9" t="s">
        <v>76</v>
      </c>
      <c r="E29" s="9" t="s">
        <v>60</v>
      </c>
      <c r="F29" s="9"/>
      <c r="G29" s="9"/>
      <c r="H29" s="10">
        <v>46115</v>
      </c>
      <c r="I29" s="10">
        <v>46126</v>
      </c>
      <c r="J29" s="10">
        <v>46126</v>
      </c>
    </row>
    <row r="30" spans="1:10" ht="14.25" customHeight="1">
      <c r="A30" s="9" t="s">
        <v>40</v>
      </c>
      <c r="B30" s="9" t="s">
        <v>220</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440</v>
      </c>
      <c r="E33" s="9" t="s">
        <v>60</v>
      </c>
      <c r="F33" s="9"/>
      <c r="G33" s="9"/>
      <c r="H33" s="10"/>
      <c r="I33" s="10">
        <v>46122</v>
      </c>
      <c r="J33" s="10">
        <v>46122</v>
      </c>
    </row>
    <row r="34" spans="1:10" ht="14.25" customHeight="1">
      <c r="A34" s="9" t="s">
        <v>40</v>
      </c>
      <c r="B34" s="9" t="s">
        <v>205</v>
      </c>
      <c r="C34" s="9" t="s">
        <v>70</v>
      </c>
      <c r="D34" s="9" t="s">
        <v>440</v>
      </c>
      <c r="E34" s="9" t="s">
        <v>60</v>
      </c>
      <c r="F34" s="9"/>
      <c r="G34" s="9"/>
      <c r="H34" s="10">
        <v>46122</v>
      </c>
      <c r="I34" s="10">
        <v>46126</v>
      </c>
      <c r="J34" s="10">
        <v>46126</v>
      </c>
    </row>
    <row r="35" spans="1:10" ht="14.25" customHeight="1">
      <c r="A35" s="9" t="s">
        <v>40</v>
      </c>
      <c r="B35" s="9" t="s">
        <v>220</v>
      </c>
      <c r="C35" s="9" t="s">
        <v>70</v>
      </c>
      <c r="D35" s="9" t="s">
        <v>440</v>
      </c>
      <c r="E35" s="9" t="s">
        <v>60</v>
      </c>
      <c r="F35" s="9"/>
      <c r="G35" s="9"/>
      <c r="H35" s="10">
        <v>46126</v>
      </c>
      <c r="I35" s="10">
        <v>46122</v>
      </c>
      <c r="J35" s="10">
        <v>46122</v>
      </c>
    </row>
    <row r="36" spans="1:10" ht="14.25" customHeight="1">
      <c r="A36" s="9" t="s">
        <v>40</v>
      </c>
      <c r="B36" s="9" t="s">
        <v>187</v>
      </c>
      <c r="C36" s="9" t="s">
        <v>70</v>
      </c>
      <c r="D36" s="9" t="s">
        <v>440</v>
      </c>
      <c r="E36" s="9" t="s">
        <v>60</v>
      </c>
      <c r="F36" s="9"/>
      <c r="G36" s="9"/>
      <c r="H36" s="10">
        <v>46122</v>
      </c>
      <c r="I36" s="10"/>
      <c r="J36" s="10"/>
    </row>
    <row r="37" spans="1:10" ht="14.25" customHeight="1">
      <c r="A37" s="9" t="s">
        <v>40</v>
      </c>
      <c r="B37" s="9" t="s">
        <v>42</v>
      </c>
      <c r="C37" s="9" t="s">
        <v>70</v>
      </c>
      <c r="D37" s="9" t="s">
        <v>440</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205</v>
      </c>
      <c r="C39" s="9" t="s">
        <v>71</v>
      </c>
      <c r="D39" s="9" t="s">
        <v>84</v>
      </c>
      <c r="E39" s="9" t="s">
        <v>60</v>
      </c>
      <c r="F39" s="9"/>
      <c r="G39" s="9"/>
      <c r="H39" s="10">
        <v>46122</v>
      </c>
      <c r="I39" s="10">
        <v>46126</v>
      </c>
      <c r="J39" s="10">
        <v>46126</v>
      </c>
    </row>
    <row r="40" spans="1:10" ht="14.25" customHeight="1">
      <c r="A40" s="9" t="s">
        <v>40</v>
      </c>
      <c r="B40" s="9" t="s">
        <v>220</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205</v>
      </c>
      <c r="C44" s="9" t="s">
        <v>73</v>
      </c>
      <c r="D44" s="9" t="s">
        <v>59</v>
      </c>
      <c r="E44" s="9" t="s">
        <v>60</v>
      </c>
      <c r="F44" s="9"/>
      <c r="G44" s="9"/>
      <c r="H44" s="10">
        <v>46127</v>
      </c>
      <c r="I44" s="10">
        <v>46126</v>
      </c>
      <c r="J44" s="10">
        <v>46126</v>
      </c>
    </row>
    <row r="45" spans="1:10" ht="14.25" customHeight="1">
      <c r="A45" s="9" t="s">
        <v>40</v>
      </c>
      <c r="B45" s="9" t="s">
        <v>220</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440</v>
      </c>
      <c r="E48" s="9" t="s">
        <v>60</v>
      </c>
      <c r="F48" s="9"/>
      <c r="G48" s="9"/>
      <c r="H48" s="10"/>
      <c r="I48" s="10"/>
      <c r="J48" s="10"/>
    </row>
    <row r="49" spans="1:10" ht="14.25" customHeight="1">
      <c r="A49" s="9" t="s">
        <v>40</v>
      </c>
      <c r="B49" s="9" t="s">
        <v>205</v>
      </c>
      <c r="C49" s="9" t="s">
        <v>97</v>
      </c>
      <c r="D49" s="9" t="s">
        <v>440</v>
      </c>
      <c r="E49" s="9" t="s">
        <v>60</v>
      </c>
      <c r="F49" s="9"/>
      <c r="G49" s="9"/>
      <c r="H49" s="10"/>
      <c r="I49" s="10">
        <v>46139</v>
      </c>
      <c r="J49" s="10">
        <v>46139</v>
      </c>
    </row>
    <row r="50" spans="1:10" ht="14.25" customHeight="1">
      <c r="A50" s="9" t="s">
        <v>40</v>
      </c>
      <c r="B50" s="9" t="s">
        <v>220</v>
      </c>
      <c r="C50" s="9" t="s">
        <v>97</v>
      </c>
      <c r="D50" s="9" t="s">
        <v>440</v>
      </c>
      <c r="E50" s="9" t="s">
        <v>60</v>
      </c>
      <c r="F50" s="9"/>
      <c r="G50" s="9"/>
      <c r="H50" s="10">
        <v>46139</v>
      </c>
      <c r="I50" s="10">
        <v>46139</v>
      </c>
      <c r="J50" s="10">
        <v>46139</v>
      </c>
    </row>
    <row r="51" spans="1:10" ht="14.25" customHeight="1">
      <c r="A51" s="9" t="s">
        <v>40</v>
      </c>
      <c r="B51" s="9" t="s">
        <v>187</v>
      </c>
      <c r="C51" s="9" t="s">
        <v>97</v>
      </c>
      <c r="D51" s="9" t="s">
        <v>440</v>
      </c>
      <c r="E51" s="9" t="s">
        <v>60</v>
      </c>
      <c r="F51" s="9"/>
      <c r="G51" s="9"/>
      <c r="H51" s="10">
        <v>46139</v>
      </c>
      <c r="I51" s="10"/>
      <c r="J51" s="10"/>
    </row>
    <row r="52" spans="1:10" ht="14.25" customHeight="1">
      <c r="A52" s="9" t="s">
        <v>40</v>
      </c>
      <c r="B52" s="9" t="s">
        <v>42</v>
      </c>
      <c r="C52" s="9" t="s">
        <v>97</v>
      </c>
      <c r="D52" s="9" t="s">
        <v>440</v>
      </c>
      <c r="E52" s="9" t="s">
        <v>60</v>
      </c>
      <c r="F52" s="9"/>
      <c r="G52" s="9"/>
      <c r="H52" s="10"/>
      <c r="I52" s="10"/>
      <c r="J52" s="10"/>
    </row>
    <row r="53" spans="1:10" ht="14.25" customHeight="1">
      <c r="A53" s="9" t="s">
        <v>40</v>
      </c>
      <c r="B53" s="9" t="s">
        <v>263</v>
      </c>
      <c r="C53" s="9" t="s">
        <v>98</v>
      </c>
      <c r="D53" s="9" t="s">
        <v>440</v>
      </c>
      <c r="E53" s="9" t="s">
        <v>60</v>
      </c>
      <c r="F53" s="9"/>
      <c r="G53" s="9"/>
      <c r="H53" s="10"/>
      <c r="I53" s="10"/>
      <c r="J53" s="10"/>
    </row>
    <row r="54" spans="1:10" ht="14.25" customHeight="1">
      <c r="A54" s="9" t="s">
        <v>40</v>
      </c>
      <c r="B54" s="9" t="s">
        <v>205</v>
      </c>
      <c r="C54" s="9" t="s">
        <v>98</v>
      </c>
      <c r="D54" s="9" t="s">
        <v>440</v>
      </c>
      <c r="E54" s="9" t="s">
        <v>60</v>
      </c>
      <c r="F54" s="9"/>
      <c r="G54" s="9"/>
      <c r="H54" s="9"/>
      <c r="I54" s="10">
        <v>46141</v>
      </c>
      <c r="J54" s="10">
        <v>46141</v>
      </c>
    </row>
    <row r="55" spans="1:10" ht="14.25" customHeight="1">
      <c r="A55" s="9" t="s">
        <v>40</v>
      </c>
      <c r="B55" s="9" t="s">
        <v>220</v>
      </c>
      <c r="C55" s="9" t="s">
        <v>98</v>
      </c>
      <c r="D55" s="9" t="s">
        <v>440</v>
      </c>
      <c r="E55" s="9" t="s">
        <v>60</v>
      </c>
      <c r="F55" s="9"/>
      <c r="G55" s="9"/>
      <c r="H55" s="10">
        <v>46141</v>
      </c>
      <c r="I55" s="10">
        <v>46141</v>
      </c>
      <c r="J55" s="10">
        <v>46141</v>
      </c>
    </row>
    <row r="56" spans="1:10" ht="14.25" customHeight="1">
      <c r="A56" s="9" t="s">
        <v>40</v>
      </c>
      <c r="B56" s="9" t="s">
        <v>187</v>
      </c>
      <c r="C56" s="9" t="s">
        <v>98</v>
      </c>
      <c r="D56" s="9" t="s">
        <v>440</v>
      </c>
      <c r="E56" s="9" t="s">
        <v>60</v>
      </c>
      <c r="F56" s="9"/>
      <c r="G56" s="9"/>
      <c r="H56" s="10">
        <v>46141</v>
      </c>
      <c r="I56" s="10"/>
      <c r="J56" s="10"/>
    </row>
    <row r="57" spans="1:10" ht="14.25" customHeight="1">
      <c r="A57" s="9" t="s">
        <v>40</v>
      </c>
      <c r="B57" s="9" t="s">
        <v>42</v>
      </c>
      <c r="C57" s="9" t="s">
        <v>98</v>
      </c>
      <c r="D57" s="9" t="s">
        <v>440</v>
      </c>
      <c r="E57" s="9" t="s">
        <v>60</v>
      </c>
      <c r="F57" s="9"/>
      <c r="G57" s="9"/>
      <c r="H57" s="10"/>
      <c r="I57" s="10"/>
      <c r="J57" s="10"/>
    </row>
    <row r="58" spans="1:10" ht="14.25" customHeight="1">
      <c r="A58" s="9" t="s">
        <v>40</v>
      </c>
      <c r="B58" s="9" t="s">
        <v>263</v>
      </c>
      <c r="C58" s="9" t="s">
        <v>99</v>
      </c>
      <c r="D58" s="9" t="s">
        <v>440</v>
      </c>
      <c r="E58" s="9" t="s">
        <v>46</v>
      </c>
      <c r="F58" s="9"/>
      <c r="G58" s="9"/>
      <c r="H58" s="9"/>
      <c r="I58" s="10"/>
      <c r="J58" s="10"/>
    </row>
    <row r="59" spans="1:10" ht="14.25" customHeight="1">
      <c r="A59" s="9" t="s">
        <v>40</v>
      </c>
      <c r="B59" s="9" t="s">
        <v>205</v>
      </c>
      <c r="C59" s="9" t="s">
        <v>99</v>
      </c>
      <c r="D59" s="9" t="s">
        <v>440</v>
      </c>
      <c r="E59" s="9" t="s">
        <v>46</v>
      </c>
      <c r="F59" s="9"/>
      <c r="G59" s="9"/>
      <c r="H59" s="10"/>
      <c r="I59" s="10">
        <v>46161</v>
      </c>
      <c r="J59" s="10">
        <v>46161</v>
      </c>
    </row>
    <row r="60" spans="1:10" ht="14.25" customHeight="1">
      <c r="A60" s="9" t="s">
        <v>40</v>
      </c>
      <c r="B60" s="9" t="s">
        <v>220</v>
      </c>
      <c r="C60" s="9" t="s">
        <v>99</v>
      </c>
      <c r="D60" s="9" t="s">
        <v>440</v>
      </c>
      <c r="E60" s="9" t="s">
        <v>46</v>
      </c>
      <c r="F60" s="9"/>
      <c r="G60" s="9"/>
      <c r="H60" s="10">
        <v>46161</v>
      </c>
      <c r="I60" s="10">
        <v>46161</v>
      </c>
      <c r="J60" s="10">
        <v>46161</v>
      </c>
    </row>
    <row r="61" spans="1:10" ht="14.25" customHeight="1">
      <c r="A61" s="9" t="s">
        <v>40</v>
      </c>
      <c r="B61" s="9" t="s">
        <v>187</v>
      </c>
      <c r="C61" s="9" t="s">
        <v>99</v>
      </c>
      <c r="D61" s="9" t="s">
        <v>440</v>
      </c>
      <c r="E61" s="9" t="s">
        <v>46</v>
      </c>
      <c r="F61" s="9"/>
      <c r="G61" s="9"/>
      <c r="H61" s="10">
        <v>46161</v>
      </c>
      <c r="I61" s="10"/>
      <c r="J61" s="10"/>
    </row>
    <row r="62" spans="1:10" ht="14.25" customHeight="1">
      <c r="A62" s="9" t="s">
        <v>40</v>
      </c>
      <c r="B62" s="9" t="s">
        <v>42</v>
      </c>
      <c r="C62" s="9" t="s">
        <v>99</v>
      </c>
      <c r="D62" s="9" t="s">
        <v>440</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205</v>
      </c>
      <c r="C64" s="9" t="s">
        <v>100</v>
      </c>
      <c r="D64" s="9" t="s">
        <v>103</v>
      </c>
      <c r="E64" s="9" t="s">
        <v>46</v>
      </c>
      <c r="F64" s="9"/>
      <c r="G64" s="9"/>
      <c r="H64" s="10"/>
      <c r="I64" s="10">
        <v>46175</v>
      </c>
      <c r="J64" s="10">
        <v>46175</v>
      </c>
    </row>
    <row r="65" spans="1:10" ht="14.25" customHeight="1">
      <c r="A65" s="9" t="s">
        <v>40</v>
      </c>
      <c r="B65" s="9" t="s">
        <v>220</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205</v>
      </c>
      <c r="C69" s="9" t="s">
        <v>74</v>
      </c>
      <c r="D69" s="9" t="s">
        <v>76</v>
      </c>
      <c r="E69" s="9" t="s">
        <v>77</v>
      </c>
      <c r="F69" s="9"/>
      <c r="G69" s="9"/>
      <c r="H69" s="9"/>
      <c r="I69" s="10">
        <v>46134</v>
      </c>
      <c r="J69" s="10">
        <v>46134</v>
      </c>
    </row>
    <row r="70" spans="1:10" ht="14.25" customHeight="1">
      <c r="A70" s="9" t="s">
        <v>40</v>
      </c>
      <c r="B70" s="9" t="s">
        <v>220</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205</v>
      </c>
      <c r="C74" s="9" t="s">
        <v>80</v>
      </c>
      <c r="D74" s="9" t="s">
        <v>59</v>
      </c>
      <c r="E74" s="9" t="s">
        <v>77</v>
      </c>
      <c r="F74" s="9"/>
      <c r="G74" s="9"/>
      <c r="H74" s="10"/>
      <c r="I74" s="10">
        <v>46139</v>
      </c>
      <c r="J74" s="10">
        <v>46139</v>
      </c>
    </row>
    <row r="75" spans="1:10" ht="14.25" customHeight="1">
      <c r="A75" s="9" t="s">
        <v>40</v>
      </c>
      <c r="B75" s="9" t="s">
        <v>220</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205</v>
      </c>
      <c r="C79" s="9" t="s">
        <v>83</v>
      </c>
      <c r="D79" s="9" t="s">
        <v>84</v>
      </c>
      <c r="E79" s="9" t="s">
        <v>60</v>
      </c>
      <c r="F79" s="9"/>
      <c r="G79" s="9"/>
      <c r="H79" s="9"/>
      <c r="I79" s="10">
        <v>46147</v>
      </c>
      <c r="J79" s="10">
        <v>46147</v>
      </c>
    </row>
    <row r="80" spans="1:10" ht="14.25" customHeight="1">
      <c r="A80" s="9" t="s">
        <v>40</v>
      </c>
      <c r="B80" s="9" t="s">
        <v>220</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205</v>
      </c>
      <c r="C84" s="9" t="s">
        <v>87</v>
      </c>
      <c r="D84" s="9" t="s">
        <v>84</v>
      </c>
      <c r="E84" s="9" t="s">
        <v>46</v>
      </c>
      <c r="F84" s="9"/>
      <c r="G84" s="9"/>
      <c r="H84" s="10"/>
      <c r="I84" s="10">
        <v>46175</v>
      </c>
      <c r="J84" s="10">
        <v>46175</v>
      </c>
    </row>
    <row r="85" spans="1:10" ht="14.25" customHeight="1">
      <c r="A85" s="9" t="s">
        <v>40</v>
      </c>
      <c r="B85" s="9" t="s">
        <v>220</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205</v>
      </c>
      <c r="C89" s="9" t="s">
        <v>90</v>
      </c>
      <c r="D89" s="9" t="s">
        <v>44</v>
      </c>
      <c r="E89" s="9" t="s">
        <v>60</v>
      </c>
      <c r="F89" s="9"/>
      <c r="G89" s="9"/>
      <c r="H89" s="9"/>
      <c r="I89" s="10">
        <v>46143</v>
      </c>
      <c r="J89" s="10">
        <v>46143</v>
      </c>
    </row>
    <row r="90" spans="1:10" ht="14.25" customHeight="1">
      <c r="A90" s="9" t="s">
        <v>40</v>
      </c>
      <c r="B90" s="9" t="s">
        <v>220</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205</v>
      </c>
      <c r="C94" s="9" t="s">
        <v>93</v>
      </c>
      <c r="D94" s="9" t="s">
        <v>44</v>
      </c>
      <c r="E94" s="9" t="s">
        <v>77</v>
      </c>
      <c r="F94" s="9"/>
      <c r="G94" s="9"/>
      <c r="H94" s="10">
        <v>46175</v>
      </c>
      <c r="I94" s="10">
        <v>46178</v>
      </c>
      <c r="J94" s="10">
        <v>46178</v>
      </c>
    </row>
    <row r="95" spans="1:10" ht="14.25" customHeight="1">
      <c r="A95" s="9" t="s">
        <v>40</v>
      </c>
      <c r="B95" s="9" t="s">
        <v>220</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205</v>
      </c>
      <c r="C99" s="9" t="s">
        <v>101</v>
      </c>
      <c r="D99" s="9" t="s">
        <v>103</v>
      </c>
      <c r="E99" s="9" t="s">
        <v>60</v>
      </c>
      <c r="F99" s="9"/>
      <c r="G99" s="9"/>
      <c r="H99" s="10">
        <v>46148</v>
      </c>
      <c r="I99" s="10">
        <v>46183</v>
      </c>
      <c r="J99" s="10">
        <v>46183</v>
      </c>
    </row>
    <row r="100" spans="1:10" ht="14.25" customHeight="1">
      <c r="A100" s="9" t="s">
        <v>40</v>
      </c>
      <c r="B100" s="9" t="s">
        <v>220</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205</v>
      </c>
      <c r="C104" s="9" t="s">
        <v>105</v>
      </c>
      <c r="D104" s="9" t="s">
        <v>103</v>
      </c>
      <c r="E104" s="9" t="s">
        <v>77</v>
      </c>
      <c r="F104" s="9"/>
      <c r="G104" s="9"/>
      <c r="H104" s="10">
        <v>46162</v>
      </c>
      <c r="I104" s="10">
        <v>46182</v>
      </c>
      <c r="J104" s="10">
        <v>46182</v>
      </c>
    </row>
    <row r="105" spans="1:10" ht="14.25" customHeight="1">
      <c r="A105" s="9" t="s">
        <v>40</v>
      </c>
      <c r="B105" s="9" t="s">
        <v>220</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205</v>
      </c>
      <c r="C109" s="9" t="s">
        <v>108</v>
      </c>
      <c r="D109" s="9" t="s">
        <v>44</v>
      </c>
      <c r="E109" s="9" t="s">
        <v>60</v>
      </c>
      <c r="F109" s="9"/>
      <c r="G109" s="9"/>
      <c r="H109" s="10">
        <v>46168</v>
      </c>
      <c r="I109" s="10">
        <v>46183</v>
      </c>
      <c r="J109" s="10">
        <v>46183</v>
      </c>
    </row>
    <row r="110" spans="1:10" ht="14.25" customHeight="1">
      <c r="A110" s="9" t="s">
        <v>40</v>
      </c>
      <c r="B110" s="9" t="s">
        <v>220</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205</v>
      </c>
      <c r="C114" s="9" t="s">
        <v>109</v>
      </c>
      <c r="D114" s="9" t="s">
        <v>44</v>
      </c>
      <c r="E114" s="9" t="s">
        <v>60</v>
      </c>
      <c r="F114" s="9"/>
      <c r="G114" s="9"/>
      <c r="H114" s="10">
        <v>46165</v>
      </c>
      <c r="I114" s="10">
        <v>46153</v>
      </c>
      <c r="J114" s="10">
        <v>46153</v>
      </c>
    </row>
    <row r="115" spans="1:10" ht="14.25" customHeight="1">
      <c r="A115" s="9" t="s">
        <v>40</v>
      </c>
      <c r="B115" s="9" t="s">
        <v>220</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205</v>
      </c>
      <c r="C119" s="9" t="s">
        <v>113</v>
      </c>
      <c r="D119" s="9" t="s">
        <v>59</v>
      </c>
      <c r="E119" s="9" t="s">
        <v>46</v>
      </c>
      <c r="F119" s="9"/>
      <c r="G119" s="9"/>
      <c r="H119" s="10">
        <v>46162</v>
      </c>
      <c r="I119" s="10">
        <v>46186</v>
      </c>
      <c r="J119" s="10">
        <v>46186</v>
      </c>
    </row>
    <row r="120" spans="1:10" ht="14.25" customHeight="1">
      <c r="A120" s="9" t="s">
        <v>40</v>
      </c>
      <c r="B120" s="9" t="s">
        <v>220</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205</v>
      </c>
      <c r="C122" s="9" t="s">
        <v>116</v>
      </c>
      <c r="D122" s="9" t="s">
        <v>59</v>
      </c>
      <c r="E122" s="9" t="s">
        <v>77</v>
      </c>
      <c r="F122" s="9"/>
      <c r="G122" s="9"/>
      <c r="H122" s="10">
        <v>46162</v>
      </c>
      <c r="I122" s="10">
        <v>46164</v>
      </c>
      <c r="J122" s="10">
        <v>46164</v>
      </c>
    </row>
    <row r="123" spans="1:10" ht="14.25" customHeight="1">
      <c r="A123" s="9" t="s">
        <v>40</v>
      </c>
      <c r="B123" s="9" t="s">
        <v>220</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205</v>
      </c>
      <c r="C127" s="9" t="s">
        <v>117</v>
      </c>
      <c r="D127" s="9" t="s">
        <v>65</v>
      </c>
      <c r="E127" s="9" t="s">
        <v>60</v>
      </c>
      <c r="F127" s="9"/>
      <c r="G127" s="9"/>
      <c r="H127" s="10">
        <v>46169</v>
      </c>
      <c r="I127" s="10">
        <v>46191</v>
      </c>
      <c r="J127" s="10">
        <v>46191</v>
      </c>
    </row>
    <row r="128" spans="1:10" ht="14.25" customHeight="1">
      <c r="A128" s="9" t="s">
        <v>40</v>
      </c>
      <c r="B128" s="9" t="s">
        <v>220</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205</v>
      </c>
      <c r="C132" s="9" t="s">
        <v>121</v>
      </c>
      <c r="D132" s="9" t="s">
        <v>103</v>
      </c>
      <c r="E132" s="9" t="s">
        <v>77</v>
      </c>
      <c r="F132" s="9"/>
      <c r="G132" s="9"/>
      <c r="H132" s="10">
        <v>46168</v>
      </c>
      <c r="I132" s="10">
        <v>46189</v>
      </c>
      <c r="J132" s="10">
        <v>46189</v>
      </c>
    </row>
    <row r="133" spans="1:10" ht="14.25" customHeight="1">
      <c r="A133" s="9" t="s">
        <v>40</v>
      </c>
      <c r="B133" s="9" t="s">
        <v>220</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205</v>
      </c>
      <c r="C137" s="9" t="s">
        <v>123</v>
      </c>
      <c r="D137" s="9" t="s">
        <v>84</v>
      </c>
      <c r="E137" s="9" t="s">
        <v>77</v>
      </c>
      <c r="F137" s="9"/>
      <c r="G137" s="9"/>
      <c r="H137" s="10">
        <v>46169</v>
      </c>
      <c r="I137" s="10">
        <v>46195</v>
      </c>
      <c r="J137" s="10">
        <v>46195</v>
      </c>
    </row>
    <row r="138" spans="1:10" ht="14.25" customHeight="1">
      <c r="A138" s="9" t="s">
        <v>40</v>
      </c>
      <c r="B138" s="9" t="s">
        <v>220</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205</v>
      </c>
      <c r="C142" s="9" t="s">
        <v>127</v>
      </c>
      <c r="D142" s="9" t="s">
        <v>76</v>
      </c>
      <c r="E142" s="9" t="s">
        <v>60</v>
      </c>
      <c r="F142" s="9"/>
      <c r="G142" s="9" t="s">
        <v>129</v>
      </c>
      <c r="H142" s="9"/>
      <c r="I142" s="10">
        <v>46213</v>
      </c>
      <c r="J142" s="10">
        <v>46213</v>
      </c>
    </row>
    <row r="143" spans="1:10" ht="14.25" customHeight="1">
      <c r="A143" s="9" t="s">
        <v>126</v>
      </c>
      <c r="B143" s="9" t="s">
        <v>220</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205</v>
      </c>
      <c r="C145" s="9" t="s">
        <v>135</v>
      </c>
      <c r="D145" s="9" t="s">
        <v>65</v>
      </c>
      <c r="E145" s="9" t="s">
        <v>77</v>
      </c>
      <c r="F145" s="9"/>
      <c r="G145" s="9" t="s">
        <v>129</v>
      </c>
      <c r="H145" s="9"/>
      <c r="I145" s="10">
        <v>46218</v>
      </c>
      <c r="J145" s="10">
        <v>46218</v>
      </c>
    </row>
    <row r="146" spans="1:10" ht="14.25" customHeight="1">
      <c r="A146" s="9" t="s">
        <v>126</v>
      </c>
      <c r="B146" s="9" t="s">
        <v>220</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205</v>
      </c>
      <c r="C148" s="9" t="s">
        <v>137</v>
      </c>
      <c r="D148" s="9" t="s">
        <v>65</v>
      </c>
      <c r="E148" s="9" t="s">
        <v>77</v>
      </c>
      <c r="F148" s="9"/>
      <c r="G148" s="9" t="s">
        <v>129</v>
      </c>
      <c r="H148" s="9"/>
      <c r="I148" s="10">
        <v>46225</v>
      </c>
      <c r="J148" s="10">
        <v>46225</v>
      </c>
    </row>
    <row r="149" spans="1:10" ht="14.25" customHeight="1">
      <c r="A149" s="9" t="s">
        <v>126</v>
      </c>
      <c r="B149" s="9" t="s">
        <v>220</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205</v>
      </c>
      <c r="C151" s="9" t="s">
        <v>139</v>
      </c>
      <c r="D151" s="9" t="s">
        <v>59</v>
      </c>
      <c r="E151" s="9" t="s">
        <v>46</v>
      </c>
      <c r="F151" s="9"/>
      <c r="G151" s="9" t="s">
        <v>129</v>
      </c>
      <c r="H151" s="9"/>
      <c r="I151" s="10">
        <v>46227</v>
      </c>
      <c r="J151" s="10">
        <v>46227</v>
      </c>
    </row>
    <row r="152" spans="1:10" ht="14.25" customHeight="1">
      <c r="A152" s="9" t="s">
        <v>126</v>
      </c>
      <c r="B152" s="9" t="s">
        <v>220</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205</v>
      </c>
      <c r="C154" s="9" t="s">
        <v>141</v>
      </c>
      <c r="D154" s="9" t="s">
        <v>103</v>
      </c>
      <c r="E154" s="9" t="s">
        <v>77</v>
      </c>
      <c r="F154" s="9"/>
      <c r="G154" s="9" t="s">
        <v>129</v>
      </c>
      <c r="H154" s="9"/>
      <c r="I154" s="10">
        <v>46216</v>
      </c>
      <c r="J154" s="10">
        <v>46216</v>
      </c>
    </row>
    <row r="155" spans="1:10" ht="14.25" customHeight="1">
      <c r="A155" s="9" t="s">
        <v>126</v>
      </c>
      <c r="B155" s="9" t="s">
        <v>220</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205</v>
      </c>
      <c r="C159" s="3" t="s">
        <v>149</v>
      </c>
      <c r="D159" s="3" t="s">
        <v>65</v>
      </c>
      <c r="E159" s="3" t="s">
        <v>46</v>
      </c>
      <c r="F159" s="3"/>
      <c r="G159" s="3" t="s">
        <v>144</v>
      </c>
      <c r="H159" s="3"/>
      <c r="I159" s="4">
        <v>46221</v>
      </c>
      <c r="J159" s="4">
        <v>46221</v>
      </c>
    </row>
    <row r="160" spans="1:10">
      <c r="A160" s="3" t="s">
        <v>126</v>
      </c>
      <c r="B160" s="3" t="s">
        <v>220</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205</v>
      </c>
      <c r="C162" s="3" t="s">
        <v>150</v>
      </c>
      <c r="D162" s="3" t="s">
        <v>84</v>
      </c>
      <c r="E162" s="3" t="s">
        <v>60</v>
      </c>
      <c r="F162" s="3"/>
      <c r="G162" s="3" t="s">
        <v>144</v>
      </c>
      <c r="H162" s="3"/>
      <c r="I162" s="4">
        <v>46220</v>
      </c>
      <c r="J162" s="4">
        <v>46220</v>
      </c>
    </row>
    <row r="163" spans="1:10">
      <c r="A163" s="3" t="s">
        <v>126</v>
      </c>
      <c r="B163" s="3" t="s">
        <v>220</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205</v>
      </c>
      <c r="C165" s="3" t="s">
        <v>153</v>
      </c>
      <c r="D165" s="3" t="s">
        <v>155</v>
      </c>
      <c r="E165" s="3" t="s">
        <v>60</v>
      </c>
      <c r="F165" s="3"/>
      <c r="G165" s="3" t="s">
        <v>144</v>
      </c>
      <c r="H165" s="3"/>
      <c r="I165" s="4">
        <v>46224</v>
      </c>
      <c r="J165" s="4">
        <v>46224</v>
      </c>
    </row>
    <row r="166" spans="1:10">
      <c r="A166" s="3" t="s">
        <v>126</v>
      </c>
      <c r="B166" s="3" t="s">
        <v>220</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205</v>
      </c>
      <c r="C168" s="3" t="s">
        <v>156</v>
      </c>
      <c r="D168" s="3" t="s">
        <v>155</v>
      </c>
      <c r="E168" s="3" t="s">
        <v>77</v>
      </c>
      <c r="F168" s="3"/>
      <c r="G168" s="3" t="s">
        <v>144</v>
      </c>
      <c r="H168" s="3"/>
      <c r="I168" s="4">
        <v>46225</v>
      </c>
      <c r="J168" s="4">
        <v>46225</v>
      </c>
    </row>
    <row r="169" spans="1:10">
      <c r="A169" s="3" t="s">
        <v>126</v>
      </c>
      <c r="B169" s="3" t="s">
        <v>220</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205</v>
      </c>
      <c r="C171" s="3" t="s">
        <v>157</v>
      </c>
      <c r="D171" s="3" t="s">
        <v>76</v>
      </c>
      <c r="E171" s="3" t="s">
        <v>46</v>
      </c>
      <c r="F171" s="3"/>
      <c r="G171" s="3" t="s">
        <v>129</v>
      </c>
      <c r="H171" s="3"/>
      <c r="I171" s="4">
        <v>46226</v>
      </c>
      <c r="J171" s="4">
        <v>46226</v>
      </c>
    </row>
    <row r="172" spans="1:10">
      <c r="A172" s="3" t="s">
        <v>126</v>
      </c>
      <c r="B172" s="3" t="s">
        <v>220</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205</v>
      </c>
      <c r="C174" s="3" t="s">
        <v>159</v>
      </c>
      <c r="D174" s="3" t="s">
        <v>59</v>
      </c>
      <c r="E174" s="3" t="s">
        <v>60</v>
      </c>
      <c r="F174" s="3"/>
      <c r="G174" s="3" t="s">
        <v>129</v>
      </c>
      <c r="H174" s="3"/>
      <c r="I174" s="4">
        <v>46225</v>
      </c>
      <c r="J174" s="4">
        <v>46225</v>
      </c>
    </row>
    <row r="175" spans="1:10">
      <c r="A175" s="3" t="s">
        <v>126</v>
      </c>
      <c r="B175" s="3" t="s">
        <v>220</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205</v>
      </c>
      <c r="C177" s="3" t="s">
        <v>161</v>
      </c>
      <c r="D177" s="3" t="s">
        <v>76</v>
      </c>
      <c r="E177" s="3" t="s">
        <v>77</v>
      </c>
      <c r="F177" s="3"/>
      <c r="G177" s="3" t="s">
        <v>144</v>
      </c>
      <c r="H177" s="3"/>
      <c r="I177" s="4">
        <v>46225</v>
      </c>
      <c r="J177" s="4">
        <v>46225</v>
      </c>
    </row>
    <row r="178" spans="1:10">
      <c r="A178" s="3" t="s">
        <v>126</v>
      </c>
      <c r="B178" s="3" t="s">
        <v>220</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205</v>
      </c>
      <c r="C180" s="3" t="s">
        <v>164</v>
      </c>
      <c r="D180" s="3" t="s">
        <v>103</v>
      </c>
      <c r="E180" s="3"/>
      <c r="F180" s="3"/>
      <c r="G180" s="3"/>
      <c r="H180" s="3"/>
      <c r="I180" s="3"/>
      <c r="J180" s="3"/>
    </row>
    <row r="181" spans="1:10">
      <c r="A181" s="3" t="s">
        <v>126</v>
      </c>
      <c r="B181" s="3" t="s">
        <v>220</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205</v>
      </c>
      <c r="C183" s="3" t="s">
        <v>175</v>
      </c>
      <c r="D183" s="3" t="s">
        <v>84</v>
      </c>
      <c r="E183" s="3"/>
      <c r="F183" s="3"/>
      <c r="G183" s="3"/>
      <c r="H183" s="3"/>
      <c r="I183" s="3"/>
      <c r="J183" s="3"/>
    </row>
    <row r="184" spans="1:10">
      <c r="A184" s="3" t="s">
        <v>126</v>
      </c>
      <c r="B184" s="3" t="s">
        <v>220</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441</v>
      </c>
      <c r="F1" s="1" t="s">
        <v>339</v>
      </c>
      <c r="G1" s="5" t="s">
        <v>442</v>
      </c>
      <c r="H1" s="5" t="s">
        <v>20</v>
      </c>
      <c r="I1" t="s">
        <v>35</v>
      </c>
      <c r="J1" s="5" t="s">
        <v>443</v>
      </c>
      <c r="K1" s="5" t="s">
        <v>187</v>
      </c>
      <c r="L1" s="5" t="s">
        <v>356</v>
      </c>
      <c r="M1" s="1" t="s">
        <v>444</v>
      </c>
      <c r="N1" s="1" t="s">
        <v>445</v>
      </c>
      <c r="R1" t="s">
        <v>13</v>
      </c>
      <c r="T1" t="s">
        <v>446</v>
      </c>
    </row>
    <row r="2" spans="1:20" ht="13.5" customHeight="1">
      <c r="A2" s="2" t="s">
        <v>447</v>
      </c>
      <c r="B2" s="2" t="s">
        <v>448</v>
      </c>
      <c r="C2" s="2" t="s">
        <v>449</v>
      </c>
      <c r="D2" s="2" t="s">
        <v>450</v>
      </c>
      <c r="E2" s="2" t="s">
        <v>451</v>
      </c>
      <c r="F2" s="2" t="s">
        <v>452</v>
      </c>
      <c r="G2" t="s">
        <v>453</v>
      </c>
      <c r="H2" t="s">
        <v>454</v>
      </c>
      <c r="I2" t="s">
        <v>455</v>
      </c>
      <c r="J2" s="29" t="s">
        <v>456</v>
      </c>
      <c r="K2" s="29" t="s">
        <v>457</v>
      </c>
      <c r="L2" s="29" t="s">
        <v>458</v>
      </c>
      <c r="M2" t="s">
        <v>144</v>
      </c>
      <c r="N2" t="s">
        <v>459</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460</v>
      </c>
      <c r="R3" t="s">
        <v>45</v>
      </c>
      <c r="T3" t="s">
        <v>94</v>
      </c>
    </row>
    <row r="4" spans="1:20" ht="15" customHeight="1">
      <c r="A4" t="s">
        <v>126</v>
      </c>
      <c r="B4" t="s">
        <v>59</v>
      </c>
      <c r="C4" t="s">
        <v>46</v>
      </c>
      <c r="D4" t="s">
        <v>144</v>
      </c>
      <c r="E4" t="s">
        <v>53</v>
      </c>
      <c r="F4" t="s">
        <v>263</v>
      </c>
      <c r="G4" t="s">
        <v>59</v>
      </c>
      <c r="H4" t="s">
        <v>88</v>
      </c>
      <c r="I4" t="s">
        <v>206</v>
      </c>
      <c r="J4" t="s">
        <v>205</v>
      </c>
      <c r="L4" t="s">
        <v>50</v>
      </c>
      <c r="M4" t="s">
        <v>103</v>
      </c>
      <c r="N4" t="s">
        <v>461</v>
      </c>
      <c r="R4" t="s">
        <v>462</v>
      </c>
      <c r="T4" t="s">
        <v>72</v>
      </c>
    </row>
    <row r="5" spans="1:20" ht="15" customHeight="1">
      <c r="A5" t="s">
        <v>431</v>
      </c>
      <c r="B5" t="s">
        <v>440</v>
      </c>
      <c r="C5" t="s">
        <v>77</v>
      </c>
      <c r="F5" t="s">
        <v>205</v>
      </c>
      <c r="G5" t="s">
        <v>440</v>
      </c>
      <c r="H5" t="s">
        <v>129</v>
      </c>
      <c r="I5" t="s">
        <v>254</v>
      </c>
      <c r="J5" t="s">
        <v>220</v>
      </c>
      <c r="L5" t="s">
        <v>463</v>
      </c>
      <c r="M5" t="s">
        <v>88</v>
      </c>
      <c r="N5" t="s">
        <v>464</v>
      </c>
    </row>
    <row r="6" spans="1:20" ht="15" customHeight="1">
      <c r="A6" t="s">
        <v>311</v>
      </c>
      <c r="B6" t="s">
        <v>84</v>
      </c>
      <c r="F6" t="s">
        <v>220</v>
      </c>
      <c r="G6" t="s">
        <v>84</v>
      </c>
      <c r="H6" t="s">
        <v>144</v>
      </c>
      <c r="I6" t="s">
        <v>465</v>
      </c>
      <c r="J6" t="s">
        <v>187</v>
      </c>
      <c r="M6" t="s">
        <v>48</v>
      </c>
      <c r="N6" t="s">
        <v>464</v>
      </c>
    </row>
    <row r="7" spans="1:20" ht="15" customHeight="1">
      <c r="A7" t="s">
        <v>302</v>
      </c>
      <c r="B7" t="s">
        <v>65</v>
      </c>
      <c r="F7" t="s">
        <v>187</v>
      </c>
      <c r="G7" t="s">
        <v>65</v>
      </c>
      <c r="H7" t="s">
        <v>200</v>
      </c>
      <c r="I7" t="s">
        <v>466</v>
      </c>
      <c r="M7" t="s">
        <v>129</v>
      </c>
      <c r="N7" t="s">
        <v>467</v>
      </c>
    </row>
    <row r="8" spans="1:20" ht="15" customHeight="1">
      <c r="B8" t="s">
        <v>76</v>
      </c>
      <c r="F8" t="s">
        <v>128</v>
      </c>
      <c r="G8" t="s">
        <v>76</v>
      </c>
      <c r="I8" t="s">
        <v>171</v>
      </c>
      <c r="M8" t="s">
        <v>60</v>
      </c>
      <c r="N8" t="s">
        <v>468</v>
      </c>
    </row>
    <row r="9" spans="1:20" ht="15" customHeight="1">
      <c r="B9" t="s">
        <v>103</v>
      </c>
      <c r="F9" t="s">
        <v>42</v>
      </c>
      <c r="G9" t="s">
        <v>103</v>
      </c>
      <c r="I9" t="s">
        <v>133</v>
      </c>
      <c r="M9" t="s">
        <v>155</v>
      </c>
      <c r="N9" t="s">
        <v>469</v>
      </c>
    </row>
    <row r="10" spans="1:20" ht="15" customHeight="1">
      <c r="B10" t="s">
        <v>155</v>
      </c>
      <c r="G10" t="s">
        <v>155</v>
      </c>
      <c r="I10" t="s">
        <v>470</v>
      </c>
      <c r="M10" t="s">
        <v>47</v>
      </c>
      <c r="N10" t="s">
        <v>471</v>
      </c>
    </row>
    <row r="11" spans="1:20">
      <c r="B11" t="s">
        <v>472</v>
      </c>
      <c r="G11" t="s">
        <v>60</v>
      </c>
      <c r="M11" t="s">
        <v>76</v>
      </c>
      <c r="N11" t="s">
        <v>473</v>
      </c>
    </row>
    <row r="12" spans="1:20">
      <c r="B12" t="s">
        <v>474</v>
      </c>
      <c r="G12" t="s">
        <v>46</v>
      </c>
      <c r="M12" t="s">
        <v>46</v>
      </c>
      <c r="N12" t="s">
        <v>475</v>
      </c>
    </row>
    <row r="13" spans="1:20">
      <c r="G13" t="s">
        <v>77</v>
      </c>
      <c r="M13" t="s">
        <v>77</v>
      </c>
      <c r="N13" t="s">
        <v>476</v>
      </c>
    </row>
    <row r="14" spans="1:20">
      <c r="M14" t="s">
        <v>84</v>
      </c>
      <c r="N14" t="s">
        <v>477</v>
      </c>
    </row>
    <row r="15" spans="1:20">
      <c r="M15" t="s">
        <v>59</v>
      </c>
      <c r="N15" t="s">
        <v>478</v>
      </c>
    </row>
    <row r="16" spans="1:20">
      <c r="M16" t="s">
        <v>65</v>
      </c>
      <c r="N16" t="s">
        <v>479</v>
      </c>
    </row>
    <row r="17" spans="13:14">
      <c r="M17" t="s">
        <v>440</v>
      </c>
      <c r="N17" t="s">
        <v>479</v>
      </c>
    </row>
    <row r="18" spans="13:14">
      <c r="M18" t="s">
        <v>229</v>
      </c>
      <c r="N18" t="s">
        <v>480</v>
      </c>
    </row>
    <row r="19" spans="13:14">
      <c r="M19" t="s">
        <v>200</v>
      </c>
      <c r="N19" t="s">
        <v>481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482</v>
      </c>
      <c r="C2" s="142"/>
      <c r="D2" s="142"/>
      <c r="E2" s="142"/>
      <c r="F2" s="142"/>
      <c r="G2" s="142"/>
      <c r="H2" s="142"/>
      <c r="I2" s="142"/>
      <c r="J2" s="142"/>
      <c r="K2" s="142"/>
      <c r="L2" s="142"/>
      <c r="M2" s="247" t="str">
        <f ca="1">"As of "&amp;TEXT(TODAY(),"d mmm yyyy")&amp;". Live from Combined Delivery Data."</f>
        <v>As of 7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483</v>
      </c>
      <c r="N7" s="262"/>
      <c r="O7" s="263"/>
      <c r="P7" s="142"/>
      <c r="Q7" s="142"/>
      <c r="R7" s="142"/>
      <c r="S7" s="142"/>
      <c r="T7" s="142"/>
      <c r="U7" s="142"/>
      <c r="V7" s="142"/>
      <c r="W7" s="142"/>
      <c r="X7" s="142"/>
      <c r="Y7" s="142"/>
      <c r="Z7" s="142"/>
    </row>
    <row r="8" spans="1:26" ht="30" customHeight="1">
      <c r="A8" s="142"/>
      <c r="B8" s="142"/>
      <c r="C8" s="251" t="s">
        <v>484</v>
      </c>
      <c r="D8" s="252"/>
      <c r="E8" s="251" t="s">
        <v>485</v>
      </c>
      <c r="F8" s="252"/>
      <c r="G8" s="251" t="s">
        <v>486</v>
      </c>
      <c r="H8" s="252"/>
      <c r="I8" s="251" t="s">
        <v>487</v>
      </c>
      <c r="J8" s="252"/>
      <c r="K8" s="251" t="s">
        <v>488</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39.</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489</v>
      </c>
      <c r="C10" s="225" t="s">
        <v>490</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491</v>
      </c>
      <c r="C11" s="156" t="s">
        <v>492</v>
      </c>
      <c r="D11" s="156" t="s">
        <v>493</v>
      </c>
      <c r="E11" s="156" t="s">
        <v>187</v>
      </c>
      <c r="F11" s="156" t="s">
        <v>220</v>
      </c>
      <c r="G11" s="156" t="s">
        <v>205</v>
      </c>
      <c r="H11" s="156" t="s">
        <v>263</v>
      </c>
      <c r="I11" s="156" t="s">
        <v>487</v>
      </c>
      <c r="J11" s="156" t="s">
        <v>494</v>
      </c>
      <c r="K11" s="156" t="s">
        <v>495</v>
      </c>
      <c r="L11" s="156" t="s">
        <v>496</v>
      </c>
      <c r="M11" s="241" t="s">
        <v>497</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28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7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6</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23 days to milestone, 3 blocked</v>
      </c>
      <c r="N14" s="236"/>
      <c r="O14" s="237"/>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54 days to milestone, 2 blocked</v>
      </c>
      <c r="N15" s="236"/>
      <c r="O15" s="237"/>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85 days to milestone</v>
      </c>
      <c r="N16" s="239"/>
      <c r="O16" s="240"/>
      <c r="P16" s="142"/>
      <c r="Q16" s="142"/>
      <c r="R16" s="142"/>
      <c r="S16" s="142"/>
      <c r="T16" s="142"/>
      <c r="U16" s="142"/>
      <c r="V16" s="142"/>
      <c r="W16" s="142"/>
      <c r="X16" s="142"/>
      <c r="Y16" s="142"/>
      <c r="Z16" s="142"/>
    </row>
    <row r="17" spans="1:26" ht="24" customHeight="1">
      <c r="A17" s="142"/>
      <c r="B17" s="157" t="s">
        <v>498</v>
      </c>
      <c r="C17" s="169">
        <f t="shared" ref="C17:K17" si="0">SUM(C12:C16)</f>
        <v>28</v>
      </c>
      <c r="D17" s="169">
        <f t="shared" si="0"/>
        <v>5</v>
      </c>
      <c r="E17" s="169">
        <f t="shared" si="0"/>
        <v>8</v>
      </c>
      <c r="F17" s="169">
        <f t="shared" si="0"/>
        <v>4</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499</v>
      </c>
      <c r="C19" s="225" t="s">
        <v>500</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(39)</v>
      </c>
      <c r="C35" s="225" t="s">
        <v>501</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502</v>
      </c>
      <c r="C36" s="170" t="s">
        <v>491</v>
      </c>
      <c r="D36" s="170" t="s">
        <v>503</v>
      </c>
      <c r="E36" s="170" t="s">
        <v>434</v>
      </c>
      <c r="F36" s="170" t="s">
        <v>504</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495</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491</v>
      </c>
      <c r="D49" s="228"/>
      <c r="E49" s="228" t="s">
        <v>434</v>
      </c>
      <c r="F49" s="228"/>
      <c r="G49" s="228" t="s">
        <v>444</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505</v>
      </c>
      <c r="D50" s="230"/>
      <c r="E50" s="229" t="s">
        <v>505</v>
      </c>
      <c r="F50" s="230"/>
      <c r="G50" s="229" t="s">
        <v>505</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502</v>
      </c>
      <c r="C52" s="179" t="s">
        <v>491</v>
      </c>
      <c r="D52" s="179" t="s">
        <v>503</v>
      </c>
      <c r="E52" s="179" t="s">
        <v>35</v>
      </c>
      <c r="F52" s="179" t="s">
        <v>506</v>
      </c>
      <c r="G52" s="179" t="s">
        <v>507</v>
      </c>
      <c r="H52" s="179" t="s">
        <v>508</v>
      </c>
      <c r="I52" s="179" t="s">
        <v>509</v>
      </c>
      <c r="J52" s="181" t="s">
        <v>510</v>
      </c>
      <c r="K52" s="181" t="s">
        <v>511</v>
      </c>
      <c r="L52" s="181" t="s">
        <v>512</v>
      </c>
      <c r="M52" s="181" t="s">
        <v>513</v>
      </c>
      <c r="N52" s="181" t="s">
        <v>514</v>
      </c>
      <c r="O52" s="179" t="s">
        <v>515</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QA</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Sarath</v>
      </c>
      <c r="H94" s="173" t="str">
        <v/>
      </c>
      <c r="I94" s="173" t="str">
        <v>Oneil Lashley</v>
      </c>
      <c r="J94" s="184">
        <v>46276</v>
      </c>
      <c r="K94" s="184" t="str">
        <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t="str">
        <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t="str">
        <v/>
      </c>
      <c r="K114" s="184" t="str">
        <v/>
      </c>
      <c r="L114" s="184" t="str">
        <v/>
      </c>
      <c r="M114" s="184" t="str">
        <v/>
      </c>
      <c r="N114" s="185">
        <v>0</v>
      </c>
      <c r="O114" s="173" t="str">
        <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205</v>
      </c>
      <c r="D16" t="s">
        <v>465</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203</v>
      </c>
      <c r="B30" t="s">
        <v>194</v>
      </c>
      <c r="C30" t="s">
        <v>128</v>
      </c>
      <c r="D30" t="s">
        <v>133</v>
      </c>
      <c r="E30" t="str">
        <f t="shared" si="0"/>
        <v>Blocked in Prod</v>
      </c>
    </row>
    <row r="31" spans="1:5">
      <c r="A31" t="s">
        <v>204</v>
      </c>
      <c r="B31" t="s">
        <v>194</v>
      </c>
      <c r="C31" t="s">
        <v>205</v>
      </c>
      <c r="D31" t="s">
        <v>206</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220</v>
      </c>
      <c r="D36" t="s">
        <v>53</v>
      </c>
      <c r="E36" t="str">
        <f t="shared" si="1"/>
        <v>QA</v>
      </c>
    </row>
    <row r="37" spans="1:5">
      <c r="A37" t="s">
        <v>219</v>
      </c>
      <c r="B37" t="s">
        <v>194</v>
      </c>
      <c r="C37" t="s">
        <v>220</v>
      </c>
      <c r="D37" t="s">
        <v>53</v>
      </c>
      <c r="E37" t="str">
        <f t="shared" si="1"/>
        <v>QA</v>
      </c>
    </row>
    <row r="38" spans="1:5">
      <c r="A38" t="s">
        <v>222</v>
      </c>
      <c r="B38" t="s">
        <v>194</v>
      </c>
      <c r="C38" t="s">
        <v>187</v>
      </c>
      <c r="D38" t="s">
        <v>53</v>
      </c>
      <c r="E38" t="str">
        <f t="shared" si="1"/>
        <v>DPO Approval</v>
      </c>
    </row>
    <row r="39" spans="1:5">
      <c r="A39" t="s">
        <v>223</v>
      </c>
      <c r="B39" t="s">
        <v>194</v>
      </c>
      <c r="C39" t="s">
        <v>205</v>
      </c>
      <c r="D39" t="s">
        <v>53</v>
      </c>
      <c r="E39" t="str">
        <f t="shared" si="1"/>
        <v>PBI Dev</v>
      </c>
    </row>
    <row r="40" spans="1:5">
      <c r="A40" t="s">
        <v>224</v>
      </c>
      <c r="B40" t="s">
        <v>194</v>
      </c>
      <c r="C40" t="s">
        <v>263</v>
      </c>
      <c r="D40" t="s">
        <v>53</v>
      </c>
      <c r="E40" t="str">
        <f t="shared" si="1"/>
        <v>DB Dev</v>
      </c>
    </row>
    <row r="41" spans="1:5">
      <c r="A41" t="s">
        <v>228</v>
      </c>
      <c r="B41" t="s">
        <v>194</v>
      </c>
      <c r="C41" t="s">
        <v>205</v>
      </c>
      <c r="D41" t="s">
        <v>53</v>
      </c>
      <c r="E41" t="str">
        <f t="shared" si="1"/>
        <v>PBI Dev</v>
      </c>
    </row>
    <row r="42" spans="1:5">
      <c r="A42" t="s">
        <v>233</v>
      </c>
      <c r="B42" t="s">
        <v>194</v>
      </c>
      <c r="C42" t="s">
        <v>234</v>
      </c>
      <c r="D42" t="s">
        <v>53</v>
      </c>
      <c r="E42" t="str">
        <f t="shared" si="1"/>
        <v>Not Started</v>
      </c>
    </row>
    <row r="43" spans="1:5">
      <c r="A43" t="s">
        <v>237</v>
      </c>
      <c r="B43" t="s">
        <v>194</v>
      </c>
      <c r="C43" t="s">
        <v>205</v>
      </c>
      <c r="D43" t="s">
        <v>206</v>
      </c>
      <c r="E43" t="str">
        <f t="shared" si="1"/>
        <v>Blocked - Build/QA</v>
      </c>
    </row>
    <row r="44" spans="1:5">
      <c r="A44" t="s">
        <v>239</v>
      </c>
      <c r="B44" t="s">
        <v>194</v>
      </c>
      <c r="C44" t="s">
        <v>187</v>
      </c>
      <c r="D44" t="s">
        <v>53</v>
      </c>
      <c r="E44" t="str">
        <f t="shared" si="1"/>
        <v>DPO Approval</v>
      </c>
    </row>
    <row r="45" spans="1:5">
      <c r="A45" t="s">
        <v>242</v>
      </c>
      <c r="B45" t="s">
        <v>194</v>
      </c>
      <c r="C45" t="s">
        <v>205</v>
      </c>
      <c r="D45" t="s">
        <v>53</v>
      </c>
      <c r="E45" t="str">
        <f t="shared" si="1"/>
        <v>PBI Dev</v>
      </c>
    </row>
    <row r="46" spans="1:5">
      <c r="A46" t="s">
        <v>243</v>
      </c>
      <c r="B46" t="s">
        <v>244</v>
      </c>
      <c r="C46" t="s">
        <v>220</v>
      </c>
      <c r="E46" t="str">
        <f t="shared" si="1"/>
        <v>QA</v>
      </c>
    </row>
    <row r="47" spans="1:5">
      <c r="A47" t="s">
        <v>247</v>
      </c>
      <c r="B47" t="s">
        <v>244</v>
      </c>
      <c r="C47" t="s">
        <v>205</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205</v>
      </c>
      <c r="D51" t="s">
        <v>254</v>
      </c>
      <c r="E51" t="str">
        <f t="shared" si="1"/>
        <v>Blocked - Build/QA</v>
      </c>
    </row>
    <row r="52" spans="1:5">
      <c r="A52" t="s">
        <v>256</v>
      </c>
      <c r="B52" t="s">
        <v>244</v>
      </c>
      <c r="C52" t="s">
        <v>205</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205</v>
      </c>
      <c r="E56" t="str">
        <f t="shared" si="1"/>
        <v>PBI Dev</v>
      </c>
    </row>
    <row r="57" spans="1:5">
      <c r="A57" t="s">
        <v>268</v>
      </c>
      <c r="B57" t="s">
        <v>244</v>
      </c>
      <c r="C57" t="s">
        <v>205</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187</v>
      </c>
      <c r="C5" t="str">
        <v>Geetha</v>
      </c>
    </row>
    <row r="6" spans="1:3">
      <c r="A6" t="str">
        <v>October</v>
      </c>
      <c r="B6" t="s">
        <v>220</v>
      </c>
      <c r="C6" t="str">
        <v>Greeta</v>
      </c>
    </row>
    <row r="7" spans="1:3">
      <c r="A7" t="str">
        <v>November</v>
      </c>
      <c r="B7" t="s">
        <v>205</v>
      </c>
      <c r="C7" t="str">
        <v>Kushal</v>
      </c>
    </row>
    <row r="8" spans="1:3">
      <c r="B8" t="s">
        <v>263</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2026-10-07T15:42:35Z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