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14" documentId="13_ncr:1_{52745E9B-3AA1-4770-AAD3-E6166BFC13AE}" xr6:coauthVersionLast="47" xr6:coauthVersionMax="47" xr10:uidLastSave="{FF304789-3F4F-4140-926B-A8BDF19636C1}"/>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<sst xmlns="http://schemas.openxmlformats.org/spreadsheetml/2006/main" count="3598" uniqueCount="519">
  <si>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</si>
  <si>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</si>
  <si>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</si>
  <si>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</si>
  <si>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</si>
  <si>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</si>
  <si>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</si>
  <si>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</si>
  <si>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</si>
  <si>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</si>
  <si>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</si>
  <si>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</si>
  <si>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</si>
  <si>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</si>
  <si>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</si>
  <si>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</si>
  <si>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</si>
  <si>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</si>
  <si>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</si>
  <si>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</si>
  <si>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</si>
  <si>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</si>
  <si>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</si>
  <si>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</si>
  <si>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</si>
  <si>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</si>
  <si>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</si>
  <si>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</si>
  <si>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</si>
  <si>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</si>
  <si>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</si>
  <si>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</si>
  <si>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</si>
  <si>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</si>
  <si>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</si>
  <si>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</si>
  <si>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</si>
  <si>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</si>
  <si>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</si>
  <si>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</si>
  <si>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</si>
  <si>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</si>
  <si>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</si>
  <si>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</si>
  <si>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</si>
  <si>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</si>
  <si>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</si>
  <si>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</si>
  <si>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</si>
  <si>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</si>
  <si>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</si>
  <si>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</si>
  <si>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</si>
  <si>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</si>
  <si>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</si>
  <si>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</si>
  <si>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</si>
  <si>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</si>
  <si>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</si>
  <si>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</si>
  <si>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</si>
  <si>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</si>
  <si>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</si>
  <si>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</si>
  <si>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</si>
  <si>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</si>
  <si>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</si>
  <si>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</si>
  <si>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</si>
  <si>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</si>
  <si>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</si>
  <si>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</si>
  <si>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</si>
  <si>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</si>
  <si>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</si>
  <si>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</si>
  <si>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</si>
  <si>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</si>
  <si>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</si>
  <si>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</si>
  <si>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</si>
  <si>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</si>
  <si>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</si>
  <si>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</si>
  <si>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</si>
  <si>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</si>
  <si>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</si>
  <si>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</si>
  <si>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</si>
  <si>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</si>
  <si>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</si>
  <si>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</si>
  <si>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</si>
  <si>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</si>
  <si>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</si>
  <si>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</si>
  <si>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</si>
  <si>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</si>
  <si>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</si>
  <si>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</si>
  <si>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</si>
  <si>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</si>
  <si>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</si>
  <si>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</si>
  <si>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</si>
  <si>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</si>
  <si>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</si>
  <si>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</si>
  <si>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</si>
  <si>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</si>
  <si>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</si>
  <si>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</si>
  <si>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</si>
  <si>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</si>
  <si>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</si>
  <si>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</si>
  <si>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</si>
  <si>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</si>
  <si>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</si>
  <si>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</si>
  <si>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</si>
  <si>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</si>
  <si>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</si>
  <si>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</si>
  <si>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</si>
  <si>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</si>
  <si>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</si>
  <si>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</si>
  <si>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</si>
  <si>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</si>
  <si>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</si>
  <si>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</si>
  <si>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</si>
  <si>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</si>
  <si>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</si>
  <si>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</si>
  <si>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</si>
  <si>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</si>
  <si>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</si>
  <si>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</si>
  <si>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</si>
  <si>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</si>
  <si>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</si>
  <si>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</si>
  <si>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</si>
  <si>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</si>
  <si>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</si>
  <si>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</si>
  <si>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</si>
  <si>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</si>
  <si>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</si>
  <si>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</si>
  <si>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</si>
  <si>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</si>
  <si>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</si>
  <si>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</si>
  <si>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</si>
  <si>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Yes – needs DB Dev to fix</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</si>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</sst>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39" fillId="20" borderId="0" xfId="0" applyFont="1" applyFill="1" applyAlignment="1">
      <alignment vertical="center"/>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1</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P1" activePane="topRight" state="frozen"/>
      <selection pane="topRight" activeCell="I59" sqref="I59"/>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Blocked - needs DB Dev to fix</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157</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163</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165</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166</v>
      </c>
      <c r="F43" s="34" t="s">
        <v>143</v>
      </c>
      <c r="G43" s="33"/>
      <c r="H43" s="49">
        <v>46265</v>
      </c>
      <c r="I43" s="60" t="s">
        <v>167</v>
      </c>
      <c r="J43" s="33" t="s">
        <v>103</v>
      </c>
      <c r="K43" s="4">
        <v>46234</v>
      </c>
      <c r="L43" s="36">
        <v>46251</v>
      </c>
      <c r="M43" s="36">
        <v>46252</v>
      </c>
      <c r="N43" s="46" t="s">
        <v>146</v>
      </c>
      <c r="O43" s="36" t="s">
        <v>168</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167</v>
      </c>
      <c r="J44" s="33" t="s">
        <v>59</v>
      </c>
      <c r="K44" s="4">
        <v>46234</v>
      </c>
      <c r="L44" s="36">
        <v>46255</v>
      </c>
      <c r="M44" s="36">
        <v>46255</v>
      </c>
      <c r="N44" s="36" t="s">
        <v>45</v>
      </c>
      <c r="O44" s="36" t="s">
        <v>168</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167</v>
      </c>
      <c r="J45" s="33" t="s">
        <v>44</v>
      </c>
      <c r="K45" s="4">
        <v>46234</v>
      </c>
      <c r="L45" s="36">
        <v>46249</v>
      </c>
      <c r="M45" s="36">
        <v>46244</v>
      </c>
      <c r="N45" s="36"/>
      <c r="O45" s="36" t="s">
        <v>168</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167</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167</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167</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167</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167</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167</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167</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167</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167</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46293</v>
      </c>
      <c r="Y55" s="46"/>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164</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217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156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226</v>
      </c>
      <c r="K68" s="85">
        <v>46276</v>
      </c>
      <c r="L68" s="86">
        <v>46258</v>
      </c>
      <c r="M68" s="86">
        <v>46258</v>
      </c>
      <c r="N68" s="86"/>
      <c r="O68" s="86" t="s">
        <v>194</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227</v>
      </c>
      <c r="U71" s="33" t="s">
        <v>47</v>
      </c>
      <c r="V71" s="58">
        <v>46290</v>
      </c>
      <c r="W71" s="36">
        <v>46296</v>
      </c>
      <c r="X71" s="46"/>
      <c r="Y71" s="46"/>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204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227</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194</v>
      </c>
      <c r="P73" s="65" t="s">
        <v>77</v>
      </c>
      <c r="Q73" s="43">
        <v>46313</v>
      </c>
      <c r="R73" s="43">
        <v>46289</v>
      </c>
      <c r="S73" s="43">
        <v>46289</v>
      </c>
      <c r="T73" s="69" t="s">
        <v>241</v>
      </c>
      <c r="U73" s="31" t="s">
        <v>47</v>
      </c>
      <c r="V73" s="28">
        <v>46316</v>
      </c>
      <c r="W73" s="43"/>
      <c r="X73" s="36">
        <v>46296</v>
      </c>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242</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194</v>
      </c>
      <c r="P74" s="74" t="s">
        <v>77</v>
      </c>
      <c r="Q74" s="43">
        <v>46313</v>
      </c>
      <c r="R74" s="43">
        <v>46300</v>
      </c>
      <c r="S74" s="44"/>
      <c r="T74" s="69" t="s">
        <v>241</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194</v>
      </c>
      <c r="P75" s="139"/>
      <c r="Q75" s="137">
        <v>46313</v>
      </c>
      <c r="R75" s="137"/>
      <c r="S75" s="138"/>
      <c r="T75" s="140" t="s">
        <v>241</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194</v>
      </c>
      <c r="P76" s="139"/>
      <c r="Q76" s="137">
        <v>46313</v>
      </c>
      <c r="R76" s="137"/>
      <c r="S76" s="138"/>
      <c r="T76" s="140" t="s">
        <v>241</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194</v>
      </c>
      <c r="P77" s="139"/>
      <c r="Q77" s="137">
        <v>46313</v>
      </c>
      <c r="R77" s="137"/>
      <c r="S77" s="138"/>
      <c r="T77" s="140" t="s">
        <v>241</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249</v>
      </c>
      <c r="P78" s="150" t="s">
        <v>60</v>
      </c>
      <c r="Q78" s="148">
        <v>46313</v>
      </c>
      <c r="R78" s="148">
        <v>46297</v>
      </c>
      <c r="S78" s="149"/>
      <c r="T78" s="151" t="s">
        <v>241</v>
      </c>
      <c r="U78" s="152"/>
      <c r="V78" s="153">
        <v>46316</v>
      </c>
      <c r="W78" s="148">
        <v>46296</v>
      </c>
      <c r="X78" s="144"/>
      <c r="Y78" s="144"/>
      <c r="Z78" s="154"/>
      <c r="AA78" s="153">
        <v>46325</v>
      </c>
      <c r="AB78" s="148"/>
      <c r="AC78" s="148"/>
      <c r="AD78" s="144" t="s">
        <v>187</v>
      </c>
      <c r="AE78" s="144" t="s">
        <v>94</v>
      </c>
      <c r="AF78" s="144"/>
      <c r="AG78" s="144"/>
      <c r="AH78" s="144"/>
      <c r="AI78" s="144"/>
      <c r="AJ78" s="144" t="s">
        <v>157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194</v>
      </c>
      <c r="P79" s="74" t="s">
        <v>60</v>
      </c>
      <c r="Q79" s="43">
        <v>46313</v>
      </c>
      <c r="R79" s="43">
        <v>46297</v>
      </c>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254</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204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249</v>
      </c>
      <c r="P80" s="74" t="s">
        <v>60</v>
      </c>
      <c r="Q80" s="43">
        <v>46313</v>
      </c>
      <c r="R80" s="43">
        <v>46300</v>
      </c>
      <c r="S80" s="44"/>
      <c r="T80" s="69" t="s">
        <v>241</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256</v>
      </c>
      <c r="C81" s="144" t="s">
        <v>217</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252</v>
      </c>
      <c r="O81" s="149" t="s">
        <v>249</v>
      </c>
      <c r="P81" s="150" t="s">
        <v>60</v>
      </c>
      <c r="Q81" s="148">
        <v>46313</v>
      </c>
      <c r="R81" s="148">
        <v>46295</v>
      </c>
      <c r="S81" s="149">
        <v>46294</v>
      </c>
      <c r="T81" s="69" t="s">
        <v>241</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249</v>
      </c>
      <c r="P82" s="74" t="s">
        <v>77</v>
      </c>
      <c r="Q82" s="43">
        <v>46313</v>
      </c>
      <c r="R82" s="43">
        <v>46304</v>
      </c>
      <c r="S82" s="44"/>
      <c r="T82" s="68" t="s">
        <v>258</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249</v>
      </c>
      <c r="P83" s="74" t="s">
        <v>77</v>
      </c>
      <c r="Q83" s="43">
        <v>46313</v>
      </c>
      <c r="R83" s="43">
        <v>46294</v>
      </c>
      <c r="S83" s="44">
        <v>46294</v>
      </c>
      <c r="T83" s="69" t="s">
        <v>241</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204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v>46286</v>
      </c>
      <c r="M84" s="46">
        <v>46286</v>
      </c>
      <c r="N84" s="44" t="s">
        <v>252</v>
      </c>
      <c r="O84" s="44" t="s">
        <v>249</v>
      </c>
      <c r="P84" s="74" t="s">
        <v>60</v>
      </c>
      <c r="Q84" s="43">
        <v>46313</v>
      </c>
      <c r="R84" s="43">
        <v>46301</v>
      </c>
      <c r="S84" s="44"/>
      <c r="T84" s="69" t="s">
        <v>241</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240</v>
      </c>
      <c r="J85" s="53" t="s">
        <v>44</v>
      </c>
      <c r="K85" s="43">
        <v>46304</v>
      </c>
      <c r="L85" s="43">
        <v>46276</v>
      </c>
      <c r="M85" s="44"/>
      <c r="N85" s="44"/>
      <c r="O85" s="44" t="s">
        <v>249</v>
      </c>
      <c r="P85" s="74" t="s">
        <v>60</v>
      </c>
      <c r="Q85" s="43">
        <v>46313</v>
      </c>
      <c r="R85" s="43"/>
      <c r="S85" s="44"/>
      <c r="T85" s="68" t="s">
        <v>258</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258</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258</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226</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226</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v>46296</v>
      </c>
      <c r="N98" s="44" t="s">
        <v>146</v>
      </c>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297</v>
      </c>
      <c r="B101" s="31" t="s">
        <v>298</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297</v>
      </c>
      <c r="B102" s="31" t="s">
        <v>301</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297</v>
      </c>
      <c r="B103" s="31" t="s">
        <v>304</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297</v>
      </c>
      <c r="B105" s="31" t="s">
        <v>309</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297</v>
      </c>
      <c r="B106" s="31" t="s">
        <v>312</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297</v>
      </c>
      <c r="B107" s="31" t="s">
        <v>314</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297</v>
      </c>
      <c r="B108" s="31" t="s">
        <v>316</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297</v>
      </c>
      <c r="B110" s="31" t="s">
        <v>322</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61"/>
      <c r="C4" s="262"/>
      <c r="D4" s="262"/>
      <c r="E4" s="262"/>
    </row>
    <row r="6" spans="1:5">
      <c r="A6" s="42" t="s">
        <v>0</v>
      </c>
      <c r="B6" s="216" t="str">
        <f>IF($B$4="","",IFERROR(INDEX('Combined Delivery Data'!$A:$A,MATCH($B$4,'Combined Delivery Data'!$B:$B,0)),""))</f>
        <v/>
      </c>
      <c r="C6" s="263"/>
      <c r="D6" s="263"/>
      <c r="E6" s="264"/>
    </row>
    <row r="7" spans="1:5">
      <c r="A7" s="42" t="s">
        <v>335</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336</v>
      </c>
      <c r="B14" s="215" t="str">
        <f>IF($B$4="","",IFERROR(INDEX('Combined Delivery Data'!$K:$K,MATCH($B$4,'Combined Delivery Data'!$B:$B,0)),""))</f>
        <v/>
      </c>
      <c r="C14" s="263"/>
      <c r="D14" s="263"/>
      <c r="E14" s="264"/>
    </row>
    <row r="15" spans="1:5">
      <c r="A15" s="42" t="s">
        <v>337</v>
      </c>
      <c r="B15" s="215" t="str">
        <f>IF($B$4="","",IFERROR(INDEX('Combined Delivery Data'!$L:$L,MATCH($B$4,'Combined Delivery Data'!$B:$B,0)),""))</f>
        <v/>
      </c>
      <c r="C15" s="263"/>
      <c r="D15" s="263"/>
      <c r="E15" s="264"/>
    </row>
    <row r="16" spans="1:5">
      <c r="A16" s="42" t="s">
        <v>338</v>
      </c>
      <c r="B16" s="215" t="str">
        <f>IF($B$4="","",IFERROR(INDEX('Combined Delivery Data'!$M:$M,MATCH($B$4,'Combined Delivery Data'!$B:$B,0)),""))</f>
        <v/>
      </c>
      <c r="C16" s="263"/>
      <c r="D16" s="263"/>
      <c r="E16" s="264"/>
    </row>
    <row r="17" spans="1:5">
      <c r="A17" s="42" t="s">
        <v>339</v>
      </c>
      <c r="B17" s="215" t="str">
        <f>IF($B$4="","",IFERROR(INDEX('Combined Delivery Data'!$O:$O,MATCH($B$4,'Combined Delivery Data'!$B:$B,0)),""))</f>
        <v/>
      </c>
      <c r="C17" s="263"/>
      <c r="D17" s="263"/>
      <c r="E17" s="264"/>
    </row>
    <row r="18" spans="1:5">
      <c r="A18" s="42" t="s">
        <v>340</v>
      </c>
      <c r="B18" s="215" t="str">
        <f>IF($B$4="","",IFERROR(INDEX('Combined Delivery Data'!$Q:$Q,MATCH($B$4,'Combined Delivery Data'!$B:$B,0)),""))</f>
        <v/>
      </c>
      <c r="C18" s="263"/>
      <c r="D18" s="263"/>
      <c r="E18" s="264"/>
    </row>
    <row r="19" spans="1:5">
      <c r="A19" s="42" t="s">
        <v>341</v>
      </c>
      <c r="B19" s="215" t="str">
        <f>IF($B$4="","",IFERROR(INDEX('Combined Delivery Data'!$R:$R,MATCH($B$4,'Combined Delivery Data'!$B:$B,0)),""))</f>
        <v/>
      </c>
      <c r="C19" s="263"/>
      <c r="D19" s="263"/>
      <c r="E19" s="264"/>
    </row>
    <row r="20" spans="1:5">
      <c r="A20" s="42" t="s">
        <v>342</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343</v>
      </c>
      <c r="B26" s="216" t="str">
        <f>IF($B$4="","",IFERROR(INDEX('Rework Log'!$Q:$Q,MATCH($B$4,'Rework Log'!$P:$P,0)),""))</f>
        <v/>
      </c>
      <c r="C26" s="263"/>
      <c r="D26" s="263"/>
      <c r="E26" s="264"/>
    </row>
    <row r="27" spans="1:5">
      <c r="A27" s="42" t="s">
        <v>344</v>
      </c>
      <c r="B27" s="216" t="str">
        <f>IF($B$4="","",IFERROR(INDEX('Rework Log'!$R:$R,MATCH($B$4,'Rework Log'!$P:$P,0)),""))</f>
        <v/>
      </c>
      <c r="C27" s="263"/>
      <c r="D27" s="263"/>
      <c r="E27" s="264"/>
    </row>
    <row r="28" spans="1:5">
      <c r="A28" s="42" t="s">
        <v>345</v>
      </c>
      <c r="B28" s="216" t="str">
        <f>IF($B$4="","",IFERROR(INDEX('Rework Log'!$S:$S,MATCH($B$4,'Rework Log'!$P:$P,0)),""))</f>
        <v/>
      </c>
      <c r="C28" s="263"/>
      <c r="D28" s="263"/>
      <c r="E28" s="264"/>
    </row>
    <row r="29" spans="1:5">
      <c r="A29" s="42" t="s">
        <v>346</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I31" activePane="bottomLeft" state="frozen"/>
      <selection pane="bottomLeft" activeCell="L47" sqref="L47"/>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347</v>
      </c>
      <c r="B1" s="217"/>
      <c r="C1" s="217"/>
      <c r="D1" s="217"/>
      <c r="E1" s="217"/>
      <c r="F1" s="217"/>
      <c r="G1" s="217"/>
      <c r="H1" s="217"/>
      <c r="I1" s="217"/>
      <c r="J1" s="217"/>
      <c r="K1" s="217"/>
      <c r="L1" s="217"/>
      <c r="M1" s="217"/>
      <c r="P1" s="266" t="s">
        <v>348</v>
      </c>
      <c r="Q1" s="266"/>
      <c r="R1" s="266"/>
      <c r="S1" s="266"/>
      <c r="T1" s="266"/>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217</v>
      </c>
      <c r="D3" s="33" t="s">
        <v>156</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156</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156</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156</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156</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156</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156</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156</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156</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156</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156</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204</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204</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156</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204</v>
      </c>
      <c r="E17" s="31" t="s">
        <v>143</v>
      </c>
      <c r="F17" s="31" t="s">
        <v>377</v>
      </c>
      <c r="G17" s="31" t="s">
        <v>50</v>
      </c>
      <c r="H17" s="32" t="s">
        <v>46</v>
      </c>
      <c r="I17" s="32"/>
      <c r="J17" s="32"/>
      <c r="K17" s="31"/>
      <c r="L17" s="31"/>
      <c r="M17" s="3"/>
      <c r="S17" s="28"/>
    </row>
    <row r="18" spans="1:20">
      <c r="A18" s="33" t="s">
        <v>181</v>
      </c>
      <c r="B18" s="32">
        <v>46261</v>
      </c>
      <c r="C18" s="31" t="s">
        <v>217</v>
      </c>
      <c r="D18" s="31" t="s">
        <v>156</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204</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204</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156</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156</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204</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204</v>
      </c>
      <c r="E24" s="31" t="s">
        <v>47</v>
      </c>
      <c r="F24" s="31" t="s">
        <v>386</v>
      </c>
      <c r="G24" s="31" t="s">
        <v>50</v>
      </c>
      <c r="H24" s="32" t="s">
        <v>46</v>
      </c>
      <c r="I24" s="167">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204</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204</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156</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204</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204</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158</v>
      </c>
      <c r="B30" s="32">
        <v>46267</v>
      </c>
      <c r="C30" s="31" t="s">
        <v>217</v>
      </c>
      <c r="D30" s="31" t="s">
        <v>204</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156</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165</v>
      </c>
      <c r="B32" s="32">
        <v>46268</v>
      </c>
      <c r="C32" s="31" t="s">
        <v>217</v>
      </c>
      <c r="D32" s="31" t="s">
        <v>156</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156</v>
      </c>
      <c r="E33" s="31" t="s">
        <v>199</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165</v>
      </c>
      <c r="B34" s="32">
        <v>46273</v>
      </c>
      <c r="C34" s="31" t="s">
        <v>217</v>
      </c>
      <c r="D34" s="31" t="s">
        <v>156</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204</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156</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156</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156</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204</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156</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204</v>
      </c>
      <c r="E41" s="31" t="s">
        <v>199</v>
      </c>
      <c r="F41" s="31" t="s">
        <v>405</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156</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217</v>
      </c>
      <c r="D43" s="31" t="s">
        <v>156</v>
      </c>
      <c r="E43" s="31" t="s">
        <v>129</v>
      </c>
      <c r="F43" s="31" t="s">
        <v>408</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165</v>
      </c>
      <c r="B44" s="32">
        <v>46288</v>
      </c>
      <c r="C44" s="31" t="s">
        <v>182</v>
      </c>
      <c r="D44" s="31" t="s">
        <v>204</v>
      </c>
      <c r="E44" s="31" t="s">
        <v>143</v>
      </c>
      <c r="F44" s="31" t="s">
        <v>409</v>
      </c>
      <c r="G44" s="31" t="s">
        <v>50</v>
      </c>
      <c r="H44" s="32" t="s">
        <v>60</v>
      </c>
      <c r="I44" s="32">
        <v>46294</v>
      </c>
      <c r="J44" s="32">
        <v>46295</v>
      </c>
      <c r="K44" s="31" t="s">
        <v>60</v>
      </c>
      <c r="L44" s="31" t="s">
        <v>410</v>
      </c>
      <c r="M44" s="3" t="str">
        <f t="shared" ca="1" si="4"/>
        <v>Fixed</v>
      </c>
      <c r="N44" t="s">
        <v>372</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217</v>
      </c>
      <c r="D45" s="31" t="s">
        <v>156</v>
      </c>
      <c r="E45" s="31" t="s">
        <v>129</v>
      </c>
      <c r="F45" s="31" t="s">
        <v>411</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412</v>
      </c>
      <c r="B1" s="262"/>
      <c r="C1" s="262"/>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429</v>
      </c>
      <c r="B1" s="262"/>
      <c r="C1" s="262"/>
      <c r="D1" s="262"/>
      <c r="E1" s="262"/>
      <c r="F1" s="262"/>
      <c r="G1" s="262"/>
      <c r="H1" s="262"/>
      <c r="I1" s="262"/>
      <c r="J1" s="262"/>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435</v>
      </c>
      <c r="D13" s="9" t="s">
        <v>436</v>
      </c>
      <c r="E13" s="9" t="s">
        <v>46</v>
      </c>
      <c r="F13" s="9"/>
      <c r="G13" s="9"/>
      <c r="H13" s="10"/>
      <c r="I13" s="10">
        <v>46115</v>
      </c>
      <c r="J13" s="10">
        <v>46115</v>
      </c>
    </row>
    <row r="14" spans="1:10" ht="14.25" customHeight="1">
      <c r="A14" s="9" t="s">
        <v>40</v>
      </c>
      <c r="B14" s="9" t="s">
        <v>204</v>
      </c>
      <c r="C14" s="9" t="s">
        <v>435</v>
      </c>
      <c r="D14" s="9" t="s">
        <v>436</v>
      </c>
      <c r="E14" s="9" t="s">
        <v>46</v>
      </c>
      <c r="F14" s="9"/>
      <c r="G14" s="9"/>
      <c r="H14" s="10">
        <v>46115</v>
      </c>
      <c r="I14" s="10">
        <v>46120</v>
      </c>
      <c r="J14" s="10">
        <v>46120</v>
      </c>
    </row>
    <row r="15" spans="1:10" ht="14.25" customHeight="1">
      <c r="A15" s="9" t="s">
        <v>40</v>
      </c>
      <c r="B15" s="9" t="s">
        <v>217</v>
      </c>
      <c r="C15" s="9" t="s">
        <v>435</v>
      </c>
      <c r="D15" s="9" t="s">
        <v>436</v>
      </c>
      <c r="E15" s="9" t="s">
        <v>46</v>
      </c>
      <c r="F15" s="9"/>
      <c r="G15" s="9"/>
      <c r="H15" s="10">
        <v>46120</v>
      </c>
      <c r="I15" s="10">
        <v>46122</v>
      </c>
      <c r="J15" s="10">
        <v>46122</v>
      </c>
    </row>
    <row r="16" spans="1:10" ht="14.25" customHeight="1">
      <c r="A16" s="9" t="s">
        <v>40</v>
      </c>
      <c r="B16" s="9" t="s">
        <v>182</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436</v>
      </c>
      <c r="E23" s="9" t="s">
        <v>46</v>
      </c>
      <c r="F23" s="9"/>
      <c r="G23" s="9"/>
      <c r="H23" s="10"/>
      <c r="I23" s="10">
        <v>46115</v>
      </c>
      <c r="J23" s="10">
        <v>46115</v>
      </c>
    </row>
    <row r="24" spans="1:10" ht="14.25" customHeight="1">
      <c r="A24" s="9" t="s">
        <v>40</v>
      </c>
      <c r="B24" s="9" t="s">
        <v>204</v>
      </c>
      <c r="C24" s="9" t="s">
        <v>64</v>
      </c>
      <c r="D24" s="9" t="s">
        <v>436</v>
      </c>
      <c r="E24" s="9" t="s">
        <v>46</v>
      </c>
      <c r="F24" s="9"/>
      <c r="G24" s="9"/>
      <c r="H24" s="10">
        <v>46115</v>
      </c>
      <c r="I24" s="10">
        <v>46120</v>
      </c>
      <c r="J24" s="10">
        <v>46120</v>
      </c>
    </row>
    <row r="25" spans="1:10" ht="14.25" customHeight="1">
      <c r="A25" s="9" t="s">
        <v>40</v>
      </c>
      <c r="B25" s="9" t="s">
        <v>217</v>
      </c>
      <c r="C25" s="9" t="s">
        <v>64</v>
      </c>
      <c r="D25" s="9" t="s">
        <v>436</v>
      </c>
      <c r="E25" s="9" t="s">
        <v>46</v>
      </c>
      <c r="F25" s="9"/>
      <c r="G25" s="9"/>
      <c r="H25" s="10">
        <v>46120</v>
      </c>
      <c r="I25" s="10">
        <v>46122</v>
      </c>
      <c r="J25" s="10">
        <v>46122</v>
      </c>
    </row>
    <row r="26" spans="1:10" ht="14.25" customHeight="1">
      <c r="A26" s="9" t="s">
        <v>40</v>
      </c>
      <c r="B26" s="9" t="s">
        <v>182</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436</v>
      </c>
      <c r="E33" s="9" t="s">
        <v>60</v>
      </c>
      <c r="F33" s="9"/>
      <c r="G33" s="9"/>
      <c r="H33" s="10"/>
      <c r="I33" s="10">
        <v>46122</v>
      </c>
      <c r="J33" s="10">
        <v>46122</v>
      </c>
    </row>
    <row r="34" spans="1:10" ht="14.25" customHeight="1">
      <c r="A34" s="9" t="s">
        <v>40</v>
      </c>
      <c r="B34" s="9" t="s">
        <v>204</v>
      </c>
      <c r="C34" s="9" t="s">
        <v>70</v>
      </c>
      <c r="D34" s="9" t="s">
        <v>436</v>
      </c>
      <c r="E34" s="9" t="s">
        <v>60</v>
      </c>
      <c r="F34" s="9"/>
      <c r="G34" s="9"/>
      <c r="H34" s="10">
        <v>46122</v>
      </c>
      <c r="I34" s="10">
        <v>46126</v>
      </c>
      <c r="J34" s="10">
        <v>46126</v>
      </c>
    </row>
    <row r="35" spans="1:10" ht="14.25" customHeight="1">
      <c r="A35" s="9" t="s">
        <v>40</v>
      </c>
      <c r="B35" s="9" t="s">
        <v>217</v>
      </c>
      <c r="C35" s="9" t="s">
        <v>70</v>
      </c>
      <c r="D35" s="9" t="s">
        <v>436</v>
      </c>
      <c r="E35" s="9" t="s">
        <v>60</v>
      </c>
      <c r="F35" s="9"/>
      <c r="G35" s="9"/>
      <c r="H35" s="10">
        <v>46126</v>
      </c>
      <c r="I35" s="10">
        <v>46122</v>
      </c>
      <c r="J35" s="10">
        <v>46122</v>
      </c>
    </row>
    <row r="36" spans="1:10" ht="14.25" customHeight="1">
      <c r="A36" s="9" t="s">
        <v>40</v>
      </c>
      <c r="B36" s="9" t="s">
        <v>182</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436</v>
      </c>
      <c r="E48" s="9" t="s">
        <v>60</v>
      </c>
      <c r="F48" s="9"/>
      <c r="G48" s="9"/>
      <c r="H48" s="10"/>
      <c r="I48" s="10"/>
      <c r="J48" s="10"/>
    </row>
    <row r="49" spans="1:10" ht="14.25" customHeight="1">
      <c r="A49" s="9" t="s">
        <v>40</v>
      </c>
      <c r="B49" s="9" t="s">
        <v>204</v>
      </c>
      <c r="C49" s="9" t="s">
        <v>97</v>
      </c>
      <c r="D49" s="9" t="s">
        <v>436</v>
      </c>
      <c r="E49" s="9" t="s">
        <v>60</v>
      </c>
      <c r="F49" s="9"/>
      <c r="G49" s="9"/>
      <c r="H49" s="10"/>
      <c r="I49" s="10">
        <v>46139</v>
      </c>
      <c r="J49" s="10">
        <v>46139</v>
      </c>
    </row>
    <row r="50" spans="1:10" ht="14.25" customHeight="1">
      <c r="A50" s="9" t="s">
        <v>40</v>
      </c>
      <c r="B50" s="9" t="s">
        <v>217</v>
      </c>
      <c r="C50" s="9" t="s">
        <v>97</v>
      </c>
      <c r="D50" s="9" t="s">
        <v>436</v>
      </c>
      <c r="E50" s="9" t="s">
        <v>60</v>
      </c>
      <c r="F50" s="9"/>
      <c r="G50" s="9"/>
      <c r="H50" s="10">
        <v>46139</v>
      </c>
      <c r="I50" s="10">
        <v>46139</v>
      </c>
      <c r="J50" s="10">
        <v>46139</v>
      </c>
    </row>
    <row r="51" spans="1:10" ht="14.25" customHeight="1">
      <c r="A51" s="9" t="s">
        <v>40</v>
      </c>
      <c r="B51" s="9" t="s">
        <v>182</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156</v>
      </c>
      <c r="C53" s="9" t="s">
        <v>98</v>
      </c>
      <c r="D53" s="9" t="s">
        <v>436</v>
      </c>
      <c r="E53" s="9" t="s">
        <v>60</v>
      </c>
      <c r="F53" s="9"/>
      <c r="G53" s="9"/>
      <c r="H53" s="10"/>
      <c r="I53" s="10"/>
      <c r="J53" s="10"/>
    </row>
    <row r="54" spans="1:10" ht="14.25" customHeight="1">
      <c r="A54" s="9" t="s">
        <v>40</v>
      </c>
      <c r="B54" s="9" t="s">
        <v>204</v>
      </c>
      <c r="C54" s="9" t="s">
        <v>98</v>
      </c>
      <c r="D54" s="9" t="s">
        <v>436</v>
      </c>
      <c r="E54" s="9" t="s">
        <v>60</v>
      </c>
      <c r="F54" s="9"/>
      <c r="G54" s="9"/>
      <c r="H54" s="9"/>
      <c r="I54" s="10">
        <v>46141</v>
      </c>
      <c r="J54" s="10">
        <v>46141</v>
      </c>
    </row>
    <row r="55" spans="1:10" ht="14.25" customHeight="1">
      <c r="A55" s="9" t="s">
        <v>40</v>
      </c>
      <c r="B55" s="9" t="s">
        <v>217</v>
      </c>
      <c r="C55" s="9" t="s">
        <v>98</v>
      </c>
      <c r="D55" s="9" t="s">
        <v>436</v>
      </c>
      <c r="E55" s="9" t="s">
        <v>60</v>
      </c>
      <c r="F55" s="9"/>
      <c r="G55" s="9"/>
      <c r="H55" s="10">
        <v>46141</v>
      </c>
      <c r="I55" s="10">
        <v>46141</v>
      </c>
      <c r="J55" s="10">
        <v>46141</v>
      </c>
    </row>
    <row r="56" spans="1:10" ht="14.25" customHeight="1">
      <c r="A56" s="9" t="s">
        <v>40</v>
      </c>
      <c r="B56" s="9" t="s">
        <v>182</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156</v>
      </c>
      <c r="C58" s="9" t="s">
        <v>99</v>
      </c>
      <c r="D58" s="9" t="s">
        <v>436</v>
      </c>
      <c r="E58" s="9" t="s">
        <v>46</v>
      </c>
      <c r="F58" s="9"/>
      <c r="G58" s="9"/>
      <c r="H58" s="9"/>
      <c r="I58" s="10"/>
      <c r="J58" s="10"/>
    </row>
    <row r="59" spans="1:10" ht="14.25" customHeight="1">
      <c r="A59" s="9" t="s">
        <v>40</v>
      </c>
      <c r="B59" s="9" t="s">
        <v>204</v>
      </c>
      <c r="C59" s="9" t="s">
        <v>99</v>
      </c>
      <c r="D59" s="9" t="s">
        <v>436</v>
      </c>
      <c r="E59" s="9" t="s">
        <v>46</v>
      </c>
      <c r="F59" s="9"/>
      <c r="G59" s="9"/>
      <c r="H59" s="10"/>
      <c r="I59" s="10">
        <v>46161</v>
      </c>
      <c r="J59" s="10">
        <v>46161</v>
      </c>
    </row>
    <row r="60" spans="1:10" ht="14.25" customHeight="1">
      <c r="A60" s="9" t="s">
        <v>40</v>
      </c>
      <c r="B60" s="9" t="s">
        <v>217</v>
      </c>
      <c r="C60" s="9" t="s">
        <v>99</v>
      </c>
      <c r="D60" s="9" t="s">
        <v>436</v>
      </c>
      <c r="E60" s="9" t="s">
        <v>46</v>
      </c>
      <c r="F60" s="9"/>
      <c r="G60" s="9"/>
      <c r="H60" s="10">
        <v>46161</v>
      </c>
      <c r="I60" s="10">
        <v>46161</v>
      </c>
      <c r="J60" s="10">
        <v>46161</v>
      </c>
    </row>
    <row r="61" spans="1:10" ht="14.25" customHeight="1">
      <c r="A61" s="9" t="s">
        <v>40</v>
      </c>
      <c r="B61" s="9" t="s">
        <v>182</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156</v>
      </c>
      <c r="C170" s="3" t="s">
        <v>158</v>
      </c>
      <c r="D170" s="3" t="s">
        <v>76</v>
      </c>
      <c r="E170" s="3" t="s">
        <v>46</v>
      </c>
      <c r="F170" s="3"/>
      <c r="G170" s="3" t="s">
        <v>129</v>
      </c>
      <c r="H170" s="3"/>
      <c r="I170" s="3"/>
      <c r="J170" s="3"/>
    </row>
    <row r="171" spans="1:10">
      <c r="A171" s="3" t="s">
        <v>126</v>
      </c>
      <c r="B171" s="3" t="s">
        <v>204</v>
      </c>
      <c r="C171" s="3" t="s">
        <v>158</v>
      </c>
      <c r="D171" s="3" t="s">
        <v>76</v>
      </c>
      <c r="E171" s="3" t="s">
        <v>46</v>
      </c>
      <c r="F171" s="3"/>
      <c r="G171" s="3" t="s">
        <v>129</v>
      </c>
      <c r="H171" s="3"/>
      <c r="I171" s="4">
        <v>46226</v>
      </c>
      <c r="J171" s="4">
        <v>46226</v>
      </c>
    </row>
    <row r="172" spans="1:10">
      <c r="A172" s="3" t="s">
        <v>126</v>
      </c>
      <c r="B172" s="3" t="s">
        <v>217</v>
      </c>
      <c r="C172" s="3" t="s">
        <v>158</v>
      </c>
      <c r="D172" s="3" t="s">
        <v>76</v>
      </c>
      <c r="E172" s="3" t="s">
        <v>46</v>
      </c>
      <c r="F172" s="3"/>
      <c r="G172" s="3" t="s">
        <v>129</v>
      </c>
      <c r="H172" s="4">
        <v>46226</v>
      </c>
      <c r="I172" s="4">
        <v>46223</v>
      </c>
      <c r="J172" s="4">
        <v>46223</v>
      </c>
    </row>
    <row r="173" spans="1:10">
      <c r="A173" s="3" t="s">
        <v>126</v>
      </c>
      <c r="B173" s="3" t="s">
        <v>156</v>
      </c>
      <c r="C173" s="3" t="s">
        <v>160</v>
      </c>
      <c r="D173" s="3" t="s">
        <v>59</v>
      </c>
      <c r="E173" s="3" t="s">
        <v>60</v>
      </c>
      <c r="F173" s="3"/>
      <c r="G173" s="3" t="s">
        <v>129</v>
      </c>
      <c r="H173" s="3"/>
      <c r="I173" s="3"/>
      <c r="J173" s="3"/>
    </row>
    <row r="174" spans="1:10">
      <c r="A174" s="3" t="s">
        <v>126</v>
      </c>
      <c r="B174" s="3" t="s">
        <v>204</v>
      </c>
      <c r="C174" s="3" t="s">
        <v>160</v>
      </c>
      <c r="D174" s="3" t="s">
        <v>59</v>
      </c>
      <c r="E174" s="3" t="s">
        <v>60</v>
      </c>
      <c r="F174" s="3"/>
      <c r="G174" s="3" t="s">
        <v>129</v>
      </c>
      <c r="H174" s="3"/>
      <c r="I174" s="4">
        <v>46225</v>
      </c>
      <c r="J174" s="4">
        <v>46225</v>
      </c>
    </row>
    <row r="175" spans="1:10">
      <c r="A175" s="3" t="s">
        <v>126</v>
      </c>
      <c r="B175" s="3" t="s">
        <v>217</v>
      </c>
      <c r="C175" s="3" t="s">
        <v>160</v>
      </c>
      <c r="D175" s="3" t="s">
        <v>59</v>
      </c>
      <c r="E175" s="3" t="s">
        <v>60</v>
      </c>
      <c r="F175" s="3"/>
      <c r="G175" s="3" t="s">
        <v>129</v>
      </c>
      <c r="H175" s="4">
        <v>46225</v>
      </c>
      <c r="I175" s="4">
        <v>46223</v>
      </c>
      <c r="J175" s="4">
        <v>46223</v>
      </c>
    </row>
    <row r="176" spans="1:10">
      <c r="A176" s="3" t="s">
        <v>126</v>
      </c>
      <c r="B176" s="3" t="s">
        <v>156</v>
      </c>
      <c r="C176" s="3" t="s">
        <v>162</v>
      </c>
      <c r="D176" s="3" t="s">
        <v>76</v>
      </c>
      <c r="E176" s="3" t="s">
        <v>77</v>
      </c>
      <c r="F176" s="3"/>
      <c r="G176" s="3" t="s">
        <v>143</v>
      </c>
      <c r="H176" s="3"/>
      <c r="I176" s="3"/>
      <c r="J176" s="3"/>
    </row>
    <row r="177" spans="1:10">
      <c r="A177" s="3" t="s">
        <v>126</v>
      </c>
      <c r="B177" s="3" t="s">
        <v>204</v>
      </c>
      <c r="C177" s="3" t="s">
        <v>162</v>
      </c>
      <c r="D177" s="3" t="s">
        <v>76</v>
      </c>
      <c r="E177" s="3" t="s">
        <v>77</v>
      </c>
      <c r="F177" s="3"/>
      <c r="G177" s="3" t="s">
        <v>143</v>
      </c>
      <c r="H177" s="3"/>
      <c r="I177" s="4">
        <v>46225</v>
      </c>
      <c r="J177" s="4">
        <v>46225</v>
      </c>
    </row>
    <row r="178" spans="1:10">
      <c r="A178" s="3" t="s">
        <v>126</v>
      </c>
      <c r="B178" s="3" t="s">
        <v>217</v>
      </c>
      <c r="C178" s="3" t="s">
        <v>162</v>
      </c>
      <c r="D178" s="3" t="s">
        <v>76</v>
      </c>
      <c r="E178" s="3" t="s">
        <v>77</v>
      </c>
      <c r="F178" s="3"/>
      <c r="G178" s="3" t="s">
        <v>143</v>
      </c>
      <c r="H178" s="4">
        <v>46225</v>
      </c>
      <c r="I178" s="4">
        <v>46230</v>
      </c>
      <c r="J178" s="4">
        <v>46230</v>
      </c>
    </row>
    <row r="179" spans="1:10">
      <c r="A179" s="3" t="s">
        <v>126</v>
      </c>
      <c r="B179" s="3" t="s">
        <v>156</v>
      </c>
      <c r="C179" s="3" t="s">
        <v>165</v>
      </c>
      <c r="D179" s="3" t="s">
        <v>103</v>
      </c>
      <c r="E179" s="3"/>
      <c r="F179" s="3"/>
      <c r="G179" s="3"/>
      <c r="H179" s="3"/>
      <c r="I179" s="3"/>
      <c r="J179" s="3"/>
    </row>
    <row r="180" spans="1:10">
      <c r="A180" s="3" t="s">
        <v>126</v>
      </c>
      <c r="B180" s="3" t="s">
        <v>204</v>
      </c>
      <c r="C180" s="3" t="s">
        <v>165</v>
      </c>
      <c r="D180" s="3" t="s">
        <v>103</v>
      </c>
      <c r="E180" s="3"/>
      <c r="F180" s="3"/>
      <c r="G180" s="3"/>
      <c r="H180" s="3"/>
      <c r="I180" s="3"/>
      <c r="J180" s="3"/>
    </row>
    <row r="181" spans="1:10">
      <c r="A181" s="3" t="s">
        <v>126</v>
      </c>
      <c r="B181" s="3" t="s">
        <v>217</v>
      </c>
      <c r="C181" s="3" t="s">
        <v>165</v>
      </c>
      <c r="D181" s="3" t="s">
        <v>103</v>
      </c>
      <c r="E181" s="3"/>
      <c r="F181" s="3"/>
      <c r="G181" s="3"/>
      <c r="H181" s="3"/>
      <c r="I181" s="3"/>
      <c r="J181" s="3"/>
    </row>
    <row r="182" spans="1:10">
      <c r="A182" s="3" t="s">
        <v>126</v>
      </c>
      <c r="B182" s="3" t="s">
        <v>156</v>
      </c>
      <c r="C182" s="3" t="s">
        <v>175</v>
      </c>
      <c r="D182" s="3" t="s">
        <v>84</v>
      </c>
      <c r="E182" s="3"/>
      <c r="F182" s="3"/>
      <c r="G182" s="3"/>
      <c r="H182" s="3"/>
      <c r="I182" s="3"/>
      <c r="J182" s="3"/>
    </row>
    <row r="183" spans="1:10">
      <c r="A183" s="3" t="s">
        <v>126</v>
      </c>
      <c r="B183" s="3" t="s">
        <v>204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182</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143</v>
      </c>
      <c r="N2" t="s">
        <v>455</v>
      </c>
      <c r="R2" t="s">
        <v>252</v>
      </c>
      <c r="T2" t="s">
        <v>49</v>
      </c>
    </row>
    <row r="3" spans="1:20" ht="15" customHeight="1">
      <c r="A3" t="s">
        <v>40</v>
      </c>
      <c r="B3" t="s">
        <v>44</v>
      </c>
      <c r="C3" t="s">
        <v>60</v>
      </c>
      <c r="D3" t="s">
        <v>129</v>
      </c>
      <c r="E3" t="s">
        <v>50</v>
      </c>
      <c r="F3" t="s">
        <v>231</v>
      </c>
      <c r="G3" t="s">
        <v>44</v>
      </c>
      <c r="H3" t="s">
        <v>47</v>
      </c>
      <c r="I3" t="s">
        <v>53</v>
      </c>
      <c r="J3" t="s">
        <v>156</v>
      </c>
      <c r="K3" t="s">
        <v>48</v>
      </c>
      <c r="L3" t="s">
        <v>53</v>
      </c>
      <c r="M3" t="s">
        <v>44</v>
      </c>
      <c r="N3" t="s">
        <v>456</v>
      </c>
      <c r="R3" t="s">
        <v>45</v>
      </c>
      <c r="T3" t="s">
        <v>94</v>
      </c>
    </row>
    <row r="4" spans="1:20" ht="15" customHeight="1">
      <c r="A4" t="s">
        <v>126</v>
      </c>
      <c r="B4" t="s">
        <v>59</v>
      </c>
      <c r="C4" t="s">
        <v>46</v>
      </c>
      <c r="D4" t="s">
        <v>143</v>
      </c>
      <c r="E4" t="s">
        <v>53</v>
      </c>
      <c r="F4" t="s">
        <v>156</v>
      </c>
      <c r="G4" t="s">
        <v>59</v>
      </c>
      <c r="H4" t="s">
        <v>88</v>
      </c>
      <c r="I4" t="s">
        <v>205</v>
      </c>
      <c r="J4" t="s">
        <v>204</v>
      </c>
      <c r="L4" t="s">
        <v>50</v>
      </c>
      <c r="M4" t="s">
        <v>103</v>
      </c>
      <c r="N4" t="s">
        <v>457</v>
      </c>
      <c r="R4" t="s">
        <v>458</v>
      </c>
      <c r="T4" t="s">
        <v>72</v>
      </c>
    </row>
    <row r="5" spans="1:20" ht="15" customHeight="1">
      <c r="A5" t="s">
        <v>427</v>
      </c>
      <c r="B5" t="s">
        <v>436</v>
      </c>
      <c r="C5" t="s">
        <v>77</v>
      </c>
      <c r="F5" t="s">
        <v>204</v>
      </c>
      <c r="G5" t="s">
        <v>436</v>
      </c>
      <c r="H5" t="s">
        <v>129</v>
      </c>
      <c r="I5" t="s">
        <v>157</v>
      </c>
      <c r="J5" t="s">
        <v>217</v>
      </c>
      <c r="L5" t="s">
        <v>459</v>
      </c>
      <c r="M5" t="s">
        <v>88</v>
      </c>
      <c r="N5" t="s">
        <v>460</v>
      </c>
    </row>
    <row r="6" spans="1:20" ht="15" customHeight="1">
      <c r="A6" t="s">
        <v>306</v>
      </c>
      <c r="B6" t="s">
        <v>84</v>
      </c>
      <c r="F6" t="s">
        <v>217</v>
      </c>
      <c r="G6" t="s">
        <v>84</v>
      </c>
      <c r="H6" t="s">
        <v>143</v>
      </c>
      <c r="I6" t="s">
        <v>461</v>
      </c>
      <c r="J6" t="s">
        <v>182</v>
      </c>
      <c r="M6" t="s">
        <v>48</v>
      </c>
      <c r="N6" t="s">
        <v>460</v>
      </c>
    </row>
    <row r="7" spans="1:20" ht="15" customHeight="1">
      <c r="A7" t="s">
        <v>297</v>
      </c>
      <c r="B7" t="s">
        <v>65</v>
      </c>
      <c r="F7" t="s">
        <v>182</v>
      </c>
      <c r="G7" t="s">
        <v>65</v>
      </c>
      <c r="H7" t="s">
        <v>199</v>
      </c>
      <c r="I7" t="s">
        <v>462</v>
      </c>
      <c r="M7" t="s">
        <v>129</v>
      </c>
      <c r="N7" t="s">
        <v>463</v>
      </c>
    </row>
    <row r="8" spans="1:20" ht="15" customHeight="1">
      <c r="B8" t="s">
        <v>76</v>
      </c>
      <c r="F8" t="s">
        <v>128</v>
      </c>
      <c r="G8" t="s">
        <v>76</v>
      </c>
      <c r="I8" t="s">
        <v>464</v>
      </c>
      <c r="M8" t="s">
        <v>60</v>
      </c>
      <c r="N8" t="s">
        <v>465</v>
      </c>
    </row>
    <row r="9" spans="1:20" ht="15" customHeight="1">
      <c r="B9" t="s">
        <v>103</v>
      </c>
      <c r="F9" t="s">
        <v>42</v>
      </c>
      <c r="G9" t="s">
        <v>103</v>
      </c>
      <c r="I9" t="s">
        <v>331</v>
      </c>
      <c r="M9" t="s">
        <v>154</v>
      </c>
      <c r="N9" t="s">
        <v>466</v>
      </c>
    </row>
    <row r="10" spans="1:20" ht="15" customHeight="1">
      <c r="B10" t="s">
        <v>154</v>
      </c>
      <c r="G10" t="s">
        <v>154</v>
      </c>
      <c r="I10" t="s">
        <v>467</v>
      </c>
      <c r="M10" t="s">
        <v>47</v>
      </c>
      <c r="N10" t="s">
        <v>468</v>
      </c>
    </row>
    <row r="11" spans="1:20" ht="15">
      <c r="B11" t="s">
        <v>469</v>
      </c>
      <c r="G11" t="s">
        <v>60</v>
      </c>
      <c r="M11" t="s">
        <v>76</v>
      </c>
      <c r="N11" t="s">
        <v>470</v>
      </c>
    </row>
    <row r="12" spans="1:20" ht="15">
      <c r="B12" t="s">
        <v>471</v>
      </c>
      <c r="G12" t="s">
        <v>46</v>
      </c>
      <c r="M12" t="s">
        <v>46</v>
      </c>
      <c r="N12" t="s">
        <v>472</v>
      </c>
    </row>
    <row r="13" spans="1:20" ht="15">
      <c r="G13" t="s">
        <v>77</v>
      </c>
      <c r="M13" t="s">
        <v>77</v>
      </c>
      <c r="N13" t="s">
        <v>473</v>
      </c>
    </row>
    <row r="14" spans="1:20" ht="15">
      <c r="M14" t="s">
        <v>84</v>
      </c>
      <c r="N14" t="s">
        <v>474</v>
      </c>
    </row>
    <row r="15" spans="1:20" ht="15">
      <c r="M15" t="s">
        <v>59</v>
      </c>
      <c r="N15" t="s">
        <v>475</v>
      </c>
    </row>
    <row r="16" spans="1:20" ht="15">
      <c r="M16" t="s">
        <v>65</v>
      </c>
      <c r="N16" t="s">
        <v>476</v>
      </c>
    </row>
    <row r="17" spans="13:14" ht="15">
      <c r="M17" t="s">
        <v>436</v>
      </c>
      <c r="N17" t="s">
        <v>476</v>
      </c>
    </row>
    <row r="18" spans="13:14" ht="15">
      <c r="M18" t="s">
        <v>226</v>
      </c>
      <c r="N18" t="s">
        <v>477</v>
      </c>
    </row>
    <row r="19" spans="13:14" ht="15">
      <c r="M19" t="s">
        <v>199</v>
      </c>
      <c r="N19" t="s">
        <v>478</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479</v>
      </c>
      <c r="C2" s="171"/>
      <c r="D2" s="171"/>
      <c r="E2" s="171"/>
      <c r="F2" s="171"/>
      <c r="G2" s="171"/>
      <c r="H2" s="171"/>
      <c r="I2" s="171"/>
      <c r="J2" s="171"/>
      <c r="K2" s="171"/>
      <c r="L2" s="171"/>
      <c r="M2" s="218" t="str">
        <f ca="1">"As of "&amp;TEXT(TODAY(),"d mmm yyyy")&amp;". Live from Combined Delivery Data."</f>
        <v>As of 2 Oct 2026. Live from Combined Delivery Data.</v>
      </c>
      <c r="N2" s="218"/>
      <c r="O2" s="218"/>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19" t="str">
        <f>IF(C7+E7=0,"No CMS reports are blocked.","reports are blocked. "&amp;C7&amp;" are approved and waiting for a production release, "&amp;E7&amp;" are blocked in build or QA.")</f>
        <v>reports are blocked. 25 are approved and waiting for a production release, 4 are blocked in build or QA.</v>
      </c>
      <c r="D5" s="219"/>
      <c r="E5" s="219"/>
      <c r="F5" s="219"/>
      <c r="G5" s="219"/>
      <c r="H5" s="219"/>
      <c r="I5" s="219"/>
      <c r="J5" s="219"/>
      <c r="K5" s="219"/>
      <c r="L5" s="219"/>
      <c r="M5" s="219"/>
      <c r="N5" s="219"/>
      <c r="O5" s="219"/>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20" cm="1">
        <f t="array" ref="C7">COUNTIFS(cmsDom,"CMS",cmsStatus,"Ready for Release in Prod")</f>
        <v>25</v>
      </c>
      <c r="D7" s="221"/>
      <c r="E7" s="224" cm="1">
        <f t="array" ref="E7">COUNTIFS(cmsDom,"CMS",cmsBlocked,"Yes*",cmsStatus,"&lt;&gt;Ready for Release in Prod",cmsStatus,"&lt;&gt;RELEASED IN PROD")</f>
        <v>4</v>
      </c>
      <c r="F7" s="225"/>
      <c r="G7" s="226" cm="1">
        <f t="array" ref="G7">SUM(COUNTIFS(cmsDom,"CMS",cmsBlocked,"&lt;&gt;Yes*",cmsStatus,{"DB Dev","PBI Dev","QA","DPO Approval"}))</f>
        <v>23</v>
      </c>
      <c r="H7" s="227"/>
      <c r="I7" s="228" cm="1">
        <f t="array" ref="I7">COUNTIFS(cmsDom,"CMS",cmsBlocked,"&lt;&gt;Yes*",cmsStatus,"NOT STARTED")</f>
        <v>20</v>
      </c>
      <c r="J7" s="229"/>
      <c r="K7" s="230" cm="1">
        <f t="array" ref="K7">COUNTIFS(cmsDom,"CMS",cmsStatus,"RELEASED IN PROD")</f>
        <v>0</v>
      </c>
      <c r="L7" s="231"/>
      <c r="M7" s="232" t="s">
        <v>480</v>
      </c>
      <c r="N7" s="233"/>
      <c r="O7" s="234"/>
      <c r="P7" s="171"/>
      <c r="Q7" s="171"/>
      <c r="R7" s="171"/>
      <c r="S7" s="171"/>
      <c r="T7" s="171"/>
      <c r="U7" s="171"/>
      <c r="V7" s="171"/>
      <c r="W7" s="171"/>
      <c r="X7" s="171"/>
      <c r="Y7" s="171"/>
      <c r="Z7" s="171"/>
    </row>
    <row r="8" spans="1:26" ht="30" customHeight="1">
      <c r="A8" s="171"/>
      <c r="B8" s="171"/>
      <c r="C8" s="222" t="s">
        <v>481</v>
      </c>
      <c r="D8" s="223"/>
      <c r="E8" s="222" t="s">
        <v>482</v>
      </c>
      <c r="F8" s="223"/>
      <c r="G8" s="222" t="s">
        <v>483</v>
      </c>
      <c r="H8" s="223"/>
      <c r="I8" s="222" t="s">
        <v>484</v>
      </c>
      <c r="J8" s="223"/>
      <c r="K8" s="222" t="s">
        <v>485</v>
      </c>
      <c r="L8" s="223"/>
      <c r="M8" s="22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14.</v>
      </c>
      <c r="N8" s="223"/>
      <c r="O8" s="235"/>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486</v>
      </c>
      <c r="C10" s="242" t="s">
        <v>487</v>
      </c>
      <c r="D10" s="242"/>
      <c r="E10" s="242"/>
      <c r="F10" s="242"/>
      <c r="G10" s="242"/>
      <c r="H10" s="242"/>
      <c r="I10" s="242"/>
      <c r="J10" s="242"/>
      <c r="K10" s="242"/>
      <c r="L10" s="242"/>
      <c r="M10" s="242"/>
      <c r="N10" s="242"/>
      <c r="O10" s="242"/>
      <c r="P10" s="171"/>
      <c r="Q10" s="171"/>
      <c r="R10" s="171"/>
      <c r="S10" s="171"/>
      <c r="T10" s="171"/>
      <c r="U10" s="171"/>
      <c r="V10" s="171"/>
      <c r="W10" s="171"/>
      <c r="X10" s="171"/>
      <c r="Y10" s="171"/>
      <c r="Z10" s="171"/>
    </row>
    <row r="11" spans="1:26" ht="30" customHeight="1">
      <c r="A11" s="171"/>
      <c r="B11" s="188" t="s">
        <v>488</v>
      </c>
      <c r="C11" s="185" t="s">
        <v>489</v>
      </c>
      <c r="D11" s="185" t="s">
        <v>490</v>
      </c>
      <c r="E11" s="185" t="s">
        <v>182</v>
      </c>
      <c r="F11" s="185" t="s">
        <v>217</v>
      </c>
      <c r="G11" s="185" t="s">
        <v>204</v>
      </c>
      <c r="H11" s="185" t="s">
        <v>156</v>
      </c>
      <c r="I11" s="185" t="s">
        <v>484</v>
      </c>
      <c r="J11" s="185" t="s">
        <v>491</v>
      </c>
      <c r="K11" s="185" t="s">
        <v>492</v>
      </c>
      <c r="L11" s="185" t="s">
        <v>493</v>
      </c>
      <c r="M11" s="243" t="s">
        <v>494</v>
      </c>
      <c r="N11" s="244"/>
      <c r="O11" s="245"/>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1</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23 days past milestone, 14 of 14 not released</v>
      </c>
      <c r="N12" s="247"/>
      <c r="O12" s="248"/>
      <c r="P12" s="171"/>
      <c r="Q12" s="171"/>
      <c r="R12" s="171"/>
      <c r="S12" s="171"/>
      <c r="T12" s="171"/>
      <c r="U12" s="171"/>
      <c r="V12" s="171"/>
      <c r="W12" s="171"/>
      <c r="X12" s="171"/>
      <c r="Y12" s="171"/>
      <c r="Z12" s="171"/>
    </row>
    <row r="13" spans="1:26" ht="21.75" customHeight="1">
      <c r="A13" s="171"/>
      <c r="B13" s="195" t="s">
        <v>167</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2 days past milestone, 12 of 12 not released</v>
      </c>
      <c r="N13" s="237"/>
      <c r="O13" s="238"/>
      <c r="P13" s="171"/>
      <c r="Q13" s="171"/>
      <c r="R13" s="171"/>
      <c r="S13" s="171"/>
      <c r="T13" s="171"/>
      <c r="U13" s="171"/>
      <c r="V13" s="171"/>
      <c r="W13" s="171"/>
      <c r="X13" s="171"/>
      <c r="Y13" s="171"/>
      <c r="Z13" s="171"/>
    </row>
    <row r="14" spans="1:26" ht="21.75" customHeight="1">
      <c r="A14" s="171"/>
      <c r="B14" s="195" t="s">
        <v>193</v>
      </c>
      <c r="C14" s="196" cm="1">
        <f t="array" ref="C14">COUNTIFS(cmsDom,"CMS",cmsMonth,$B14,cmsStatus,"Ready for Release in Prod")</f>
        <v>2</v>
      </c>
      <c r="D14" s="196" cm="1">
        <f t="array" ref="D14">COUNTIFS(cmsDom,"CMS",cmsMonth,$B14,cmsBlocked,"Yes*",cmsStatus,"&lt;&gt;Ready for Release in Prod",cmsStatus,"&lt;&gt;RELEASED IN PROD")</f>
        <v>2</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1</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28 days to milestone, 2 blocked</v>
      </c>
      <c r="N14" s="237"/>
      <c r="O14" s="238"/>
      <c r="P14" s="171"/>
      <c r="Q14" s="171"/>
      <c r="R14" s="171"/>
      <c r="S14" s="171"/>
      <c r="T14" s="171"/>
      <c r="U14" s="171"/>
      <c r="V14" s="171"/>
      <c r="W14" s="171"/>
      <c r="X14" s="171"/>
      <c r="Y14" s="171"/>
      <c r="Z14" s="171"/>
    </row>
    <row r="15" spans="1:26" ht="21.75" customHeight="1">
      <c r="A15" s="171"/>
      <c r="B15" s="195" t="s">
        <v>240</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59 days to milestone, 1 blocked</v>
      </c>
      <c r="N15" s="237"/>
      <c r="O15" s="238"/>
      <c r="P15" s="171"/>
      <c r="Q15" s="171"/>
      <c r="R15" s="171"/>
      <c r="S15" s="171"/>
      <c r="T15" s="171"/>
      <c r="U15" s="171"/>
      <c r="V15" s="171"/>
      <c r="W15" s="171"/>
      <c r="X15" s="171"/>
      <c r="Y15" s="171"/>
      <c r="Z15" s="171"/>
    </row>
    <row r="16" spans="1:26" ht="21.75" customHeight="1">
      <c r="A16" s="171"/>
      <c r="B16" s="192" t="s">
        <v>266</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90 days to milestone</v>
      </c>
      <c r="N16" s="240"/>
      <c r="O16" s="241"/>
      <c r="P16" s="171"/>
      <c r="Q16" s="171"/>
      <c r="R16" s="171"/>
      <c r="S16" s="171"/>
      <c r="T16" s="171"/>
      <c r="U16" s="171"/>
      <c r="V16" s="171"/>
      <c r="W16" s="171"/>
      <c r="X16" s="171"/>
      <c r="Y16" s="171"/>
      <c r="Z16" s="171"/>
    </row>
    <row r="17" spans="1:26" ht="24" customHeight="1">
      <c r="A17" s="171"/>
      <c r="B17" s="186" t="s">
        <v>495</v>
      </c>
      <c r="C17" s="198">
        <f>SUM(C12:C16)</f>
        <v>25</v>
      </c>
      <c r="D17" s="198">
        <f>SUM(D12:D16)</f>
        <v>4</v>
      </c>
      <c r="E17" s="198">
        <f>SUM(E12:E16)</f>
        <v>9</v>
      </c>
      <c r="F17" s="198">
        <f>SUM(F12:F16)</f>
        <v>4</v>
      </c>
      <c r="G17" s="198">
        <f>SUM(G12:G16)</f>
        <v>8</v>
      </c>
      <c r="H17" s="198">
        <f>SUM(H12:H16)</f>
        <v>2</v>
      </c>
      <c r="I17" s="198">
        <f>SUM(I12:I16)</f>
        <v>20</v>
      </c>
      <c r="J17" s="198">
        <f>SUM(J12:J16)</f>
        <v>0</v>
      </c>
      <c r="K17" s="198">
        <f>SUM(K12:K16)</f>
        <v>72</v>
      </c>
      <c r="L17" s="187"/>
      <c r="M17" s="249" t="str">
        <f>IF(SUM(C17:J17)=K17,"","Counts do not add up to the report total")</f>
        <v/>
      </c>
      <c r="N17" s="250"/>
      <c r="O17" s="251"/>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496</v>
      </c>
      <c r="C19" s="242" t="s">
        <v>497</v>
      </c>
      <c r="D19" s="242"/>
      <c r="E19" s="242"/>
      <c r="F19" s="242"/>
      <c r="G19" s="242"/>
      <c r="H19" s="242"/>
      <c r="I19" s="242"/>
      <c r="J19" s="242"/>
      <c r="K19" s="242"/>
      <c r="L19" s="242"/>
      <c r="M19" s="242"/>
      <c r="N19" s="242"/>
      <c r="O19" s="242"/>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(14)</v>
      </c>
      <c r="C35" s="242" t="s">
        <v>498</v>
      </c>
      <c r="D35" s="242"/>
      <c r="E35" s="242"/>
      <c r="F35" s="242"/>
      <c r="G35" s="242"/>
      <c r="H35" s="242"/>
      <c r="I35" s="242"/>
      <c r="J35" s="242"/>
      <c r="K35" s="242"/>
      <c r="L35" s="242"/>
      <c r="M35" s="242"/>
      <c r="N35" s="242"/>
      <c r="O35" s="242"/>
      <c r="P35" s="171"/>
      <c r="Q35" s="171"/>
      <c r="R35" s="171"/>
      <c r="S35" s="171"/>
      <c r="T35" s="171"/>
      <c r="U35" s="171"/>
      <c r="V35" s="171"/>
      <c r="W35" s="171"/>
      <c r="X35" s="171"/>
      <c r="Y35" s="171"/>
      <c r="Z35" s="171"/>
    </row>
    <row r="36" spans="1:26" ht="21.75" customHeight="1">
      <c r="A36" s="171"/>
      <c r="B36" s="201" t="s">
        <v>499</v>
      </c>
      <c r="C36" s="199" t="s">
        <v>488</v>
      </c>
      <c r="D36" s="199" t="s">
        <v>500</v>
      </c>
      <c r="E36" s="199" t="s">
        <v>430</v>
      </c>
      <c r="F36" s="199" t="s">
        <v>501</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RPT_02_Fixed Factor Printout</v>
      </c>
      <c r="C37" s="202" t="str">
        <v>July</v>
      </c>
      <c r="D37" s="202" t="str">
        <v>DB Dev</v>
      </c>
      <c r="E37" s="202" t="str">
        <v>Blocked - log it on Rework Log</v>
      </c>
      <c r="F37" s="202" t="str">
        <v>Nick</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RPT_02_Turn On for Non-Payment</v>
      </c>
      <c r="C38" s="202" t="str">
        <v>August</v>
      </c>
      <c r="D38" s="202" t="str">
        <v>DPO Approval</v>
      </c>
      <c r="E38" s="202" t="str">
        <v>Open rework row - mark Blocked or close it</v>
      </c>
      <c r="F38" s="202" t="str">
        <v>Bryan Patterson, Reginald Durham, Shaunna Peters, Simone Brooks, Bill Contreras</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RPT_02_Emergency Order Type</v>
      </c>
      <c r="C39" s="202" t="str">
        <v>September</v>
      </c>
      <c r="D39" s="202" t="str">
        <v>PBI Dev</v>
      </c>
      <c r="E39" s="202" t="str">
        <v>Blocked - log it on Rework Log</v>
      </c>
      <c r="F39" s="202" t="str">
        <v>Shraddha</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RPT_02_Hazardous Above Ground Leak</v>
      </c>
      <c r="C40" s="202" t="str">
        <v>September</v>
      </c>
      <c r="D40" s="202" t="str">
        <v>DB Dev</v>
      </c>
      <c r="E40" s="202" t="str">
        <v>Open rework row - mark Blocked or close it</v>
      </c>
      <c r="F40" s="202" t="str">
        <v>Fetwi</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RPT_02_First and Last Job</v>
      </c>
      <c r="C41" s="202" t="str">
        <v>September</v>
      </c>
      <c r="D41" s="202" t="str">
        <v>PBI Dev</v>
      </c>
      <c r="E41" s="202" t="str">
        <v>Blocked - log it on Rework Log</v>
      </c>
      <c r="F41" s="202" t="str">
        <v>Sarath</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RPT_04_Leak Recheck Times</v>
      </c>
      <c r="C42" s="202" t="str">
        <v>September</v>
      </c>
      <c r="D42" s="202" t="str">
        <v>PBI Dev</v>
      </c>
      <c r="E42" s="202" t="str">
        <v>Move status to QA</v>
      </c>
      <c r="F42" s="202" t="str">
        <v>Shraddha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RPT_02_Emergency Time Adjustments Log</v>
      </c>
      <c r="C43" s="202" t="str">
        <v>October</v>
      </c>
      <c r="D43" s="202" t="str">
        <v>PBI Dev</v>
      </c>
      <c r="E43" s="202" t="str">
        <v>Blocked - log it on Rework Log</v>
      </c>
      <c r="F43" s="202" t="str">
        <v>Navya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Appointment Life Cycle</v>
      </c>
      <c r="C44" s="202" t="str">
        <v>October</v>
      </c>
      <c r="D44" s="202" t="str">
        <v>DB Dev</v>
      </c>
      <c r="E44" s="202" t="str">
        <v>Move status to PBI Dev</v>
      </c>
      <c r="F44" s="202" t="str">
        <v>Nick</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RPT_02_PSC Inactive Account</v>
      </c>
      <c r="C45" s="202" t="str">
        <v>October</v>
      </c>
      <c r="D45" s="202" t="str">
        <v>PBI Dev</v>
      </c>
      <c r="E45" s="202" t="str">
        <v>Move status to QA</v>
      </c>
      <c r="F45" s="202" t="str">
        <v>Shraddha</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 Mismatch</v>
      </c>
      <c r="C46" s="204" t="str">
        <v>November</v>
      </c>
      <c r="D46" s="204" t="str">
        <v>NOT STARTED</v>
      </c>
      <c r="E46" s="204" t="str">
        <v>Move status to PBI Dev</v>
      </c>
      <c r="F46" s="204" t="str">
        <v>Siddu</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492</v>
      </c>
      <c r="C48" s="242"/>
      <c r="D48" s="242"/>
      <c r="E48" s="242"/>
      <c r="F48" s="242"/>
      <c r="G48" s="242"/>
      <c r="H48" s="242"/>
      <c r="I48" s="242"/>
      <c r="J48" s="242"/>
      <c r="K48" s="242"/>
      <c r="L48" s="242"/>
      <c r="M48" s="242"/>
      <c r="N48" s="242"/>
      <c r="O48" s="242"/>
      <c r="P48" s="171"/>
      <c r="Q48" s="171"/>
      <c r="R48" s="171"/>
      <c r="S48" s="171"/>
      <c r="T48" s="171"/>
      <c r="U48" s="171"/>
      <c r="V48" s="171"/>
      <c r="W48" s="171"/>
      <c r="X48" s="171"/>
      <c r="Y48" s="171"/>
      <c r="Z48" s="171"/>
    </row>
    <row r="49" spans="1:26" ht="15.75" customHeight="1">
      <c r="A49" s="171"/>
      <c r="B49" s="252"/>
      <c r="C49" s="254" t="s">
        <v>488</v>
      </c>
      <c r="D49" s="254"/>
      <c r="E49" s="254" t="s">
        <v>430</v>
      </c>
      <c r="F49" s="254"/>
      <c r="G49" s="254" t="s">
        <v>440</v>
      </c>
      <c r="H49" s="25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53"/>
      <c r="C50" s="255" t="s">
        <v>502</v>
      </c>
      <c r="D50" s="256"/>
      <c r="E50" s="255" t="s">
        <v>502</v>
      </c>
      <c r="F50" s="256"/>
      <c r="G50" s="255" t="s">
        <v>502</v>
      </c>
      <c r="H50" s="257"/>
      <c r="I50" s="258" t="str">
        <f>IF(ISTEXT(B53),"No reports match",IF(ROWS(_xlfn.ANCHORARRAY(B53))=1,"1 report","" &amp; ROWS(_xlfn.ANCHORARRAY(B53)) &amp; " reports"))</f>
        <v>No reports match</v>
      </c>
      <c r="J50" s="259"/>
      <c r="K50" s="259"/>
      <c r="L50" s="259"/>
      <c r="M50" s="259"/>
      <c r="N50" s="259"/>
      <c r="O50" s="26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499</v>
      </c>
      <c r="C52" s="208" t="s">
        <v>488</v>
      </c>
      <c r="D52" s="208" t="s">
        <v>500</v>
      </c>
      <c r="E52" s="208" t="s">
        <v>35</v>
      </c>
      <c r="F52" s="208" t="s">
        <v>503</v>
      </c>
      <c r="G52" s="208" t="s">
        <v>504</v>
      </c>
      <c r="H52" s="208" t="s">
        <v>505</v>
      </c>
      <c r="I52" s="208" t="s">
        <v>506</v>
      </c>
      <c r="J52" s="210" t="s">
        <v>507</v>
      </c>
      <c r="K52" s="210" t="s">
        <v>508</v>
      </c>
      <c r="L52" s="210" t="s">
        <v>509</v>
      </c>
      <c r="M52" s="210" t="s">
        <v>510</v>
      </c>
      <c r="N52" s="210" t="s">
        <v>511</v>
      </c>
      <c r="O52" s="208" t="s">
        <v>512</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Yes – needs DB Dev to fix</v>
      </c>
      <c r="F63" s="202" t="str">
        <v>Nick</v>
      </c>
      <c r="G63" s="202" t="str">
        <v>Shraddha</v>
      </c>
      <c r="H63" s="202" t="str">
        <v>Preety</v>
      </c>
      <c r="I63" s="202" t="str">
        <v>Natalie Lattanzio</v>
      </c>
      <c r="J63" s="213">
        <v>46245</v>
      </c>
      <c r="K63" s="213">
        <v>46258</v>
      </c>
      <c r="L63" s="213">
        <v>46258</v>
      </c>
      <c r="M63" s="213">
        <v>46269</v>
      </c>
      <c r="N63" s="214">
        <v>2</v>
      </c>
      <c r="O63" s="202" t="str">
        <v>Blocked - log it on Rework Log</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QA</v>
      </c>
      <c r="E87" s="202" t="str">
        <v>No</v>
      </c>
      <c r="F87" s="202" t="str">
        <v>Siddu</v>
      </c>
      <c r="G87" s="202" t="str">
        <v>Navya</v>
      </c>
      <c r="H87" s="202" t="str">
        <v>Preety</v>
      </c>
      <c r="I87" s="202" t="str">
        <v>Alex Giangolini</v>
      </c>
      <c r="J87" s="213">
        <v>46266</v>
      </c>
      <c r="K87" s="213">
        <v>46294</v>
      </c>
      <c r="L87" s="213" t="str">
        <v/>
      </c>
      <c r="M87" s="213" t="str">
        <v/>
      </c>
      <c r="N87" s="214">
        <v>0</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DB Dev</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Open rework row - mark Blocked or close it</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t="str">
        <v/>
      </c>
      <c r="M95" s="213" t="str">
        <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513</v>
      </c>
      <c r="C1" t="s">
        <v>514</v>
      </c>
      <c r="D1" t="s">
        <v>35</v>
      </c>
      <c r="E1" t="s">
        <v>515</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158</v>
      </c>
      <c r="B13" t="s">
        <v>130</v>
      </c>
      <c r="C13" t="s">
        <v>128</v>
      </c>
      <c r="D13" t="s">
        <v>331</v>
      </c>
      <c r="E13" t="str">
        <f>IF(C13="Ready for Release in Prod","Blocked in Prod",IF(C13="RELEASED IN PROD","Released",IF(LEFT(D13,3)="Yes","Blocked - Build/QA",IF(C13="NOT STARTED","Not Started",C13))))</f>
        <v>Blocked in Prod</v>
      </c>
    </row>
    <row r="14" spans="1:5">
      <c r="A14" t="s">
        <v>160</v>
      </c>
      <c r="B14" t="s">
        <v>130</v>
      </c>
      <c r="C14" t="s">
        <v>128</v>
      </c>
      <c r="D14" t="s">
        <v>331</v>
      </c>
      <c r="E14" t="str">
        <f>IF(C14="Ready for Release in Prod","Blocked in Prod",IF(C14="RELEASED IN PROD","Released",IF(LEFT(D14,3)="Yes","Blocked - Build/QA",IF(C14="NOT STARTED","Not Started",C14))))</f>
        <v>Blocked in Prod</v>
      </c>
    </row>
    <row r="15" spans="1:5">
      <c r="A15" t="s">
        <v>162</v>
      </c>
      <c r="B15" t="s">
        <v>130</v>
      </c>
      <c r="C15" t="s">
        <v>128</v>
      </c>
      <c r="D15" t="s">
        <v>331</v>
      </c>
      <c r="E15" t="str">
        <f>IF(C15="Ready for Release in Prod","Blocked in Prod",IF(C15="RELEASED IN PROD","Released",IF(LEFT(D15,3)="Yes","Blocked - Build/QA",IF(C15="NOT STARTED","Not Started",C15))))</f>
        <v>Blocked in Prod</v>
      </c>
    </row>
    <row r="16" spans="1:5">
      <c r="A16" t="s">
        <v>165</v>
      </c>
      <c r="B16" t="s">
        <v>167</v>
      </c>
      <c r="C16" t="s">
        <v>204</v>
      </c>
      <c r="D16" t="s">
        <v>461</v>
      </c>
      <c r="E16" t="str">
        <f>IF(C16="Ready for Release in Prod","Blocked in Prod",IF(C16="RELEASED IN PROD","Released",IF(LEFT(D16,3)="Yes","Blocked - Build/QA",IF(C16="NOT STARTED","Not Started",C16))))</f>
        <v>Blocked - Build/QA</v>
      </c>
    </row>
    <row r="17" spans="1:5">
      <c r="A17" t="s">
        <v>170</v>
      </c>
      <c r="B17" t="s">
        <v>167</v>
      </c>
      <c r="C17" t="s">
        <v>128</v>
      </c>
      <c r="D17" t="s">
        <v>331</v>
      </c>
      <c r="E17" t="str">
        <f>IF(C17="Ready for Release in Prod","Blocked in Prod",IF(C17="RELEASED IN PROD","Released",IF(LEFT(D17,3)="Yes","Blocked - Build/QA",IF(C17="NOT STARTED","Not Started",C17))))</f>
        <v>Blocked in Prod</v>
      </c>
    </row>
    <row r="18" spans="1:5">
      <c r="A18" t="s">
        <v>173</v>
      </c>
      <c r="B18" t="s">
        <v>167</v>
      </c>
      <c r="C18" t="s">
        <v>128</v>
      </c>
      <c r="D18" t="s">
        <v>331</v>
      </c>
      <c r="E18" t="str">
        <f>IF(C18="Ready for Release in Prod","Blocked in Prod",IF(C18="RELEASED IN PROD","Released",IF(LEFT(D18,3)="Yes","Blocked - Build/QA",IF(C18="NOT STARTED","Not Started",C18))))</f>
        <v>Blocked in Prod</v>
      </c>
    </row>
    <row r="19" spans="1:5">
      <c r="A19" t="s">
        <v>175</v>
      </c>
      <c r="B19" t="s">
        <v>167</v>
      </c>
      <c r="C19" t="s">
        <v>128</v>
      </c>
      <c r="D19" t="s">
        <v>331</v>
      </c>
      <c r="E19" t="str">
        <f>IF(C19="Ready for Release in Prod","Blocked in Prod",IF(C19="RELEASED IN PROD","Released",IF(LEFT(D19,3)="Yes","Blocked - Build/QA",IF(C19="NOT STARTED","Not Started",C19))))</f>
        <v>Blocked in Prod</v>
      </c>
    </row>
    <row r="20" spans="1:5">
      <c r="A20" t="s">
        <v>177</v>
      </c>
      <c r="B20" t="s">
        <v>167</v>
      </c>
      <c r="C20" t="s">
        <v>128</v>
      </c>
      <c r="D20" t="s">
        <v>331</v>
      </c>
      <c r="E20" t="str">
        <f>IF(C20="Ready for Release in Prod","Blocked in Prod",IF(C20="RELEASED IN PROD","Released",IF(LEFT(D20,3)="Yes","Blocked - Build/QA",IF(C20="NOT STARTED","Not Started",C20))))</f>
        <v>Blocked in Prod</v>
      </c>
    </row>
    <row r="21" spans="1:5">
      <c r="A21" t="s">
        <v>179</v>
      </c>
      <c r="B21" t="s">
        <v>167</v>
      </c>
      <c r="C21" t="s">
        <v>128</v>
      </c>
      <c r="D21" t="s">
        <v>331</v>
      </c>
      <c r="E21" t="str">
        <f>IF(C21="Ready for Release in Prod","Blocked in Prod",IF(C21="RELEASED IN PROD","Released",IF(LEFT(D21,3)="Yes","Blocked - Build/QA",IF(C21="NOT STARTED","Not Started",C21))))</f>
        <v>Blocked in Prod</v>
      </c>
    </row>
    <row r="22" spans="1:5">
      <c r="A22" t="s">
        <v>181</v>
      </c>
      <c r="B22" t="s">
        <v>167</v>
      </c>
      <c r="C22" t="s">
        <v>182</v>
      </c>
      <c r="D22" t="s">
        <v>53</v>
      </c>
      <c r="E22" t="str">
        <f>IF(C22="Ready for Release in Prod","Blocked in Prod",IF(C22="RELEASED IN PROD","Released",IF(LEFT(D22,3)="Yes","Blocked - Build/QA",IF(C22="NOT STARTED","Not Started",C22))))</f>
        <v>DPO Approval</v>
      </c>
    </row>
    <row r="23" spans="1:5">
      <c r="A23" t="s">
        <v>183</v>
      </c>
      <c r="B23" t="s">
        <v>167</v>
      </c>
      <c r="C23" t="s">
        <v>128</v>
      </c>
      <c r="D23" t="s">
        <v>331</v>
      </c>
      <c r="E23" t="str">
        <f>IF(C23="Ready for Release in Prod","Blocked in Prod",IF(C23="RELEASED IN PROD","Released",IF(LEFT(D23,3)="Yes","Blocked - Build/QA",IF(C23="NOT STARTED","Not Started",C23))))</f>
        <v>Blocked in Prod</v>
      </c>
    </row>
    <row r="24" spans="1:5">
      <c r="A24" t="s">
        <v>184</v>
      </c>
      <c r="B24" t="s">
        <v>167</v>
      </c>
      <c r="C24" t="s">
        <v>128</v>
      </c>
      <c r="D24" t="s">
        <v>331</v>
      </c>
      <c r="E24" t="str">
        <f>IF(C24="Ready for Release in Prod","Blocked in Prod",IF(C24="RELEASED IN PROD","Released",IF(LEFT(D24,3)="Yes","Blocked - Build/QA",IF(C24="NOT STARTED","Not Started",C24))))</f>
        <v>Blocked in Prod</v>
      </c>
    </row>
    <row r="25" spans="1:5">
      <c r="A25" t="s">
        <v>186</v>
      </c>
      <c r="B25" t="s">
        <v>167</v>
      </c>
      <c r="C25" t="s">
        <v>182</v>
      </c>
      <c r="D25" t="s">
        <v>53</v>
      </c>
      <c r="E25" t="str">
        <f>IF(C25="Ready for Release in Prod","Blocked in Prod",IF(C25="RELEASED IN PROD","Released",IF(LEFT(D25,3)="Yes","Blocked - Build/QA",IF(C25="NOT STARTED","Not Started",C25))))</f>
        <v>DPO Approval</v>
      </c>
    </row>
    <row r="26" spans="1:5">
      <c r="A26" t="s">
        <v>189</v>
      </c>
      <c r="B26" t="s">
        <v>167</v>
      </c>
      <c r="C26" t="s">
        <v>128</v>
      </c>
      <c r="D26" t="s">
        <v>331</v>
      </c>
      <c r="E26" t="str">
        <f>IF(C26="Ready for Release in Prod","Blocked in Prod",IF(C26="RELEASED IN PROD","Released",IF(LEFT(D26,3)="Yes","Blocked - Build/QA",IF(C26="NOT STARTED","Not Started",C26))))</f>
        <v>Blocked in Prod</v>
      </c>
    </row>
    <row r="27" spans="1:5">
      <c r="A27" t="s">
        <v>190</v>
      </c>
      <c r="B27" t="s">
        <v>167</v>
      </c>
      <c r="C27" t="s">
        <v>128</v>
      </c>
      <c r="D27" t="s">
        <v>331</v>
      </c>
      <c r="E27" t="str">
        <f>IF(C27="Ready for Release in Prod","Blocked in Prod",IF(C27="RELEASED IN PROD","Released",IF(LEFT(D27,3)="Yes","Blocked - Build/QA",IF(C27="NOT STARTED","Not Started",C27))))</f>
        <v>Blocked in Prod</v>
      </c>
    </row>
    <row r="28" spans="1:5">
      <c r="A28" t="s">
        <v>192</v>
      </c>
      <c r="B28" t="s">
        <v>193</v>
      </c>
      <c r="C28" t="s">
        <v>182</v>
      </c>
      <c r="D28" t="s">
        <v>53</v>
      </c>
      <c r="E28" t="str">
        <f>IF(C28="Ready for Release in Prod","Blocked in Prod",IF(C28="RELEASED IN PROD","Released",IF(LEFT(D28,3)="Yes","Blocked - Build/QA",IF(C28="NOT STARTED","Not Started",C28))))</f>
        <v>DPO Approval</v>
      </c>
    </row>
    <row r="29" spans="1:5">
      <c r="A29" t="s">
        <v>198</v>
      </c>
      <c r="B29" t="s">
        <v>193</v>
      </c>
      <c r="C29" t="s">
        <v>182</v>
      </c>
      <c r="D29" t="s">
        <v>53</v>
      </c>
      <c r="E29" t="str">
        <f>IF(C29="Ready for Release in Prod","Blocked in Prod",IF(C29="RELEASED IN PROD","Released",IF(LEFT(D29,3)="Yes","Blocked - Build/QA",IF(C29="NOT STARTED","Not Started",C29))))</f>
        <v>DPO Approval</v>
      </c>
    </row>
    <row r="30" spans="1:5">
      <c r="A30" t="s">
        <v>202</v>
      </c>
      <c r="B30" t="s">
        <v>193</v>
      </c>
      <c r="C30" t="s">
        <v>128</v>
      </c>
      <c r="D30" t="s">
        <v>331</v>
      </c>
      <c r="E30" t="str">
        <f>IF(C30="Ready for Release in Prod","Blocked in Prod",IF(C30="RELEASED IN PROD","Released",IF(LEFT(D30,3)="Yes","Blocked - Build/QA",IF(C30="NOT STARTED","Not Started",C30))))</f>
        <v>Blocked in Prod</v>
      </c>
    </row>
    <row r="31" spans="1:5">
      <c r="A31" t="s">
        <v>203</v>
      </c>
      <c r="B31" t="s">
        <v>193</v>
      </c>
      <c r="C31" t="s">
        <v>204</v>
      </c>
      <c r="D31" t="s">
        <v>205</v>
      </c>
      <c r="E31" t="str">
        <f>IF(C31="Ready for Release in Prod","Blocked in Prod",IF(C31="RELEASED IN PROD","Released",IF(LEFT(D31,3)="Yes","Blocked - Build/QA",IF(C31="NOT STARTED","Not Started",C31))))</f>
        <v>Blocked - Build/QA</v>
      </c>
    </row>
    <row r="32" spans="1:5">
      <c r="A32" t="s">
        <v>207</v>
      </c>
      <c r="B32" t="s">
        <v>193</v>
      </c>
      <c r="C32" t="s">
        <v>182</v>
      </c>
      <c r="D32" t="s">
        <v>53</v>
      </c>
      <c r="E32" t="str">
        <f>IF(C32="Ready for Release in Prod","Blocked in Prod",IF(C32="RELEASED IN PROD","Released",IF(LEFT(D32,3)="Yes","Blocked - Build/QA",IF(C32="NOT STARTED","Not Started",C32))))</f>
        <v>DPO Approval</v>
      </c>
    </row>
    <row r="33" spans="1:5">
      <c r="A33" t="s">
        <v>209</v>
      </c>
      <c r="B33" t="s">
        <v>193</v>
      </c>
      <c r="C33" t="s">
        <v>128</v>
      </c>
      <c r="D33" t="s">
        <v>331</v>
      </c>
      <c r="E33" t="str">
        <f>IF(C33="Ready for Release in Prod","Blocked in Prod",IF(C33="RELEASED IN PROD","Released",IF(LEFT(D33,3)="Yes","Blocked - Build/QA",IF(C33="NOT STARTED","Not Started",C33))))</f>
        <v>Blocked in Prod</v>
      </c>
    </row>
    <row r="34" spans="1:5">
      <c r="A34" t="s">
        <v>211</v>
      </c>
      <c r="B34" t="s">
        <v>193</v>
      </c>
      <c r="C34" t="s">
        <v>182</v>
      </c>
      <c r="D34" t="s">
        <v>157</v>
      </c>
      <c r="E34" t="str">
        <f>IF(C34="Ready for Release in Prod","Blocked in Prod",IF(C34="RELEASED IN PROD","Released",IF(LEFT(D34,3)="Yes","Blocked - Build/QA",IF(C34="NOT STARTED","Not Started",C34))))</f>
        <v>Blocked - Build/QA</v>
      </c>
    </row>
    <row r="35" spans="1:5">
      <c r="A35" t="s">
        <v>214</v>
      </c>
      <c r="B35" t="s">
        <v>193</v>
      </c>
      <c r="C35" t="s">
        <v>182</v>
      </c>
      <c r="D35" t="s">
        <v>53</v>
      </c>
      <c r="E35" t="str">
        <f>IF(C35="Ready for Release in Prod","Blocked in Prod",IF(C35="RELEASED IN PROD","Released",IF(LEFT(D35,3)="Yes","Blocked - Build/QA",IF(C35="NOT STARTED","Not Started",C35))))</f>
        <v>DPO Approval</v>
      </c>
    </row>
    <row r="36" spans="1:5">
      <c r="A36" t="s">
        <v>216</v>
      </c>
      <c r="B36" t="s">
        <v>193</v>
      </c>
      <c r="C36" t="s">
        <v>217</v>
      </c>
      <c r="D36" t="s">
        <v>53</v>
      </c>
      <c r="E36" t="str">
        <f>IF(C36="Ready for Release in Prod","Blocked in Prod",IF(C36="RELEASED IN PROD","Released",IF(LEFT(D36,3)="Yes","Blocked - Build/QA",IF(C36="NOT STARTED","Not Started",C36))))</f>
        <v>QA</v>
      </c>
    </row>
    <row r="37" spans="1:5">
      <c r="A37" t="s">
        <v>219</v>
      </c>
      <c r="B37" t="s">
        <v>193</v>
      </c>
      <c r="C37" t="s">
        <v>217</v>
      </c>
      <c r="D37" t="s">
        <v>53</v>
      </c>
      <c r="E37" t="str">
        <f>IF(C37="Ready for Release in Prod","Blocked in Prod",IF(C37="RELEASED IN PROD","Released",IF(LEFT(D37,3)="Yes","Blocked - Build/QA",IF(C37="NOT STARTED","Not Started",C37))))</f>
        <v>QA</v>
      </c>
    </row>
    <row r="38" spans="1:5">
      <c r="A38" t="s">
        <v>221</v>
      </c>
      <c r="B38" t="s">
        <v>193</v>
      </c>
      <c r="C38" t="s">
        <v>182</v>
      </c>
      <c r="D38" t="s">
        <v>53</v>
      </c>
      <c r="E38" t="str">
        <f>IF(C38="Ready for Release in Prod","Blocked in Prod",IF(C38="RELEASED IN PROD","Released",IF(LEFT(D38,3)="Yes","Blocked - Build/QA",IF(C38="NOT STARTED","Not Started",C38))))</f>
        <v>DPO Approval</v>
      </c>
    </row>
    <row r="39" spans="1:5">
      <c r="A39" t="s">
        <v>222</v>
      </c>
      <c r="B39" t="s">
        <v>193</v>
      </c>
      <c r="C39" t="s">
        <v>204</v>
      </c>
      <c r="D39" t="s">
        <v>53</v>
      </c>
      <c r="E39" t="str">
        <f>IF(C39="Ready for Release in Prod","Blocked in Prod",IF(C39="RELEASED IN PROD","Released",IF(LEFT(D39,3)="Yes","Blocked - Build/QA",IF(C39="NOT STARTED","Not Started",C39))))</f>
        <v>PBI Dev</v>
      </c>
    </row>
    <row r="40" spans="1:5">
      <c r="A40" t="s">
        <v>223</v>
      </c>
      <c r="B40" t="s">
        <v>193</v>
      </c>
      <c r="C40" t="s">
        <v>156</v>
      </c>
      <c r="D40" t="s">
        <v>53</v>
      </c>
      <c r="E40" t="str">
        <f>IF(C40="Ready for Release in Prod","Blocked in Prod",IF(C40="RELEASED IN PROD","Released",IF(LEFT(D40,3)="Yes","Blocked - Build/QA",IF(C40="NOT STARTED","Not Started",C40))))</f>
        <v>DB Dev</v>
      </c>
    </row>
    <row r="41" spans="1:5">
      <c r="A41" t="s">
        <v>225</v>
      </c>
      <c r="B41" t="s">
        <v>193</v>
      </c>
      <c r="C41" t="s">
        <v>204</v>
      </c>
      <c r="D41" t="s">
        <v>53</v>
      </c>
      <c r="E41" t="str">
        <f>IF(C41="Ready for Release in Prod","Blocked in Prod",IF(C41="RELEASED IN PROD","Released",IF(LEFT(D41,3)="Yes","Blocked - Build/QA",IF(C41="NOT STARTED","Not Started",C41))))</f>
        <v>PBI Dev</v>
      </c>
    </row>
    <row r="42" spans="1:5">
      <c r="A42" t="s">
        <v>230</v>
      </c>
      <c r="B42" t="s">
        <v>193</v>
      </c>
      <c r="C42" t="s">
        <v>231</v>
      </c>
      <c r="D42" t="s">
        <v>53</v>
      </c>
      <c r="E42" t="str">
        <f>IF(C42="Ready for Release in Prod","Blocked in Prod",IF(C42="RELEASED IN PROD","Released",IF(LEFT(D42,3)="Yes","Blocked - Build/QA",IF(C42="NOT STARTED","Not Started",C42))))</f>
        <v>Not Started</v>
      </c>
    </row>
    <row r="43" spans="1:5">
      <c r="A43" t="s">
        <v>234</v>
      </c>
      <c r="B43" t="s">
        <v>193</v>
      </c>
      <c r="C43" t="s">
        <v>204</v>
      </c>
      <c r="D43" t="s">
        <v>205</v>
      </c>
      <c r="E43" t="str">
        <f>IF(C43="Ready for Release in Prod","Blocked in Prod",IF(C43="RELEASED IN PROD","Released",IF(LEFT(D43,3)="Yes","Blocked - Build/QA",IF(C43="NOT STARTED","Not Started",C43))))</f>
        <v>Blocked - Build/QA</v>
      </c>
    </row>
    <row r="44" spans="1:5">
      <c r="A44" t="s">
        <v>235</v>
      </c>
      <c r="B44" t="s">
        <v>193</v>
      </c>
      <c r="C44" t="s">
        <v>182</v>
      </c>
      <c r="D44" t="s">
        <v>53</v>
      </c>
      <c r="E44" t="str">
        <f>IF(C44="Ready for Release in Prod","Blocked in Prod",IF(C44="RELEASED IN PROD","Released",IF(LEFT(D44,3)="Yes","Blocked - Build/QA",IF(C44="NOT STARTED","Not Started",C44))))</f>
        <v>DPO Approval</v>
      </c>
    </row>
    <row r="45" spans="1:5">
      <c r="A45" t="s">
        <v>238</v>
      </c>
      <c r="B45" t="s">
        <v>193</v>
      </c>
      <c r="C45" t="s">
        <v>204</v>
      </c>
      <c r="D45" t="s">
        <v>53</v>
      </c>
      <c r="E45" t="str">
        <f>IF(C45="Ready for Release in Prod","Blocked in Prod",IF(C45="RELEASED IN PROD","Released",IF(LEFT(D45,3)="Yes","Blocked - Build/QA",IF(C45="NOT STARTED","Not Started",C45))))</f>
        <v>PBI Dev</v>
      </c>
    </row>
    <row r="46" spans="1:5">
      <c r="A46" t="s">
        <v>239</v>
      </c>
      <c r="B46" t="s">
        <v>240</v>
      </c>
      <c r="C46" t="s">
        <v>217</v>
      </c>
      <c r="E46" t="str">
        <f>IF(C46="Ready for Release in Prod","Blocked in Prod",IF(C46="RELEASED IN PROD","Released",IF(LEFT(D46,3)="Yes","Blocked - Build/QA",IF(C46="NOT STARTED","Not Started",C46))))</f>
        <v>QA</v>
      </c>
    </row>
    <row r="47" spans="1:5">
      <c r="A47" t="s">
        <v>243</v>
      </c>
      <c r="B47" t="s">
        <v>240</v>
      </c>
      <c r="C47" t="s">
        <v>204</v>
      </c>
      <c r="E47" t="str">
        <f>IF(C47="Ready for Release in Prod","Blocked in Prod",IF(C47="RELEASED IN PROD","Released",IF(LEFT(D47,3)="Yes","Blocked - Build/QA",IF(C47="NOT STARTED","Not Started",C47))))</f>
        <v>PBI Dev</v>
      </c>
    </row>
    <row r="48" spans="1:5">
      <c r="A48" t="s">
        <v>244</v>
      </c>
      <c r="B48" t="s">
        <v>240</v>
      </c>
      <c r="C48" t="s">
        <v>231</v>
      </c>
      <c r="E48" t="str">
        <f>IF(C48="Ready for Release in Prod","Blocked in Prod",IF(C48="RELEASED IN PROD","Released",IF(LEFT(D48,3)="Yes","Blocked - Build/QA",IF(C48="NOT STARTED","Not Started",C48))))</f>
        <v>Not Started</v>
      </c>
    </row>
    <row r="49" spans="1:5">
      <c r="A49" t="s">
        <v>246</v>
      </c>
      <c r="B49" t="s">
        <v>240</v>
      </c>
      <c r="C49" t="s">
        <v>231</v>
      </c>
      <c r="E49" t="str">
        <f>IF(C49="Ready for Release in Prod","Blocked in Prod",IF(C49="RELEASED IN PROD","Released",IF(LEFT(D49,3)="Yes","Blocked - Build/QA",IF(C49="NOT STARTED","Not Started",C49))))</f>
        <v>Not Started</v>
      </c>
    </row>
    <row r="50" spans="1:5">
      <c r="A50" t="s">
        <v>247</v>
      </c>
      <c r="B50" t="s">
        <v>240</v>
      </c>
      <c r="C50" t="s">
        <v>231</v>
      </c>
      <c r="E50" t="str">
        <f>IF(C50="Ready for Release in Prod","Blocked in Prod",IF(C50="RELEASED IN PROD","Released",IF(LEFT(D50,3)="Yes","Blocked - Build/QA",IF(C50="NOT STARTED","Not Started",C50))))</f>
        <v>Not Started</v>
      </c>
    </row>
    <row r="51" spans="1:5">
      <c r="A51" t="s">
        <v>248</v>
      </c>
      <c r="B51" t="s">
        <v>240</v>
      </c>
      <c r="C51" t="s">
        <v>204</v>
      </c>
      <c r="D51" t="s">
        <v>157</v>
      </c>
      <c r="E51" t="str">
        <f>IF(C51="Ready for Release in Prod","Blocked in Prod",IF(C51="RELEASED IN PROD","Released",IF(LEFT(D51,3)="Yes","Blocked - Build/QA",IF(C51="NOT STARTED","Not Started",C51))))</f>
        <v>Blocked - Build/QA</v>
      </c>
    </row>
    <row r="52" spans="1:5">
      <c r="A52" t="s">
        <v>251</v>
      </c>
      <c r="B52" t="s">
        <v>240</v>
      </c>
      <c r="C52" t="s">
        <v>204</v>
      </c>
      <c r="E52" t="str">
        <f>IF(C52="Ready for Release in Prod","Blocked in Prod",IF(C52="RELEASED IN PROD","Released",IF(LEFT(D52,3)="Yes","Blocked - Build/QA",IF(C52="NOT STARTED","Not Started",C52))))</f>
        <v>PBI Dev</v>
      </c>
    </row>
    <row r="53" spans="1:5">
      <c r="A53" t="s">
        <v>255</v>
      </c>
      <c r="B53" t="s">
        <v>240</v>
      </c>
      <c r="C53" t="s">
        <v>231</v>
      </c>
      <c r="E53" t="str">
        <f>IF(C53="Ready for Release in Prod","Blocked in Prod",IF(C53="RELEASED IN PROD","Released",IF(LEFT(D53,3)="Yes","Blocked - Build/QA",IF(C53="NOT STARTED","Not Started",C53))))</f>
        <v>Not Started</v>
      </c>
    </row>
    <row r="54" spans="1:5">
      <c r="A54" t="s">
        <v>256</v>
      </c>
      <c r="B54" t="s">
        <v>240</v>
      </c>
      <c r="C54" t="s">
        <v>231</v>
      </c>
      <c r="E54" t="str">
        <f>IF(C54="Ready for Release in Prod","Blocked in Prod",IF(C54="RELEASED IN PROD","Released",IF(LEFT(D54,3)="Yes","Blocked - Build/QA",IF(C54="NOT STARTED","Not Started",C54))))</f>
        <v>Not Started</v>
      </c>
    </row>
    <row r="55" spans="1:5">
      <c r="A55" t="s">
        <v>257</v>
      </c>
      <c r="B55" t="s">
        <v>240</v>
      </c>
      <c r="C55" t="s">
        <v>156</v>
      </c>
      <c r="E55" t="str">
        <f>IF(C55="Ready for Release in Prod","Blocked in Prod",IF(C55="RELEASED IN PROD","Released",IF(LEFT(D55,3)="Yes","Blocked - Build/QA",IF(C55="NOT STARTED","Not Started",C55))))</f>
        <v>DB Dev</v>
      </c>
    </row>
    <row r="56" spans="1:5">
      <c r="A56" t="s">
        <v>260</v>
      </c>
      <c r="B56" t="s">
        <v>240</v>
      </c>
      <c r="C56" t="s">
        <v>204</v>
      </c>
      <c r="E56" t="str">
        <f>IF(C56="Ready for Release in Prod","Blocked in Prod",IF(C56="RELEASED IN PROD","Released",IF(LEFT(D56,3)="Yes","Blocked - Build/QA",IF(C56="NOT STARTED","Not Started",C56))))</f>
        <v>PBI Dev</v>
      </c>
    </row>
    <row r="57" spans="1:5">
      <c r="A57" t="s">
        <v>262</v>
      </c>
      <c r="B57" t="s">
        <v>240</v>
      </c>
      <c r="C57" t="s">
        <v>204</v>
      </c>
      <c r="E57" t="str">
        <f>IF(C57="Ready for Release in Prod","Blocked in Prod",IF(C57="RELEASED IN PROD","Released",IF(LEFT(D57,3)="Yes","Blocked - Build/QA",IF(C57="NOT STARTED","Not Started",C57))))</f>
        <v>PBI Dev</v>
      </c>
    </row>
    <row r="58" spans="1:5">
      <c r="A58" t="s">
        <v>263</v>
      </c>
      <c r="B58" t="s">
        <v>240</v>
      </c>
      <c r="C58" t="s">
        <v>231</v>
      </c>
      <c r="E58" t="str">
        <f>IF(C58="Ready for Release in Prod","Blocked in Prod",IF(C58="RELEASED IN PROD","Released",IF(LEFT(D58,3)="Yes","Blocked - Build/QA",IF(C58="NOT STARTED","Not Started",C58))))</f>
        <v>Not Started</v>
      </c>
    </row>
    <row r="59" spans="1:5">
      <c r="A59" t="s">
        <v>265</v>
      </c>
      <c r="B59" t="s">
        <v>266</v>
      </c>
      <c r="C59" t="s">
        <v>231</v>
      </c>
      <c r="E59" t="str">
        <f>IF(C59="Ready for Release in Prod","Blocked in Prod",IF(C59="RELEASED IN PROD","Released",IF(LEFT(D59,3)="Yes","Blocked - Build/QA",IF(C59="NOT STARTED","Not Started",C59))))</f>
        <v>Not Started</v>
      </c>
    </row>
    <row r="60" spans="1:5">
      <c r="A60" t="s">
        <v>269</v>
      </c>
      <c r="B60" t="s">
        <v>266</v>
      </c>
      <c r="C60" t="s">
        <v>231</v>
      </c>
      <c r="E60" t="str">
        <f>IF(C60="Ready for Release in Prod","Blocked in Prod",IF(C60="RELEASED IN PROD","Released",IF(LEFT(D60,3)="Yes","Blocked - Build/QA",IF(C60="NOT STARTED","Not Started",C60))))</f>
        <v>Not Started</v>
      </c>
    </row>
    <row r="61" spans="1:5">
      <c r="A61" t="s">
        <v>270</v>
      </c>
      <c r="B61" t="s">
        <v>266</v>
      </c>
      <c r="C61" t="s">
        <v>231</v>
      </c>
      <c r="E61" t="str">
        <f>IF(C61="Ready for Release in Prod","Blocked in Prod",IF(C61="RELEASED IN PROD","Released",IF(LEFT(D61,3)="Yes","Blocked - Build/QA",IF(C61="NOT STARTED","Not Started",C61))))</f>
        <v>Not Started</v>
      </c>
    </row>
    <row r="62" spans="1:5">
      <c r="A62" t="s">
        <v>272</v>
      </c>
      <c r="B62" t="s">
        <v>266</v>
      </c>
      <c r="C62" t="s">
        <v>231</v>
      </c>
      <c r="E62" t="str">
        <f>IF(C62="Ready for Release in Prod","Blocked in Prod",IF(C62="RELEASED IN PROD","Released",IF(LEFT(D62,3)="Yes","Blocked - Build/QA",IF(C62="NOT STARTED","Not Started",C62))))</f>
        <v>Not Started</v>
      </c>
    </row>
    <row r="63" spans="1:5">
      <c r="A63" t="s">
        <v>273</v>
      </c>
      <c r="B63" t="s">
        <v>266</v>
      </c>
      <c r="C63" t="s">
        <v>231</v>
      </c>
      <c r="E63" t="str">
        <f>IF(C63="Ready for Release in Prod","Blocked in Prod",IF(C63="RELEASED IN PROD","Released",IF(LEFT(D63,3)="Yes","Blocked - Build/QA",IF(C63="NOT STARTED","Not Started",C63))))</f>
        <v>Not Started</v>
      </c>
    </row>
    <row r="64" spans="1:5">
      <c r="A64" t="s">
        <v>275</v>
      </c>
      <c r="B64" t="s">
        <v>266</v>
      </c>
      <c r="C64" t="s">
        <v>231</v>
      </c>
      <c r="E64" t="str">
        <f>IF(C64="Ready for Release in Prod","Blocked in Prod",IF(C64="RELEASED IN PROD","Released",IF(LEFT(D64,3)="Yes","Blocked - Build/QA",IF(C64="NOT STARTED","Not Started",C64))))</f>
        <v>Not Started</v>
      </c>
    </row>
    <row r="65" spans="1:5">
      <c r="A65" t="s">
        <v>278</v>
      </c>
      <c r="B65" t="s">
        <v>266</v>
      </c>
      <c r="C65" t="s">
        <v>231</v>
      </c>
      <c r="E65" t="str">
        <f>IF(C65="Ready for Release in Prod","Blocked in Prod",IF(C65="RELEASED IN PROD","Released",IF(LEFT(D65,3)="Yes","Blocked - Build/QA",IF(C65="NOT STARTED","Not Started",C65))))</f>
        <v>Not Started</v>
      </c>
    </row>
    <row r="66" spans="1:5">
      <c r="A66" t="s">
        <v>280</v>
      </c>
      <c r="B66" t="s">
        <v>266</v>
      </c>
      <c r="C66" t="s">
        <v>231</v>
      </c>
      <c r="E66" t="str">
        <f>IF(C66="Ready for Release in Prod","Blocked in Prod",IF(C66="RELEASED IN PROD","Released",IF(LEFT(D66,3)="Yes","Blocked - Build/QA",IF(C66="NOT STARTED","Not Started",C66))))</f>
        <v>Not Started</v>
      </c>
    </row>
    <row r="67" spans="1:5">
      <c r="A67" t="s">
        <v>282</v>
      </c>
      <c r="B67" t="s">
        <v>266</v>
      </c>
      <c r="C67" t="s">
        <v>231</v>
      </c>
      <c r="E67" t="str">
        <f>IF(C67="Ready for Release in Prod","Blocked in Prod",IF(C67="RELEASED IN PROD","Released",IF(LEFT(D67,3)="Yes","Blocked - Build/QA",IF(C67="NOT STARTED","Not Started",C67))))</f>
        <v>Not Started</v>
      </c>
    </row>
    <row r="68" spans="1:5">
      <c r="A68" t="s">
        <v>283</v>
      </c>
      <c r="B68" t="s">
        <v>266</v>
      </c>
      <c r="C68" t="s">
        <v>231</v>
      </c>
      <c r="E68" t="str">
        <f>IF(C68="Ready for Release in Prod","Blocked in Prod",IF(C68="RELEASED IN PROD","Released",IF(LEFT(D68,3)="Yes","Blocked - Build/QA",IF(C68="NOT STARTED","Not Started",C68))))</f>
        <v>Not Started</v>
      </c>
    </row>
    <row r="69" spans="1:5">
      <c r="A69" t="s">
        <v>286</v>
      </c>
      <c r="B69" t="s">
        <v>266</v>
      </c>
      <c r="C69" t="s">
        <v>231</v>
      </c>
      <c r="E69" t="str">
        <f>IF(C69="Ready for Release in Prod","Blocked in Prod",IF(C69="RELEASED IN PROD","Released",IF(LEFT(D69,3)="Yes","Blocked - Build/QA",IF(C69="NOT STARTED","Not Started",C69))))</f>
        <v>Not Started</v>
      </c>
    </row>
    <row r="70" spans="1:5">
      <c r="A70" t="s">
        <v>288</v>
      </c>
      <c r="B70" t="s">
        <v>266</v>
      </c>
      <c r="C70" t="s">
        <v>231</v>
      </c>
      <c r="E70" t="str">
        <f>IF(C70="Ready for Release in Prod","Blocked in Prod",IF(C70="RELEASED IN PROD","Released",IF(LEFT(D70,3)="Yes","Blocked - Build/QA",IF(C70="NOT STARTED","Not Started",C70))))</f>
        <v>Not Started</v>
      </c>
    </row>
    <row r="71" spans="1:5">
      <c r="A71" t="s">
        <v>291</v>
      </c>
      <c r="B71" t="s">
        <v>266</v>
      </c>
      <c r="C71" t="s">
        <v>231</v>
      </c>
      <c r="E71" t="str">
        <f>IF(C71="Ready for Release in Prod","Blocked in Prod",IF(C71="RELEASED IN PROD","Released",IF(LEFT(D71,3)="Yes","Blocked - Build/QA",IF(C71="NOT STARTED","Not Started",C71))))</f>
        <v>Not Started</v>
      </c>
    </row>
    <row r="72" spans="1:5">
      <c r="A72" t="s">
        <v>292</v>
      </c>
      <c r="B72" t="s">
        <v>266</v>
      </c>
      <c r="C72" t="s">
        <v>231</v>
      </c>
      <c r="E72" t="str">
        <f>IF(C72="Ready for Release in Prod","Blocked in Prod",IF(C72="RELEASED IN PROD","Released",IF(LEFT(D72,3)="Yes","Blocked - Build/QA",IF(C72="NOT STARTED","Not Started",C72))))</f>
        <v>Not Started</v>
      </c>
    </row>
    <row r="73" spans="1:5">
      <c r="A73" t="s">
        <v>295</v>
      </c>
      <c r="B73" t="s">
        <v>266</v>
      </c>
      <c r="C73" t="s">
        <v>231</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516</v>
      </c>
      <c r="B1" t="s">
        <v>517</v>
      </c>
      <c r="C1" t="s">
        <v>518</v>
      </c>
    </row>
    <row r="2" spans="1:3">
      <c r="A2" t="s">
        <v>502</v>
      </c>
      <c r="B2" t="s">
        <v>502</v>
      </c>
      <c r="C2" t="s">
        <v>502</v>
      </c>
    </row>
    <row r="3" spans="1:3">
      <c r="A3" t="str" cm="1">
        <f t="array" ref="A3:A7">_xlfn.LET(_xlpm.u,_xlfn.UNIQUE(_xlfn._xlws.FILTER(cmsMonth,(cmsDom="CMS")*(cmsMonth&lt;&gt;""))),_xlfn.SORTBY(_xlpm.u,MONTH(DATEVALUE("1 "&amp;_xlpm.u&amp;" 2026"))))</f>
        <v>July</v>
      </c>
      <c r="B3" t="s">
        <v>489</v>
      </c>
      <c r="C3" t="str" cm="1">
        <f t="array" ref="C3:C18">_xlfn.LET(_xlpm.v,_xlfn.VSTACK(cmsDBDev,cmsPBIDev,cmsQA),_xlpm.d,_xlfn.VSTACK(cmsDom,cmsDom,cmsDom),_xlfn._xlws.SORT(_xlfn.UNIQUE(_xlfn._xlws.FILTER(_xlpm.v,(_xlpm.d="CMS")*(_xlpm.v&lt;&gt;"")))))</f>
        <v>Bardia</v>
      </c>
    </row>
    <row r="4" spans="1:3">
      <c r="A4" t="str">
        <v>August</v>
      </c>
      <c r="B4" t="s">
        <v>490</v>
      </c>
      <c r="C4" t="str">
        <v>Fetwi</v>
      </c>
    </row>
    <row r="5" spans="1:3">
      <c r="A5" t="str">
        <v>September</v>
      </c>
      <c r="B5" t="s">
        <v>182</v>
      </c>
      <c r="C5" t="str">
        <v>Geetha</v>
      </c>
    </row>
    <row r="6" spans="1:3">
      <c r="A6" t="str">
        <v>October</v>
      </c>
      <c r="B6" t="s">
        <v>217</v>
      </c>
      <c r="C6" t="str">
        <v>Greeta</v>
      </c>
    </row>
    <row r="7" spans="1:3">
      <c r="A7" t="str">
        <v>November</v>
      </c>
      <c r="B7" t="s">
        <v>204</v>
      </c>
      <c r="C7" t="str">
        <v>Kushal</v>
      </c>
    </row>
    <row r="8" spans="1:3">
      <c r="B8" t="s">
        <v>156</v>
      </c>
      <c r="C8" t="str">
        <v>Michael</v>
      </c>
    </row>
    <row r="9" spans="1:3">
      <c r="B9" t="s">
        <v>484</v>
      </c>
      <c r="C9" t="str">
        <v>Navya</v>
      </c>
    </row>
    <row r="10" spans="1:3">
      <c r="B10" t="s">
        <v>491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2026-10-02T15:39:00Z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