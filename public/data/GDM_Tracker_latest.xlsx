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95" documentId="13_ncr:1_{52745E9B-3AA1-4770-AAD3-E6166BFC13AE}" xr6:coauthVersionLast="47" xr6:coauthVersionMax="47" xr10:uidLastSave="{1DF55F6E-364F-48A0-A2A4-8046BAEBBEB4}"/>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<sst xmlns="http://schemas.openxmlformats.org/spreadsheetml/2006/main" count="3085" uniqueCount="433">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</sst>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J1" activePane="topRight" state="frozen"/>
      <selection pane="topRight" activeCell="B68" sqref="B6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36"/>
      <c r="X55" s="36"/>
      <c r="Y55" s="36"/>
      <c r="Z55" s="36"/>
      <c r="AA55" s="52">
        <v>46290</v>
      </c>
      <c r="AB55" s="36"/>
      <c r="AC55" s="36"/>
      <c r="AD55" s="33" t="s">
        <v>199</v>
      </c>
      <c r="AE55" s="33" t="s">
        <v>49</v>
      </c>
      <c r="AF55" s="38"/>
      <c r="AG55" s="36"/>
      <c r="AH55" s="39"/>
      <c r="AI55" s="33"/>
      <c r="AJ55" s="40" t="s">
        <v>200</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205</v>
      </c>
      <c r="C58" s="33" t="s">
        <v>206</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207</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206</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212</v>
      </c>
      <c r="C62" s="33" t="s">
        <v>206</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213</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214</v>
      </c>
      <c r="C63" s="33" t="s">
        <v>215</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217</v>
      </c>
      <c r="C64" s="119" t="s">
        <v>206</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220</v>
      </c>
      <c r="C66" s="158" t="s">
        <v>215</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215</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223</v>
      </c>
      <c r="C68" s="81" t="s">
        <v>206</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224</v>
      </c>
      <c r="K68" s="86">
        <v>46276</v>
      </c>
      <c r="L68" s="87">
        <v>46258</v>
      </c>
      <c r="M68" s="87">
        <v>46258</v>
      </c>
      <c r="N68" s="87"/>
      <c r="O68" s="87" t="s">
        <v>197</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228</v>
      </c>
      <c r="C69" s="98" t="s">
        <v>215</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231</v>
      </c>
      <c r="C70" s="33" t="s">
        <v>215</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232</v>
      </c>
      <c r="C71" s="33" t="s">
        <v>215</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236</v>
      </c>
      <c r="C72" s="33" t="s">
        <v>206</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237</v>
      </c>
      <c r="C73" s="31" t="s">
        <v>206</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197</v>
      </c>
      <c r="P73" s="66"/>
      <c r="Q73" s="43">
        <v>46313</v>
      </c>
      <c r="R73" s="43"/>
      <c r="S73" s="44"/>
      <c r="T73" s="70" t="s">
        <v>239</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240</v>
      </c>
      <c r="C74" s="31" t="s">
        <v>215</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197</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241</v>
      </c>
      <c r="C75" s="136" t="s">
        <v>215</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197</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243</v>
      </c>
      <c r="C76" s="136" t="s">
        <v>215</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197</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244</v>
      </c>
      <c r="C77" s="136" t="s">
        <v>215</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197</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245</v>
      </c>
      <c r="C78" s="147" t="s">
        <v>215</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247</v>
      </c>
      <c r="C79" s="31" t="s">
        <v>206</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197</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250</v>
      </c>
      <c r="C80" s="31" t="s">
        <v>215</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251</v>
      </c>
      <c r="C81" s="147" t="s">
        <v>215</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253</v>
      </c>
      <c r="C82" s="31" t="s">
        <v>215</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255</v>
      </c>
      <c r="C83" s="31" t="s">
        <v>215</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257</v>
      </c>
      <c r="C84" s="31" t="s">
        <v>215</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258</v>
      </c>
      <c r="C85" s="31" t="s">
        <v>215</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260</v>
      </c>
      <c r="C86" s="31" t="s">
        <v>215</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263</v>
      </c>
      <c r="C87" s="31" t="s">
        <v>215</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264</v>
      </c>
      <c r="C88" s="31" t="s">
        <v>215</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266</v>
      </c>
      <c r="C89" s="31" t="s">
        <v>215</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267</v>
      </c>
      <c r="C90" s="31" t="s">
        <v>215</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269</v>
      </c>
      <c r="C91" s="31" t="s">
        <v>215</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272</v>
      </c>
      <c r="C92" s="31" t="s">
        <v>215</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v>46332</v>
      </c>
      <c r="M92" s="44">
        <v>46275</v>
      </c>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t="s">
        <v>273</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274</v>
      </c>
      <c r="C93" s="31" t="s">
        <v>215</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275</v>
      </c>
      <c r="P93" s="75"/>
      <c r="Q93" s="50">
        <v>46339</v>
      </c>
      <c r="R93" s="43"/>
      <c r="S93" s="44"/>
      <c r="T93" s="69" t="s">
        <v>265</v>
      </c>
      <c r="U93" s="47"/>
      <c r="V93" s="28">
        <v>46344</v>
      </c>
      <c r="W93" s="43"/>
      <c r="X93" s="31"/>
      <c r="Y93" s="31"/>
      <c r="Z93" s="36"/>
      <c r="AA93" s="28">
        <v>46356</v>
      </c>
      <c r="AB93" s="43"/>
      <c r="AC93" s="43"/>
      <c r="AD93" s="31" t="s">
        <v>276</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277</v>
      </c>
      <c r="C94" s="31" t="s">
        <v>215</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275</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278</v>
      </c>
      <c r="C95" s="31" t="s">
        <v>215</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275</v>
      </c>
      <c r="P95" s="75"/>
      <c r="Q95" s="50">
        <v>46339</v>
      </c>
      <c r="R95" s="43"/>
      <c r="S95" s="44"/>
      <c r="T95" s="69" t="s">
        <v>279</v>
      </c>
      <c r="U95" s="47"/>
      <c r="V95" s="28">
        <v>46344</v>
      </c>
      <c r="W95" s="43"/>
      <c r="X95" s="31"/>
      <c r="Y95" s="31"/>
      <c r="Z95" s="36"/>
      <c r="AA95" s="28">
        <v>46356</v>
      </c>
      <c r="AB95" s="43"/>
      <c r="AC95" s="43"/>
      <c r="AD95" s="31" t="s">
        <v>280</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281</v>
      </c>
      <c r="C96" s="31" t="s">
        <v>215</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275</v>
      </c>
      <c r="P96" s="75"/>
      <c r="Q96" s="50">
        <v>46339</v>
      </c>
      <c r="R96" s="43"/>
      <c r="S96" s="44"/>
      <c r="T96" s="69" t="s">
        <v>279</v>
      </c>
      <c r="U96" s="47"/>
      <c r="V96" s="28">
        <v>46344</v>
      </c>
      <c r="W96" s="43"/>
      <c r="X96" s="31"/>
      <c r="Y96" s="31"/>
      <c r="Z96" s="36"/>
      <c r="AA96" s="28">
        <v>46356</v>
      </c>
      <c r="AB96" s="43"/>
      <c r="AC96" s="43"/>
      <c r="AD96" s="31" t="s">
        <v>282</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283</v>
      </c>
      <c r="C97" s="31" t="s">
        <v>215</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275</v>
      </c>
      <c r="P97" s="75"/>
      <c r="Q97" s="50">
        <v>46339</v>
      </c>
      <c r="R97" s="43"/>
      <c r="S97" s="44"/>
      <c r="T97" s="69" t="s">
        <v>279</v>
      </c>
      <c r="U97" s="47"/>
      <c r="V97" s="28">
        <v>46344</v>
      </c>
      <c r="W97" s="43"/>
      <c r="X97" s="31"/>
      <c r="Y97" s="31"/>
      <c r="Z97" s="36"/>
      <c r="AA97" s="28">
        <v>46356</v>
      </c>
      <c r="AB97" s="43"/>
      <c r="AC97" s="43"/>
      <c r="AD97" s="31" t="s">
        <v>284</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285</v>
      </c>
      <c r="C98" s="31" t="s">
        <v>215</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275</v>
      </c>
      <c r="P98" s="75"/>
      <c r="Q98" s="50">
        <v>46339</v>
      </c>
      <c r="R98" s="43"/>
      <c r="S98" s="44"/>
      <c r="T98" s="69" t="s">
        <v>279</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286</v>
      </c>
      <c r="C99" s="31" t="s">
        <v>215</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287</v>
      </c>
      <c r="F99" s="31" t="s">
        <v>129</v>
      </c>
      <c r="G99" s="31"/>
      <c r="H99" s="50">
        <v>46356</v>
      </c>
      <c r="I99" s="56" t="s">
        <v>261</v>
      </c>
      <c r="J99" s="54" t="s">
        <v>65</v>
      </c>
      <c r="K99" s="50">
        <v>46332</v>
      </c>
      <c r="L99" s="43"/>
      <c r="M99" s="44"/>
      <c r="N99" s="44"/>
      <c r="O99" s="44" t="s">
        <v>246</v>
      </c>
      <c r="P99" s="75"/>
      <c r="Q99" s="50">
        <v>46339</v>
      </c>
      <c r="R99" s="43"/>
      <c r="S99" s="44"/>
      <c r="T99" s="69" t="s">
        <v>279</v>
      </c>
      <c r="U99" s="47"/>
      <c r="V99" s="28">
        <v>46344</v>
      </c>
      <c r="W99" s="43"/>
      <c r="X99" s="31"/>
      <c r="Y99" s="31"/>
      <c r="Z99" s="36"/>
      <c r="AA99" s="28">
        <v>46356</v>
      </c>
      <c r="AB99" s="43"/>
      <c r="AC99" s="43"/>
      <c r="AD99" s="31" t="s">
        <v>288</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289</v>
      </c>
      <c r="C100" s="31" t="s">
        <v>215</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275</v>
      </c>
      <c r="P100" s="75"/>
      <c r="Q100" s="50">
        <v>46339</v>
      </c>
      <c r="R100" s="43"/>
      <c r="S100" s="44"/>
      <c r="T100" s="69" t="s">
        <v>279</v>
      </c>
      <c r="U100" s="47"/>
      <c r="V100" s="28">
        <v>46344</v>
      </c>
      <c r="W100" s="43"/>
      <c r="X100" s="31"/>
      <c r="Y100" s="31"/>
      <c r="Z100" s="36"/>
      <c r="AA100" s="28">
        <v>46356</v>
      </c>
      <c r="AB100" s="43"/>
      <c r="AC100" s="43"/>
      <c r="AD100" s="31" t="s">
        <v>290</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291</v>
      </c>
      <c r="B101" s="31" t="s">
        <v>292</v>
      </c>
      <c r="C101" s="31" t="s">
        <v>215</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293</v>
      </c>
      <c r="J101" s="54"/>
      <c r="K101" s="28">
        <v>46363</v>
      </c>
      <c r="L101" s="43"/>
      <c r="M101" s="31"/>
      <c r="N101" s="31"/>
      <c r="O101" s="36" t="s">
        <v>294</v>
      </c>
      <c r="P101" s="75"/>
      <c r="Q101" s="28">
        <v>46370</v>
      </c>
      <c r="R101" s="43"/>
      <c r="S101" s="31"/>
      <c r="T101" s="69" t="s">
        <v>279</v>
      </c>
      <c r="U101" s="47"/>
      <c r="V101" s="28">
        <v>46373</v>
      </c>
      <c r="W101" s="43"/>
      <c r="X101" s="31"/>
      <c r="Y101" s="31"/>
      <c r="Z101" s="36"/>
      <c r="AA101" s="28">
        <v>46386</v>
      </c>
      <c r="AB101" s="43"/>
      <c r="AC101" s="43"/>
      <c r="AD101" s="31" t="s">
        <v>295</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291</v>
      </c>
      <c r="B102" s="31" t="s">
        <v>296</v>
      </c>
      <c r="C102" s="31" t="s">
        <v>215</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293</v>
      </c>
      <c r="J102" s="54"/>
      <c r="K102" s="28">
        <v>46363</v>
      </c>
      <c r="L102" s="43"/>
      <c r="M102" s="31"/>
      <c r="N102" s="31"/>
      <c r="O102" s="36" t="s">
        <v>294</v>
      </c>
      <c r="P102" s="75"/>
      <c r="Q102" s="28">
        <v>46370</v>
      </c>
      <c r="R102" s="43"/>
      <c r="S102" s="31"/>
      <c r="T102" s="69" t="s">
        <v>297</v>
      </c>
      <c r="U102" s="47"/>
      <c r="V102" s="28">
        <v>46373</v>
      </c>
      <c r="W102" s="43"/>
      <c r="X102" s="31"/>
      <c r="Y102" s="31"/>
      <c r="Z102" s="36"/>
      <c r="AA102" s="28">
        <v>46386</v>
      </c>
      <c r="AB102" s="43"/>
      <c r="AC102" s="43"/>
      <c r="AD102" s="31" t="s">
        <v>298</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291</v>
      </c>
      <c r="B103" s="31" t="s">
        <v>299</v>
      </c>
      <c r="C103" s="31" t="s">
        <v>215</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293</v>
      </c>
      <c r="J103" s="54"/>
      <c r="K103" s="28">
        <v>46363</v>
      </c>
      <c r="L103" s="43"/>
      <c r="M103" s="31"/>
      <c r="N103" s="31"/>
      <c r="O103" s="36" t="s">
        <v>294</v>
      </c>
      <c r="P103" s="75"/>
      <c r="Q103" s="28">
        <v>46370</v>
      </c>
      <c r="R103" s="43"/>
      <c r="S103" s="31"/>
      <c r="T103" s="69" t="s">
        <v>297</v>
      </c>
      <c r="U103" s="47"/>
      <c r="V103" s="28">
        <v>46373</v>
      </c>
      <c r="W103" s="43"/>
      <c r="X103" s="31"/>
      <c r="Y103" s="31"/>
      <c r="Z103" s="36"/>
      <c r="AA103" s="28">
        <v>46386</v>
      </c>
      <c r="AB103" s="43"/>
      <c r="AC103" s="43"/>
      <c r="AD103" s="31" t="s">
        <v>300</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301</v>
      </c>
      <c r="B104" s="31" t="s">
        <v>302</v>
      </c>
      <c r="C104" s="31" t="s">
        <v>215</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293</v>
      </c>
      <c r="J104" s="54"/>
      <c r="K104" s="28">
        <v>46363</v>
      </c>
      <c r="L104" s="43"/>
      <c r="M104" s="31"/>
      <c r="N104" s="31"/>
      <c r="O104" s="36" t="s">
        <v>294</v>
      </c>
      <c r="P104" s="75"/>
      <c r="Q104" s="28">
        <v>46370</v>
      </c>
      <c r="R104" s="43"/>
      <c r="S104" s="31"/>
      <c r="T104" s="69" t="s">
        <v>297</v>
      </c>
      <c r="U104" s="47"/>
      <c r="V104" s="28">
        <v>46373</v>
      </c>
      <c r="W104" s="43"/>
      <c r="X104" s="31"/>
      <c r="Y104" s="31"/>
      <c r="Z104" s="36"/>
      <c r="AA104" s="28">
        <v>46386</v>
      </c>
      <c r="AB104" s="43"/>
      <c r="AC104" s="43"/>
      <c r="AD104" s="31" t="s">
        <v>303</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291</v>
      </c>
      <c r="B105" s="31" t="s">
        <v>304</v>
      </c>
      <c r="C105" s="31" t="s">
        <v>215</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293</v>
      </c>
      <c r="J105" s="54"/>
      <c r="K105" s="28">
        <v>46363</v>
      </c>
      <c r="L105" s="43"/>
      <c r="M105" s="31"/>
      <c r="N105" s="31"/>
      <c r="O105" s="36" t="s">
        <v>294</v>
      </c>
      <c r="P105" s="75"/>
      <c r="Q105" s="28">
        <v>46370</v>
      </c>
      <c r="R105" s="43"/>
      <c r="S105" s="31"/>
      <c r="T105" s="69" t="s">
        <v>297</v>
      </c>
      <c r="U105" s="47"/>
      <c r="V105" s="28">
        <v>46373</v>
      </c>
      <c r="W105" s="43"/>
      <c r="X105" s="31"/>
      <c r="Y105" s="31"/>
      <c r="Z105" s="36"/>
      <c r="AA105" s="28">
        <v>46386</v>
      </c>
      <c r="AB105" s="43"/>
      <c r="AC105" s="43"/>
      <c r="AD105" s="31" t="s">
        <v>305</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291</v>
      </c>
      <c r="B106" s="31" t="s">
        <v>306</v>
      </c>
      <c r="C106" s="31" t="s">
        <v>215</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293</v>
      </c>
      <c r="J106" s="54"/>
      <c r="K106" s="28">
        <v>46363</v>
      </c>
      <c r="L106" s="43"/>
      <c r="M106" s="31"/>
      <c r="N106" s="31"/>
      <c r="O106" s="36" t="s">
        <v>294</v>
      </c>
      <c r="P106" s="75"/>
      <c r="Q106" s="28">
        <v>46370</v>
      </c>
      <c r="R106" s="43"/>
      <c r="S106" s="31"/>
      <c r="T106" s="69" t="s">
        <v>297</v>
      </c>
      <c r="U106" s="47"/>
      <c r="V106" s="28">
        <v>46373</v>
      </c>
      <c r="W106" s="43"/>
      <c r="X106" s="31"/>
      <c r="Y106" s="31"/>
      <c r="Z106" s="36"/>
      <c r="AA106" s="28">
        <v>46386</v>
      </c>
      <c r="AB106" s="43"/>
      <c r="AC106" s="43"/>
      <c r="AD106" s="31" t="s">
        <v>307</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291</v>
      </c>
      <c r="B107" s="31" t="s">
        <v>308</v>
      </c>
      <c r="C107" s="31" t="s">
        <v>215</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293</v>
      </c>
      <c r="J107" s="54"/>
      <c r="K107" s="28">
        <v>46363</v>
      </c>
      <c r="L107" s="43"/>
      <c r="M107" s="31"/>
      <c r="N107" s="31"/>
      <c r="O107" s="36" t="s">
        <v>294</v>
      </c>
      <c r="P107" s="75"/>
      <c r="Q107" s="28">
        <v>46370</v>
      </c>
      <c r="R107" s="43"/>
      <c r="S107" s="31"/>
      <c r="T107" s="69" t="s">
        <v>297</v>
      </c>
      <c r="U107" s="47"/>
      <c r="V107" s="28">
        <v>46373</v>
      </c>
      <c r="W107" s="43"/>
      <c r="X107" s="31"/>
      <c r="Y107" s="31"/>
      <c r="Z107" s="36"/>
      <c r="AA107" s="28">
        <v>46386</v>
      </c>
      <c r="AB107" s="43"/>
      <c r="AC107" s="43"/>
      <c r="AD107" s="31" t="s">
        <v>309</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291</v>
      </c>
      <c r="B108" s="31" t="s">
        <v>310</v>
      </c>
      <c r="C108" s="31" t="s">
        <v>215</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293</v>
      </c>
      <c r="J108" s="54"/>
      <c r="K108" s="28">
        <v>46363</v>
      </c>
      <c r="L108" s="43"/>
      <c r="M108" s="31"/>
      <c r="N108" s="31"/>
      <c r="O108" s="36" t="s">
        <v>311</v>
      </c>
      <c r="P108" s="75"/>
      <c r="Q108" s="28">
        <v>46370</v>
      </c>
      <c r="R108" s="43"/>
      <c r="S108" s="31"/>
      <c r="T108" s="69" t="s">
        <v>297</v>
      </c>
      <c r="U108" s="47"/>
      <c r="V108" s="28">
        <v>46373</v>
      </c>
      <c r="W108" s="43"/>
      <c r="X108" s="31"/>
      <c r="Y108" s="31"/>
      <c r="Z108" s="36"/>
      <c r="AA108" s="28">
        <v>46386</v>
      </c>
      <c r="AB108" s="43"/>
      <c r="AC108" s="43"/>
      <c r="AD108" s="31" t="s">
        <v>312</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301</v>
      </c>
      <c r="B109" s="31" t="s">
        <v>313</v>
      </c>
      <c r="C109" s="31" t="s">
        <v>215</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293</v>
      </c>
      <c r="J109" s="54"/>
      <c r="K109" s="28">
        <v>46363</v>
      </c>
      <c r="L109" s="43"/>
      <c r="M109" s="31"/>
      <c r="N109" s="31"/>
      <c r="O109" s="36" t="s">
        <v>311</v>
      </c>
      <c r="P109" s="75"/>
      <c r="Q109" s="28">
        <v>46370</v>
      </c>
      <c r="R109" s="43"/>
      <c r="S109" s="31"/>
      <c r="T109" s="69" t="s">
        <v>314</v>
      </c>
      <c r="U109" s="47"/>
      <c r="V109" s="28">
        <v>46373</v>
      </c>
      <c r="W109" s="43"/>
      <c r="X109" s="31"/>
      <c r="Y109" s="31"/>
      <c r="Z109" s="36"/>
      <c r="AA109" s="28">
        <v>46386</v>
      </c>
      <c r="AB109" s="43"/>
      <c r="AC109" s="43"/>
      <c r="AD109" s="31" t="s">
        <v>315</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291</v>
      </c>
      <c r="B110" s="31" t="s">
        <v>316</v>
      </c>
      <c r="C110" s="31" t="s">
        <v>215</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293</v>
      </c>
      <c r="J110" s="54"/>
      <c r="K110" s="28">
        <v>46363</v>
      </c>
      <c r="L110" s="43"/>
      <c r="M110" s="31"/>
      <c r="N110" s="31"/>
      <c r="O110" s="36" t="s">
        <v>311</v>
      </c>
      <c r="P110" s="75"/>
      <c r="Q110" s="28">
        <v>46370</v>
      </c>
      <c r="R110" s="43"/>
      <c r="S110" s="31"/>
      <c r="T110" s="69" t="s">
        <v>314</v>
      </c>
      <c r="U110" s="47"/>
      <c r="V110" s="28">
        <v>46373</v>
      </c>
      <c r="W110" s="43"/>
      <c r="X110" s="31"/>
      <c r="Y110" s="31"/>
      <c r="Z110" s="36"/>
      <c r="AA110" s="28">
        <v>46386</v>
      </c>
      <c r="AB110" s="43"/>
      <c r="AC110" s="43"/>
      <c r="AD110" s="31" t="s">
        <v>317</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301</v>
      </c>
      <c r="B111" s="31" t="s">
        <v>318</v>
      </c>
      <c r="C111" s="31" t="s">
        <v>215</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293</v>
      </c>
      <c r="J111" s="54"/>
      <c r="K111" s="28">
        <v>46363</v>
      </c>
      <c r="L111" s="43"/>
      <c r="M111" s="31"/>
      <c r="N111" s="31"/>
      <c r="O111" s="36" t="s">
        <v>311</v>
      </c>
      <c r="P111" s="75"/>
      <c r="Q111" s="28">
        <v>46370</v>
      </c>
      <c r="R111" s="43"/>
      <c r="S111" s="31"/>
      <c r="T111" s="69" t="s">
        <v>314</v>
      </c>
      <c r="U111" s="47"/>
      <c r="V111" s="28">
        <v>46373</v>
      </c>
      <c r="W111" s="43"/>
      <c r="X111" s="31"/>
      <c r="Y111" s="31"/>
      <c r="Z111" s="36"/>
      <c r="AA111" s="28">
        <v>46386</v>
      </c>
      <c r="AB111" s="43"/>
      <c r="AC111" s="43"/>
      <c r="AD111" s="31" t="s">
        <v>319</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301</v>
      </c>
      <c r="B112" s="31" t="s">
        <v>320</v>
      </c>
      <c r="C112" s="31" t="s">
        <v>215</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293</v>
      </c>
      <c r="J112" s="54"/>
      <c r="K112" s="28">
        <v>46363</v>
      </c>
      <c r="L112" s="43"/>
      <c r="M112" s="31"/>
      <c r="N112" s="31"/>
      <c r="O112" s="36" t="s">
        <v>311</v>
      </c>
      <c r="P112" s="75"/>
      <c r="Q112" s="28">
        <v>46370</v>
      </c>
      <c r="R112" s="43"/>
      <c r="S112" s="31"/>
      <c r="T112" s="69" t="s">
        <v>314</v>
      </c>
      <c r="U112" s="47"/>
      <c r="V112" s="28">
        <v>46373</v>
      </c>
      <c r="W112" s="43"/>
      <c r="X112" s="31"/>
      <c r="Y112" s="31"/>
      <c r="Z112" s="36"/>
      <c r="AA112" s="28">
        <v>46386</v>
      </c>
      <c r="AB112" s="43"/>
      <c r="AC112" s="43"/>
      <c r="AD112" s="31" t="s">
        <v>315</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301</v>
      </c>
      <c r="B113" s="31" t="s">
        <v>321</v>
      </c>
      <c r="C113" s="31" t="s">
        <v>215</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293</v>
      </c>
      <c r="J113" s="54"/>
      <c r="K113" s="28">
        <v>46363</v>
      </c>
      <c r="L113" s="43"/>
      <c r="M113" s="31"/>
      <c r="N113" s="31"/>
      <c r="O113" s="36" t="s">
        <v>311</v>
      </c>
      <c r="P113" s="75"/>
      <c r="Q113" s="28">
        <v>46370</v>
      </c>
      <c r="R113" s="43"/>
      <c r="S113" s="31"/>
      <c r="T113" s="69" t="s">
        <v>314</v>
      </c>
      <c r="U113" s="47"/>
      <c r="V113" s="28">
        <v>46373</v>
      </c>
      <c r="W113" s="43"/>
      <c r="X113" s="31"/>
      <c r="Y113" s="31"/>
      <c r="Z113" s="36"/>
      <c r="AA113" s="28">
        <v>46386</v>
      </c>
      <c r="AB113" s="43"/>
      <c r="AC113" s="43"/>
      <c r="AD113" s="31" t="s">
        <v>315</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301</v>
      </c>
      <c r="B114" s="31" t="s">
        <v>322</v>
      </c>
      <c r="C114" s="31" t="s">
        <v>215</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293</v>
      </c>
      <c r="J114" s="54"/>
      <c r="K114" s="28">
        <v>46363</v>
      </c>
      <c r="L114" s="43"/>
      <c r="M114" s="31"/>
      <c r="N114" s="31"/>
      <c r="O114" s="36" t="s">
        <v>323</v>
      </c>
      <c r="P114" s="75"/>
      <c r="Q114" s="28">
        <v>46370</v>
      </c>
      <c r="R114" s="43"/>
      <c r="S114" s="31"/>
      <c r="T114" s="69" t="s">
        <v>314</v>
      </c>
      <c r="U114" s="47"/>
      <c r="V114" s="28">
        <v>46373</v>
      </c>
      <c r="W114" s="43"/>
      <c r="X114" s="31"/>
      <c r="Y114" s="31"/>
      <c r="Z114" s="36"/>
      <c r="AA114" s="28">
        <v>46386</v>
      </c>
      <c r="AB114" s="43"/>
      <c r="AC114" s="43"/>
      <c r="AD114" s="31" t="s">
        <v>319</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301</v>
      </c>
      <c r="B115" s="31" t="s">
        <v>324</v>
      </c>
      <c r="C115" s="31" t="s">
        <v>215</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293</v>
      </c>
      <c r="J115" s="54"/>
      <c r="K115" s="28">
        <v>46363</v>
      </c>
      <c r="L115" s="43"/>
      <c r="M115" s="31"/>
      <c r="N115" s="31"/>
      <c r="O115" s="36" t="s">
        <v>323</v>
      </c>
      <c r="P115" s="75"/>
      <c r="Q115" s="28">
        <v>46370</v>
      </c>
      <c r="R115" s="43"/>
      <c r="S115" s="31"/>
      <c r="T115" s="69" t="s">
        <v>314</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W2:Y527 G2:V40 N3:N44 L41:V42 T65:V65 G41:J42 Z2:AL2 Z3 Z4:AL41 Z42:AK42 Z43:AL44 Z45:AK47 Z101:AE115 AB3:AL3 A2:F87 G65:Q65 G66:V73 A74:V527 Z48:AL72 Z73:AH100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325</v>
      </c>
    </row>
    <row r="2" spans="1:5">
      <c r="A2" s="6" t="s">
        <v>326</v>
      </c>
    </row>
    <row r="4" spans="1:5" ht="21.95" customHeight="1">
      <c r="A4" s="5" t="s">
        <v>327</v>
      </c>
      <c r="B4" s="174"/>
      <c r="C4" s="175"/>
      <c r="D4" s="175"/>
      <c r="E4" s="175"/>
    </row>
    <row r="6" spans="1:5" ht="15">
      <c r="A6" s="42" t="s">
        <v>0</v>
      </c>
      <c r="B6" s="173" t="str">
        <f>IF($B$4="","",IFERROR(INDEX('Combined Delivery Data'!$A:$A,MATCH($B$4,'Combined Delivery Data'!$B:$B,0)),""))</f>
        <v/>
      </c>
      <c r="C6" s="176"/>
      <c r="D6" s="176"/>
      <c r="E6" s="177"/>
    </row>
    <row r="7" spans="1:5" ht="15">
      <c r="A7" s="42" t="s">
        <v>328</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329</v>
      </c>
      <c r="B14" s="172" t="str">
        <f>IF($B$4="","",IFERROR(INDEX('Combined Delivery Data'!$K:$K,MATCH($B$4,'Combined Delivery Data'!$B:$B,0)),""))</f>
        <v/>
      </c>
      <c r="C14" s="176"/>
      <c r="D14" s="176"/>
      <c r="E14" s="177"/>
    </row>
    <row r="15" spans="1:5" ht="15">
      <c r="A15" s="42" t="s">
        <v>330</v>
      </c>
      <c r="B15" s="172" t="str">
        <f>IF($B$4="","",IFERROR(INDEX('Combined Delivery Data'!$L:$L,MATCH($B$4,'Combined Delivery Data'!$B:$B,0)),""))</f>
        <v/>
      </c>
      <c r="C15" s="176"/>
      <c r="D15" s="176"/>
      <c r="E15" s="177"/>
    </row>
    <row r="16" spans="1:5" ht="15">
      <c r="A16" s="42" t="s">
        <v>331</v>
      </c>
      <c r="B16" s="172" t="str">
        <f>IF($B$4="","",IFERROR(INDEX('Combined Delivery Data'!$M:$M,MATCH($B$4,'Combined Delivery Data'!$B:$B,0)),""))</f>
        <v/>
      </c>
      <c r="C16" s="176"/>
      <c r="D16" s="176"/>
      <c r="E16" s="177"/>
    </row>
    <row r="17" spans="1:5" ht="15">
      <c r="A17" s="42" t="s">
        <v>332</v>
      </c>
      <c r="B17" s="172" t="str">
        <f>IF($B$4="","",IFERROR(INDEX('Combined Delivery Data'!$O:$O,MATCH($B$4,'Combined Delivery Data'!$B:$B,0)),""))</f>
        <v/>
      </c>
      <c r="C17" s="176"/>
      <c r="D17" s="176"/>
      <c r="E17" s="177"/>
    </row>
    <row r="18" spans="1:5" ht="15">
      <c r="A18" s="42" t="s">
        <v>333</v>
      </c>
      <c r="B18" s="172" t="str">
        <f>IF($B$4="","",IFERROR(INDEX('Combined Delivery Data'!$Q:$Q,MATCH($B$4,'Combined Delivery Data'!$B:$B,0)),""))</f>
        <v/>
      </c>
      <c r="C18" s="176"/>
      <c r="D18" s="176"/>
      <c r="E18" s="177"/>
    </row>
    <row r="19" spans="1:5" ht="15">
      <c r="A19" s="42" t="s">
        <v>334</v>
      </c>
      <c r="B19" s="172" t="str">
        <f>IF($B$4="","",IFERROR(INDEX('Combined Delivery Data'!$R:$R,MATCH($B$4,'Combined Delivery Data'!$B:$B,0)),""))</f>
        <v/>
      </c>
      <c r="C19" s="176"/>
      <c r="D19" s="176"/>
      <c r="E19" s="177"/>
    </row>
    <row r="20" spans="1:5" ht="15">
      <c r="A20" s="42" t="s">
        <v>335</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336</v>
      </c>
      <c r="B26" s="173" t="str">
        <f>IF($B$4="","",IFERROR(INDEX('Rework Log'!$Q:$Q,MATCH($B$4,'Rework Log'!$P:$P,0)),""))</f>
        <v/>
      </c>
      <c r="C26" s="176"/>
      <c r="D26" s="176"/>
      <c r="E26" s="177"/>
    </row>
    <row r="27" spans="1:5">
      <c r="A27" s="42" t="s">
        <v>337</v>
      </c>
      <c r="B27" s="173" t="str">
        <f>IF($B$4="","",IFERROR(INDEX('Rework Log'!$R:$R,MATCH($B$4,'Rework Log'!$P:$P,0)),""))</f>
        <v/>
      </c>
      <c r="C27" s="176"/>
      <c r="D27" s="176"/>
      <c r="E27" s="177"/>
    </row>
    <row r="28" spans="1:5">
      <c r="A28" s="42" t="s">
        <v>338</v>
      </c>
      <c r="B28" s="173" t="str">
        <f>IF($B$4="","",IFERROR(INDEX('Rework Log'!$S:$S,MATCH($B$4,'Rework Log'!$P:$P,0)),""))</f>
        <v/>
      </c>
      <c r="C28" s="176"/>
      <c r="D28" s="176"/>
      <c r="E28" s="177"/>
    </row>
    <row r="29" spans="1:5">
      <c r="A29" s="42" t="s">
        <v>339</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F43" sqref="F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340</v>
      </c>
      <c r="B1" s="171"/>
      <c r="C1" s="171"/>
      <c r="D1" s="171"/>
      <c r="E1" s="171"/>
      <c r="F1" s="171"/>
      <c r="G1" s="171"/>
      <c r="H1" s="171"/>
      <c r="I1" s="171"/>
      <c r="J1" s="171"/>
      <c r="K1" s="171"/>
      <c r="L1" s="171"/>
      <c r="M1" s="171"/>
      <c r="P1" s="179" t="s">
        <v>341</v>
      </c>
      <c r="Q1" s="179"/>
      <c r="R1" s="179"/>
      <c r="S1" s="179"/>
      <c r="T1" s="179"/>
    </row>
    <row r="2" spans="1:20" ht="30" customHeight="1">
      <c r="A2" s="17" t="s">
        <v>1</v>
      </c>
      <c r="B2" s="17" t="s">
        <v>342</v>
      </c>
      <c r="C2" s="17" t="s">
        <v>343</v>
      </c>
      <c r="D2" s="17" t="s">
        <v>344</v>
      </c>
      <c r="E2" s="17" t="s">
        <v>345</v>
      </c>
      <c r="F2" s="17" t="s">
        <v>346</v>
      </c>
      <c r="G2" s="17" t="s">
        <v>347</v>
      </c>
      <c r="H2" s="30" t="s">
        <v>348</v>
      </c>
      <c r="I2" s="30" t="s">
        <v>349</v>
      </c>
      <c r="J2" s="30" t="s">
        <v>350</v>
      </c>
      <c r="K2" s="30" t="s">
        <v>351</v>
      </c>
      <c r="L2" s="30" t="s">
        <v>352</v>
      </c>
      <c r="M2" s="21" t="s">
        <v>353</v>
      </c>
      <c r="N2" s="21" t="s">
        <v>354</v>
      </c>
      <c r="P2" s="13" t="s">
        <v>1</v>
      </c>
      <c r="Q2" s="13" t="s">
        <v>336</v>
      </c>
      <c r="R2" s="13" t="s">
        <v>337</v>
      </c>
      <c r="S2" s="13" t="s">
        <v>338</v>
      </c>
      <c r="T2" s="13" t="s">
        <v>339</v>
      </c>
    </row>
    <row r="3" spans="1:20">
      <c r="A3" s="33" t="s">
        <v>144</v>
      </c>
      <c r="B3" s="36">
        <v>46230</v>
      </c>
      <c r="C3" s="33" t="s">
        <v>166</v>
      </c>
      <c r="D3" s="33" t="s">
        <v>183</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206</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206</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206</v>
      </c>
      <c r="E17" s="31" t="s">
        <v>145</v>
      </c>
      <c r="F17" s="31" t="s">
        <v>370</v>
      </c>
      <c r="G17" s="31" t="s">
        <v>50</v>
      </c>
      <c r="H17" s="32"/>
      <c r="I17" s="32"/>
      <c r="J17" s="32"/>
      <c r="K17" s="31"/>
      <c r="L17" s="31"/>
      <c r="M17" s="3"/>
      <c r="S17" s="28"/>
    </row>
    <row r="18" spans="1:20">
      <c r="A18" s="33" t="s">
        <v>182</v>
      </c>
      <c r="B18" s="32">
        <v>46261</v>
      </c>
      <c r="C18" s="31" t="s">
        <v>166</v>
      </c>
      <c r="D18" s="31" t="s">
        <v>183</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206</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206</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376</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206</v>
      </c>
      <c r="E23" s="31" t="s">
        <v>47</v>
      </c>
      <c r="F23" s="31" t="s">
        <v>378</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206</v>
      </c>
      <c r="E24" s="31" t="s">
        <v>47</v>
      </c>
      <c r="F24" s="31" t="s">
        <v>379</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206</v>
      </c>
      <c r="E25" s="31" t="s">
        <v>47</v>
      </c>
      <c r="F25" s="77" t="s">
        <v>380</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206</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206</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206</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206</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385</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388</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206</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391</v>
      </c>
      <c r="G36" s="31" t="s">
        <v>53</v>
      </c>
      <c r="H36" s="32"/>
      <c r="I36" s="32"/>
      <c r="J36" s="32"/>
      <c r="K36" s="31"/>
      <c r="L36" s="31"/>
      <c r="M36" s="3" t="str">
        <f t="shared" ca="1" si="0"/>
        <v>UNCLAIMED 0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392</v>
      </c>
      <c r="G37" s="31" t="s">
        <v>53</v>
      </c>
      <c r="H37" s="32"/>
      <c r="I37" s="32"/>
      <c r="J37" s="32"/>
      <c r="K37" s="31"/>
      <c r="L37" s="31"/>
      <c r="M37" s="3" t="str">
        <f t="shared" ca="1" si="0"/>
        <v>UNCLAIMED 0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393</v>
      </c>
      <c r="B1" s="175"/>
      <c r="C1" s="175"/>
      <c r="D1" s="175"/>
      <c r="E1" s="175"/>
      <c r="F1" s="175"/>
      <c r="G1" s="175"/>
      <c r="H1" s="175"/>
      <c r="I1" s="175"/>
      <c r="J1" s="175"/>
    </row>
    <row r="2" spans="1:10" ht="27" customHeight="1">
      <c r="A2" s="8" t="s">
        <v>0</v>
      </c>
      <c r="B2" s="8" t="s">
        <v>394</v>
      </c>
      <c r="C2" s="8" t="s">
        <v>1</v>
      </c>
      <c r="D2" s="8" t="s">
        <v>395</v>
      </c>
      <c r="E2" s="8" t="s">
        <v>396</v>
      </c>
      <c r="F2" s="8" t="s">
        <v>6</v>
      </c>
      <c r="G2" s="8" t="s">
        <v>5</v>
      </c>
      <c r="H2" s="8" t="s">
        <v>397</v>
      </c>
      <c r="I2" s="8" t="s">
        <v>398</v>
      </c>
      <c r="J2" s="8" t="s">
        <v>399</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400</v>
      </c>
      <c r="D13" s="9" t="s">
        <v>401</v>
      </c>
      <c r="E13" s="9" t="s">
        <v>46</v>
      </c>
      <c r="F13" s="9"/>
      <c r="G13" s="9"/>
      <c r="H13" s="10"/>
      <c r="I13" s="10">
        <v>46115</v>
      </c>
      <c r="J13" s="10">
        <v>46115</v>
      </c>
    </row>
    <row r="14" spans="1:10" ht="14.25" customHeight="1">
      <c r="A14" s="9" t="s">
        <v>40</v>
      </c>
      <c r="B14" s="9" t="s">
        <v>206</v>
      </c>
      <c r="C14" s="9" t="s">
        <v>400</v>
      </c>
      <c r="D14" s="9" t="s">
        <v>401</v>
      </c>
      <c r="E14" s="9" t="s">
        <v>46</v>
      </c>
      <c r="F14" s="9"/>
      <c r="G14" s="9"/>
      <c r="H14" s="10">
        <v>46115</v>
      </c>
      <c r="I14" s="10">
        <v>46120</v>
      </c>
      <c r="J14" s="10">
        <v>46120</v>
      </c>
    </row>
    <row r="15" spans="1:10" ht="14.25" customHeight="1">
      <c r="A15" s="9" t="s">
        <v>40</v>
      </c>
      <c r="B15" s="9" t="s">
        <v>166</v>
      </c>
      <c r="C15" s="9" t="s">
        <v>400</v>
      </c>
      <c r="D15" s="9" t="s">
        <v>401</v>
      </c>
      <c r="E15" s="9" t="s">
        <v>46</v>
      </c>
      <c r="F15" s="9"/>
      <c r="G15" s="9"/>
      <c r="H15" s="10">
        <v>46120</v>
      </c>
      <c r="I15" s="10">
        <v>46122</v>
      </c>
      <c r="J15" s="10">
        <v>46122</v>
      </c>
    </row>
    <row r="16" spans="1:10" ht="14.25" customHeight="1">
      <c r="A16" s="9" t="s">
        <v>40</v>
      </c>
      <c r="B16" s="9" t="s">
        <v>128</v>
      </c>
      <c r="C16" s="9" t="s">
        <v>400</v>
      </c>
      <c r="D16" s="9" t="s">
        <v>401</v>
      </c>
      <c r="E16" s="9" t="s">
        <v>46</v>
      </c>
      <c r="F16" s="9"/>
      <c r="G16" s="9"/>
      <c r="H16" s="10">
        <v>46122</v>
      </c>
      <c r="I16" s="10"/>
      <c r="J16" s="10"/>
    </row>
    <row r="17" spans="1:10" ht="14.25" customHeight="1">
      <c r="A17" s="9" t="s">
        <v>40</v>
      </c>
      <c r="B17" s="9" t="s">
        <v>42</v>
      </c>
      <c r="C17" s="9" t="s">
        <v>400</v>
      </c>
      <c r="D17" s="9" t="s">
        <v>401</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401</v>
      </c>
      <c r="E23" s="9" t="s">
        <v>46</v>
      </c>
      <c r="F23" s="9"/>
      <c r="G23" s="9"/>
      <c r="H23" s="10"/>
      <c r="I23" s="10">
        <v>46115</v>
      </c>
      <c r="J23" s="10">
        <v>46115</v>
      </c>
    </row>
    <row r="24" spans="1:10" ht="14.25" customHeight="1">
      <c r="A24" s="9" t="s">
        <v>40</v>
      </c>
      <c r="B24" s="9" t="s">
        <v>206</v>
      </c>
      <c r="C24" s="9" t="s">
        <v>64</v>
      </c>
      <c r="D24" s="9" t="s">
        <v>401</v>
      </c>
      <c r="E24" s="9" t="s">
        <v>46</v>
      </c>
      <c r="F24" s="9"/>
      <c r="G24" s="9"/>
      <c r="H24" s="10">
        <v>46115</v>
      </c>
      <c r="I24" s="10">
        <v>46120</v>
      </c>
      <c r="J24" s="10">
        <v>46120</v>
      </c>
    </row>
    <row r="25" spans="1:10" ht="14.25" customHeight="1">
      <c r="A25" s="9" t="s">
        <v>40</v>
      </c>
      <c r="B25" s="9" t="s">
        <v>166</v>
      </c>
      <c r="C25" s="9" t="s">
        <v>64</v>
      </c>
      <c r="D25" s="9" t="s">
        <v>401</v>
      </c>
      <c r="E25" s="9" t="s">
        <v>46</v>
      </c>
      <c r="F25" s="9"/>
      <c r="G25" s="9"/>
      <c r="H25" s="10">
        <v>46120</v>
      </c>
      <c r="I25" s="10">
        <v>46122</v>
      </c>
      <c r="J25" s="10">
        <v>46122</v>
      </c>
    </row>
    <row r="26" spans="1:10" ht="14.25" customHeight="1">
      <c r="A26" s="9" t="s">
        <v>40</v>
      </c>
      <c r="B26" s="9" t="s">
        <v>128</v>
      </c>
      <c r="C26" s="9" t="s">
        <v>64</v>
      </c>
      <c r="D26" s="9" t="s">
        <v>401</v>
      </c>
      <c r="E26" s="9" t="s">
        <v>46</v>
      </c>
      <c r="F26" s="9"/>
      <c r="G26" s="9"/>
      <c r="H26" s="10">
        <v>46122</v>
      </c>
      <c r="I26" s="10"/>
      <c r="J26" s="10"/>
    </row>
    <row r="27" spans="1:10" ht="14.25" customHeight="1">
      <c r="A27" s="9" t="s">
        <v>40</v>
      </c>
      <c r="B27" s="9" t="s">
        <v>42</v>
      </c>
      <c r="C27" s="9" t="s">
        <v>64</v>
      </c>
      <c r="D27" s="9" t="s">
        <v>401</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401</v>
      </c>
      <c r="E33" s="9" t="s">
        <v>60</v>
      </c>
      <c r="F33" s="9"/>
      <c r="G33" s="9"/>
      <c r="H33" s="10"/>
      <c r="I33" s="10">
        <v>46122</v>
      </c>
      <c r="J33" s="10">
        <v>46122</v>
      </c>
    </row>
    <row r="34" spans="1:10" ht="14.25" customHeight="1">
      <c r="A34" s="9" t="s">
        <v>40</v>
      </c>
      <c r="B34" s="9" t="s">
        <v>206</v>
      </c>
      <c r="C34" s="9" t="s">
        <v>70</v>
      </c>
      <c r="D34" s="9" t="s">
        <v>401</v>
      </c>
      <c r="E34" s="9" t="s">
        <v>60</v>
      </c>
      <c r="F34" s="9"/>
      <c r="G34" s="9"/>
      <c r="H34" s="10">
        <v>46122</v>
      </c>
      <c r="I34" s="10">
        <v>46126</v>
      </c>
      <c r="J34" s="10">
        <v>46126</v>
      </c>
    </row>
    <row r="35" spans="1:10" ht="14.25" customHeight="1">
      <c r="A35" s="9" t="s">
        <v>40</v>
      </c>
      <c r="B35" s="9" t="s">
        <v>166</v>
      </c>
      <c r="C35" s="9" t="s">
        <v>70</v>
      </c>
      <c r="D35" s="9" t="s">
        <v>401</v>
      </c>
      <c r="E35" s="9" t="s">
        <v>60</v>
      </c>
      <c r="F35" s="9"/>
      <c r="G35" s="9"/>
      <c r="H35" s="10">
        <v>46126</v>
      </c>
      <c r="I35" s="10">
        <v>46122</v>
      </c>
      <c r="J35" s="10">
        <v>46122</v>
      </c>
    </row>
    <row r="36" spans="1:10" ht="14.25" customHeight="1">
      <c r="A36" s="9" t="s">
        <v>40</v>
      </c>
      <c r="B36" s="9" t="s">
        <v>128</v>
      </c>
      <c r="C36" s="9" t="s">
        <v>70</v>
      </c>
      <c r="D36" s="9" t="s">
        <v>401</v>
      </c>
      <c r="E36" s="9" t="s">
        <v>60</v>
      </c>
      <c r="F36" s="9"/>
      <c r="G36" s="9"/>
      <c r="H36" s="10">
        <v>46122</v>
      </c>
      <c r="I36" s="10"/>
      <c r="J36" s="10"/>
    </row>
    <row r="37" spans="1:10" ht="14.25" customHeight="1">
      <c r="A37" s="9" t="s">
        <v>40</v>
      </c>
      <c r="B37" s="9" t="s">
        <v>42</v>
      </c>
      <c r="C37" s="9" t="s">
        <v>70</v>
      </c>
      <c r="D37" s="9" t="s">
        <v>401</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401</v>
      </c>
      <c r="E48" s="9" t="s">
        <v>60</v>
      </c>
      <c r="F48" s="9"/>
      <c r="G48" s="9"/>
      <c r="H48" s="10"/>
      <c r="I48" s="10"/>
      <c r="J48" s="10"/>
    </row>
    <row r="49" spans="1:10" ht="14.25" customHeight="1">
      <c r="A49" s="9" t="s">
        <v>40</v>
      </c>
      <c r="B49" s="9" t="s">
        <v>206</v>
      </c>
      <c r="C49" s="9" t="s">
        <v>97</v>
      </c>
      <c r="D49" s="9" t="s">
        <v>401</v>
      </c>
      <c r="E49" s="9" t="s">
        <v>60</v>
      </c>
      <c r="F49" s="9"/>
      <c r="G49" s="9"/>
      <c r="H49" s="10"/>
      <c r="I49" s="10">
        <v>46139</v>
      </c>
      <c r="J49" s="10">
        <v>46139</v>
      </c>
    </row>
    <row r="50" spans="1:10" ht="14.25" customHeight="1">
      <c r="A50" s="9" t="s">
        <v>40</v>
      </c>
      <c r="B50" s="9" t="s">
        <v>166</v>
      </c>
      <c r="C50" s="9" t="s">
        <v>97</v>
      </c>
      <c r="D50" s="9" t="s">
        <v>401</v>
      </c>
      <c r="E50" s="9" t="s">
        <v>60</v>
      </c>
      <c r="F50" s="9"/>
      <c r="G50" s="9"/>
      <c r="H50" s="10">
        <v>46139</v>
      </c>
      <c r="I50" s="10">
        <v>46139</v>
      </c>
      <c r="J50" s="10">
        <v>46139</v>
      </c>
    </row>
    <row r="51" spans="1:10" ht="14.25" customHeight="1">
      <c r="A51" s="9" t="s">
        <v>40</v>
      </c>
      <c r="B51" s="9" t="s">
        <v>128</v>
      </c>
      <c r="C51" s="9" t="s">
        <v>97</v>
      </c>
      <c r="D51" s="9" t="s">
        <v>401</v>
      </c>
      <c r="E51" s="9" t="s">
        <v>60</v>
      </c>
      <c r="F51" s="9"/>
      <c r="G51" s="9"/>
      <c r="H51" s="10">
        <v>46139</v>
      </c>
      <c r="I51" s="10"/>
      <c r="J51" s="10"/>
    </row>
    <row r="52" spans="1:10" ht="14.25" customHeight="1">
      <c r="A52" s="9" t="s">
        <v>40</v>
      </c>
      <c r="B52" s="9" t="s">
        <v>42</v>
      </c>
      <c r="C52" s="9" t="s">
        <v>97</v>
      </c>
      <c r="D52" s="9" t="s">
        <v>401</v>
      </c>
      <c r="E52" s="9" t="s">
        <v>60</v>
      </c>
      <c r="F52" s="9"/>
      <c r="G52" s="9"/>
      <c r="H52" s="10"/>
      <c r="I52" s="10"/>
      <c r="J52" s="10"/>
    </row>
    <row r="53" spans="1:10" ht="14.25" customHeight="1">
      <c r="A53" s="9" t="s">
        <v>40</v>
      </c>
      <c r="B53" s="9" t="s">
        <v>183</v>
      </c>
      <c r="C53" s="9" t="s">
        <v>98</v>
      </c>
      <c r="D53" s="9" t="s">
        <v>401</v>
      </c>
      <c r="E53" s="9" t="s">
        <v>60</v>
      </c>
      <c r="F53" s="9"/>
      <c r="G53" s="9"/>
      <c r="H53" s="10"/>
      <c r="I53" s="10"/>
      <c r="J53" s="10"/>
    </row>
    <row r="54" spans="1:10" ht="14.25" customHeight="1">
      <c r="A54" s="9" t="s">
        <v>40</v>
      </c>
      <c r="B54" s="9" t="s">
        <v>206</v>
      </c>
      <c r="C54" s="9" t="s">
        <v>98</v>
      </c>
      <c r="D54" s="9" t="s">
        <v>401</v>
      </c>
      <c r="E54" s="9" t="s">
        <v>60</v>
      </c>
      <c r="F54" s="9"/>
      <c r="G54" s="9"/>
      <c r="H54" s="9"/>
      <c r="I54" s="10">
        <v>46141</v>
      </c>
      <c r="J54" s="10">
        <v>46141</v>
      </c>
    </row>
    <row r="55" spans="1:10" ht="14.25" customHeight="1">
      <c r="A55" s="9" t="s">
        <v>40</v>
      </c>
      <c r="B55" s="9" t="s">
        <v>166</v>
      </c>
      <c r="C55" s="9" t="s">
        <v>98</v>
      </c>
      <c r="D55" s="9" t="s">
        <v>401</v>
      </c>
      <c r="E55" s="9" t="s">
        <v>60</v>
      </c>
      <c r="F55" s="9"/>
      <c r="G55" s="9"/>
      <c r="H55" s="10">
        <v>46141</v>
      </c>
      <c r="I55" s="10">
        <v>46141</v>
      </c>
      <c r="J55" s="10">
        <v>46141</v>
      </c>
    </row>
    <row r="56" spans="1:10" ht="14.25" customHeight="1">
      <c r="A56" s="9" t="s">
        <v>40</v>
      </c>
      <c r="B56" s="9" t="s">
        <v>128</v>
      </c>
      <c r="C56" s="9" t="s">
        <v>98</v>
      </c>
      <c r="D56" s="9" t="s">
        <v>401</v>
      </c>
      <c r="E56" s="9" t="s">
        <v>60</v>
      </c>
      <c r="F56" s="9"/>
      <c r="G56" s="9"/>
      <c r="H56" s="10">
        <v>46141</v>
      </c>
      <c r="I56" s="10"/>
      <c r="J56" s="10"/>
    </row>
    <row r="57" spans="1:10" ht="14.25" customHeight="1">
      <c r="A57" s="9" t="s">
        <v>40</v>
      </c>
      <c r="B57" s="9" t="s">
        <v>42</v>
      </c>
      <c r="C57" s="9" t="s">
        <v>98</v>
      </c>
      <c r="D57" s="9" t="s">
        <v>401</v>
      </c>
      <c r="E57" s="9" t="s">
        <v>60</v>
      </c>
      <c r="F57" s="9"/>
      <c r="G57" s="9"/>
      <c r="H57" s="10"/>
      <c r="I57" s="10"/>
      <c r="J57" s="10"/>
    </row>
    <row r="58" spans="1:10" ht="14.25" customHeight="1">
      <c r="A58" s="9" t="s">
        <v>40</v>
      </c>
      <c r="B58" s="9" t="s">
        <v>183</v>
      </c>
      <c r="C58" s="9" t="s">
        <v>99</v>
      </c>
      <c r="D58" s="9" t="s">
        <v>401</v>
      </c>
      <c r="E58" s="9" t="s">
        <v>46</v>
      </c>
      <c r="F58" s="9"/>
      <c r="G58" s="9"/>
      <c r="H58" s="9"/>
      <c r="I58" s="10"/>
      <c r="J58" s="10"/>
    </row>
    <row r="59" spans="1:10" ht="14.25" customHeight="1">
      <c r="A59" s="9" t="s">
        <v>40</v>
      </c>
      <c r="B59" s="9" t="s">
        <v>206</v>
      </c>
      <c r="C59" s="9" t="s">
        <v>99</v>
      </c>
      <c r="D59" s="9" t="s">
        <v>401</v>
      </c>
      <c r="E59" s="9" t="s">
        <v>46</v>
      </c>
      <c r="F59" s="9"/>
      <c r="G59" s="9"/>
      <c r="H59" s="10"/>
      <c r="I59" s="10">
        <v>46161</v>
      </c>
      <c r="J59" s="10">
        <v>46161</v>
      </c>
    </row>
    <row r="60" spans="1:10" ht="14.25" customHeight="1">
      <c r="A60" s="9" t="s">
        <v>40</v>
      </c>
      <c r="B60" s="9" t="s">
        <v>166</v>
      </c>
      <c r="C60" s="9" t="s">
        <v>99</v>
      </c>
      <c r="D60" s="9" t="s">
        <v>401</v>
      </c>
      <c r="E60" s="9" t="s">
        <v>46</v>
      </c>
      <c r="F60" s="9"/>
      <c r="G60" s="9"/>
      <c r="H60" s="10">
        <v>46161</v>
      </c>
      <c r="I60" s="10">
        <v>46161</v>
      </c>
      <c r="J60" s="10">
        <v>46161</v>
      </c>
    </row>
    <row r="61" spans="1:10" ht="14.25" customHeight="1">
      <c r="A61" s="9" t="s">
        <v>40</v>
      </c>
      <c r="B61" s="9" t="s">
        <v>128</v>
      </c>
      <c r="C61" s="9" t="s">
        <v>99</v>
      </c>
      <c r="D61" s="9" t="s">
        <v>401</v>
      </c>
      <c r="E61" s="9" t="s">
        <v>46</v>
      </c>
      <c r="F61" s="9"/>
      <c r="G61" s="9"/>
      <c r="H61" s="10">
        <v>46161</v>
      </c>
      <c r="I61" s="10"/>
      <c r="J61" s="10"/>
    </row>
    <row r="62" spans="1:10" ht="14.25" customHeight="1">
      <c r="A62" s="9" t="s">
        <v>40</v>
      </c>
      <c r="B62" s="9" t="s">
        <v>42</v>
      </c>
      <c r="C62" s="9" t="s">
        <v>99</v>
      </c>
      <c r="D62" s="9" t="s">
        <v>401</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206</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206</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206</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206</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206</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206</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206</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206</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206</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206</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206</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402</v>
      </c>
      <c r="B1" s="175"/>
      <c r="C1" s="175"/>
    </row>
    <row r="2" spans="1:3" ht="14.25" customHeight="1">
      <c r="A2" s="8" t="s">
        <v>0</v>
      </c>
      <c r="B2" s="8" t="s">
        <v>403</v>
      </c>
      <c r="C2" s="8" t="s">
        <v>398</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301</v>
      </c>
      <c r="B14" s="11">
        <v>9</v>
      </c>
      <c r="C14" s="12">
        <v>46387</v>
      </c>
    </row>
    <row r="15" spans="1:3" ht="14.25" customHeight="1">
      <c r="A15" s="11" t="s">
        <v>291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405</v>
      </c>
      <c r="F1" s="1" t="s">
        <v>328</v>
      </c>
      <c r="G1" s="5" t="s">
        <v>406</v>
      </c>
      <c r="H1" s="5" t="s">
        <v>20</v>
      </c>
      <c r="I1" t="s">
        <v>35</v>
      </c>
      <c r="J1" s="5" t="s">
        <v>407</v>
      </c>
      <c r="K1" s="5" t="s">
        <v>128</v>
      </c>
      <c r="L1" s="5" t="s">
        <v>347</v>
      </c>
      <c r="M1" s="1" t="s">
        <v>408</v>
      </c>
      <c r="N1" s="1" t="s">
        <v>409</v>
      </c>
      <c r="R1" t="s">
        <v>13</v>
      </c>
      <c r="T1" t="s">
        <v>410</v>
      </c>
    </row>
    <row r="2" spans="1:20" ht="13.5" customHeight="1">
      <c r="A2" s="2" t="s">
        <v>411</v>
      </c>
      <c r="B2" s="2" t="s">
        <v>412</v>
      </c>
      <c r="C2" s="2" t="s">
        <v>413</v>
      </c>
      <c r="D2" s="2" t="s">
        <v>414</v>
      </c>
      <c r="E2" s="2" t="s">
        <v>415</v>
      </c>
      <c r="F2" s="2" t="s">
        <v>416</v>
      </c>
      <c r="G2" t="s">
        <v>417</v>
      </c>
      <c r="H2" t="s">
        <v>418</v>
      </c>
      <c r="I2" t="s">
        <v>419</v>
      </c>
      <c r="J2" s="29" t="s">
        <v>420</v>
      </c>
      <c r="K2" s="29" t="s">
        <v>421</v>
      </c>
      <c r="L2" s="29" t="s">
        <v>422</v>
      </c>
      <c r="M2" t="s">
        <v>145</v>
      </c>
      <c r="N2" s="45" t="s">
        <v>423</v>
      </c>
      <c r="R2" t="s">
        <v>248</v>
      </c>
      <c r="T2" t="s">
        <v>49</v>
      </c>
    </row>
    <row r="3" spans="1:20" ht="15" customHeight="1">
      <c r="A3" t="s">
        <v>40</v>
      </c>
      <c r="B3" t="s">
        <v>44</v>
      </c>
      <c r="C3" t="s">
        <v>60</v>
      </c>
      <c r="D3" t="s">
        <v>129</v>
      </c>
      <c r="E3" t="s">
        <v>50</v>
      </c>
      <c r="F3" t="s">
        <v>215</v>
      </c>
      <c r="G3" t="s">
        <v>44</v>
      </c>
      <c r="H3" t="s">
        <v>47</v>
      </c>
      <c r="I3" t="s">
        <v>53</v>
      </c>
      <c r="J3" t="s">
        <v>183</v>
      </c>
      <c r="K3" t="s">
        <v>48</v>
      </c>
      <c r="L3" t="s">
        <v>53</v>
      </c>
      <c r="M3" t="s">
        <v>44</v>
      </c>
      <c r="N3" s="45" t="s">
        <v>424</v>
      </c>
      <c r="R3" t="s">
        <v>45</v>
      </c>
      <c r="T3" t="s">
        <v>94</v>
      </c>
    </row>
    <row r="4" spans="1:20" ht="15" customHeight="1">
      <c r="A4" t="s">
        <v>126</v>
      </c>
      <c r="B4" t="s">
        <v>59</v>
      </c>
      <c r="C4" t="s">
        <v>46</v>
      </c>
      <c r="D4" t="s">
        <v>145</v>
      </c>
      <c r="E4" t="s">
        <v>53</v>
      </c>
      <c r="F4" t="s">
        <v>183</v>
      </c>
      <c r="G4" t="s">
        <v>59</v>
      </c>
      <c r="H4" t="s">
        <v>88</v>
      </c>
      <c r="I4" t="s">
        <v>425</v>
      </c>
      <c r="J4" t="s">
        <v>206</v>
      </c>
      <c r="L4" t="s">
        <v>50</v>
      </c>
      <c r="M4" t="s">
        <v>103</v>
      </c>
      <c r="N4" s="45" t="s">
        <v>424</v>
      </c>
      <c r="R4" t="s">
        <v>186</v>
      </c>
      <c r="T4" t="s">
        <v>72</v>
      </c>
    </row>
    <row r="5" spans="1:20" ht="15" customHeight="1">
      <c r="A5" t="s">
        <v>404</v>
      </c>
      <c r="B5" t="s">
        <v>401</v>
      </c>
      <c r="C5" t="s">
        <v>77</v>
      </c>
      <c r="F5" t="s">
        <v>206</v>
      </c>
      <c r="G5" t="s">
        <v>401</v>
      </c>
      <c r="H5" t="s">
        <v>129</v>
      </c>
      <c r="I5" t="s">
        <v>234</v>
      </c>
      <c r="J5" t="s">
        <v>166</v>
      </c>
      <c r="L5" t="s">
        <v>426</v>
      </c>
      <c r="M5" t="s">
        <v>88</v>
      </c>
      <c r="N5" s="45" t="s">
        <v>424</v>
      </c>
    </row>
    <row r="6" spans="1:20" ht="15" customHeight="1">
      <c r="A6" t="s">
        <v>301</v>
      </c>
      <c r="B6" t="s">
        <v>84</v>
      </c>
      <c r="F6" t="s">
        <v>166</v>
      </c>
      <c r="G6" t="s">
        <v>84</v>
      </c>
      <c r="H6" t="s">
        <v>145</v>
      </c>
      <c r="I6" t="s">
        <v>200</v>
      </c>
      <c r="J6" t="s">
        <v>128</v>
      </c>
      <c r="M6" t="s">
        <v>48</v>
      </c>
      <c r="N6" s="45" t="s">
        <v>424</v>
      </c>
    </row>
    <row r="7" spans="1:20" ht="15" customHeight="1">
      <c r="A7" t="s">
        <v>291</v>
      </c>
      <c r="B7" t="s">
        <v>65</v>
      </c>
      <c r="F7" t="s">
        <v>128</v>
      </c>
      <c r="G7" t="s">
        <v>65</v>
      </c>
      <c r="H7" t="s">
        <v>386</v>
      </c>
      <c r="I7" t="s">
        <v>427</v>
      </c>
      <c r="M7" t="s">
        <v>129</v>
      </c>
      <c r="N7" s="45" t="s">
        <v>424</v>
      </c>
    </row>
    <row r="8" spans="1:20" ht="15" customHeight="1">
      <c r="B8" t="s">
        <v>76</v>
      </c>
      <c r="F8" t="s">
        <v>42</v>
      </c>
      <c r="G8" t="s">
        <v>76</v>
      </c>
      <c r="I8" t="s">
        <v>428</v>
      </c>
      <c r="M8" t="s">
        <v>60</v>
      </c>
      <c r="N8" s="45" t="s">
        <v>424</v>
      </c>
    </row>
    <row r="9" spans="1:20" ht="15" customHeight="1">
      <c r="B9" t="s">
        <v>103</v>
      </c>
      <c r="G9" t="s">
        <v>103</v>
      </c>
      <c r="I9" t="s">
        <v>429</v>
      </c>
      <c r="M9" t="s">
        <v>156</v>
      </c>
      <c r="N9" s="45" t="s">
        <v>424</v>
      </c>
    </row>
    <row r="10" spans="1:20" ht="15" customHeight="1">
      <c r="B10" t="s">
        <v>156</v>
      </c>
      <c r="G10" t="s">
        <v>156</v>
      </c>
      <c r="M10" t="s">
        <v>47</v>
      </c>
      <c r="N10" s="45" t="s">
        <v>424</v>
      </c>
    </row>
    <row r="11" spans="1:20">
      <c r="B11" t="s">
        <v>430</v>
      </c>
      <c r="G11" t="s">
        <v>60</v>
      </c>
      <c r="M11" t="s">
        <v>76</v>
      </c>
      <c r="N11" s="45" t="s">
        <v>424</v>
      </c>
    </row>
    <row r="12" spans="1:20">
      <c r="B12" t="s">
        <v>431</v>
      </c>
      <c r="G12" t="s">
        <v>46</v>
      </c>
      <c r="M12" t="s">
        <v>46</v>
      </c>
      <c r="N12" s="45" t="s">
        <v>424</v>
      </c>
    </row>
    <row r="13" spans="1:20">
      <c r="G13" t="s">
        <v>77</v>
      </c>
      <c r="M13" t="s">
        <v>77</v>
      </c>
      <c r="N13" s="45" t="s">
        <v>424</v>
      </c>
    </row>
    <row r="14" spans="1:20">
      <c r="M14" t="s">
        <v>84</v>
      </c>
      <c r="N14" s="45" t="s">
        <v>432</v>
      </c>
    </row>
    <row r="15" spans="1:20">
      <c r="M15" t="s">
        <v>59</v>
      </c>
      <c r="N15" s="45" t="s">
        <v>424</v>
      </c>
    </row>
    <row r="16" spans="1:20">
      <c r="M16" t="s">
        <v>65</v>
      </c>
      <c r="N16" s="45" t="s">
        <v>424</v>
      </c>
    </row>
    <row r="17" spans="13:14">
      <c r="M17" t="s">
        <v>401</v>
      </c>
      <c r="N17" s="45" t="s">
        <v>424</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2026-09-10T19:06:19Z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