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506" documentId="13_ncr:1_{52745E9B-3AA1-4770-AAD3-E6166BFC13AE}" xr6:coauthVersionLast="47" xr6:coauthVersionMax="47" xr10:uidLastSave="{1AFAD69E-976D-434F-AA11-8955DCA68FA5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" i="4" l="1"/>
  <c r="D65" i="2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N115" i="2" a="1"/>
  <c r="AN115" i="2" s="1"/>
  <c r="AN114" i="2" a="1"/>
  <c r="AN114" i="2" s="1"/>
  <c r="AN113" i="2" a="1"/>
  <c r="AN113" i="2" s="1"/>
  <c r="AN112" i="2" a="1"/>
  <c r="AN112" i="2" s="1"/>
  <c r="AN111" i="2" a="1"/>
  <c r="AN111" i="2" s="1"/>
  <c r="AN110" i="2" a="1"/>
  <c r="AN110" i="2" s="1"/>
  <c r="AN109" i="2" a="1"/>
  <c r="AN109" i="2" s="1"/>
  <c r="AN108" i="2" a="1"/>
  <c r="AN108" i="2" s="1"/>
  <c r="AN107" i="2" a="1"/>
  <c r="AN107" i="2" s="1"/>
  <c r="AN106" i="2" a="1"/>
  <c r="AN106" i="2" s="1"/>
  <c r="AN105" i="2" a="1"/>
  <c r="AN105" i="2" s="1"/>
  <c r="AN104" i="2" a="1"/>
  <c r="AN104" i="2" s="1"/>
  <c r="AN103" i="2" a="1"/>
  <c r="AN103" i="2" s="1"/>
  <c r="AN102" i="2" a="1"/>
  <c r="AN102" i="2" s="1"/>
  <c r="AN101" i="2" a="1"/>
  <c r="AN101" i="2" s="1"/>
  <c r="AN100" i="2" a="1"/>
  <c r="AN100" i="2" s="1"/>
  <c r="AN99" i="2" a="1"/>
  <c r="AN99" i="2" s="1"/>
  <c r="AN98" i="2" a="1"/>
  <c r="AN98" i="2" s="1"/>
  <c r="AN97" i="2" a="1"/>
  <c r="AN97" i="2" s="1"/>
  <c r="AN96" i="2" a="1"/>
  <c r="AN96" i="2" s="1"/>
  <c r="AN95" i="2" a="1"/>
  <c r="AN95" i="2" s="1"/>
  <c r="AN94" i="2" a="1"/>
  <c r="AN94" i="2" s="1"/>
  <c r="AN93" i="2" a="1"/>
  <c r="AN93" i="2" s="1"/>
  <c r="AN92" i="2" a="1"/>
  <c r="AN92" i="2" s="1"/>
  <c r="AN91" i="2" a="1"/>
  <c r="AN91" i="2" s="1"/>
  <c r="AN90" i="2" a="1"/>
  <c r="AN90" i="2" s="1"/>
  <c r="AN89" i="2" a="1"/>
  <c r="AN89" i="2" s="1"/>
  <c r="AN88" i="2" a="1"/>
  <c r="AN88" i="2" s="1"/>
  <c r="AN87" i="2" a="1"/>
  <c r="AN87" i="2" s="1"/>
  <c r="AN86" i="2" a="1"/>
  <c r="AN86" i="2" s="1"/>
  <c r="AN85" i="2" a="1"/>
  <c r="AN85" i="2" s="1"/>
  <c r="AN84" i="2" a="1"/>
  <c r="AN84" i="2" s="1"/>
  <c r="AN83" i="2" a="1"/>
  <c r="AN83" i="2" s="1"/>
  <c r="AN82" i="2" a="1"/>
  <c r="AN82" i="2" s="1"/>
  <c r="AN81" i="2" a="1"/>
  <c r="AN81" i="2" s="1"/>
  <c r="AN80" i="2" a="1"/>
  <c r="AN80" i="2" s="1"/>
  <c r="AN79" i="2" a="1"/>
  <c r="AN79" i="2" s="1"/>
  <c r="AN78" i="2" a="1"/>
  <c r="AN78" i="2" s="1"/>
  <c r="AN77" i="2" a="1"/>
  <c r="AN77" i="2" s="1"/>
  <c r="AN76" i="2" a="1"/>
  <c r="AN76" i="2" s="1"/>
  <c r="AN75" i="2" a="1"/>
  <c r="AN75" i="2" s="1"/>
  <c r="AN74" i="2" a="1"/>
  <c r="AN74" i="2" s="1"/>
  <c r="AN73" i="2" a="1"/>
  <c r="AN73" i="2" s="1"/>
  <c r="AN72" i="2" a="1"/>
  <c r="AN72" i="2" s="1"/>
  <c r="AN71" i="2" a="1"/>
  <c r="AN71" i="2" s="1"/>
  <c r="AN70" i="2" a="1"/>
  <c r="AN70" i="2" s="1"/>
  <c r="AN69" i="2" a="1"/>
  <c r="AN69" i="2" s="1"/>
  <c r="AN68" i="2" a="1"/>
  <c r="AN68" i="2" s="1"/>
  <c r="AN67" i="2" a="1"/>
  <c r="AN67" i="2" s="1"/>
  <c r="AN66" i="2" a="1"/>
  <c r="AN66" i="2" s="1"/>
  <c r="AN65" i="2" a="1"/>
  <c r="AN65" i="2" s="1"/>
  <c r="AN64" i="2" a="1"/>
  <c r="AN64" i="2" s="1"/>
  <c r="AN63" i="2" a="1"/>
  <c r="AN63" i="2" s="1"/>
  <c r="AN62" i="2" a="1"/>
  <c r="AN62" i="2" s="1"/>
  <c r="AN61" i="2" a="1"/>
  <c r="AN61" i="2" s="1"/>
  <c r="AN60" i="2" a="1"/>
  <c r="AN60" i="2" s="1"/>
  <c r="AN59" i="2" a="1"/>
  <c r="AN59" i="2" s="1"/>
  <c r="AN58" i="2" a="1"/>
  <c r="AN58" i="2" s="1"/>
  <c r="AN57" i="2" a="1"/>
  <c r="AN57" i="2" s="1"/>
  <c r="AN56" i="2" a="1"/>
  <c r="AN56" i="2" s="1"/>
  <c r="AN55" i="2" a="1"/>
  <c r="AN55" i="2" s="1"/>
  <c r="AN54" i="2" a="1"/>
  <c r="AN54" i="2" s="1"/>
  <c r="AN53" i="2" a="1"/>
  <c r="AN53" i="2" s="1"/>
  <c r="AN52" i="2" a="1"/>
  <c r="AN52" i="2" s="1"/>
  <c r="AN51" i="2" a="1"/>
  <c r="AN51" i="2" s="1"/>
  <c r="AN50" i="2" a="1"/>
  <c r="AN50" i="2" s="1"/>
  <c r="AN49" i="2" a="1"/>
  <c r="AN49" i="2" s="1"/>
  <c r="AN48" i="2" a="1"/>
  <c r="AN48" i="2" s="1"/>
  <c r="AN47" i="2" a="1"/>
  <c r="AN47" i="2" s="1"/>
  <c r="AN46" i="2" a="1"/>
  <c r="AN46" i="2" s="1"/>
  <c r="AN45" i="2" a="1"/>
  <c r="AN45" i="2" s="1"/>
  <c r="D45" i="2" s="1" a="1"/>
  <c r="D45" i="2" s="1"/>
  <c r="AN44" i="2" a="1"/>
  <c r="AN44" i="2" s="1"/>
  <c r="AN43" i="2" a="1"/>
  <c r="AN43" i="2" s="1"/>
  <c r="AN42" i="2" a="1"/>
  <c r="AN42" i="2" s="1"/>
  <c r="D42" i="2" s="1" a="1"/>
  <c r="D42" i="2" s="1"/>
  <c r="AN41" i="2" a="1"/>
  <c r="AN41" i="2" s="1"/>
  <c r="D41" i="2" s="1" a="1"/>
  <c r="D41" i="2" s="1"/>
  <c r="AN40" i="2" a="1"/>
  <c r="AN40" i="2" s="1"/>
  <c r="D40" i="2" s="1" a="1"/>
  <c r="D40" i="2" s="1"/>
  <c r="AN39" i="2" a="1"/>
  <c r="AN39" i="2" s="1"/>
  <c r="D39" i="2" s="1" a="1"/>
  <c r="D39" i="2" s="1"/>
  <c r="AN38" i="2" a="1"/>
  <c r="AN38" i="2" s="1"/>
  <c r="D38" i="2" s="1" a="1"/>
  <c r="D38" i="2" s="1"/>
  <c r="AN37" i="2" a="1"/>
  <c r="AN37" i="2" s="1"/>
  <c r="D37" i="2" s="1" a="1"/>
  <c r="D37" i="2" s="1"/>
  <c r="AN36" i="2" a="1"/>
  <c r="AN36" i="2" s="1"/>
  <c r="AN35" i="2" a="1"/>
  <c r="AN35" i="2" s="1"/>
  <c r="AN34" i="2" a="1"/>
  <c r="AN34" i="2" s="1"/>
  <c r="D34" i="2" s="1" a="1"/>
  <c r="D34" i="2" s="1"/>
  <c r="AN33" i="2" a="1"/>
  <c r="AN33" i="2" s="1"/>
  <c r="D33" i="2" s="1" a="1"/>
  <c r="D33" i="2" s="1"/>
  <c r="AN32" i="2" a="1"/>
  <c r="AN32" i="2" s="1"/>
  <c r="AN31" i="2" a="1"/>
  <c r="AN31" i="2" s="1"/>
  <c r="D31" i="2" s="1" a="1"/>
  <c r="D31" i="2" s="1"/>
  <c r="AN30" i="2" a="1"/>
  <c r="AN30" i="2" s="1"/>
  <c r="D30" i="2" s="1" a="1"/>
  <c r="D30" i="2" s="1"/>
  <c r="AN29" i="2" a="1"/>
  <c r="AN29" i="2" s="1"/>
  <c r="D29" i="2" s="1" a="1"/>
  <c r="D29" i="2" s="1"/>
  <c r="AN28" i="2" a="1"/>
  <c r="AN28" i="2" s="1"/>
  <c r="AN27" i="2" a="1"/>
  <c r="AN27" i="2" s="1"/>
  <c r="AN26" i="2" a="1"/>
  <c r="AN26" i="2" s="1"/>
  <c r="AN25" i="2" a="1"/>
  <c r="AN25" i="2" s="1"/>
  <c r="AN24" i="2" a="1"/>
  <c r="AN24" i="2" s="1"/>
  <c r="AN23" i="2" a="1"/>
  <c r="AN23" i="2" s="1"/>
  <c r="AN22" i="2" a="1"/>
  <c r="AN22" i="2" s="1"/>
  <c r="AN21" i="2" a="1"/>
  <c r="AN21" i="2" s="1"/>
  <c r="AN20" i="2" a="1"/>
  <c r="AN20" i="2" s="1"/>
  <c r="AN19" i="2" a="1"/>
  <c r="AN19" i="2" s="1"/>
  <c r="AN18" i="2" a="1"/>
  <c r="AN18" i="2" s="1"/>
  <c r="AN17" i="2" a="1"/>
  <c r="AN17" i="2" s="1"/>
  <c r="AN16" i="2" a="1"/>
  <c r="AN16" i="2" s="1"/>
  <c r="AN15" i="2" a="1"/>
  <c r="AN15" i="2" s="1"/>
  <c r="AN14" i="2" a="1"/>
  <c r="AN14" i="2" s="1"/>
  <c r="AN13" i="2" a="1"/>
  <c r="AN13" i="2" s="1"/>
  <c r="AN12" i="2" a="1"/>
  <c r="AN12" i="2" s="1"/>
  <c r="AN11" i="2" a="1"/>
  <c r="AN11" i="2" s="1"/>
  <c r="AN10" i="2" a="1"/>
  <c r="AN10" i="2" s="1"/>
  <c r="AN9" i="2" a="1"/>
  <c r="AN9" i="2" s="1"/>
  <c r="AN8" i="2" a="1"/>
  <c r="AN8" i="2" s="1"/>
  <c r="AN7" i="2" a="1"/>
  <c r="AN7" i="2" s="1"/>
  <c r="AN6" i="2" a="1"/>
  <c r="AN6" i="2" s="1"/>
  <c r="AN5" i="2" a="1"/>
  <c r="AN5" i="2" s="1"/>
  <c r="AN4" i="2" a="1"/>
  <c r="AN4" i="2" s="1"/>
  <c r="AN3" i="2" a="1"/>
  <c r="AN3" i="2" s="1"/>
  <c r="AN2" i="2" a="1"/>
  <c r="AN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D61" i="2" s="1" a="1"/>
  <c r="D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D55" i="2" s="1" a="1"/>
  <c r="D55" i="2" s="1"/>
  <c r="AM54" i="2" a="1"/>
  <c r="AM54" i="2" s="1"/>
  <c r="D54" i="2" s="1" a="1"/>
  <c r="D54" i="2" s="1"/>
  <c r="AM53" i="2" a="1"/>
  <c r="AM53" i="2" s="1"/>
  <c r="D53" i="2" s="1" a="1"/>
  <c r="D53" i="2" s="1"/>
  <c r="AM52" i="2" a="1"/>
  <c r="AM52" i="2" s="1"/>
  <c r="D52" i="2" s="1" a="1"/>
  <c r="D52" i="2" s="1"/>
  <c r="AM51" i="2" a="1"/>
  <c r="AM51" i="2" s="1"/>
  <c r="D51" i="2" s="1" a="1"/>
  <c r="D51" i="2" s="1"/>
  <c r="AM50" i="2" a="1"/>
  <c r="AM50" i="2" s="1"/>
  <c r="D50" i="2" s="1" a="1"/>
  <c r="D50" i="2" s="1"/>
  <c r="AM49" i="2" a="1"/>
  <c r="AM49" i="2" s="1"/>
  <c r="D49" i="2" s="1" a="1"/>
  <c r="D49" i="2" s="1"/>
  <c r="AM48" i="2" a="1"/>
  <c r="AM48" i="2" s="1"/>
  <c r="D48" i="2" s="1" a="1"/>
  <c r="D48" i="2" s="1"/>
  <c r="AM47" i="2" a="1"/>
  <c r="AM47" i="2" s="1"/>
  <c r="AM46" i="2" a="1"/>
  <c r="AM46" i="2" s="1"/>
  <c r="D46" i="2" s="1" a="1"/>
  <c r="D46" i="2" s="1"/>
  <c r="AM45" i="2" a="1"/>
  <c r="AM45" i="2" s="1"/>
  <c r="AM44" i="2" a="1"/>
  <c r="AM44" i="2" s="1"/>
  <c r="D44" i="2" s="1" a="1"/>
  <c r="D44" i="2" s="1"/>
  <c r="AM43" i="2" a="1"/>
  <c r="AM43" i="2" s="1"/>
  <c r="D43" i="2" s="1" a="1"/>
  <c r="D43" i="2" s="1"/>
  <c r="AM42" i="2" a="1"/>
  <c r="AM42" i="2" s="1"/>
  <c r="AM41" i="2" a="1"/>
  <c r="AM41" i="2" s="1"/>
  <c r="AM40" i="2" a="1"/>
  <c r="AM40" i="2" s="1"/>
  <c r="AM39" i="2" a="1"/>
  <c r="AM39" i="2" s="1"/>
  <c r="AM38" i="2" a="1"/>
  <c r="AM38" i="2" s="1"/>
  <c r="AM37" i="2" a="1"/>
  <c r="AM37" i="2" s="1"/>
  <c r="AM36" i="2" a="1"/>
  <c r="AM36" i="2" s="1"/>
  <c r="D36" i="2" s="1" a="1"/>
  <c r="D36" i="2" s="1"/>
  <c r="AM35" i="2" a="1"/>
  <c r="AM35" i="2" s="1"/>
  <c r="D35" i="2" s="1" a="1"/>
  <c r="D35" i="2" s="1"/>
  <c r="AM34" i="2" a="1"/>
  <c r="AM34" i="2" s="1"/>
  <c r="AM33" i="2" a="1"/>
  <c r="AM33" i="2" s="1"/>
  <c r="AM32" i="2" a="1"/>
  <c r="AM32" i="2" s="1"/>
  <c r="D32" i="2" s="1" a="1"/>
  <c r="D32" i="2" s="1"/>
  <c r="AM31" i="2" a="1"/>
  <c r="AM31" i="2" s="1"/>
  <c r="AM30" i="2" a="1"/>
  <c r="AM30" i="2" s="1"/>
  <c r="AM29" i="2" a="1"/>
  <c r="AM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K2" i="2"/>
  <c r="AK3" i="2"/>
  <c r="AK4" i="2"/>
  <c r="AK5" i="2"/>
  <c r="AK10" i="2"/>
  <c r="AK11" i="2"/>
  <c r="AK12" i="2"/>
  <c r="AK13" i="2"/>
  <c r="AK14" i="2"/>
  <c r="AK15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4" i="2"/>
  <c r="AK35" i="2"/>
  <c r="AK36" i="2"/>
  <c r="AK37" i="2"/>
  <c r="AK38" i="2"/>
  <c r="AK39" i="2"/>
  <c r="AK40" i="2"/>
  <c r="AK41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<sst xmlns="http://schemas.openxmlformats.org/spreadsheetml/2006/main" count="3006" uniqueCount="425">
  <si>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</si>
  <si>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</si>
  <si>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</si>
  <si>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</si>
  <si>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</si>
  <si>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</si>
  <si>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</si>
  <si>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</si>
  <si>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</si>
  <si>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</si>
  <si>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</si>
  <si>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</si>
  <si>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</si>
  <si>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</si>
  <si>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</si>
  <si>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</si>
  <si>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</si>
  <si>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</si>
  <si>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</si>
  <si>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</si>
  <si>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</si>
  <si>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</si>
  <si>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</si>
  <si>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preety Initial QA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</si>
  <si>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</si>
  <si>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</si>
  <si>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</si>
  <si>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</si>
  <si>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</si>
  <si>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</si>
  <si>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</si>
  <si>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</si>
  <si>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</si>
  <si>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</si>
  <si>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</si>
  <si>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</si>
  <si>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</si>
  <si>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</si>
  <si>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</si>
  <si>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Column1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</si>
  <si>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</si>
  <si>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</si>
  <si>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</si>
  <si>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</si>
  <si>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</si>
  <si>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</si>
  <si>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</si>
  <si>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</si>
  <si>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</si>
  <si>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</si>
  <si>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</si>
  <si>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</si>
  <si>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</si>
  <si>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</si>
  <si>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</si>
  <si>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</si>
  <si>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</si>
  <si>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</si>
  <si>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</si>
  <si>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</si>
  <si>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</si>
  <si>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</si>
  <si>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</si>
  <si>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</si>
  <si>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</si>
  <si>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</si>
  <si>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</si>
  <si>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</si>
  <si>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</si>
  <si>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</si>
  <si>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</si>
  <si>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</si>
  <si>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</si>
  <si>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</si>
  <si>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</si>
  <si>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</si>
  <si>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</si>
  <si>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</si>
  <si>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</si>
  <si>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</si>
  <si>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</si>
  <si>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</si>
  <si>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</si>
  <si>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</si>
  <si>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</si>
  <si>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</si>
  <si>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</si>
  <si>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</si>
  <si>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</si>
  <si>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</si>
  <si>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</si>
  <si>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</si>
  <si>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</si>
  <si>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</si>
  <si>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</si>
  <si>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</si>
  <si>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</si>
  <si>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</si>
  <si>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</si>
  <si>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</si>
  <si>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</si>
  <si>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</si>
  <si>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</si>
  <si>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</si>
  <si>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</si>
  <si>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</si>
  <si>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</si>
  <si>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</si>
  <si>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</si>
  <si>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</si>
  <si>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</si>
  <si>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</si>
  <si>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</si>
  <si>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</si>
  <si>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</si>
  <si>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</si>
  <si>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</si>
  <si>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</si>
  <si>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</si>
  <si>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</si>
  <si>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</si>
  <si>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</si>
  <si>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</si>
  <si>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</si>
  <si>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</si>
  <si>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</si>
  <si>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</si>
  <si>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</si>
  <si>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</si>
  <si>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</si>
  <si>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</si>
  <si>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</si>
  <si>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</si>
  <si>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</si>
  <si>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</si>
  <si>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</si>
  <si>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</si>
  <si>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</si>
  <si>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</si>
  <si>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</si>
  <si>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</si>
  <si>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</si>
  <si>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</si>
  <si>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Yes – needs DB Dev to fix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</si>
  <si>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</si>
  <si>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</si>
  <si>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</si>
  <si>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</si>
  <si>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</si>
  <si>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</si>
  <si>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</si>
  <si>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</si>
  <si>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</si>
  <si>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</si>
  <si>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</si>
  <si>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</si>
  <si>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</si>
  <si>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</si>
  <si>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</si>
  <si>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</si>
  <si>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</si>
  <si>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</si>
  <si>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</si>
  <si>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</si>
  <si>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</si>
  <si>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</si>
  <si>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</si>
  <si>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</si>
  <si>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</si>
  <si>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</si>
  <si>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</si>
  <si>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</si>
  <si>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</si>
  <si>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</si>
  <si>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</si>
  <si>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</si>
  <si>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</si>
  <si>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</si>
  <si>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</si>
  <si>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</si>
  <si>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</si>
  <si>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</si>
  <si>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</si>
  <si>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</si>
  <si>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</si>
  <si>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</si>
  <si>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</si>
  <si>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</si>
  <si>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</si>
  <si>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</si>
  <si>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</si>
  <si>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</si>
  <si>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</si>
  <si>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</si>
  <si>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</si>
  <si>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</si>
  <si>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</si>
  <si>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</si>
  <si>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</si>
  <si>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</si>
  <si>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</si>
  <si>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</si>
  <si>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</si>
  <si>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</si>
  <si>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</si>
  <si>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</si>
  <si>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</si>
  <si>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</si>
  <si>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</si>
  <si>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</si>
  <si>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</si>
  <si>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</si>
  <si>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</si>
  <si>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</si>
  <si>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</si>
  <si>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</si>
  <si>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</si>
  <si>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</si>
  <si>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</si>
  <si>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</si>
  <si>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</si>
  <si>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</si>
  <si>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</si>
  <si>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</si>
  <si>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</si>
  <si>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</si>
  <si>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</si>
  <si>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</si>
  <si>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</si>
  <si>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</si>
  <si>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</si>
  <si>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</si>
  <si>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</si>
  <si>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</si>
  <si>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</si>
  <si>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</si>
  <si>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</si>
  <si>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</si>
  <si>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</si>
  <si>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</si>
  <si>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</si>
  <si>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</si>
  <si>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</si>
  <si>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</si>
  <si>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</si>
  <si>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</si>
  <si>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</si>
  <si>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</si>
  <si>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Raw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</si>
  <si>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</si>
  <si>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</si>
  <si>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</si>
  <si>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</si>
  <si>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</si>
  <si>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</si>
  <si>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</si>
  <si>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</si>
  <si>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</si>
  <si>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</si>
  <si>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</si>
  <si>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</si>
  <si>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</si>
  <si>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</si>
  <si>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</si>
  <si>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</si>
  <si>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</si>
  <si>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</si>
  <si>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</si>
  <si>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PI3, S1</t>
  </si>
  <si>
    <t>RPT_02_Non Emergency Orders</t>
  </si>
  <si>
    <t>RPT_02_Carbon Monoxide</t>
  </si>
  <si>
    <t>Sreevasha</t>
  </si>
  <si>
    <t>Bryan Patterson, Reginald Durham, Simone Brooks</t>
  </si>
  <si>
    <t>RPT_02_All Jobs</t>
  </si>
  <si>
    <t>RPT_02_BCP Service Appointment WOs</t>
  </si>
  <si>
    <t>PI3, S2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</si>
  <si>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</si>
  <si>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</si>
  <si>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</si>
  <si>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</si>
  <si>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</si>
  <si>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</si>
  <si>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</si>
  <si>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</si>
  <si>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</si>
  <si>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</si>
  <si>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</si>
  <si>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</si>
  <si>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</si>
  <si>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</si>
  <si>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</si>
  <si>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</si>
  <si>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</si>
  <si>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</si>
  <si>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</si>
  <si>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</si>
  <si>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</si>
  <si>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</si>
  <si>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</si>
  <si>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</si>
  <si>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</si>
  <si>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</si>
  <si>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</si>
  <si>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</si>
  <si>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</si>
  <si>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</si>
  <si>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</si>
  <si>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</si>
  <si>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</si>
  <si>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</si>
  <si>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</si>
  <si>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</si>
  <si>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</si>
  <si>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</si>
  <si>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</si>
  <si>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</si>
  <si>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</si>
  <si>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</si>
  <si>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</si>
  <si>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</si>
  <si>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</si>
  <si>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</si>
  <si>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</si>
  <si>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</si>
  <si>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</si>
  <si>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</si>
  <si>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</si>
  <si>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</si>
  <si>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</si>
  <si>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</si>
  <si>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</si>
  <si>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</si>
  <si>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</si>
  <si>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</si>
  <si>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</si>
  <si>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</si>
  <si>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</si>
  <si>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</si>
  <si>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</si>
  <si>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</si>
  <si>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</si>
  <si>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</si>
  <si>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</si>
  <si>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</si>
  <si>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</si>
  <si>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</si>
  <si>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</si>
  <si>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</si>
  <si>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</si>
  <si>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</si>
  <si>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</si>
  <si>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</si>
  <si>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</si>
  <si>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</si>
  <si>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</si>
  <si>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</si>
  <si>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</si>
  <si>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</si>
  <si>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</si>
  <si>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</si>
  <si>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</si>
  <si>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</si>
  <si>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</si>
  <si>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</si>
  <si>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</si>
  <si>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</si>
  <si>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</si>
  <si>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</si>
  <si>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</si>
  <si>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</si>
  <si>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</si>
  <si>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</si>
  <si>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</si>
  <si>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</si>
  <si>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</si>
  <si>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</si>
  <si>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</si>
  <si>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</si>
  <si>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</si>
  <si>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</si>
  <si>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</si>
  <si>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</si>
  <si>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Report not working for DPO</t>
  </si>
  <si>
    <t>Access was given to the Semantic Model</t>
  </si>
  <si>
    <t xml:space="preserve">Mismatch for County, phone number, name and phone extension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</si>
  <si>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</si>
  <si>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</si>
  <si>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</si>
  <si>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</si>
  <si>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</si>
  <si>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</si>
  <si>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</si>
  <si>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</si>
  <si>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</si>
  <si>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</si>
  <si>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</si>
  <si>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</si>
  <si>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</si>
  <si>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</si>
  <si>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</si>
  <si>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</si>
  <si>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</si>
  <si>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</si>
  <si>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</si>
  <si>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</si>
  <si>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</si>
  <si>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</si>
  <si>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</si>
  <si>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</si>
  <si>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</si>
  <si>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</si>
  <si>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</si>
  <si>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</si>
  <si>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</si>
  <si>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</si>
  <si>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</si>
  <si>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</si>
  <si>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</si>
  <si>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Olu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</si>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</sst>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28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21" fillId="0" borderId="0" xfId="0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29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N115" dataDxfId="58">
  <autoFilter ref="A1:AN115" xr:uid="{00000000-0009-0000-0100-000001000000}"/>
  <tableColumns count="40">
    <tableColumn id="1" xr3:uid="{00000000-0010-0000-0000-000001000000}" name="Domain" dataDxfId="57"/>
    <tableColumn id="2" xr3:uid="{00000000-0010-0000-0000-000002000000}" name="Report Name" dataDxfId="56"/>
    <tableColumn id="3" xr3:uid="{00000000-0010-0000-0000-000003000000}" name="Current Status  (Update next stage after completion date)" dataDxfId="55"/>
    <tableColumn id="4" xr3:uid="{00000000-0010-0000-0000-000004000000}" name="Status Flag" dataDxfId="54"/>
    <tableColumn id="5" xr3:uid="{00000000-0010-0000-0000-000005000000}" name="Business Value Rank" dataDxfId="53"/>
    <tableColumn id="6" xr3:uid="{00000000-0010-0000-0000-000006000000}" name="PO" dataDxfId="52"/>
    <tableColumn id="10" xr3:uid="{00000000-0010-0000-0000-00000A000000}" name="Schema" dataDxfId="51"/>
    <tableColumn id="11" xr3:uid="{00000000-0010-0000-0000-00000B000000}" name="Plan Delivery Date" dataDxfId="50"/>
    <tableColumn id="12" xr3:uid="{00000000-0010-0000-0000-00000C000000}" name="Plan Delivery Month" dataDxfId="49"/>
    <tableColumn id="7" xr3:uid="{00000000-0010-0000-0000-000007000000}" name="DB Developer" dataDxfId="48"/>
    <tableColumn id="13" xr3:uid="{00000000-0010-0000-0000-00000D000000}" name="DB Dev Baseline Completion Date" dataDxfId="47"/>
    <tableColumn id="30" xr3:uid="{00000000-0010-0000-0000-00001E000000}" name="DB Dev Reforecast Completion Date" dataDxfId="46"/>
    <tableColumn id="14" xr3:uid="{00000000-0010-0000-0000-00000E000000}" name="DB Dev Actual Completion Date" dataDxfId="45"/>
    <tableColumn id="35" xr3:uid="{1A518B0C-8D73-4DAB-8F10-7B4DFF037343}" name="Build Source" dataDxfId="44"/>
    <tableColumn id="28" xr3:uid="{EFCDFAEE-1B00-42CE-9649-7541F5DDC136}" name="Sprint DB" dataDxfId="43"/>
    <tableColumn id="8" xr3:uid="{00000000-0010-0000-0000-000008000000}" name="PBI Developer" dataDxfId="42"/>
    <tableColumn id="15" xr3:uid="{00000000-0010-0000-0000-00000F000000}" name="PBI Dev Baseline Completion Date" dataDxfId="41"/>
    <tableColumn id="31" xr3:uid="{00000000-0010-0000-0000-00001F000000}" name="PBI Dev Reforecast Completion Date" dataDxfId="40"/>
    <tableColumn id="16" xr3:uid="{00000000-0010-0000-0000-000010000000}" name="PBI Dev Actual Completion Date" dataDxfId="39"/>
    <tableColumn id="29" xr3:uid="{4630D178-9B47-4360-A40B-22C7384DB9C9}" name="Sprint PBI" dataDxfId="38"/>
    <tableColumn id="9" xr3:uid="{00000000-0010-0000-0000-000009000000}" name="QA Tester" dataDxfId="37"/>
    <tableColumn id="17" xr3:uid="{00000000-0010-0000-0000-000011000000}" name="QA Baseline Completion Date" dataDxfId="36"/>
    <tableColumn id="32" xr3:uid="{00000000-0010-0000-0000-000020000000}" name="QA Reforecast Completion Date" dataDxfId="35"/>
    <tableColumn id="43" xr3:uid="{4636FA56-7728-4236-AC33-8557B12CD9BB}" name="preety Initial QA Completion Date" dataDxfId="34"/>
    <tableColumn id="18" xr3:uid="{00000000-0010-0000-0000-000012000000}" name="QA Actual Completion Date" dataDxfId="33"/>
    <tableColumn id="34" xr3:uid="{70C5E8CB-08B0-4A84-9B68-89630FC3C5C7}" name="Sprint QA" dataDxfId="32"/>
    <tableColumn id="19" xr3:uid="{00000000-0010-0000-0000-000013000000}" name="DPO Approval Baseline Completion Date" dataDxfId="31"/>
    <tableColumn id="33" xr3:uid="{00000000-0010-0000-0000-000021000000}" name="DPO Approval Reforecast Completion Date" dataDxfId="30"/>
    <tableColumn id="36" xr3:uid="{86D482BF-E7A4-45A2-B2F5-CA0223EBDDD1}" name="DPO Approval Completion Date" dataDxfId="29"/>
    <tableColumn id="20" xr3:uid="{00000000-0010-0000-0000-000014000000}" name="DPO Approval Reviewer" dataDxfId="28"/>
    <tableColumn id="39" xr3:uid="{D4F67DF1-1A6D-469A-AA66-A681F9EBF81F}" name="Report Type" dataDxfId="27"/>
    <tableColumn id="21" xr3:uid="{00000000-0010-0000-0000-000015000000}" name="Confirmed Deployed?" dataDxfId="26"/>
    <tableColumn id="22" xr3:uid="{00000000-0010-0000-0000-000016000000}" name="Confirmed Deployed Date" dataDxfId="25"/>
    <tableColumn id="23" xr3:uid="{00000000-0010-0000-0000-000017000000}" name="UAT Report URL" dataDxfId="24"/>
    <tableColumn id="24" xr3:uid="{00000000-0010-0000-0000-000018000000}" name="Production URL" dataDxfId="23"/>
    <tableColumn id="25" xr3:uid="{00000000-0010-0000-0000-000019000000}" name="Blocked?" dataDxfId="22"/>
    <tableColumn id="26" xr3:uid="{00000000-0010-0000-0000-00001A000000}" name="Data Check" dataDxfId="21"/>
    <tableColumn id="27" xr3:uid="{00000000-0010-0000-0000-00001B000000}" name="Comments" dataDxfId="20"/>
    <tableColumn id="37" xr3:uid="{80A8E094-8F50-434A-A9E3-195269D50436}" name="QA Rework Due_x0009_DPO Rework Due" dataDxfId="19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Column1" dataDxfId="18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N527"/>
  <sheetViews>
    <sheetView tabSelected="1" topLeftCell="A88" zoomScaleNormal="100" workbookViewId="0">
      <pane xSplit="2" topLeftCell="AI1" activePane="topRight" state="frozen"/>
      <selection pane="topRight" activeCell="AN1" sqref="AN1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6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7" customWidth="1"/>
    <col min="17" max="17" width="17" customWidth="1"/>
    <col min="18" max="18" width="19.28515625" customWidth="1"/>
    <col min="19" max="19" width="19" customWidth="1"/>
    <col min="20" max="20" width="16" style="72" customWidth="1"/>
    <col min="21" max="21" width="11" customWidth="1"/>
    <col min="22" max="22" width="13" customWidth="1"/>
    <col min="23" max="23" width="15" customWidth="1"/>
    <col min="24" max="24" width="28" customWidth="1"/>
    <col min="25" max="25" width="13" customWidth="1"/>
    <col min="26" max="27" width="30" customWidth="1"/>
    <col min="28" max="29" width="42" customWidth="1"/>
    <col min="31" max="31" width="15" bestFit="1" customWidth="1"/>
    <col min="35" max="35" width="36.28515625" customWidth="1"/>
    <col min="36" max="36" width="45.7109375" customWidth="1"/>
    <col min="37" max="37" width="9.42578125" bestFit="1" customWidth="1"/>
    <col min="40" max="40" width="9.140625" bestFit="1" customWidth="1"/>
  </cols>
  <sheetData>
    <row r="1" spans="1:40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0" t="s">
        <v>8</v>
      </c>
      <c r="J1" s="58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2" t="s">
        <v>15</v>
      </c>
      <c r="Q1" s="16" t="s">
        <v>16</v>
      </c>
      <c r="R1" s="16" t="s">
        <v>17</v>
      </c>
      <c r="S1" s="16" t="s">
        <v>18</v>
      </c>
      <c r="T1" s="68" t="s">
        <v>19</v>
      </c>
      <c r="U1" s="5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51" t="s">
        <v>26</v>
      </c>
      <c r="AB1" s="18" t="s">
        <v>27</v>
      </c>
      <c r="AC1" s="18" t="s">
        <v>28</v>
      </c>
      <c r="AD1" s="18" t="s">
        <v>29</v>
      </c>
      <c r="AE1" s="18" t="s">
        <v>30</v>
      </c>
      <c r="AF1" s="23" t="s">
        <v>31</v>
      </c>
      <c r="AG1" s="19" t="s">
        <v>32</v>
      </c>
      <c r="AH1" s="24" t="s">
        <v>33</v>
      </c>
      <c r="AI1" s="20" t="s">
        <v>34</v>
      </c>
      <c r="AJ1" s="25" t="s">
        <v>35</v>
      </c>
      <c r="AK1" s="26" t="s">
        <v>36</v>
      </c>
      <c r="AL1" s="27" t="s">
        <v>37</v>
      </c>
      <c r="AM1" t="s">
        <v>38</v>
      </c>
      <c r="AN1" t="s">
        <v>39</v>
      </c>
    </row>
    <row r="2" spans="1:40" ht="14.45" hidden="1">
      <c r="A2" s="33" t="s">
        <v>40</v>
      </c>
      <c r="B2" s="33" t="s">
        <v>41</v>
      </c>
      <c r="C2" s="33" t="s">
        <v>42</v>
      </c>
      <c r="D2" t="str" cm="1">
        <f t="array" aca="1" ref="D2" ca="1">IF($B2="","",IF(LEFT($AJ2,3)="Yes","Blocked - "&amp;MID($AJ2,7,100)&amp;IF(SUMPRODUCT(('Rework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track")),IF(C2="QA",_xlfn.LET(_xlpm.tgt,IF(AM2&lt;&gt;"",AM2,IF(W2&lt;&gt;"",W2,V2)),_xlpm.sent,_xlfn.MAXIFS('Rework Log'!$B$3:$B$499,'Rework Log'!$A$3:$A$499,$B2,'Rework Log'!$C$3:$C$499,"QA"),_xlpm.act,IF(AND(Y2&lt;&gt;"",Y2&gt;_xlpm.sent),Y2,""),IF(_xlpm.tgt="","No target set",IF(AND(_xlpm.tgt&lt;TODAY(),_xlpm.act=""),"Overdue","On track"))),IF(C2="DPO Approval",_xlfn.LET(_xlpm.tgt,IF(AN2&lt;&gt;"",AN2,IF(AB2&lt;&gt;"",AB2,AA2)),_xlpm.sent,_xlfn.MAXIFS('Rework Log'!$B$3:$B$499,'Rework Log'!$A$3:$A$499,$B2,'Rework Log'!$C$3:$C$499,"DPO*"),_xlpm.act,IF(AND(AC2&lt;&gt;"",AC2&gt;_xlpm.sent),AC2,""),IF(_xlpm.tgt="","No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5" t="s">
        <v>43</v>
      </c>
      <c r="J2" s="33" t="s">
        <v>44</v>
      </c>
      <c r="K2" s="4">
        <v>46122</v>
      </c>
      <c r="L2" s="36"/>
      <c r="M2" s="36">
        <v>46115</v>
      </c>
      <c r="N2" s="36" t="s">
        <v>45</v>
      </c>
      <c r="O2" s="36"/>
      <c r="P2" s="63" t="s">
        <v>46</v>
      </c>
      <c r="Q2" s="4">
        <v>46129</v>
      </c>
      <c r="R2" s="36"/>
      <c r="S2" s="36">
        <v>46114</v>
      </c>
      <c r="T2" s="69"/>
      <c r="U2" s="33" t="s">
        <v>47</v>
      </c>
      <c r="V2" s="59">
        <v>46136</v>
      </c>
      <c r="W2" s="36"/>
      <c r="X2" s="36"/>
      <c r="Y2" s="36">
        <v>46122</v>
      </c>
      <c r="Z2" s="36"/>
      <c r="AA2" s="52">
        <v>46140</v>
      </c>
      <c r="AB2" s="36"/>
      <c r="AC2" s="36"/>
      <c r="AD2" s="33" t="s">
        <v>48</v>
      </c>
      <c r="AE2" s="33" t="s">
        <v>49</v>
      </c>
      <c r="AF2" s="38" t="s">
        <v>50</v>
      </c>
      <c r="AG2" s="36">
        <v>46122</v>
      </c>
      <c r="AH2" s="39" t="s">
        <v>51</v>
      </c>
      <c r="AI2" s="33" t="s">
        <v>52</v>
      </c>
      <c r="AJ2" s="40" t="s">
        <v>53</v>
      </c>
      <c r="AK2" s="73" t="str">
        <f>IF($B2="","",IF(AND(LEFT($AJ2,3)="Yes",SUMPRODUCT(('Rework Log'!$A$3:$A$499=$B2)*('Rework Log'!$G$3:$G$499&lt;&gt;"Yes")*('Rework Log'!$G$3:$G$499&lt;&gt;"Did not pass re-test"))=0),"Blocked - log it on Rework Log",IF(AND(LEFT($AJ2,3)&lt;&gt;"Yes",SUMPRODUCT(('Rework Log'!$A$3:$A$499=$B2)*('Rework Log'!$G$3:$G$499&lt;&gt;"Yes")*('Rework Log'!$G$3:$G$499&lt;&gt;"Did not pass re-test"))&gt;0),"Open rework row - mark Blocked? or close it",IF(AND($AJ2="Yes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H)",IF(AND($AJ2="Yes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H)",IF(AND($AJ2="Yes – needs QA to fix",Y2&lt;&gt;"",SUMPRODUCT(MAX((('Rework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target",IF(AND(AA2&lt;&gt;"",V2&lt;&gt;"",AA2&lt;V2),"DPO Approval target is before QA target",IF(AND(AG2&lt;&gt;"",AA2&lt;&gt;"",AG2&lt;AA2),"Confirmed Deployed date is before DPO Approval target",""))))))))))))</f>
        <v>Confirmed Deployed date is before DPO Approval target</v>
      </c>
      <c r="AL2" s="41" t="s">
        <v>54</v>
      </c>
      <c r="AM2" s="31" t="str" cm="1">
        <f t="array" ref="AM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" s="31" t="str" cm="1">
        <f t="array" ref="AN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40" ht="14.45" hidden="1">
      <c r="A3" s="33" t="s">
        <v>40</v>
      </c>
      <c r="B3" s="33" t="s">
        <v>55</v>
      </c>
      <c r="C3" s="33" t="s">
        <v>42</v>
      </c>
      <c r="D3" t="str" cm="1">
        <f t="array" aca="1" ref="D3" ca="1">IF($B3="","",IF(LEFT($AJ3,3)="Yes","Blocked - "&amp;MID($AJ3,7,100)&amp;IF(SUMPRODUCT(('Rework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track")),IF(C3="QA",_xlfn.LET(_xlpm.tgt,IF(AM3&lt;&gt;"",AM3,IF(W3&lt;&gt;"",W3,V3)),_xlpm.sent,_xlfn.MAXIFS('Rework Log'!$B$3:$B$499,'Rework Log'!$A$3:$A$499,$B3,'Rework Log'!$C$3:$C$499,"QA"),_xlpm.act,IF(AND(Y3&lt;&gt;"",Y3&gt;_xlpm.sent),Y3,""),IF(_xlpm.tgt="","No target set",IF(AND(_xlpm.tgt&lt;TODAY(),_xlpm.act=""),"Overdue","On track"))),IF(C3="DPO Approval",_xlfn.LET(_xlpm.tgt,IF(AN3&lt;&gt;"",AN3,IF(AB3&lt;&gt;"",AB3,AA3)),_xlpm.sent,_xlfn.MAXIFS('Rework Log'!$B$3:$B$499,'Rework Log'!$A$3:$A$499,$B3,'Rework Log'!$C$3:$C$499,"DPO*"),_xlpm.act,IF(AND(AC3&lt;&gt;"",AC3&gt;_xlpm.sent),AC3,""),IF(_xlpm.tgt="","No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5" t="s">
        <v>43</v>
      </c>
      <c r="J3" s="33" t="s">
        <v>44</v>
      </c>
      <c r="K3" s="4">
        <v>46122</v>
      </c>
      <c r="L3" s="36"/>
      <c r="M3" s="36">
        <v>46115</v>
      </c>
      <c r="N3" s="36" t="s">
        <v>45</v>
      </c>
      <c r="O3" s="36"/>
      <c r="P3" s="63" t="s">
        <v>46</v>
      </c>
      <c r="Q3" s="4">
        <v>46129</v>
      </c>
      <c r="R3" s="36"/>
      <c r="S3" s="36">
        <v>46114</v>
      </c>
      <c r="T3" s="69"/>
      <c r="U3" s="33" t="s">
        <v>47</v>
      </c>
      <c r="V3" s="59">
        <v>46136</v>
      </c>
      <c r="W3" s="36"/>
      <c r="X3" s="36"/>
      <c r="Y3" s="36">
        <v>46122</v>
      </c>
      <c r="Z3" s="36"/>
      <c r="AA3" s="52">
        <v>46140</v>
      </c>
      <c r="AB3" s="36"/>
      <c r="AC3" s="36"/>
      <c r="AD3" s="33" t="s">
        <v>48</v>
      </c>
      <c r="AE3" s="33" t="s">
        <v>49</v>
      </c>
      <c r="AF3" s="38" t="s">
        <v>50</v>
      </c>
      <c r="AG3" s="36">
        <v>46122</v>
      </c>
      <c r="AH3" s="39" t="s">
        <v>56</v>
      </c>
      <c r="AI3" s="33" t="s">
        <v>57</v>
      </c>
      <c r="AJ3" s="40" t="s">
        <v>53</v>
      </c>
      <c r="AK3" s="73" t="e">
        <f>IF($B3="","",IF(AND(LEFT($AJ3,3)="Yes",SUMPRODUCT(('Rework Log'!$A$3:$A$499=$B3)*('Rework Log'!$G$3:$G$499&lt;&gt;"Yes")*('Rework Log'!$G$3:$G$499&lt;&gt;"Did not pass re-test"))=0),"Blocked - log it on Rework Log",IF(AND(LEFT($AJ3,3)&lt;&gt;"Yes",SUMPRODUCT(('Rework Log'!$A$3:$A$499=$B3)*('Rework Log'!$G$3:$G$499&lt;&gt;"Yes")*('Rework Log'!$G$3:$G$499&lt;&gt;"Did not pass re-test"))&gt;0),"Open rework row - mark Blocked? or close it",IF(AND($AJ3="Yes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H)",IF(AND($AJ3="Yes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H)",IF(AND($AJ3="Yes – needs QA to fix",Y3&lt;&gt;"",SUMPRODUCT(MAX((('Rework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target",IF(AND(AG3&lt;&gt;"",#REF!&lt;&gt;"",AG3&lt;#REF!),"Confirmed Deployed date is before DPO Approval target",""))))))))))))</f>
        <v>#REF!</v>
      </c>
      <c r="AL3" s="41" t="s">
        <v>54</v>
      </c>
      <c r="AM3" s="31" t="str" cm="1">
        <f t="array" ref="AM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3" s="31" t="str" cm="1">
        <f t="array" ref="AN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40" ht="14.45" hidden="1">
      <c r="A4" s="33" t="s">
        <v>40</v>
      </c>
      <c r="B4" s="33" t="s">
        <v>58</v>
      </c>
      <c r="C4" s="33" t="s">
        <v>42</v>
      </c>
      <c r="D4" t="str" cm="1">
        <f t="array" aca="1" ref="D4" ca="1">IF($B4="","",IF(LEFT($AJ4,3)="Yes","Blocked - "&amp;MID($AJ4,7,100)&amp;IF(SUMPRODUCT(('Rework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track")),IF(C4="QA",_xlfn.LET(_xlpm.tgt,IF(AM4&lt;&gt;"",AM4,IF(W4&lt;&gt;"",W4,V4)),_xlpm.sent,_xlfn.MAXIFS('Rework Log'!$B$3:$B$499,'Rework Log'!$A$3:$A$499,$B4,'Rework Log'!$C$3:$C$499,"QA"),_xlpm.act,IF(AND(Y4&lt;&gt;"",Y4&gt;_xlpm.sent),Y4,""),IF(_xlpm.tgt="","No target set",IF(AND(_xlpm.tgt&lt;TODAY(),_xlpm.act=""),"Overdue","On track"))),IF(C4="DPO Approval",_xlfn.LET(_xlpm.tgt,IF(AN4&lt;&gt;"",AN4,IF(AB4&lt;&gt;"",AB4,AA4)),_xlpm.sent,_xlfn.MAXIFS('Rework Log'!$B$3:$B$499,'Rework Log'!$A$3:$A$499,$B4,'Rework Log'!$C$3:$C$499,"DPO*"),_xlpm.act,IF(AND(AC4&lt;&gt;"",AC4&gt;_xlpm.sent),AC4,""),IF(_xlpm.tgt="","No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5" t="s">
        <v>43</v>
      </c>
      <c r="J4" s="33" t="s">
        <v>59</v>
      </c>
      <c r="K4" s="4">
        <v>46122</v>
      </c>
      <c r="L4" s="36"/>
      <c r="M4" s="36">
        <v>46115</v>
      </c>
      <c r="N4" s="36" t="s">
        <v>45</v>
      </c>
      <c r="O4" s="36"/>
      <c r="P4" s="63" t="s">
        <v>60</v>
      </c>
      <c r="Q4" s="4">
        <v>46129</v>
      </c>
      <c r="R4" s="36"/>
      <c r="S4" s="36">
        <v>46126</v>
      </c>
      <c r="T4" s="69"/>
      <c r="U4" s="33" t="s">
        <v>47</v>
      </c>
      <c r="V4" s="59">
        <v>46136</v>
      </c>
      <c r="W4" s="36"/>
      <c r="X4" s="36"/>
      <c r="Y4" s="36">
        <v>46122</v>
      </c>
      <c r="Z4" s="36"/>
      <c r="AA4" s="52">
        <v>46140</v>
      </c>
      <c r="AB4" s="36"/>
      <c r="AC4" s="36"/>
      <c r="AD4" s="33" t="s">
        <v>48</v>
      </c>
      <c r="AE4" s="33" t="s">
        <v>49</v>
      </c>
      <c r="AF4" s="38" t="s">
        <v>50</v>
      </c>
      <c r="AG4" s="36">
        <v>46122</v>
      </c>
      <c r="AH4" s="39" t="s">
        <v>61</v>
      </c>
      <c r="AI4" s="33" t="s">
        <v>62</v>
      </c>
      <c r="AJ4" s="40" t="s">
        <v>53</v>
      </c>
      <c r="AK4" s="73" t="str">
        <f>IF($B4="","",IF(AND(LEFT($AJ4,3)="Yes",SUMPRODUCT(('Rework Log'!$A$3:$A$499=$B4)*('Rework Log'!$G$3:$G$499&lt;&gt;"Yes")*('Rework Log'!$G$3:$G$499&lt;&gt;"Did not pass re-test"))=0),"Blocked - log it on Rework Log",IF(AND(LEFT($AJ4,3)&lt;&gt;"Yes",SUMPRODUCT(('Rework Log'!$A$3:$A$499=$B4)*('Rework Log'!$G$3:$G$499&lt;&gt;"Yes")*('Rework Log'!$G$3:$G$499&lt;&gt;"Did not pass re-test"))&gt;0),"Open rework row - mark Blocked? or close it",IF(AND($AJ4="Yes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H)",IF(AND($AJ4="Yes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H)",IF(AND($AJ4="Yes – needs QA to fix",Y4&lt;&gt;"",SUMPRODUCT(MAX((('Rework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target",IF(AND(AA4&lt;&gt;"",V4&lt;&gt;"",AA4&lt;V4),"DPO Approval target is before QA target",IF(AND(AG4&lt;&gt;"",AA4&lt;&gt;"",AG4&lt;AA4),"Confirmed Deployed date is before DPO Approval target",""))))))))))))</f>
        <v>Confirmed Deployed date is before DPO Approval target</v>
      </c>
      <c r="AL4" s="41" t="s">
        <v>63</v>
      </c>
      <c r="AM4" s="31" t="str" cm="1">
        <f t="array" ref="AM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" s="31" t="str" cm="1">
        <f t="array" ref="AN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40" ht="14.45" hidden="1">
      <c r="A5" s="33" t="s">
        <v>40</v>
      </c>
      <c r="B5" s="33" t="s">
        <v>64</v>
      </c>
      <c r="C5" s="33" t="s">
        <v>42</v>
      </c>
      <c r="D5" t="str" cm="1">
        <f t="array" aca="1" ref="D5" ca="1">IF($B5="","",IF(LEFT($AJ5,3)="Yes","Blocked - "&amp;MID($AJ5,7,100)&amp;IF(SUMPRODUCT(('Rework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track")),IF(C5="QA",_xlfn.LET(_xlpm.tgt,IF(AM5&lt;&gt;"",AM5,IF(W5&lt;&gt;"",W5,V5)),_xlpm.sent,_xlfn.MAXIFS('Rework Log'!$B$3:$B$499,'Rework Log'!$A$3:$A$499,$B5,'Rework Log'!$C$3:$C$499,"QA"),_xlpm.act,IF(AND(Y5&lt;&gt;"",Y5&gt;_xlpm.sent),Y5,""),IF(_xlpm.tgt="","No target set",IF(AND(_xlpm.tgt&lt;TODAY(),_xlpm.act=""),"Overdue","On track"))),IF(C5="DPO Approval",_xlfn.LET(_xlpm.tgt,IF(AN5&lt;&gt;"",AN5,IF(AB5&lt;&gt;"",AB5,AA5)),_xlpm.sent,_xlfn.MAXIFS('Rework Log'!$B$3:$B$499,'Rework Log'!$A$3:$A$499,$B5,'Rework Log'!$C$3:$C$499,"DPO*"),_xlpm.act,IF(AND(AC5&lt;&gt;"",AC5&gt;_xlpm.sent),AC5,""),IF(_xlpm.tgt="","No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5" t="s">
        <v>43</v>
      </c>
      <c r="J5" s="33" t="s">
        <v>65</v>
      </c>
      <c r="K5" s="4">
        <v>46122</v>
      </c>
      <c r="L5" s="36"/>
      <c r="M5" s="36">
        <v>46115</v>
      </c>
      <c r="N5" s="36" t="s">
        <v>45</v>
      </c>
      <c r="O5" s="36"/>
      <c r="P5" s="63" t="s">
        <v>46</v>
      </c>
      <c r="Q5" s="4">
        <v>46129</v>
      </c>
      <c r="R5" s="36"/>
      <c r="S5" s="36">
        <v>46120</v>
      </c>
      <c r="T5" s="69"/>
      <c r="U5" s="33" t="s">
        <v>47</v>
      </c>
      <c r="V5" s="59">
        <v>46136</v>
      </c>
      <c r="W5" s="36"/>
      <c r="X5" s="36"/>
      <c r="Y5" s="36">
        <v>46122</v>
      </c>
      <c r="Z5" s="36"/>
      <c r="AA5" s="52">
        <v>46140</v>
      </c>
      <c r="AB5" s="36"/>
      <c r="AC5" s="36"/>
      <c r="AD5" s="33" t="s">
        <v>48</v>
      </c>
      <c r="AE5" s="33" t="s">
        <v>49</v>
      </c>
      <c r="AF5" s="38" t="s">
        <v>50</v>
      </c>
      <c r="AG5" s="36">
        <v>46122</v>
      </c>
      <c r="AH5" s="39" t="s">
        <v>66</v>
      </c>
      <c r="AI5" s="33" t="s">
        <v>67</v>
      </c>
      <c r="AJ5" s="40" t="s">
        <v>53</v>
      </c>
      <c r="AK5" s="73" t="str">
        <f>IF($B5="","",IF(AND(LEFT($AJ5,3)="Yes",SUMPRODUCT(('Rework Log'!$A$3:$A$499=$B5)*('Rework Log'!$G$3:$G$499&lt;&gt;"Yes")*('Rework Log'!$G$3:$G$499&lt;&gt;"Did not pass re-test"))=0),"Blocked - log it on Rework Log",IF(AND(LEFT($AJ5,3)&lt;&gt;"Yes",SUMPRODUCT(('Rework Log'!$A$3:$A$499=$B5)*('Rework Log'!$G$3:$G$499&lt;&gt;"Yes")*('Rework Log'!$G$3:$G$499&lt;&gt;"Did not pass re-test"))&gt;0),"Open rework row - mark Blocked? or close it",IF(AND($AJ5="Yes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H)",IF(AND($AJ5="Yes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H)",IF(AND($AJ5="Yes – needs QA to fix",Y5&lt;&gt;"",SUMPRODUCT(MAX((('Rework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target",IF(AND(AA5&lt;&gt;"",V5&lt;&gt;"",AA5&lt;V5),"DPO Approval target is before QA target",IF(AND(AG5&lt;&gt;"",AA5&lt;&gt;"",AG5&lt;AA5),"Confirmed Deployed date is before DPO Approval target",""))))))))))))</f>
        <v>Confirmed Deployed date is before DPO Approval target</v>
      </c>
      <c r="AL5" s="41" t="s">
        <v>68</v>
      </c>
      <c r="AM5" s="31" t="str" cm="1">
        <f t="array" ref="AM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" s="31" t="str" cm="1">
        <f t="array" ref="AN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40" ht="14.45" hidden="1">
      <c r="A6" s="33" t="s">
        <v>40</v>
      </c>
      <c r="B6" s="33" t="s">
        <v>69</v>
      </c>
      <c r="C6" s="33" t="s">
        <v>42</v>
      </c>
      <c r="D6" t="str" cm="1">
        <f t="array" aca="1" ref="D6" ca="1">IF($B6="","",IF(LEFT($AJ6,3)="Yes","Blocked - "&amp;MID($AJ6,7,100)&amp;IF(SUMPRODUCT(('Rework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track")),IF(C6="QA",_xlfn.LET(_xlpm.tgt,IF(AM6&lt;&gt;"",AM6,IF(W6&lt;&gt;"",W6,V6)),_xlpm.sent,_xlfn.MAXIFS('Rework Log'!$B$3:$B$499,'Rework Log'!$A$3:$A$499,$B6,'Rework Log'!$C$3:$C$499,"QA"),_xlpm.act,IF(AND(Y6&lt;&gt;"",Y6&gt;_xlpm.sent),Y6,""),IF(_xlpm.tgt="","No target set",IF(AND(_xlpm.tgt&lt;TODAY(),_xlpm.act=""),"Overdue","On track"))),IF(C6="DPO Approval",_xlfn.LET(_xlpm.tgt,IF(AN6&lt;&gt;"",AN6,IF(AB6&lt;&gt;"",AB6,AA6)),_xlpm.sent,_xlfn.MAXIFS('Rework Log'!$B$3:$B$499,'Rework Log'!$A$3:$A$499,$B6,'Rework Log'!$C$3:$C$499,"DPO*"),_xlpm.act,IF(AND(AC6&lt;&gt;"",AC6&gt;_xlpm.sent),AC6,""),IF(_xlpm.tgt="","No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5" t="s">
        <v>43</v>
      </c>
      <c r="J6" s="33"/>
      <c r="K6" s="4"/>
      <c r="L6" s="47"/>
      <c r="M6" s="36"/>
      <c r="N6" s="36" t="s">
        <v>45</v>
      </c>
      <c r="O6" s="36"/>
      <c r="P6" s="63"/>
      <c r="Q6" s="4"/>
      <c r="R6" s="43"/>
      <c r="S6" s="36"/>
      <c r="T6" s="69"/>
      <c r="U6" s="33"/>
      <c r="V6" s="59"/>
      <c r="W6" s="43"/>
      <c r="X6" s="36"/>
      <c r="Y6" s="36"/>
      <c r="Z6" s="36"/>
      <c r="AA6" s="52"/>
      <c r="AB6" s="43"/>
      <c r="AC6" s="43"/>
      <c r="AD6" s="33" t="s">
        <v>48</v>
      </c>
      <c r="AE6" s="33" t="s">
        <v>49</v>
      </c>
      <c r="AF6" s="38" t="s">
        <v>50</v>
      </c>
      <c r="AG6" s="36">
        <v>46142</v>
      </c>
      <c r="AH6" s="39"/>
      <c r="AI6" s="33"/>
      <c r="AJ6" s="40"/>
      <c r="AK6" s="48"/>
      <c r="AL6" s="41"/>
      <c r="AM6" s="31" t="str" cm="1">
        <f t="array" ref="AM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" s="31" t="str" cm="1">
        <f t="array" ref="AN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40" ht="14.45" hidden="1">
      <c r="A7" s="33" t="s">
        <v>40</v>
      </c>
      <c r="B7" s="33" t="s">
        <v>70</v>
      </c>
      <c r="C7" s="33" t="s">
        <v>42</v>
      </c>
      <c r="D7" t="str" cm="1">
        <f t="array" aca="1" ref="D7" ca="1">IF($B7="","",IF(LEFT($AJ7,3)="Yes","Blocked - "&amp;MID($AJ7,7,100)&amp;IF(SUMPRODUCT(('Rework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track")),IF(C7="QA",_xlfn.LET(_xlpm.tgt,IF(AM7&lt;&gt;"",AM7,IF(W7&lt;&gt;"",W7,V7)),_xlpm.sent,_xlfn.MAXIFS('Rework Log'!$B$3:$B$499,'Rework Log'!$A$3:$A$499,$B7,'Rework Log'!$C$3:$C$499,"QA"),_xlpm.act,IF(AND(Y7&lt;&gt;"",Y7&gt;_xlpm.sent),Y7,""),IF(_xlpm.tgt="","No target set",IF(AND(_xlpm.tgt&lt;TODAY(),_xlpm.act=""),"Overdue","On track"))),IF(C7="DPO Approval",_xlfn.LET(_xlpm.tgt,IF(AN7&lt;&gt;"",AN7,IF(AB7&lt;&gt;"",AB7,AA7)),_xlpm.sent,_xlfn.MAXIFS('Rework Log'!$B$3:$B$499,'Rework Log'!$A$3:$A$499,$B7,'Rework Log'!$C$3:$C$499,"DPO*"),_xlpm.act,IF(AND(AC7&lt;&gt;"",AC7&gt;_xlpm.sent),AC7,""),IF(_xlpm.tgt="","No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5" t="s">
        <v>43</v>
      </c>
      <c r="J7" s="33"/>
      <c r="K7" s="4"/>
      <c r="L7" s="47"/>
      <c r="M7" s="36"/>
      <c r="N7" s="36" t="s">
        <v>45</v>
      </c>
      <c r="O7" s="36"/>
      <c r="P7" s="63"/>
      <c r="Q7" s="4"/>
      <c r="R7" s="43"/>
      <c r="S7" s="36"/>
      <c r="T7" s="69"/>
      <c r="U7" s="33"/>
      <c r="V7" s="59"/>
      <c r="W7" s="43"/>
      <c r="X7" s="36"/>
      <c r="Y7" s="36"/>
      <c r="Z7" s="36"/>
      <c r="AA7" s="52"/>
      <c r="AB7" s="43"/>
      <c r="AC7" s="43"/>
      <c r="AD7" s="33" t="s">
        <v>48</v>
      </c>
      <c r="AE7" s="33" t="s">
        <v>49</v>
      </c>
      <c r="AF7" s="38" t="s">
        <v>50</v>
      </c>
      <c r="AG7" s="36">
        <v>46142</v>
      </c>
      <c r="AH7" s="39"/>
      <c r="AI7" s="33"/>
      <c r="AJ7" s="40"/>
      <c r="AK7" s="48"/>
      <c r="AL7" s="41"/>
      <c r="AM7" s="31" t="str" cm="1">
        <f t="array" ref="AM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" s="31" t="str" cm="1">
        <f t="array" ref="AN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40" ht="14.45" hidden="1">
      <c r="A8" s="33" t="s">
        <v>40</v>
      </c>
      <c r="B8" s="33" t="s">
        <v>71</v>
      </c>
      <c r="C8" s="33" t="s">
        <v>42</v>
      </c>
      <c r="D8" t="str" cm="1">
        <f t="array" aca="1" ref="D8" ca="1">IF($B8="","",IF(LEFT($AJ8,3)="Yes","Blocked - "&amp;MID($AJ8,7,100)&amp;IF(SUMPRODUCT(('Rework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track")),IF(C8="QA",_xlfn.LET(_xlpm.tgt,IF(AM8&lt;&gt;"",AM8,IF(W8&lt;&gt;"",W8,V8)),_xlpm.sent,_xlfn.MAXIFS('Rework Log'!$B$3:$B$499,'Rework Log'!$A$3:$A$499,$B8,'Rework Log'!$C$3:$C$499,"QA"),_xlpm.act,IF(AND(Y8&lt;&gt;"",Y8&gt;_xlpm.sent),Y8,""),IF(_xlpm.tgt="","No target set",IF(AND(_xlpm.tgt&lt;TODAY(),_xlpm.act=""),"Overdue","On track"))),IF(C8="DPO Approval",_xlfn.LET(_xlpm.tgt,IF(AN8&lt;&gt;"",AN8,IF(AB8&lt;&gt;"",AB8,AA8)),_xlpm.sent,_xlfn.MAXIFS('Rework Log'!$B$3:$B$499,'Rework Log'!$A$3:$A$499,$B8,'Rework Log'!$C$3:$C$499,"DPO*"),_xlpm.act,IF(AND(AC8&lt;&gt;"",AC8&gt;_xlpm.sent),AC8,""),IF(_xlpm.tgt="","No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5" t="s">
        <v>43</v>
      </c>
      <c r="J8" s="33"/>
      <c r="K8" s="4"/>
      <c r="L8" s="47"/>
      <c r="M8" s="36"/>
      <c r="N8" s="36" t="s">
        <v>45</v>
      </c>
      <c r="O8" s="36"/>
      <c r="P8" s="63"/>
      <c r="Q8" s="4"/>
      <c r="R8" s="43"/>
      <c r="S8" s="36"/>
      <c r="T8" s="69"/>
      <c r="U8" s="33"/>
      <c r="V8" s="59"/>
      <c r="W8" s="43"/>
      <c r="X8" s="36"/>
      <c r="Y8" s="36"/>
      <c r="Z8" s="36"/>
      <c r="AA8" s="52"/>
      <c r="AB8" s="43"/>
      <c r="AC8" s="43"/>
      <c r="AD8" s="33" t="s">
        <v>48</v>
      </c>
      <c r="AE8" s="33" t="s">
        <v>72</v>
      </c>
      <c r="AF8" s="38" t="s">
        <v>50</v>
      </c>
      <c r="AG8" s="36">
        <v>46142</v>
      </c>
      <c r="AH8" s="39"/>
      <c r="AI8" s="33"/>
      <c r="AJ8" s="40"/>
      <c r="AK8" s="48"/>
      <c r="AL8" s="41"/>
      <c r="AM8" s="31" t="str" cm="1">
        <f t="array" ref="AM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" s="31" t="str" cm="1">
        <f t="array" ref="AN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40" ht="14.45" hidden="1">
      <c r="A9" s="33" t="s">
        <v>40</v>
      </c>
      <c r="B9" s="33" t="s">
        <v>73</v>
      </c>
      <c r="C9" s="33" t="s">
        <v>42</v>
      </c>
      <c r="D9" t="str" cm="1">
        <f t="array" aca="1" ref="D9" ca="1">IF($B9="","",IF(LEFT($AJ9,3)="Yes","Blocked - "&amp;MID($AJ9,7,100)&amp;IF(SUMPRODUCT(('Rework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track")),IF(C9="QA",_xlfn.LET(_xlpm.tgt,IF(AM9&lt;&gt;"",AM9,IF(W9&lt;&gt;"",W9,V9)),_xlpm.sent,_xlfn.MAXIFS('Rework Log'!$B$3:$B$499,'Rework Log'!$A$3:$A$499,$B9,'Rework Log'!$C$3:$C$499,"QA"),_xlpm.act,IF(AND(Y9&lt;&gt;"",Y9&gt;_xlpm.sent),Y9,""),IF(_xlpm.tgt="","No target set",IF(AND(_xlpm.tgt&lt;TODAY(),_xlpm.act=""),"Overdue","On track"))),IF(C9="DPO Approval",_xlfn.LET(_xlpm.tgt,IF(AN9&lt;&gt;"",AN9,IF(AB9&lt;&gt;"",AB9,AA9)),_xlpm.sent,_xlfn.MAXIFS('Rework Log'!$B$3:$B$499,'Rework Log'!$A$3:$A$499,$B9,'Rework Log'!$C$3:$C$499,"DPO*"),_xlpm.act,IF(AND(AC9&lt;&gt;"",AC9&gt;_xlpm.sent),AC9,""),IF(_xlpm.tgt="","No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5" t="s">
        <v>43</v>
      </c>
      <c r="J9" s="33"/>
      <c r="K9" s="4"/>
      <c r="L9" s="47"/>
      <c r="M9" s="36"/>
      <c r="N9" s="36" t="s">
        <v>45</v>
      </c>
      <c r="O9" s="36"/>
      <c r="P9" s="63"/>
      <c r="Q9" s="4"/>
      <c r="R9" s="43"/>
      <c r="S9" s="36"/>
      <c r="T9" s="69"/>
      <c r="U9" s="33"/>
      <c r="V9" s="59"/>
      <c r="W9" s="43"/>
      <c r="X9" s="36"/>
      <c r="Y9" s="36"/>
      <c r="Z9" s="36"/>
      <c r="AA9" s="52"/>
      <c r="AB9" s="43"/>
      <c r="AC9" s="43"/>
      <c r="AD9" s="33" t="s">
        <v>48</v>
      </c>
      <c r="AE9" s="33" t="s">
        <v>72</v>
      </c>
      <c r="AF9" s="38" t="s">
        <v>50</v>
      </c>
      <c r="AG9" s="36">
        <v>46142</v>
      </c>
      <c r="AH9" s="39"/>
      <c r="AI9" s="33"/>
      <c r="AJ9" s="40"/>
      <c r="AK9" s="48"/>
      <c r="AL9" s="41"/>
      <c r="AM9" s="31" t="str" cm="1">
        <f t="array" ref="AM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" s="31" t="str" cm="1">
        <f t="array" ref="AN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40" ht="14.45" hidden="1">
      <c r="A10" s="33" t="s">
        <v>40</v>
      </c>
      <c r="B10" s="33" t="s">
        <v>74</v>
      </c>
      <c r="C10" s="33" t="s">
        <v>42</v>
      </c>
      <c r="D10" t="str" cm="1">
        <f t="array" aca="1" ref="D10" ca="1">IF($B10="","",IF(LEFT($AJ10,3)="Yes","Blocked - "&amp;MID($AJ10,7,100)&amp;IF(SUMPRODUCT(('Rework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track")),IF(C10="QA",_xlfn.LET(_xlpm.tgt,IF(AM10&lt;&gt;"",AM10,IF(W10&lt;&gt;"",W10,V10)),_xlpm.sent,_xlfn.MAXIFS('Rework Log'!$B$3:$B$499,'Rework Log'!$A$3:$A$499,$B10,'Rework Log'!$C$3:$C$499,"QA"),_xlpm.act,IF(AND(Y10&lt;&gt;"",Y10&gt;_xlpm.sent),Y10,""),IF(_xlpm.tgt="","No target set",IF(AND(_xlpm.tgt&lt;TODAY(),_xlpm.act=""),"Overdue","On track"))),IF(C10="DPO Approval",_xlfn.LET(_xlpm.tgt,IF(AN10&lt;&gt;"",AN10,IF(AB10&lt;&gt;"",AB10,AA10)),_xlpm.sent,_xlfn.MAXIFS('Rework Log'!$B$3:$B$499,'Rework Log'!$A$3:$A$499,$B10,'Rework Log'!$C$3:$C$499,"DPO*"),_xlpm.act,IF(AND(AC10&lt;&gt;"",AC10&gt;_xlpm.sent),AC10,""),IF(_xlpm.tgt="","No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5" t="s">
        <v>75</v>
      </c>
      <c r="J10" s="33" t="s">
        <v>76</v>
      </c>
      <c r="K10" s="4">
        <v>46150</v>
      </c>
      <c r="L10" s="36"/>
      <c r="M10" s="36">
        <v>46157</v>
      </c>
      <c r="N10" s="36" t="s">
        <v>45</v>
      </c>
      <c r="O10" s="36"/>
      <c r="P10" s="63" t="s">
        <v>77</v>
      </c>
      <c r="Q10" s="4">
        <v>46157</v>
      </c>
      <c r="R10" s="36"/>
      <c r="S10" s="36">
        <v>46134</v>
      </c>
      <c r="T10" s="69"/>
      <c r="U10" s="33" t="s">
        <v>47</v>
      </c>
      <c r="V10" s="59">
        <v>46164</v>
      </c>
      <c r="W10" s="36"/>
      <c r="X10" s="36"/>
      <c r="Y10" s="36">
        <v>46134</v>
      </c>
      <c r="Z10" s="36"/>
      <c r="AA10" s="52">
        <v>46169</v>
      </c>
      <c r="AB10" s="36"/>
      <c r="AC10" s="36"/>
      <c r="AD10" s="33" t="s">
        <v>48</v>
      </c>
      <c r="AE10" s="33" t="s">
        <v>72</v>
      </c>
      <c r="AF10" s="38" t="s">
        <v>50</v>
      </c>
      <c r="AG10" s="36">
        <v>46134</v>
      </c>
      <c r="AH10" s="39" t="s">
        <v>78</v>
      </c>
      <c r="AI10" s="33" t="s">
        <v>79</v>
      </c>
      <c r="AJ10" s="40" t="s">
        <v>53</v>
      </c>
      <c r="AK10" s="73" t="str">
        <f>IF($B10="","",IF(AND(LEFT($AJ10,3)="Yes",SUMPRODUCT(('Rework Log'!$A$3:$A$499=$B10)*('Rework Log'!$G$3:$G$499&lt;&gt;"Yes")*('Rework Log'!$G$3:$G$499&lt;&gt;"Did not pass re-test"))=0),"Blocked - log it on Rework Log",IF(AND(LEFT($AJ10,3)&lt;&gt;"Yes",SUMPRODUCT(('Rework Log'!$A$3:$A$499=$B10)*('Rework Log'!$G$3:$G$499&lt;&gt;"Yes")*('Rework Log'!$G$3:$G$499&lt;&gt;"Did not pass re-test"))&gt;0),"Open rework row - mark Blocked? or close it",IF(AND($AJ10="Yes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H)",IF(AND($AJ10="Yes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H)",IF(AND($AJ10="Yes – needs QA to fix",Y10&lt;&gt;"",SUMPRODUCT(MAX((('Rework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target",IF(AND(AA10&lt;&gt;"",V10&lt;&gt;"",AA10&lt;V10),"DPO Approval target is before QA target",IF(AND(AG10&lt;&gt;"",AA10&lt;&gt;"",AG10&lt;AA10),"Confirmed Deployed date is before DPO Approval target",""))))))))))))</f>
        <v>Confirmed Deployed date is before DPO Approval target</v>
      </c>
      <c r="AL10" s="41"/>
      <c r="AM10" s="31" t="str" cm="1">
        <f t="array" ref="AM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" s="31" t="str" cm="1">
        <f t="array" ref="AN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40" ht="14.45" hidden="1">
      <c r="A11" s="33" t="s">
        <v>40</v>
      </c>
      <c r="B11" s="33" t="s">
        <v>80</v>
      </c>
      <c r="C11" s="33" t="s">
        <v>42</v>
      </c>
      <c r="D11" t="str" cm="1">
        <f t="array" aca="1" ref="D11" ca="1">IF($B11="","",IF(LEFT($AJ11,3)="Yes","Blocked - "&amp;MID($AJ11,7,100)&amp;IF(SUMPRODUCT(('Rework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track")),IF(C11="QA",_xlfn.LET(_xlpm.tgt,IF(AM11&lt;&gt;"",AM11,IF(W11&lt;&gt;"",W11,V11)),_xlpm.sent,_xlfn.MAXIFS('Rework Log'!$B$3:$B$499,'Rework Log'!$A$3:$A$499,$B11,'Rework Log'!$C$3:$C$499,"QA"),_xlpm.act,IF(AND(Y11&lt;&gt;"",Y11&gt;_xlpm.sent),Y11,""),IF(_xlpm.tgt="","No target set",IF(AND(_xlpm.tgt&lt;TODAY(),_xlpm.act=""),"Overdue","On track"))),IF(C11="DPO Approval",_xlfn.LET(_xlpm.tgt,IF(AN11&lt;&gt;"",AN11,IF(AB11&lt;&gt;"",AB11,AA11)),_xlpm.sent,_xlfn.MAXIFS('Rework Log'!$B$3:$B$499,'Rework Log'!$A$3:$A$499,$B11,'Rework Log'!$C$3:$C$499,"DPO*"),_xlpm.act,IF(AND(AC11&lt;&gt;"",AC11&gt;_xlpm.sent),AC11,""),IF(_xlpm.tgt="","No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5" t="s">
        <v>75</v>
      </c>
      <c r="J11" s="33" t="s">
        <v>59</v>
      </c>
      <c r="K11" s="4">
        <v>46150</v>
      </c>
      <c r="L11" s="36"/>
      <c r="M11" s="36">
        <v>46157</v>
      </c>
      <c r="N11" s="36" t="s">
        <v>45</v>
      </c>
      <c r="O11" s="36"/>
      <c r="P11" s="64" t="s">
        <v>77</v>
      </c>
      <c r="Q11" s="4">
        <v>46157</v>
      </c>
      <c r="R11" s="36"/>
      <c r="S11" s="36">
        <v>46139</v>
      </c>
      <c r="T11" s="69"/>
      <c r="U11" s="33" t="s">
        <v>47</v>
      </c>
      <c r="V11" s="59">
        <v>46164</v>
      </c>
      <c r="W11" s="36"/>
      <c r="X11" s="36"/>
      <c r="Y11" s="36">
        <v>46139</v>
      </c>
      <c r="Z11" s="36"/>
      <c r="AA11" s="52">
        <v>46169</v>
      </c>
      <c r="AB11" s="36"/>
      <c r="AC11" s="36"/>
      <c r="AD11" s="33" t="s">
        <v>48</v>
      </c>
      <c r="AE11" s="33" t="s">
        <v>72</v>
      </c>
      <c r="AF11" s="38" t="s">
        <v>50</v>
      </c>
      <c r="AG11" s="36">
        <v>46139</v>
      </c>
      <c r="AH11" s="39" t="s">
        <v>81</v>
      </c>
      <c r="AI11" s="33" t="s">
        <v>82</v>
      </c>
      <c r="AJ11" s="40" t="s">
        <v>53</v>
      </c>
      <c r="AK11" s="73" t="str">
        <f>IF($B11="","",IF(AND(LEFT($AJ11,3)="Yes",SUMPRODUCT(('Rework Log'!$A$3:$A$499=$B11)*('Rework Log'!$G$3:$G$499&lt;&gt;"Yes")*('Rework Log'!$G$3:$G$499&lt;&gt;"Did not pass re-test"))=0),"Blocked - log it on Rework Log",IF(AND(LEFT($AJ11,3)&lt;&gt;"Yes",SUMPRODUCT(('Rework Log'!$A$3:$A$499=$B11)*('Rework Log'!$G$3:$G$499&lt;&gt;"Yes")*('Rework Log'!$G$3:$G$499&lt;&gt;"Did not pass re-test"))&gt;0),"Open rework row - mark Blocked? or close it",IF(AND($AJ11="Yes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H)",IF(AND($AJ11="Yes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H)",IF(AND($AJ11="Yes – needs QA to fix",Y11&lt;&gt;"",SUMPRODUCT(MAX((('Rework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target",IF(AND(AA11&lt;&gt;"",V11&lt;&gt;"",AA11&lt;V11),"DPO Approval target is before QA target",IF(AND(AG11&lt;&gt;"",AA11&lt;&gt;"",AG11&lt;AA11),"Confirmed Deployed date is before DPO Approval target",""))))))))))))</f>
        <v>Confirmed Deployed date is before DPO Approval target</v>
      </c>
      <c r="AL11" s="41"/>
      <c r="AM11" s="31" t="str" cm="1">
        <f t="array" ref="AM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" s="31" t="str" cm="1">
        <f t="array" ref="AN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40" ht="14.45" hidden="1">
      <c r="A12" s="33" t="s">
        <v>40</v>
      </c>
      <c r="B12" s="33" t="s">
        <v>83</v>
      </c>
      <c r="C12" s="33" t="s">
        <v>42</v>
      </c>
      <c r="D12" t="str" cm="1">
        <f t="array" aca="1" ref="D12" ca="1">IF($B12="","",IF(LEFT($AJ12,3)="Yes","Blocked - "&amp;MID($AJ12,7,100)&amp;IF(SUMPRODUCT(('Rework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track")),IF(C12="QA",_xlfn.LET(_xlpm.tgt,IF(AM12&lt;&gt;"",AM12,IF(W12&lt;&gt;"",W12,V12)),_xlpm.sent,_xlfn.MAXIFS('Rework Log'!$B$3:$B$499,'Rework Log'!$A$3:$A$499,$B12,'Rework Log'!$C$3:$C$499,"QA"),_xlpm.act,IF(AND(Y12&lt;&gt;"",Y12&gt;_xlpm.sent),Y12,""),IF(_xlpm.tgt="","No target set",IF(AND(_xlpm.tgt&lt;TODAY(),_xlpm.act=""),"Overdue","On track"))),IF(C12="DPO Approval",_xlfn.LET(_xlpm.tgt,IF(AN12&lt;&gt;"",AN12,IF(AB12&lt;&gt;"",AB12,AA12)),_xlpm.sent,_xlfn.MAXIFS('Rework Log'!$B$3:$B$499,'Rework Log'!$A$3:$A$499,$B12,'Rework Log'!$C$3:$C$499,"DPO*"),_xlpm.act,IF(AND(AC12&lt;&gt;"",AC12&gt;_xlpm.sent),AC12,""),IF(_xlpm.tgt="","No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5" t="s">
        <v>75</v>
      </c>
      <c r="J12" s="33" t="s">
        <v>84</v>
      </c>
      <c r="K12" s="4">
        <v>46150</v>
      </c>
      <c r="L12" s="36"/>
      <c r="M12" s="36">
        <v>46157</v>
      </c>
      <c r="N12" s="36" t="s">
        <v>45</v>
      </c>
      <c r="O12" s="36"/>
      <c r="P12" s="63" t="s">
        <v>60</v>
      </c>
      <c r="Q12" s="4">
        <v>46157</v>
      </c>
      <c r="R12" s="36"/>
      <c r="S12" s="36">
        <v>46147</v>
      </c>
      <c r="T12" s="69"/>
      <c r="U12" s="33" t="s">
        <v>47</v>
      </c>
      <c r="V12" s="59">
        <v>46164</v>
      </c>
      <c r="W12" s="36"/>
      <c r="X12" s="36"/>
      <c r="Y12" s="36">
        <v>46147</v>
      </c>
      <c r="Z12" s="36"/>
      <c r="AA12" s="52">
        <v>46169</v>
      </c>
      <c r="AB12" s="36"/>
      <c r="AC12" s="36"/>
      <c r="AD12" s="33" t="s">
        <v>48</v>
      </c>
      <c r="AE12" s="33" t="s">
        <v>49</v>
      </c>
      <c r="AF12" s="38" t="s">
        <v>50</v>
      </c>
      <c r="AG12" s="36">
        <v>46147</v>
      </c>
      <c r="AH12" s="39" t="s">
        <v>85</v>
      </c>
      <c r="AI12" s="33" t="s">
        <v>86</v>
      </c>
      <c r="AJ12" s="40" t="s">
        <v>53</v>
      </c>
      <c r="AK12" s="73" t="str">
        <f>IF($B12="","",IF(AND(LEFT($AJ12,3)="Yes",SUMPRODUCT(('Rework Log'!$A$3:$A$499=$B12)*('Rework Log'!$G$3:$G$499&lt;&gt;"Yes")*('Rework Log'!$G$3:$G$499&lt;&gt;"Did not pass re-test"))=0),"Blocked - log it on Rework Log",IF(AND(LEFT($AJ12,3)&lt;&gt;"Yes",SUMPRODUCT(('Rework Log'!$A$3:$A$499=$B12)*('Rework Log'!$G$3:$G$499&lt;&gt;"Yes")*('Rework Log'!$G$3:$G$499&lt;&gt;"Did not pass re-test"))&gt;0),"Open rework row - mark Blocked? or close it",IF(AND($AJ12="Yes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H)",IF(AND($AJ12="Yes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H)",IF(AND($AJ12="Yes – needs QA to fix",Y12&lt;&gt;"",SUMPRODUCT(MAX((('Rework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target",IF(AND(AA12&lt;&gt;"",V12&lt;&gt;"",AA12&lt;V12),"DPO Approval target is before QA target",IF(AND(AG12&lt;&gt;"",AA12&lt;&gt;"",AG12&lt;AA12),"Confirmed Deployed date is before DPO Approval target",""))))))))))))</f>
        <v>Confirmed Deployed date is before DPO Approval target</v>
      </c>
      <c r="AL12" s="41"/>
      <c r="AM12" s="31" t="str" cm="1">
        <f t="array" ref="AM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2" s="31" t="str" cm="1">
        <f t="array" ref="AN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40" ht="14.45" hidden="1">
      <c r="A13" s="33" t="s">
        <v>40</v>
      </c>
      <c r="B13" s="33" t="s">
        <v>87</v>
      </c>
      <c r="C13" s="33" t="s">
        <v>42</v>
      </c>
      <c r="D13" t="str" cm="1">
        <f t="array" aca="1" ref="D13" ca="1">IF($B13="","",IF(LEFT($AJ13,3)="Yes","Blocked - "&amp;MID($AJ13,7,100)&amp;IF(SUMPRODUCT(('Rework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track")),IF(C13="QA",_xlfn.LET(_xlpm.tgt,IF(AM13&lt;&gt;"",AM13,IF(W13&lt;&gt;"",W13,V13)),_xlpm.sent,_xlfn.MAXIFS('Rework Log'!$B$3:$B$499,'Rework Log'!$A$3:$A$499,$B13,'Rework Log'!$C$3:$C$499,"QA"),_xlpm.act,IF(AND(Y13&lt;&gt;"",Y13&gt;_xlpm.sent),Y13,""),IF(_xlpm.tgt="","No target set",IF(AND(_xlpm.tgt&lt;TODAY(),_xlpm.act=""),"Overdue","On track"))),IF(C13="DPO Approval",_xlfn.LET(_xlpm.tgt,IF(AN13&lt;&gt;"",AN13,IF(AB13&lt;&gt;"",AB13,AA13)),_xlpm.sent,_xlfn.MAXIFS('Rework Log'!$B$3:$B$499,'Rework Log'!$A$3:$A$499,$B13,'Rework Log'!$C$3:$C$499,"DPO*"),_xlpm.act,IF(AND(AC13&lt;&gt;"",AC13&gt;_xlpm.sent),AC13,""),IF(_xlpm.tgt="","No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5" t="s">
        <v>75</v>
      </c>
      <c r="J13" s="33" t="s">
        <v>84</v>
      </c>
      <c r="K13" s="4">
        <v>46150</v>
      </c>
      <c r="L13" s="36"/>
      <c r="M13" s="36">
        <v>46157</v>
      </c>
      <c r="N13" s="36" t="s">
        <v>45</v>
      </c>
      <c r="O13" s="36"/>
      <c r="P13" s="63" t="s">
        <v>46</v>
      </c>
      <c r="Q13" s="4">
        <v>46157</v>
      </c>
      <c r="R13" s="36"/>
      <c r="S13" s="36">
        <v>46175</v>
      </c>
      <c r="T13" s="69"/>
      <c r="U13" s="33" t="s">
        <v>88</v>
      </c>
      <c r="V13" s="59">
        <v>46164</v>
      </c>
      <c r="W13" s="36"/>
      <c r="X13" s="36"/>
      <c r="Y13" s="36">
        <v>46179</v>
      </c>
      <c r="Z13" s="36"/>
      <c r="AA13" s="52">
        <v>46169</v>
      </c>
      <c r="AB13" s="36"/>
      <c r="AC13" s="36"/>
      <c r="AD13" s="33" t="s">
        <v>48</v>
      </c>
      <c r="AE13" s="33" t="s">
        <v>49</v>
      </c>
      <c r="AF13" s="38" t="s">
        <v>50</v>
      </c>
      <c r="AG13" s="36">
        <v>46179</v>
      </c>
      <c r="AH13" s="39" t="s">
        <v>89</v>
      </c>
      <c r="AI13" s="33"/>
      <c r="AJ13" s="40" t="s">
        <v>53</v>
      </c>
      <c r="AK13" s="73" t="str">
        <f>IF($B13="","",IF(AND(LEFT($AJ13,3)="Yes",SUMPRODUCT(('Rework Log'!$A$3:$A$499=$B13)*('Rework Log'!$G$3:$G$499&lt;&gt;"Yes")*('Rework Log'!$G$3:$G$499&lt;&gt;"Did not pass re-test"))=0),"Blocked - log it on Rework Log",IF(AND(LEFT($AJ13,3)&lt;&gt;"Yes",SUMPRODUCT(('Rework Log'!$A$3:$A$499=$B13)*('Rework Log'!$G$3:$G$499&lt;&gt;"Yes")*('Rework Log'!$G$3:$G$499&lt;&gt;"Did not pass re-test"))&gt;0),"Open rework row - mark Blocked? or close it",IF(AND($AJ13="Yes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H)",IF(AND($AJ13="Yes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H)",IF(AND($AJ13="Yes – needs QA to fix",Y13&lt;&gt;"",SUMPRODUCT(MAX((('Rework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target",IF(AND(AA13&lt;&gt;"",V13&lt;&gt;"",AA13&lt;V13),"DPO Approval target is before QA target",IF(AND(AG13&lt;&gt;"",AA13&lt;&gt;"",AG13&lt;AA13),"Confirmed Deployed date is before DPO Approval target",""))))))))))))</f>
        <v/>
      </c>
      <c r="AL13" s="41"/>
      <c r="AM13" s="31" t="str" cm="1">
        <f t="array" ref="AM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3" s="31" t="str" cm="1">
        <f t="array" ref="AN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40" ht="14.45" hidden="1">
      <c r="A14" s="33" t="s">
        <v>40</v>
      </c>
      <c r="B14" s="33" t="s">
        <v>90</v>
      </c>
      <c r="C14" s="33" t="s">
        <v>42</v>
      </c>
      <c r="D14" t="str" cm="1">
        <f t="array" aca="1" ref="D14" ca="1">IF($B14="","",IF(LEFT($AJ14,3)="Yes","Blocked - "&amp;MID($AJ14,7,100)&amp;IF(SUMPRODUCT(('Rework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track")),IF(C14="QA",_xlfn.LET(_xlpm.tgt,IF(AM14&lt;&gt;"",AM14,IF(W14&lt;&gt;"",W14,V14)),_xlpm.sent,_xlfn.MAXIFS('Rework Log'!$B$3:$B$499,'Rework Log'!$A$3:$A$499,$B14,'Rework Log'!$C$3:$C$499,"QA"),_xlpm.act,IF(AND(Y14&lt;&gt;"",Y14&gt;_xlpm.sent),Y14,""),IF(_xlpm.tgt="","No target set",IF(AND(_xlpm.tgt&lt;TODAY(),_xlpm.act=""),"Overdue","On track"))),IF(C14="DPO Approval",_xlfn.LET(_xlpm.tgt,IF(AN14&lt;&gt;"",AN14,IF(AB14&lt;&gt;"",AB14,AA14)),_xlpm.sent,_xlfn.MAXIFS('Rework Log'!$B$3:$B$499,'Rework Log'!$A$3:$A$499,$B14,'Rework Log'!$C$3:$C$499,"DPO*"),_xlpm.act,IF(AND(AC14&lt;&gt;"",AC14&gt;_xlpm.sent),AC14,""),IF(_xlpm.tgt="","No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5" t="s">
        <v>75</v>
      </c>
      <c r="J14" s="33" t="s">
        <v>44</v>
      </c>
      <c r="K14" s="4">
        <v>46150</v>
      </c>
      <c r="L14" s="36"/>
      <c r="M14" s="36">
        <v>46157</v>
      </c>
      <c r="N14" s="36" t="s">
        <v>45</v>
      </c>
      <c r="O14" s="36"/>
      <c r="P14" s="63" t="s">
        <v>60</v>
      </c>
      <c r="Q14" s="4">
        <v>46157</v>
      </c>
      <c r="R14" s="36"/>
      <c r="S14" s="36">
        <v>46143</v>
      </c>
      <c r="T14" s="69"/>
      <c r="U14" s="33" t="s">
        <v>88</v>
      </c>
      <c r="V14" s="59">
        <v>46164</v>
      </c>
      <c r="W14" s="36"/>
      <c r="X14" s="36"/>
      <c r="Y14" s="36">
        <v>46175</v>
      </c>
      <c r="Z14" s="36"/>
      <c r="AA14" s="52">
        <v>46169</v>
      </c>
      <c r="AB14" s="36"/>
      <c r="AC14" s="36"/>
      <c r="AD14" s="33" t="s">
        <v>48</v>
      </c>
      <c r="AE14" s="33" t="s">
        <v>72</v>
      </c>
      <c r="AF14" s="38" t="s">
        <v>50</v>
      </c>
      <c r="AG14" s="36">
        <v>46184</v>
      </c>
      <c r="AH14" s="39" t="s">
        <v>91</v>
      </c>
      <c r="AI14" s="33" t="s">
        <v>92</v>
      </c>
      <c r="AJ14" s="40" t="s">
        <v>53</v>
      </c>
      <c r="AK14" s="73" t="str">
        <f>IF($B14="","",IF(AND(LEFT($AJ14,3)="Yes",SUMPRODUCT(('Rework Log'!$A$3:$A$499=$B14)*('Rework Log'!$G$3:$G$499&lt;&gt;"Yes")*('Rework Log'!$G$3:$G$499&lt;&gt;"Did not pass re-test"))=0),"Blocked - log it on Rework Log",IF(AND(LEFT($AJ14,3)&lt;&gt;"Yes",SUMPRODUCT(('Rework Log'!$A$3:$A$499=$B14)*('Rework Log'!$G$3:$G$499&lt;&gt;"Yes")*('Rework Log'!$G$3:$G$499&lt;&gt;"Did not pass re-test"))&gt;0),"Open rework row - mark Blocked? or close it",IF(AND($AJ14="Yes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H)",IF(AND($AJ14="Yes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H)",IF(AND($AJ14="Yes – needs QA to fix",Y14&lt;&gt;"",SUMPRODUCT(MAX((('Rework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target",IF(AND(AA14&lt;&gt;"",V14&lt;&gt;"",AA14&lt;V14),"DPO Approval target is before QA target",IF(AND(AG14&lt;&gt;"",AA14&lt;&gt;"",AG14&lt;AA14),"Confirmed Deployed date is before DPO Approval target",""))))))))))))</f>
        <v/>
      </c>
      <c r="AL14" s="41"/>
      <c r="AM14" s="31" t="str" cm="1">
        <f t="array" ref="AM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4" s="31" t="str" cm="1">
        <f t="array" ref="AN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40" ht="14.45" hidden="1">
      <c r="A15" s="33" t="s">
        <v>40</v>
      </c>
      <c r="B15" s="33" t="s">
        <v>93</v>
      </c>
      <c r="C15" s="33" t="s">
        <v>42</v>
      </c>
      <c r="D15" t="str" cm="1">
        <f t="array" aca="1" ref="D15" ca="1">IF($B15="","",IF(LEFT($AJ15,3)="Yes","Blocked - "&amp;MID($AJ15,7,100)&amp;IF(SUMPRODUCT(('Rework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track")),IF(C15="QA",_xlfn.LET(_xlpm.tgt,IF(AM15&lt;&gt;"",AM15,IF(W15&lt;&gt;"",W15,V15)),_xlpm.sent,_xlfn.MAXIFS('Rework Log'!$B$3:$B$499,'Rework Log'!$A$3:$A$499,$B15,'Rework Log'!$C$3:$C$499,"QA"),_xlpm.act,IF(AND(Y15&lt;&gt;"",Y15&gt;_xlpm.sent),Y15,""),IF(_xlpm.tgt="","No target set",IF(AND(_xlpm.tgt&lt;TODAY(),_xlpm.act=""),"Overdue","On track"))),IF(C15="DPO Approval",_xlfn.LET(_xlpm.tgt,IF(AN15&lt;&gt;"",AN15,IF(AB15&lt;&gt;"",AB15,AA15)),_xlpm.sent,_xlfn.MAXIFS('Rework Log'!$B$3:$B$499,'Rework Log'!$A$3:$A$499,$B15,'Rework Log'!$C$3:$C$499,"DPO*"),_xlpm.act,IF(AND(AC15&lt;&gt;"",AC15&gt;_xlpm.sent),AC15,""),IF(_xlpm.tgt="","No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5" t="s">
        <v>75</v>
      </c>
      <c r="J15" s="33" t="s">
        <v>44</v>
      </c>
      <c r="K15" s="4">
        <v>46150</v>
      </c>
      <c r="L15" s="36"/>
      <c r="M15" s="36">
        <v>46157</v>
      </c>
      <c r="N15" s="36" t="s">
        <v>45</v>
      </c>
      <c r="O15" s="36"/>
      <c r="P15" s="63" t="s">
        <v>77</v>
      </c>
      <c r="Q15" s="4">
        <v>46157</v>
      </c>
      <c r="R15" s="36"/>
      <c r="S15" s="36">
        <v>46178</v>
      </c>
      <c r="T15" s="69"/>
      <c r="U15" s="33" t="s">
        <v>47</v>
      </c>
      <c r="V15" s="59">
        <v>46164</v>
      </c>
      <c r="W15" s="36"/>
      <c r="X15" s="36"/>
      <c r="Y15" s="36">
        <v>46175</v>
      </c>
      <c r="Z15" s="36"/>
      <c r="AA15" s="52">
        <v>46169</v>
      </c>
      <c r="AB15" s="36"/>
      <c r="AC15" s="36"/>
      <c r="AD15" s="33" t="s">
        <v>48</v>
      </c>
      <c r="AE15" s="33" t="s">
        <v>94</v>
      </c>
      <c r="AF15" s="38" t="s">
        <v>50</v>
      </c>
      <c r="AG15" s="36">
        <v>46192</v>
      </c>
      <c r="AH15" s="39" t="s">
        <v>95</v>
      </c>
      <c r="AI15" s="33"/>
      <c r="AJ15" s="40" t="s">
        <v>53</v>
      </c>
      <c r="AK15" s="73" t="str">
        <f>IF($B15="","",IF(AND(LEFT($AJ15,3)="Yes",SUMPRODUCT(('Rework Log'!$A$3:$A$499=$B15)*('Rework Log'!$G$3:$G$499&lt;&gt;"Yes")*('Rework Log'!$G$3:$G$499&lt;&gt;"Did not pass re-test"))=0),"Blocked - log it on Rework Log",IF(AND(LEFT($AJ15,3)&lt;&gt;"Yes",SUMPRODUCT(('Rework Log'!$A$3:$A$499=$B15)*('Rework Log'!$G$3:$G$499&lt;&gt;"Yes")*('Rework Log'!$G$3:$G$499&lt;&gt;"Did not pass re-test"))&gt;0),"Open rework row - mark Blocked? or close it",IF(AND($AJ15="Yes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H)",IF(AND($AJ15="Yes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H)",IF(AND($AJ15="Yes – needs QA to fix",Y15&lt;&gt;"",SUMPRODUCT(MAX((('Rework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target",IF(AND(AA15&lt;&gt;"",V15&lt;&gt;"",AA15&lt;V15),"DPO Approval target is before QA target",IF(AND(AG15&lt;&gt;"",AA15&lt;&gt;"",AG15&lt;AA15),"Confirmed Deployed date is before DPO Approval target",""))))))))))))</f>
        <v/>
      </c>
      <c r="AL15" s="41" t="s">
        <v>96</v>
      </c>
      <c r="AM15" s="31" t="str" cm="1">
        <f t="array" ref="AM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5" s="31" t="str" cm="1">
        <f t="array" ref="AN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40" ht="14.45" hidden="1">
      <c r="A16" s="33" t="s">
        <v>40</v>
      </c>
      <c r="B16" s="33" t="s">
        <v>97</v>
      </c>
      <c r="C16" s="33" t="s">
        <v>42</v>
      </c>
      <c r="D16" t="str" cm="1">
        <f t="array" aca="1" ref="D16" ca="1">IF($B16="","",IF(LEFT($AJ16,3)="Yes","Blocked - "&amp;MID($AJ16,7,100)&amp;IF(SUMPRODUCT(('Rework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track")),IF(C16="QA",_xlfn.LET(_xlpm.tgt,IF(AM16&lt;&gt;"",AM16,IF(W16&lt;&gt;"",W16,V16)),_xlpm.sent,_xlfn.MAXIFS('Rework Log'!$B$3:$B$499,'Rework Log'!$A$3:$A$499,$B16,'Rework Log'!$C$3:$C$499,"QA"),_xlpm.act,IF(AND(Y16&lt;&gt;"",Y16&gt;_xlpm.sent),Y16,""),IF(_xlpm.tgt="","No target set",IF(AND(_xlpm.tgt&lt;TODAY(),_xlpm.act=""),"Overdue","On track"))),IF(C16="DPO Approval",_xlfn.LET(_xlpm.tgt,IF(AN16&lt;&gt;"",AN16,IF(AB16&lt;&gt;"",AB16,AA16)),_xlpm.sent,_xlfn.MAXIFS('Rework Log'!$B$3:$B$499,'Rework Log'!$A$3:$A$499,$B16,'Rework Log'!$C$3:$C$499,"DPO*"),_xlpm.act,IF(AND(AC16&lt;&gt;"",AC16&gt;_xlpm.sent),AC16,""),IF(_xlpm.tgt="","No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5" t="s">
        <v>75</v>
      </c>
      <c r="J16" s="33"/>
      <c r="K16" s="4"/>
      <c r="L16" s="43"/>
      <c r="M16" s="36"/>
      <c r="N16" s="36" t="s">
        <v>45</v>
      </c>
      <c r="O16" s="36"/>
      <c r="P16" s="63"/>
      <c r="Q16" s="4"/>
      <c r="R16" s="43"/>
      <c r="S16" s="36"/>
      <c r="T16" s="69"/>
      <c r="U16" s="33"/>
      <c r="V16" s="59"/>
      <c r="W16" s="43"/>
      <c r="X16" s="36"/>
      <c r="Y16" s="36"/>
      <c r="Z16" s="36"/>
      <c r="AA16" s="52"/>
      <c r="AB16" s="43"/>
      <c r="AC16" s="43"/>
      <c r="AD16" s="33" t="s">
        <v>48</v>
      </c>
      <c r="AE16" s="33" t="s">
        <v>49</v>
      </c>
      <c r="AF16" s="38" t="s">
        <v>50</v>
      </c>
      <c r="AG16" s="36">
        <v>46203</v>
      </c>
      <c r="AH16" s="39"/>
      <c r="AI16" s="33"/>
      <c r="AJ16" s="40"/>
      <c r="AK16" s="48"/>
      <c r="AL16" s="41"/>
      <c r="AM16" s="31" t="str" cm="1">
        <f t="array" ref="AM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6" s="31" t="str" cm="1">
        <f t="array" ref="AN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40" ht="14.45" hidden="1">
      <c r="A17" s="33" t="s">
        <v>40</v>
      </c>
      <c r="B17" s="33" t="s">
        <v>98</v>
      </c>
      <c r="C17" s="33" t="s">
        <v>42</v>
      </c>
      <c r="D17" t="str" cm="1">
        <f t="array" aca="1" ref="D17" ca="1">IF($B17="","",IF(LEFT($AJ17,3)="Yes","Blocked - "&amp;MID($AJ17,7,100)&amp;IF(SUMPRODUCT(('Rework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track")),IF(C17="QA",_xlfn.LET(_xlpm.tgt,IF(AM17&lt;&gt;"",AM17,IF(W17&lt;&gt;"",W17,V17)),_xlpm.sent,_xlfn.MAXIFS('Rework Log'!$B$3:$B$499,'Rework Log'!$A$3:$A$499,$B17,'Rework Log'!$C$3:$C$499,"QA"),_xlpm.act,IF(AND(Y17&lt;&gt;"",Y17&gt;_xlpm.sent),Y17,""),IF(_xlpm.tgt="","No target set",IF(AND(_xlpm.tgt&lt;TODAY(),_xlpm.act=""),"Overdue","On track"))),IF(C17="DPO Approval",_xlfn.LET(_xlpm.tgt,IF(AN17&lt;&gt;"",AN17,IF(AB17&lt;&gt;"",AB17,AA17)),_xlpm.sent,_xlfn.MAXIFS('Rework Log'!$B$3:$B$499,'Rework Log'!$A$3:$A$499,$B17,'Rework Log'!$C$3:$C$499,"DPO*"),_xlpm.act,IF(AND(AC17&lt;&gt;"",AC17&gt;_xlpm.sent),AC17,""),IF(_xlpm.tgt="","No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5" t="s">
        <v>75</v>
      </c>
      <c r="J17" s="33"/>
      <c r="K17" s="4"/>
      <c r="L17" s="43"/>
      <c r="M17" s="36"/>
      <c r="N17" s="36" t="s">
        <v>45</v>
      </c>
      <c r="O17" s="36"/>
      <c r="P17" s="63"/>
      <c r="Q17" s="4"/>
      <c r="R17" s="43"/>
      <c r="S17" s="36"/>
      <c r="T17" s="69"/>
      <c r="U17" s="33"/>
      <c r="V17" s="59"/>
      <c r="W17" s="43"/>
      <c r="X17" s="36"/>
      <c r="Y17" s="36"/>
      <c r="Z17" s="36"/>
      <c r="AA17" s="52"/>
      <c r="AB17" s="43"/>
      <c r="AC17" s="43"/>
      <c r="AD17" s="33" t="s">
        <v>48</v>
      </c>
      <c r="AE17" s="33" t="s">
        <v>94</v>
      </c>
      <c r="AF17" s="38" t="s">
        <v>50</v>
      </c>
      <c r="AG17" s="36">
        <v>46203</v>
      </c>
      <c r="AH17" s="39"/>
      <c r="AI17" s="33"/>
      <c r="AJ17" s="40"/>
      <c r="AK17" s="48"/>
      <c r="AL17" s="41"/>
      <c r="AM17" s="31" t="str" cm="1">
        <f t="array" ref="AM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7" s="31" t="str" cm="1">
        <f t="array" ref="AN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40" ht="14.45" hidden="1">
      <c r="A18" s="33" t="s">
        <v>40</v>
      </c>
      <c r="B18" s="33" t="s">
        <v>99</v>
      </c>
      <c r="C18" s="33" t="s">
        <v>42</v>
      </c>
      <c r="D18" t="str" cm="1">
        <f t="array" aca="1" ref="D18" ca="1">IF($B18="","",IF(LEFT($AJ18,3)="Yes","Blocked - "&amp;MID($AJ18,7,100)&amp;IF(SUMPRODUCT(('Rework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track")),IF(C18="QA",_xlfn.LET(_xlpm.tgt,IF(AM18&lt;&gt;"",AM18,IF(W18&lt;&gt;"",W18,V18)),_xlpm.sent,_xlfn.MAXIFS('Rework Log'!$B$3:$B$499,'Rework Log'!$A$3:$A$499,$B18,'Rework Log'!$C$3:$C$499,"QA"),_xlpm.act,IF(AND(Y18&lt;&gt;"",Y18&gt;_xlpm.sent),Y18,""),IF(_xlpm.tgt="","No target set",IF(AND(_xlpm.tgt&lt;TODAY(),_xlpm.act=""),"Overdue","On track"))),IF(C18="DPO Approval",_xlfn.LET(_xlpm.tgt,IF(AN18&lt;&gt;"",AN18,IF(AB18&lt;&gt;"",AB18,AA18)),_xlpm.sent,_xlfn.MAXIFS('Rework Log'!$B$3:$B$499,'Rework Log'!$A$3:$A$499,$B18,'Rework Log'!$C$3:$C$499,"DPO*"),_xlpm.act,IF(AND(AC18&lt;&gt;"",AC18&gt;_xlpm.sent),AC18,""),IF(_xlpm.tgt="","No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5" t="s">
        <v>75</v>
      </c>
      <c r="J18" s="33"/>
      <c r="K18" s="4"/>
      <c r="L18" s="43"/>
      <c r="M18" s="36"/>
      <c r="N18" s="36" t="s">
        <v>45</v>
      </c>
      <c r="O18" s="36"/>
      <c r="P18" s="63"/>
      <c r="Q18" s="4"/>
      <c r="R18" s="43"/>
      <c r="S18" s="36"/>
      <c r="T18" s="69"/>
      <c r="U18" s="33"/>
      <c r="V18" s="59"/>
      <c r="W18" s="43"/>
      <c r="X18" s="36"/>
      <c r="Y18" s="36"/>
      <c r="Z18" s="36"/>
      <c r="AA18" s="52"/>
      <c r="AB18" s="43"/>
      <c r="AC18" s="43"/>
      <c r="AD18" s="33" t="s">
        <v>48</v>
      </c>
      <c r="AE18" s="33" t="s">
        <v>49</v>
      </c>
      <c r="AF18" s="38" t="s">
        <v>50</v>
      </c>
      <c r="AG18" s="36">
        <v>46203</v>
      </c>
      <c r="AH18" s="39"/>
      <c r="AI18" s="33"/>
      <c r="AJ18" s="40"/>
      <c r="AK18" s="48"/>
      <c r="AL18" s="41"/>
      <c r="AM18" s="31" t="str" cm="1">
        <f t="array" ref="AM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8" s="31" t="str" cm="1">
        <f t="array" ref="AN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40" ht="14.45" hidden="1">
      <c r="A19" s="33" t="s">
        <v>40</v>
      </c>
      <c r="B19" s="33" t="s">
        <v>100</v>
      </c>
      <c r="C19" s="33" t="s">
        <v>42</v>
      </c>
      <c r="D19" t="str" cm="1">
        <f t="array" aca="1" ref="D19" ca="1">IF($B19="","",IF(LEFT($AJ19,3)="Yes","Blocked - "&amp;MID($AJ19,7,100)&amp;IF(SUMPRODUCT(('Rework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track")),IF(C19="QA",_xlfn.LET(_xlpm.tgt,IF(AM19&lt;&gt;"",AM19,IF(W19&lt;&gt;"",W19,V19)),_xlpm.sent,_xlfn.MAXIFS('Rework Log'!$B$3:$B$499,'Rework Log'!$A$3:$A$499,$B19,'Rework Log'!$C$3:$C$499,"QA"),_xlpm.act,IF(AND(Y19&lt;&gt;"",Y19&gt;_xlpm.sent),Y19,""),IF(_xlpm.tgt="","No target set",IF(AND(_xlpm.tgt&lt;TODAY(),_xlpm.act=""),"Overdue","On track"))),IF(C19="DPO Approval",_xlfn.LET(_xlpm.tgt,IF(AN19&lt;&gt;"",AN19,IF(AB19&lt;&gt;"",AB19,AA19)),_xlpm.sent,_xlfn.MAXIFS('Rework Log'!$B$3:$B$499,'Rework Log'!$A$3:$A$499,$B19,'Rework Log'!$C$3:$C$499,"DPO*"),_xlpm.act,IF(AND(AC19&lt;&gt;"",AC19&gt;_xlpm.sent),AC19,""),IF(_xlpm.tgt="","No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5" t="s">
        <v>75</v>
      </c>
      <c r="J19" s="33"/>
      <c r="K19" s="4"/>
      <c r="L19" s="43"/>
      <c r="M19" s="36"/>
      <c r="N19" s="36" t="s">
        <v>45</v>
      </c>
      <c r="O19" s="36"/>
      <c r="P19" s="63"/>
      <c r="Q19" s="4"/>
      <c r="R19" s="43"/>
      <c r="S19" s="36"/>
      <c r="T19" s="69"/>
      <c r="U19" s="33"/>
      <c r="V19" s="59"/>
      <c r="W19" s="43"/>
      <c r="X19" s="36"/>
      <c r="Y19" s="36"/>
      <c r="Z19" s="36"/>
      <c r="AA19" s="52"/>
      <c r="AB19" s="43"/>
      <c r="AC19" s="43"/>
      <c r="AD19" s="33" t="s">
        <v>48</v>
      </c>
      <c r="AE19" s="33" t="s">
        <v>94</v>
      </c>
      <c r="AF19" s="38" t="s">
        <v>50</v>
      </c>
      <c r="AG19" s="36">
        <v>46203</v>
      </c>
      <c r="AH19" s="39"/>
      <c r="AI19" s="33"/>
      <c r="AJ19" s="40"/>
      <c r="AK19" s="48"/>
      <c r="AL19" s="41"/>
      <c r="AM19" s="31" t="str" cm="1">
        <f t="array" ref="AM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9" s="31" t="str" cm="1">
        <f t="array" ref="AN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40" ht="14.45" hidden="1">
      <c r="A20" s="33" t="s">
        <v>40</v>
      </c>
      <c r="B20" s="33" t="s">
        <v>101</v>
      </c>
      <c r="C20" s="33" t="s">
        <v>42</v>
      </c>
      <c r="D20" t="str" cm="1">
        <f t="array" aca="1" ref="D20" ca="1">IF($B20="","",IF(LEFT($AJ20,3)="Yes","Blocked - "&amp;MID($AJ20,7,100)&amp;IF(SUMPRODUCT(('Rework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track")),IF(C20="QA",_xlfn.LET(_xlpm.tgt,IF(AM20&lt;&gt;"",AM20,IF(W20&lt;&gt;"",W20,V20)),_xlpm.sent,_xlfn.MAXIFS('Rework Log'!$B$3:$B$499,'Rework Log'!$A$3:$A$499,$B20,'Rework Log'!$C$3:$C$499,"QA"),_xlpm.act,IF(AND(Y20&lt;&gt;"",Y20&gt;_xlpm.sent),Y20,""),IF(_xlpm.tgt="","No target set",IF(AND(_xlpm.tgt&lt;TODAY(),_xlpm.act=""),"Overdue","On track"))),IF(C20="DPO Approval",_xlfn.LET(_xlpm.tgt,IF(AN20&lt;&gt;"",AN20,IF(AB20&lt;&gt;"",AB20,AA20)),_xlpm.sent,_xlfn.MAXIFS('Rework Log'!$B$3:$B$499,'Rework Log'!$A$3:$A$499,$B20,'Rework Log'!$C$3:$C$499,"DPO*"),_xlpm.act,IF(AND(AC20&lt;&gt;"",AC20&gt;_xlpm.sent),AC20,""),IF(_xlpm.tgt="","No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5" t="s">
        <v>102</v>
      </c>
      <c r="J20" s="33" t="s">
        <v>103</v>
      </c>
      <c r="K20" s="4">
        <v>46185</v>
      </c>
      <c r="L20" s="36"/>
      <c r="M20" s="36">
        <v>46148</v>
      </c>
      <c r="N20" s="36" t="s">
        <v>45</v>
      </c>
      <c r="O20" s="36"/>
      <c r="P20" s="63" t="s">
        <v>60</v>
      </c>
      <c r="Q20" s="4">
        <v>46192</v>
      </c>
      <c r="R20" s="36"/>
      <c r="S20" s="36">
        <v>46183</v>
      </c>
      <c r="T20" s="69"/>
      <c r="U20" s="33" t="s">
        <v>47</v>
      </c>
      <c r="V20" s="59">
        <v>46199</v>
      </c>
      <c r="W20" s="36"/>
      <c r="X20" s="36"/>
      <c r="Y20" s="36">
        <v>46195</v>
      </c>
      <c r="Z20" s="36"/>
      <c r="AA20" s="52">
        <v>46202</v>
      </c>
      <c r="AB20" s="36"/>
      <c r="AC20" s="36"/>
      <c r="AD20" s="33" t="s">
        <v>104</v>
      </c>
      <c r="AE20" s="33" t="s">
        <v>72</v>
      </c>
      <c r="AF20" s="38" t="s">
        <v>50</v>
      </c>
      <c r="AG20" s="36">
        <v>46195</v>
      </c>
      <c r="AH20" s="39"/>
      <c r="AI20" s="33"/>
      <c r="AJ20" s="40" t="s">
        <v>53</v>
      </c>
      <c r="AK20" s="73" t="str">
        <f>IF($B20="","",IF(AND(LEFT($AJ20,3)="Yes",SUMPRODUCT(('Rework Log'!$A$3:$A$499=$B20)*('Rework Log'!$G$3:$G$499&lt;&gt;"Yes")*('Rework Log'!$G$3:$G$499&lt;&gt;"Did not pass re-test"))=0),"Blocked - log it on Rework Log",IF(AND(LEFT($AJ20,3)&lt;&gt;"Yes",SUMPRODUCT(('Rework Log'!$A$3:$A$499=$B20)*('Rework Log'!$G$3:$G$499&lt;&gt;"Yes")*('Rework Log'!$G$3:$G$499&lt;&gt;"Did not pass re-test"))&gt;0),"Open rework row - mark Blocked? or close it",IF(AND($AJ20="Yes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H)",IF(AND($AJ20="Yes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H)",IF(AND($AJ20="Yes – needs QA to fix",Y20&lt;&gt;"",SUMPRODUCT(MAX((('Rework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target",IF(AND(AA20&lt;&gt;"",V20&lt;&gt;"",AA20&lt;V20),"DPO Approval target is before QA target",IF(AND(AG20&lt;&gt;"",AA20&lt;&gt;"",AG20&lt;AA20),"Confirmed Deployed date is before DPO Approval target",""))))))))))))</f>
        <v>Confirmed Deployed date is before DPO Approval target</v>
      </c>
      <c r="AL20" s="41"/>
      <c r="AM20" s="31" t="str" cm="1">
        <f t="array" ref="AM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0" s="31" t="str" cm="1">
        <f t="array" ref="AN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40" ht="14.45" hidden="1">
      <c r="A21" s="33" t="s">
        <v>40</v>
      </c>
      <c r="B21" s="33" t="s">
        <v>105</v>
      </c>
      <c r="C21" s="33" t="s">
        <v>42</v>
      </c>
      <c r="D21" t="str" cm="1">
        <f t="array" aca="1" ref="D21" ca="1">IF($B21="","",IF(LEFT($AJ21,3)="Yes","Blocked - "&amp;MID($AJ21,7,100)&amp;IF(SUMPRODUCT(('Rework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track")),IF(C21="QA",_xlfn.LET(_xlpm.tgt,IF(AM21&lt;&gt;"",AM21,IF(W21&lt;&gt;"",W21,V21)),_xlpm.sent,_xlfn.MAXIFS('Rework Log'!$B$3:$B$499,'Rework Log'!$A$3:$A$499,$B21,'Rework Log'!$C$3:$C$499,"QA"),_xlpm.act,IF(AND(Y21&lt;&gt;"",Y21&gt;_xlpm.sent),Y21,""),IF(_xlpm.tgt="","No target set",IF(AND(_xlpm.tgt&lt;TODAY(),_xlpm.act=""),"Overdue","On track"))),IF(C21="DPO Approval",_xlfn.LET(_xlpm.tgt,IF(AN21&lt;&gt;"",AN21,IF(AB21&lt;&gt;"",AB21,AA21)),_xlpm.sent,_xlfn.MAXIFS('Rework Log'!$B$3:$B$499,'Rework Log'!$A$3:$A$499,$B21,'Rework Log'!$C$3:$C$499,"DPO*"),_xlpm.act,IF(AND(AC21&lt;&gt;"",AC21&gt;_xlpm.sent),AC21,""),IF(_xlpm.tgt="","No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5" t="s">
        <v>102</v>
      </c>
      <c r="J21" s="33" t="s">
        <v>103</v>
      </c>
      <c r="K21" s="4">
        <v>46185</v>
      </c>
      <c r="L21" s="36"/>
      <c r="M21" s="36">
        <v>46162</v>
      </c>
      <c r="N21" s="36" t="s">
        <v>45</v>
      </c>
      <c r="O21" s="36"/>
      <c r="P21" s="63" t="s">
        <v>77</v>
      </c>
      <c r="Q21" s="4">
        <v>46192</v>
      </c>
      <c r="R21" s="36"/>
      <c r="S21" s="36">
        <v>46182</v>
      </c>
      <c r="T21" s="69"/>
      <c r="U21" s="33" t="s">
        <v>47</v>
      </c>
      <c r="V21" s="59">
        <v>46199</v>
      </c>
      <c r="W21" s="36"/>
      <c r="X21" s="36"/>
      <c r="Y21" s="36">
        <v>46198</v>
      </c>
      <c r="Z21" s="36"/>
      <c r="AA21" s="52">
        <v>46202</v>
      </c>
      <c r="AB21" s="36"/>
      <c r="AC21" s="36"/>
      <c r="AD21" s="33" t="s">
        <v>106</v>
      </c>
      <c r="AE21" s="33" t="s">
        <v>72</v>
      </c>
      <c r="AF21" s="38" t="s">
        <v>50</v>
      </c>
      <c r="AG21" s="36">
        <v>46198</v>
      </c>
      <c r="AH21" s="39"/>
      <c r="AI21" s="33"/>
      <c r="AJ21" s="40" t="s">
        <v>53</v>
      </c>
      <c r="AK21" s="73" t="str">
        <f>IF($B21="","",IF(AND(LEFT($AJ21,3)="Yes",SUMPRODUCT(('Rework Log'!$A$3:$A$499=$B21)*('Rework Log'!$G$3:$G$499&lt;&gt;"Yes")*('Rework Log'!$G$3:$G$499&lt;&gt;"Did not pass re-test"))=0),"Blocked - log it on Rework Log",IF(AND(LEFT($AJ21,3)&lt;&gt;"Yes",SUMPRODUCT(('Rework Log'!$A$3:$A$499=$B21)*('Rework Log'!$G$3:$G$499&lt;&gt;"Yes")*('Rework Log'!$G$3:$G$499&lt;&gt;"Did not pass re-test"))&gt;0),"Open rework row - mark Blocked? or close it",IF(AND($AJ21="Yes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H)",IF(AND($AJ21="Yes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H)",IF(AND($AJ21="Yes – needs QA to fix",Y21&lt;&gt;"",SUMPRODUCT(MAX((('Rework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target",IF(AND(AA21&lt;&gt;"",V21&lt;&gt;"",AA21&lt;V21),"DPO Approval target is before QA target",IF(AND(AG21&lt;&gt;"",AA21&lt;&gt;"",AG21&lt;AA21),"Confirmed Deployed date is before DPO Approval target",""))))))))))))</f>
        <v>Confirmed Deployed date is before DPO Approval target</v>
      </c>
      <c r="AL21" s="41" t="s">
        <v>107</v>
      </c>
      <c r="AM21" s="31" t="str" cm="1">
        <f t="array" ref="AM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1" s="31" t="str" cm="1">
        <f t="array" ref="AN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40" ht="14.45" hidden="1">
      <c r="A22" s="33" t="s">
        <v>40</v>
      </c>
      <c r="B22" s="33" t="s">
        <v>108</v>
      </c>
      <c r="C22" s="33" t="s">
        <v>42</v>
      </c>
      <c r="D22" t="str" cm="1">
        <f t="array" aca="1" ref="D22" ca="1">IF($B22="","",IF(LEFT($AJ22,3)="Yes","Blocked - "&amp;MID($AJ22,7,100)&amp;IF(SUMPRODUCT(('Rework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track")),IF(C22="QA",_xlfn.LET(_xlpm.tgt,IF(AM22&lt;&gt;"",AM22,IF(W22&lt;&gt;"",W22,V22)),_xlpm.sent,_xlfn.MAXIFS('Rework Log'!$B$3:$B$499,'Rework Log'!$A$3:$A$499,$B22,'Rework Log'!$C$3:$C$499,"QA"),_xlpm.act,IF(AND(Y22&lt;&gt;"",Y22&gt;_xlpm.sent),Y22,""),IF(_xlpm.tgt="","No target set",IF(AND(_xlpm.tgt&lt;TODAY(),_xlpm.act=""),"Overdue","On track"))),IF(C22="DPO Approval",_xlfn.LET(_xlpm.tgt,IF(AN22&lt;&gt;"",AN22,IF(AB22&lt;&gt;"",AB22,AA22)),_xlpm.sent,_xlfn.MAXIFS('Rework Log'!$B$3:$B$499,'Rework Log'!$A$3:$A$499,$B22,'Rework Log'!$C$3:$C$499,"DPO*"),_xlpm.act,IF(AND(AC22&lt;&gt;"",AC22&gt;_xlpm.sent),AC22,""),IF(_xlpm.tgt="","No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5" t="s">
        <v>102</v>
      </c>
      <c r="J22" s="33" t="s">
        <v>44</v>
      </c>
      <c r="K22" s="4">
        <v>46185</v>
      </c>
      <c r="L22" s="36"/>
      <c r="M22" s="36">
        <v>46168</v>
      </c>
      <c r="N22" s="36" t="s">
        <v>45</v>
      </c>
      <c r="O22" s="36"/>
      <c r="P22" s="63" t="s">
        <v>60</v>
      </c>
      <c r="Q22" s="4">
        <v>46192</v>
      </c>
      <c r="R22" s="36"/>
      <c r="S22" s="36">
        <v>46183</v>
      </c>
      <c r="T22" s="69"/>
      <c r="U22" s="33" t="s">
        <v>47</v>
      </c>
      <c r="V22" s="59">
        <v>46199</v>
      </c>
      <c r="W22" s="36"/>
      <c r="X22" s="36"/>
      <c r="Y22" s="36">
        <v>46198</v>
      </c>
      <c r="Z22" s="36"/>
      <c r="AA22" s="52">
        <v>46202</v>
      </c>
      <c r="AB22" s="36"/>
      <c r="AC22" s="36"/>
      <c r="AD22" s="33"/>
      <c r="AE22" s="33" t="s">
        <v>72</v>
      </c>
      <c r="AF22" s="38" t="s">
        <v>50</v>
      </c>
      <c r="AG22" s="36">
        <v>46198</v>
      </c>
      <c r="AH22" s="39"/>
      <c r="AI22" s="33"/>
      <c r="AJ22" s="40" t="s">
        <v>53</v>
      </c>
      <c r="AK22" s="73" t="str">
        <f>IF($B22="","",IF(AND(LEFT($AJ22,3)="Yes",SUMPRODUCT(('Rework Log'!$A$3:$A$499=$B22)*('Rework Log'!$G$3:$G$499&lt;&gt;"Yes")*('Rework Log'!$G$3:$G$499&lt;&gt;"Did not pass re-test"))=0),"Blocked - log it on Rework Log",IF(AND(LEFT($AJ22,3)&lt;&gt;"Yes",SUMPRODUCT(('Rework Log'!$A$3:$A$499=$B22)*('Rework Log'!$G$3:$G$499&lt;&gt;"Yes")*('Rework Log'!$G$3:$G$499&lt;&gt;"Did not pass re-test"))&gt;0),"Open rework row - mark Blocked? or close it",IF(AND($AJ22="Yes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H)",IF(AND($AJ22="Yes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H)",IF(AND($AJ22="Yes – needs QA to fix",Y22&lt;&gt;"",SUMPRODUCT(MAX((('Rework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target",IF(AND(AA22&lt;&gt;"",V22&lt;&gt;"",AA22&lt;V22),"DPO Approval target is before QA target",IF(AND(AG22&lt;&gt;"",AA22&lt;&gt;"",AG22&lt;AA22),"Confirmed Deployed date is before DPO Approval target",""))))))))))))</f>
        <v>Confirmed Deployed date is before DPO Approval target</v>
      </c>
      <c r="AL22" s="41"/>
      <c r="AM22" s="31" t="str" cm="1">
        <f t="array" ref="AM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2" s="31" t="str" cm="1">
        <f t="array" ref="AN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40" ht="14.45" hidden="1">
      <c r="A23" s="33" t="s">
        <v>40</v>
      </c>
      <c r="B23" s="33" t="s">
        <v>109</v>
      </c>
      <c r="C23" s="33" t="s">
        <v>42</v>
      </c>
      <c r="D23" t="str" cm="1">
        <f t="array" aca="1" ref="D23" ca="1">IF($B23="","",IF(LEFT($AJ23,3)="Yes","Blocked - "&amp;MID($AJ23,7,100)&amp;IF(SUMPRODUCT(('Rework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track")),IF(C23="QA",_xlfn.LET(_xlpm.tgt,IF(AM23&lt;&gt;"",AM23,IF(W23&lt;&gt;"",W23,V23)),_xlpm.sent,_xlfn.MAXIFS('Rework Log'!$B$3:$B$499,'Rework Log'!$A$3:$A$499,$B23,'Rework Log'!$C$3:$C$499,"QA"),_xlpm.act,IF(AND(Y23&lt;&gt;"",Y23&gt;_xlpm.sent),Y23,""),IF(_xlpm.tgt="","No target set",IF(AND(_xlpm.tgt&lt;TODAY(),_xlpm.act=""),"Overdue","On track"))),IF(C23="DPO Approval",_xlfn.LET(_xlpm.tgt,IF(AN23&lt;&gt;"",AN23,IF(AB23&lt;&gt;"",AB23,AA23)),_xlpm.sent,_xlfn.MAXIFS('Rework Log'!$B$3:$B$499,'Rework Log'!$A$3:$A$499,$B23,'Rework Log'!$C$3:$C$499,"DPO*"),_xlpm.act,IF(AND(AC23&lt;&gt;"",AC23&gt;_xlpm.sent),AC23,""),IF(_xlpm.tgt="","No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5" t="s">
        <v>102</v>
      </c>
      <c r="J23" s="33" t="s">
        <v>44</v>
      </c>
      <c r="K23" s="4">
        <v>46185</v>
      </c>
      <c r="L23" s="36"/>
      <c r="M23" s="36">
        <v>46165</v>
      </c>
      <c r="N23" s="36" t="s">
        <v>45</v>
      </c>
      <c r="O23" s="36"/>
      <c r="P23" s="63" t="s">
        <v>60</v>
      </c>
      <c r="Q23" s="4">
        <v>46192</v>
      </c>
      <c r="R23" s="36"/>
      <c r="S23" s="36">
        <v>46153</v>
      </c>
      <c r="T23" s="69"/>
      <c r="U23" s="33" t="s">
        <v>47</v>
      </c>
      <c r="V23" s="59">
        <v>46199</v>
      </c>
      <c r="W23" s="36"/>
      <c r="X23" s="36"/>
      <c r="Y23" s="36">
        <v>46154</v>
      </c>
      <c r="Z23" s="36"/>
      <c r="AA23" s="52">
        <v>46202</v>
      </c>
      <c r="AB23" s="36"/>
      <c r="AC23" s="36"/>
      <c r="AD23" s="33" t="s">
        <v>110</v>
      </c>
      <c r="AE23" s="33" t="s">
        <v>49</v>
      </c>
      <c r="AF23" s="38" t="s">
        <v>50</v>
      </c>
      <c r="AG23" s="36">
        <v>46184</v>
      </c>
      <c r="AH23" s="39" t="s">
        <v>111</v>
      </c>
      <c r="AI23" s="33" t="s">
        <v>112</v>
      </c>
      <c r="AJ23" s="40" t="s">
        <v>53</v>
      </c>
      <c r="AK23" s="73" t="str">
        <f>IF($B23="","",IF(AND(LEFT($AJ23,3)="Yes",SUMPRODUCT(('Rework Log'!$A$3:$A$499=$B23)*('Rework Log'!$G$3:$G$499&lt;&gt;"Yes")*('Rework Log'!$G$3:$G$499&lt;&gt;"Did not pass re-test"))=0),"Blocked - log it on Rework Log",IF(AND(LEFT($AJ23,3)&lt;&gt;"Yes",SUMPRODUCT(('Rework Log'!$A$3:$A$499=$B23)*('Rework Log'!$G$3:$G$499&lt;&gt;"Yes")*('Rework Log'!$G$3:$G$499&lt;&gt;"Did not pass re-test"))&gt;0),"Open rework row - mark Blocked? or close it",IF(AND($AJ23="Yes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H)",IF(AND($AJ23="Yes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H)",IF(AND($AJ23="Yes – needs QA to fix",Y23&lt;&gt;"",SUMPRODUCT(MAX((('Rework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target",IF(AND(AA23&lt;&gt;"",V23&lt;&gt;"",AA23&lt;V23),"DPO Approval target is before QA target",IF(AND(AG23&lt;&gt;"",AA23&lt;&gt;"",AG23&lt;AA23),"Confirmed Deployed date is before DPO Approval target",""))))))))))))</f>
        <v>Confirmed Deployed date is before DPO Approval target</v>
      </c>
      <c r="AL23" s="41"/>
      <c r="AM23" s="31" t="str" cm="1">
        <f t="array" ref="AM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3" s="31" t="str" cm="1">
        <f t="array" ref="AN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40" ht="14.45" hidden="1">
      <c r="A24" s="33" t="s">
        <v>40</v>
      </c>
      <c r="B24" s="33" t="s">
        <v>113</v>
      </c>
      <c r="C24" s="33" t="s">
        <v>42</v>
      </c>
      <c r="D24" t="str" cm="1">
        <f t="array" aca="1" ref="D24" ca="1">IF($B24="","",IF(LEFT($AJ24,3)="Yes","Blocked - "&amp;MID($AJ24,7,100)&amp;IF(SUMPRODUCT(('Rework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track")),IF(C24="QA",_xlfn.LET(_xlpm.tgt,IF(AM24&lt;&gt;"",AM24,IF(W24&lt;&gt;"",W24,V24)),_xlpm.sent,_xlfn.MAXIFS('Rework Log'!$B$3:$B$499,'Rework Log'!$A$3:$A$499,$B24,'Rework Log'!$C$3:$C$499,"QA"),_xlpm.act,IF(AND(Y24&lt;&gt;"",Y24&gt;_xlpm.sent),Y24,""),IF(_xlpm.tgt="","No target set",IF(AND(_xlpm.tgt&lt;TODAY(),_xlpm.act=""),"Overdue","On track"))),IF(C24="DPO Approval",_xlfn.LET(_xlpm.tgt,IF(AN24&lt;&gt;"",AN24,IF(AB24&lt;&gt;"",AB24,AA24)),_xlpm.sent,_xlfn.MAXIFS('Rework Log'!$B$3:$B$499,'Rework Log'!$A$3:$A$499,$B24,'Rework Log'!$C$3:$C$499,"DPO*"),_xlpm.act,IF(AND(AC24&lt;&gt;"",AC24&gt;_xlpm.sent),AC24,""),IF(_xlpm.tgt="","No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5" t="s">
        <v>102</v>
      </c>
      <c r="J24" s="33" t="s">
        <v>59</v>
      </c>
      <c r="K24" s="4">
        <v>46185</v>
      </c>
      <c r="L24" s="36"/>
      <c r="M24" s="36">
        <v>46162</v>
      </c>
      <c r="N24" s="36" t="s">
        <v>45</v>
      </c>
      <c r="O24" s="36"/>
      <c r="P24" s="63" t="s">
        <v>46</v>
      </c>
      <c r="Q24" s="4">
        <v>46192</v>
      </c>
      <c r="R24" s="36"/>
      <c r="S24" s="36">
        <v>46186</v>
      </c>
      <c r="T24" s="69"/>
      <c r="U24" s="33" t="s">
        <v>88</v>
      </c>
      <c r="V24" s="59">
        <v>46199</v>
      </c>
      <c r="W24" s="36"/>
      <c r="X24" s="36"/>
      <c r="Y24" s="36"/>
      <c r="Z24" s="36"/>
      <c r="AA24" s="52">
        <v>46202</v>
      </c>
      <c r="AB24" s="36"/>
      <c r="AC24" s="36"/>
      <c r="AD24" s="33" t="s">
        <v>114</v>
      </c>
      <c r="AE24" s="33" t="s">
        <v>72</v>
      </c>
      <c r="AF24" s="38" t="s">
        <v>50</v>
      </c>
      <c r="AG24" s="36">
        <v>46227</v>
      </c>
      <c r="AH24" s="39"/>
      <c r="AI24" s="33"/>
      <c r="AJ24" s="40" t="s">
        <v>53</v>
      </c>
      <c r="AK24" s="73" t="str">
        <f>IF($B24="","",IF(AND(LEFT($AJ24,3)="Yes",SUMPRODUCT(('Rework Log'!$A$3:$A$499=$B24)*('Rework Log'!$G$3:$G$499&lt;&gt;"Yes")*('Rework Log'!$G$3:$G$499&lt;&gt;"Did not pass re-test"))=0),"Blocked - log it on Rework Log",IF(AND(LEFT($AJ24,3)&lt;&gt;"Yes",SUMPRODUCT(('Rework Log'!$A$3:$A$499=$B24)*('Rework Log'!$G$3:$G$499&lt;&gt;"Yes")*('Rework Log'!$G$3:$G$499&lt;&gt;"Did not pass re-test"))&gt;0),"Open rework row - mark Blocked? or close it",IF(AND($AJ24="Yes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H)",IF(AND($AJ24="Yes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H)",IF(AND($AJ24="Yes – needs QA to fix",Y24&lt;&gt;"",SUMPRODUCT(MAX((('Rework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target",IF(AND(AA24&lt;&gt;"",V24&lt;&gt;"",AA24&lt;V24),"DPO Approval target is before QA target",IF(AND(AG24&lt;&gt;"",AA24&lt;&gt;"",AG24&lt;AA24),"Confirmed Deployed date is before DPO Approval target",""))))))))))))</f>
        <v/>
      </c>
      <c r="AL24" s="41" t="s">
        <v>115</v>
      </c>
      <c r="AM24" s="31" t="str" cm="1">
        <f t="array" ref="AM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4" s="31" t="str" cm="1">
        <f t="array" ref="AN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40" ht="14.45" hidden="1">
      <c r="A25" s="33" t="s">
        <v>40</v>
      </c>
      <c r="B25" s="33" t="s">
        <v>116</v>
      </c>
      <c r="C25" s="33" t="s">
        <v>42</v>
      </c>
      <c r="D25" t="str" cm="1">
        <f t="array" aca="1" ref="D25" ca="1">IF($B25="","",IF(LEFT($AJ25,3)="Yes","Blocked - "&amp;MID($AJ25,7,100)&amp;IF(SUMPRODUCT(('Rework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track")),IF(C25="QA",_xlfn.LET(_xlpm.tgt,IF(AM25&lt;&gt;"",AM25,IF(W25&lt;&gt;"",W25,V25)),_xlpm.sent,_xlfn.MAXIFS('Rework Log'!$B$3:$B$499,'Rework Log'!$A$3:$A$499,$B25,'Rework Log'!$C$3:$C$499,"QA"),_xlpm.act,IF(AND(Y25&lt;&gt;"",Y25&gt;_xlpm.sent),Y25,""),IF(_xlpm.tgt="","No target set",IF(AND(_xlpm.tgt&lt;TODAY(),_xlpm.act=""),"Overdue","On track"))),IF(C25="DPO Approval",_xlfn.LET(_xlpm.tgt,IF(AN25&lt;&gt;"",AN25,IF(AB25&lt;&gt;"",AB25,AA25)),_xlpm.sent,_xlfn.MAXIFS('Rework Log'!$B$3:$B$499,'Rework Log'!$A$3:$A$499,$B25,'Rework Log'!$C$3:$C$499,"DPO*"),_xlpm.act,IF(AND(AC25&lt;&gt;"",AC25&gt;_xlpm.sent),AC25,""),IF(_xlpm.tgt="","No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5" t="s">
        <v>102</v>
      </c>
      <c r="J25" s="33" t="s">
        <v>59</v>
      </c>
      <c r="K25" s="4">
        <v>46185</v>
      </c>
      <c r="L25" s="36"/>
      <c r="M25" s="36">
        <v>46162</v>
      </c>
      <c r="N25" s="36" t="s">
        <v>45</v>
      </c>
      <c r="O25" s="36"/>
      <c r="P25" s="63" t="s">
        <v>77</v>
      </c>
      <c r="Q25" s="4">
        <v>46192</v>
      </c>
      <c r="R25" s="36"/>
      <c r="S25" s="36">
        <v>46164</v>
      </c>
      <c r="T25" s="69"/>
      <c r="U25" s="33" t="s">
        <v>47</v>
      </c>
      <c r="V25" s="59">
        <v>46199</v>
      </c>
      <c r="W25" s="36"/>
      <c r="X25" s="36"/>
      <c r="Y25" s="36">
        <v>46204</v>
      </c>
      <c r="Z25" s="36"/>
      <c r="AA25" s="52">
        <v>46202</v>
      </c>
      <c r="AB25" s="36"/>
      <c r="AC25" s="36"/>
      <c r="AD25" s="33" t="s">
        <v>110</v>
      </c>
      <c r="AE25" s="33" t="s">
        <v>49</v>
      </c>
      <c r="AF25" s="38" t="s">
        <v>50</v>
      </c>
      <c r="AG25" s="36">
        <v>46204</v>
      </c>
      <c r="AH25" s="39"/>
      <c r="AI25" s="33"/>
      <c r="AJ25" s="40" t="s">
        <v>53</v>
      </c>
      <c r="AK25" s="73" t="str">
        <f>IF($B25="","",IF(AND(LEFT($AJ25,3)="Yes",SUMPRODUCT(('Rework Log'!$A$3:$A$499=$B25)*('Rework Log'!$G$3:$G$499&lt;&gt;"Yes")*('Rework Log'!$G$3:$G$499&lt;&gt;"Did not pass re-test"))=0),"Blocked - log it on Rework Log",IF(AND(LEFT($AJ25,3)&lt;&gt;"Yes",SUMPRODUCT(('Rework Log'!$A$3:$A$499=$B25)*('Rework Log'!$G$3:$G$499&lt;&gt;"Yes")*('Rework Log'!$G$3:$G$499&lt;&gt;"Did not pass re-test"))&gt;0),"Open rework row - mark Blocked? or close it",IF(AND($AJ25="Yes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H)",IF(AND($AJ25="Yes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H)",IF(AND($AJ25="Yes – needs QA to fix",Y25&lt;&gt;"",SUMPRODUCT(MAX((('Rework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target",IF(AND(AA25&lt;&gt;"",V25&lt;&gt;"",AA25&lt;V25),"DPO Approval target is before QA target",IF(AND(AG25&lt;&gt;"",AA25&lt;&gt;"",AG25&lt;AA25),"Confirmed Deployed date is before DPO Approval target",""))))))))))))</f>
        <v/>
      </c>
      <c r="AL25" s="41" t="s">
        <v>115</v>
      </c>
      <c r="AM25" s="31" t="str" cm="1">
        <f t="array" ref="AM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5" s="31" t="str" cm="1">
        <f t="array" ref="AN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40" ht="14.45" hidden="1">
      <c r="A26" s="33" t="s">
        <v>40</v>
      </c>
      <c r="B26" s="33" t="s">
        <v>117</v>
      </c>
      <c r="C26" s="33" t="s">
        <v>42</v>
      </c>
      <c r="D26" t="str" cm="1">
        <f t="array" aca="1" ref="D26" ca="1">IF($B26="","",IF(LEFT($AJ26,3)="Yes","Blocked - "&amp;MID($AJ26,7,100)&amp;IF(SUMPRODUCT(('Rework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track")),IF(C26="QA",_xlfn.LET(_xlpm.tgt,IF(AM26&lt;&gt;"",AM26,IF(W26&lt;&gt;"",W26,V26)),_xlpm.sent,_xlfn.MAXIFS('Rework Log'!$B$3:$B$499,'Rework Log'!$A$3:$A$499,$B26,'Rework Log'!$C$3:$C$499,"QA"),_xlpm.act,IF(AND(Y26&lt;&gt;"",Y26&gt;_xlpm.sent),Y26,""),IF(_xlpm.tgt="","No target set",IF(AND(_xlpm.tgt&lt;TODAY(),_xlpm.act=""),"Overdue","On track"))),IF(C26="DPO Approval",_xlfn.LET(_xlpm.tgt,IF(AN26&lt;&gt;"",AN26,IF(AB26&lt;&gt;"",AB26,AA26)),_xlpm.sent,_xlfn.MAXIFS('Rework Log'!$B$3:$B$499,'Rework Log'!$A$3:$A$499,$B26,'Rework Log'!$C$3:$C$499,"DPO*"),_xlpm.act,IF(AND(AC26&lt;&gt;"",AC26&gt;_xlpm.sent),AC26,""),IF(_xlpm.tgt="","No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5" t="s">
        <v>102</v>
      </c>
      <c r="J26" s="33" t="s">
        <v>118</v>
      </c>
      <c r="K26" s="4">
        <v>46185</v>
      </c>
      <c r="L26" s="36"/>
      <c r="M26" s="36">
        <v>46169</v>
      </c>
      <c r="N26" s="36" t="s">
        <v>45</v>
      </c>
      <c r="O26" s="36"/>
      <c r="P26" s="63" t="s">
        <v>60</v>
      </c>
      <c r="Q26" s="4">
        <v>46192</v>
      </c>
      <c r="R26" s="36"/>
      <c r="S26" s="36">
        <v>46191</v>
      </c>
      <c r="T26" s="69"/>
      <c r="U26" s="33" t="s">
        <v>88</v>
      </c>
      <c r="V26" s="59">
        <v>46199</v>
      </c>
      <c r="W26" s="36"/>
      <c r="X26" s="36"/>
      <c r="Y26" s="36">
        <v>46196</v>
      </c>
      <c r="Z26" s="36"/>
      <c r="AA26" s="52">
        <v>46202</v>
      </c>
      <c r="AB26" s="36"/>
      <c r="AC26" s="36"/>
      <c r="AD26" s="33" t="s">
        <v>119</v>
      </c>
      <c r="AE26" s="33" t="s">
        <v>49</v>
      </c>
      <c r="AF26" s="38" t="s">
        <v>50</v>
      </c>
      <c r="AG26" s="36">
        <v>46196</v>
      </c>
      <c r="AH26" s="39" t="s">
        <v>120</v>
      </c>
      <c r="AI26" s="33" t="s">
        <v>121</v>
      </c>
      <c r="AJ26" s="40" t="s">
        <v>53</v>
      </c>
      <c r="AK26" s="73" t="str">
        <f>IF($B26="","",IF(AND(LEFT($AJ26,3)="Yes",SUMPRODUCT(('Rework Log'!$A$3:$A$499=$B26)*('Rework Log'!$G$3:$G$499&lt;&gt;"Yes")*('Rework Log'!$G$3:$G$499&lt;&gt;"Did not pass re-test"))=0),"Blocked - log it on Rework Log",IF(AND(LEFT($AJ26,3)&lt;&gt;"Yes",SUMPRODUCT(('Rework Log'!$A$3:$A$499=$B26)*('Rework Log'!$G$3:$G$499&lt;&gt;"Yes")*('Rework Log'!$G$3:$G$499&lt;&gt;"Did not pass re-test"))&gt;0),"Open rework row - mark Blocked? or close it",IF(AND($AJ26="Yes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H)",IF(AND($AJ26="Yes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H)",IF(AND($AJ26="Yes – needs QA to fix",Y26&lt;&gt;"",SUMPRODUCT(MAX((('Rework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target",IF(AND(AA26&lt;&gt;"",V26&lt;&gt;"",AA26&lt;V26),"DPO Approval target is before QA target",IF(AND(AG26&lt;&gt;"",AA26&lt;&gt;"",AG26&lt;AA26),"Confirmed Deployed date is before DPO Approval target",""))))))))))))</f>
        <v>Confirmed Deployed date is before DPO Approval target</v>
      </c>
      <c r="AL26" s="41"/>
      <c r="AM26" s="31" t="str" cm="1">
        <f t="array" ref="AM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6" s="31" t="str" cm="1">
        <f t="array" ref="AN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40" ht="14.45" hidden="1">
      <c r="A27" s="33" t="s">
        <v>40</v>
      </c>
      <c r="B27" s="33" t="s">
        <v>122</v>
      </c>
      <c r="C27" s="33" t="s">
        <v>42</v>
      </c>
      <c r="D27" t="str" cm="1">
        <f t="array" aca="1" ref="D27" ca="1">IF($B27="","",IF(LEFT($AJ27,3)="Yes","Blocked - "&amp;MID($AJ27,7,100)&amp;IF(SUMPRODUCT(('Rework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track")),IF(C27="QA",_xlfn.LET(_xlpm.tgt,IF(AM27&lt;&gt;"",AM27,IF(W27&lt;&gt;"",W27,V27)),_xlpm.sent,_xlfn.MAXIFS('Rework Log'!$B$3:$B$499,'Rework Log'!$A$3:$A$499,$B27,'Rework Log'!$C$3:$C$499,"QA"),_xlpm.act,IF(AND(Y27&lt;&gt;"",Y27&gt;_xlpm.sent),Y27,""),IF(_xlpm.tgt="","No target set",IF(AND(_xlpm.tgt&lt;TODAY(),_xlpm.act=""),"Overdue","On track"))),IF(C27="DPO Approval",_xlfn.LET(_xlpm.tgt,IF(AN27&lt;&gt;"",AN27,IF(AB27&lt;&gt;"",AB27,AA27)),_xlpm.sent,_xlfn.MAXIFS('Rework Log'!$B$3:$B$499,'Rework Log'!$A$3:$A$499,$B27,'Rework Log'!$C$3:$C$499,"DPO*"),_xlpm.act,IF(AND(AC27&lt;&gt;"",AC27&gt;_xlpm.sent),AC27,""),IF(_xlpm.tgt="","No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5" t="s">
        <v>102</v>
      </c>
      <c r="J27" s="33" t="s">
        <v>103</v>
      </c>
      <c r="K27" s="4">
        <v>46185</v>
      </c>
      <c r="L27" s="36"/>
      <c r="M27" s="36">
        <v>46168</v>
      </c>
      <c r="N27" s="36" t="s">
        <v>45</v>
      </c>
      <c r="O27" s="36"/>
      <c r="P27" s="63" t="s">
        <v>77</v>
      </c>
      <c r="Q27" s="4">
        <v>46192</v>
      </c>
      <c r="R27" s="36"/>
      <c r="S27" s="36">
        <v>46189</v>
      </c>
      <c r="T27" s="69"/>
      <c r="U27" s="54" t="s">
        <v>88</v>
      </c>
      <c r="V27" s="59">
        <v>46199</v>
      </c>
      <c r="W27" s="36"/>
      <c r="X27" s="36"/>
      <c r="Y27" s="36">
        <v>46189</v>
      </c>
      <c r="Z27" s="36"/>
      <c r="AA27" s="52">
        <v>46202</v>
      </c>
      <c r="AB27" s="36"/>
      <c r="AC27" s="36"/>
      <c r="AD27" s="33"/>
      <c r="AE27" s="33" t="s">
        <v>72</v>
      </c>
      <c r="AF27" s="38" t="s">
        <v>50</v>
      </c>
      <c r="AG27" s="36">
        <v>46192</v>
      </c>
      <c r="AH27" s="39" t="s">
        <v>123</v>
      </c>
      <c r="AI27" s="33"/>
      <c r="AJ27" s="40" t="s">
        <v>53</v>
      </c>
      <c r="AK27" s="73" t="str">
        <f>IF($B27="","",IF(AND(LEFT($AJ27,3)="Yes",SUMPRODUCT(('Rework Log'!$A$3:$A$499=$B27)*('Rework Log'!$G$3:$G$499&lt;&gt;"Yes")*('Rework Log'!$G$3:$G$499&lt;&gt;"Did not pass re-test"))=0),"Blocked - log it on Rework Log",IF(AND(LEFT($AJ27,3)&lt;&gt;"Yes",SUMPRODUCT(('Rework Log'!$A$3:$A$499=$B27)*('Rework Log'!$G$3:$G$499&lt;&gt;"Yes")*('Rework Log'!$G$3:$G$499&lt;&gt;"Did not pass re-test"))&gt;0),"Open rework row - mark Blocked? or close it",IF(AND($AJ27="Yes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H)",IF(AND($AJ27="Yes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H)",IF(AND($AJ27="Yes – needs QA to fix",Y27&lt;&gt;"",SUMPRODUCT(MAX((('Rework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target",IF(AND(AA27&lt;&gt;"",V27&lt;&gt;"",AA27&lt;V27),"DPO Approval target is before QA target",IF(AND(AG27&lt;&gt;"",AA27&lt;&gt;"",AG27&lt;AA27),"Confirmed Deployed date is before DPO Approval target",""))))))))))))</f>
        <v>Confirmed Deployed date is before DPO Approval target</v>
      </c>
      <c r="AL27" s="41"/>
      <c r="AM27" s="31" t="str" cm="1">
        <f t="array" ref="AM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7" s="31" t="str" cm="1">
        <f t="array" ref="AN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40" ht="14.45" hidden="1">
      <c r="A28" s="33" t="s">
        <v>40</v>
      </c>
      <c r="B28" s="33" t="s">
        <v>124</v>
      </c>
      <c r="C28" s="33" t="s">
        <v>42</v>
      </c>
      <c r="D28" t="str" cm="1">
        <f t="array" aca="1" ref="D28" ca="1">IF($B28="","",IF(LEFT($AJ28,3)="Yes","Blocked - "&amp;MID($AJ28,7,100)&amp;IF(SUMPRODUCT(('Rework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track")),IF(C28="QA",_xlfn.LET(_xlpm.tgt,IF(AM28&lt;&gt;"",AM28,IF(W28&lt;&gt;"",W28,V28)),_xlpm.sent,_xlfn.MAXIFS('Rework Log'!$B$3:$B$499,'Rework Log'!$A$3:$A$499,$B28,'Rework Log'!$C$3:$C$499,"QA"),_xlpm.act,IF(AND(Y28&lt;&gt;"",Y28&gt;_xlpm.sent),Y28,""),IF(_xlpm.tgt="","No target set",IF(AND(_xlpm.tgt&lt;TODAY(),_xlpm.act=""),"Overdue","On track"))),IF(C28="DPO Approval",_xlfn.LET(_xlpm.tgt,IF(AN28&lt;&gt;"",AN28,IF(AB28&lt;&gt;"",AB28,AA28)),_xlpm.sent,_xlfn.MAXIFS('Rework Log'!$B$3:$B$499,'Rework Log'!$A$3:$A$499,$B28,'Rework Log'!$C$3:$C$499,"DPO*"),_xlpm.act,IF(AND(AC28&lt;&gt;"",AC28&gt;_xlpm.sent),AC28,""),IF(_xlpm.tgt="","No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5" t="s">
        <v>102</v>
      </c>
      <c r="J28" s="33" t="s">
        <v>84</v>
      </c>
      <c r="K28" s="4">
        <v>46185</v>
      </c>
      <c r="L28" s="36"/>
      <c r="M28" s="36">
        <v>46169</v>
      </c>
      <c r="N28" s="36" t="s">
        <v>45</v>
      </c>
      <c r="O28" s="36"/>
      <c r="P28" s="63" t="s">
        <v>77</v>
      </c>
      <c r="Q28" s="4">
        <v>46192</v>
      </c>
      <c r="R28" s="36"/>
      <c r="S28" s="36">
        <v>46195</v>
      </c>
      <c r="T28" s="69"/>
      <c r="U28" s="33"/>
      <c r="V28" s="59">
        <v>46199</v>
      </c>
      <c r="W28" s="36"/>
      <c r="X28" s="36"/>
      <c r="Y28" s="36">
        <v>46197</v>
      </c>
      <c r="Z28" s="36"/>
      <c r="AA28" s="52">
        <v>46202</v>
      </c>
      <c r="AB28" s="36"/>
      <c r="AC28" s="36"/>
      <c r="AD28" s="33" t="s">
        <v>125</v>
      </c>
      <c r="AE28" s="33" t="s">
        <v>72</v>
      </c>
      <c r="AF28" s="38" t="s">
        <v>50</v>
      </c>
      <c r="AG28" s="36">
        <v>46197</v>
      </c>
      <c r="AH28" s="39"/>
      <c r="AI28" s="33"/>
      <c r="AJ28" s="40" t="s">
        <v>53</v>
      </c>
      <c r="AK28" s="73" t="str">
        <f>IF($B28="","",IF(AND(LEFT($AJ28,3)="Yes",SUMPRODUCT(('Rework Log'!$A$3:$A$499=$B28)*('Rework Log'!$G$3:$G$499&lt;&gt;"Yes")*('Rework Log'!$G$3:$G$499&lt;&gt;"Did not pass re-test"))=0),"Blocked - log it on Rework Log",IF(AND(LEFT($AJ28,3)&lt;&gt;"Yes",SUMPRODUCT(('Rework Log'!$A$3:$A$499=$B28)*('Rework Log'!$G$3:$G$499&lt;&gt;"Yes")*('Rework Log'!$G$3:$G$499&lt;&gt;"Did not pass re-test"))&gt;0),"Open rework row - mark Blocked? or close it",IF(AND($AJ28="Yes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H)",IF(AND($AJ28="Yes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H)",IF(AND($AJ28="Yes – needs QA to fix",Y28&lt;&gt;"",SUMPRODUCT(MAX((('Rework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target",IF(AND(AA28&lt;&gt;"",V28&lt;&gt;"",AA28&lt;V28),"DPO Approval target is before QA target",IF(AND(AG28&lt;&gt;"",AA28&lt;&gt;"",AG28&lt;AA28),"Confirmed Deployed date is before DPO Approval target",""))))))))))))</f>
        <v>Confirmed Deployed date is before DPO Approval target</v>
      </c>
      <c r="AL28" s="41" t="s">
        <v>126</v>
      </c>
      <c r="AM28" s="31" t="str" cm="1">
        <f t="array" ref="AM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8" s="31" t="str" cm="1">
        <f t="array" ref="AN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40">
      <c r="A29" s="33" t="s">
        <v>127</v>
      </c>
      <c r="B29" s="33" t="s">
        <v>128</v>
      </c>
      <c r="C29" s="33" t="s">
        <v>129</v>
      </c>
      <c r="D29" t="str" cm="1">
        <f t="array" aca="1" ref="D29" ca="1">IF($B29="","",IF(LEFT($AJ29,3)="Yes","Blocked - "&amp;MID($AJ29,7,100)&amp;IF(SUMPRODUCT(('Rework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track"))),IF(C29="QA",_xlfn.LET(_xlpm.tgt,IF(AM29&lt;&gt;"",AM29,IF(W29&lt;&gt;"",W29,V29)),_xlpm.sent,_xlfn.MAXIFS('Rework Log'!$B$3:$B$499,'Rework Log'!$A$3:$A$499,$B29,'Rework Log'!$C$3:$C$499,"QA"),_xlpm.act,IF(AND(Y29&lt;&gt;"",Y29&gt;=_xlpm.sent),Y29,""),IF(_xlpm.tgt="","No target set",IF(AND(_xlpm.tgt&lt;TODAY(),_xlpm.act=""),"Overdue","On track"))),IF(C29="DPO Approval",_xlfn.LET(_xlpm.tgt,IF(AN29&lt;&gt;"",AN29,IF(AB29&lt;&gt;"",AB29,AA29)),_xlpm.sent,_xlfn.MAXIFS('Rework Log'!$B$3:$B$499,'Rework Log'!$A$3:$A$499,$B29,'Rework Log'!$C$3:$C$499,"DPO*"),_xlpm.act,IF(AND(AC29&lt;&gt;"",AC29&gt;=_xlpm.sent),AC29,""),IF(_xlpm.tgt="","No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130</v>
      </c>
      <c r="G29" s="33"/>
      <c r="H29" s="50">
        <v>46234</v>
      </c>
      <c r="I29" s="61" t="s">
        <v>131</v>
      </c>
      <c r="J29" s="33" t="s">
        <v>76</v>
      </c>
      <c r="K29" s="4">
        <v>46213</v>
      </c>
      <c r="L29" s="36">
        <v>46244</v>
      </c>
      <c r="M29" s="37">
        <v>46245</v>
      </c>
      <c r="N29" s="47" t="s">
        <v>45</v>
      </c>
      <c r="O29" s="36" t="s">
        <v>132</v>
      </c>
      <c r="P29" s="65" t="s">
        <v>60</v>
      </c>
      <c r="Q29" s="4">
        <v>46220</v>
      </c>
      <c r="R29" s="36">
        <v>46245</v>
      </c>
      <c r="S29" s="74">
        <v>46245</v>
      </c>
      <c r="T29" s="69"/>
      <c r="U29" s="54" t="s">
        <v>130</v>
      </c>
      <c r="V29" s="59">
        <v>46227</v>
      </c>
      <c r="W29" s="36">
        <v>46248</v>
      </c>
      <c r="X29" s="36"/>
      <c r="Y29" s="36">
        <v>46252</v>
      </c>
      <c r="Z29" s="36"/>
      <c r="AA29" s="52">
        <v>46232</v>
      </c>
      <c r="AB29" s="36">
        <v>46267</v>
      </c>
      <c r="AC29" s="36"/>
      <c r="AD29" s="33" t="s">
        <v>133</v>
      </c>
      <c r="AE29" s="33" t="s">
        <v>49</v>
      </c>
      <c r="AF29" s="38"/>
      <c r="AG29" s="36"/>
      <c r="AH29" s="39"/>
      <c r="AI29" s="33"/>
      <c r="AJ29" s="40" t="s">
        <v>53</v>
      </c>
      <c r="AK29" s="73" t="str">
        <f>IF($B29="","",IF(AND(LEFT($AJ29,3)="Yes",SUMPRODUCT(('Rework Log'!$A$3:$A$499=$B29)*('Rework Log'!$G$3:$G$499&lt;&gt;"Yes")*('Rework Log'!$G$3:$G$499&lt;&gt;"Did not pass re-test"))=0),"Blocked - log it on Rework Log",IF(AND(LEFT($AJ29,3)&lt;&gt;"Yes",SUMPRODUCT(('Rework Log'!$A$3:$A$499=$B29)*('Rework Log'!$G$3:$G$499&lt;&gt;"Yes")*('Rework Log'!$G$3:$G$499&lt;&gt;"Did not pass re-test"))&gt;0),"Open rework row - mark Blocked? or close it",IF(AND($AJ29="Yes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H)",IF(AND($AJ29="Yes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H)",IF(AND($AJ29="Yes – needs QA to fix",Y29&lt;&gt;"",SUMPRODUCT(MAX((('Rework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target",IF(AND(AA29&lt;&gt;"",V29&lt;&gt;"",AA29&lt;V29),"DPO Approval target is before QA target",IF(AND(AG29&lt;&gt;"",AA29&lt;&gt;"",AG29&lt;AA29),"Confirmed Deployed date is before DPO Approval target",""))))))))))))</f>
        <v/>
      </c>
      <c r="AL29" s="41" t="s">
        <v>134</v>
      </c>
      <c r="AM29" s="32" cm="1">
        <f t="array" ref="AM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N29" s="32" t="str" cm="1">
        <f t="array" ref="AN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40">
      <c r="A30" s="33" t="s">
        <v>127</v>
      </c>
      <c r="B30" s="33" t="s">
        <v>135</v>
      </c>
      <c r="C30" s="33" t="s">
        <v>129</v>
      </c>
      <c r="D30" t="str" cm="1">
        <f t="array" aca="1" ref="D30" ca="1">IF($B30="","",IF(LEFT($AJ30,3)="Yes","Blocked - "&amp;MID($AJ30,7,100)&amp;IF(SUMPRODUCT(('Rework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track")),IF(C30="QA",_xlfn.LET(_xlpm.tgt,IF(AM30&lt;&gt;"",AM30,IF(W30&lt;&gt;"",W30,V30)),_xlpm.sent,_xlfn.MAXIFS('Rework Log'!$B$3:$B$499,'Rework Log'!$A$3:$A$499,$B30,'Rework Log'!$C$3:$C$499,"QA"),_xlpm.act,IF(AND(Y30&lt;&gt;"",Y30&gt;_xlpm.sent),Y30,""),IF(_xlpm.tgt="","No target set",IF(AND(_xlpm.tgt&lt;TODAY(),_xlpm.act=""),"Overdue","On track"))),IF(C30="DPO Approval",_xlfn.LET(_xlpm.tgt,IF(AN30&lt;&gt;"",AN30,IF(AB30&lt;&gt;"",AB30,AA30)),_xlpm.sent,_xlfn.MAXIFS('Rework Log'!$B$3:$B$499,'Rework Log'!$A$3:$A$499,$B30,'Rework Log'!$C$3:$C$499,"DPO*"),_xlpm.act,IF(AND(AC30&lt;&gt;"",AC30&gt;_xlpm.sent),AC30,""),IF(_xlpm.tgt="","No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130</v>
      </c>
      <c r="G30" s="33"/>
      <c r="H30" s="50">
        <v>46234</v>
      </c>
      <c r="I30" s="61" t="s">
        <v>131</v>
      </c>
      <c r="J30" s="33" t="s">
        <v>118</v>
      </c>
      <c r="K30" s="4">
        <v>46213</v>
      </c>
      <c r="L30" s="36">
        <v>46244</v>
      </c>
      <c r="M30" s="35">
        <v>46255</v>
      </c>
      <c r="N30" s="47" t="s">
        <v>45</v>
      </c>
      <c r="O30" s="36" t="s">
        <v>132</v>
      </c>
      <c r="P30" s="65" t="s">
        <v>77</v>
      </c>
      <c r="Q30" s="4">
        <v>46220</v>
      </c>
      <c r="R30" s="36">
        <v>46245</v>
      </c>
      <c r="S30" s="36">
        <v>46246</v>
      </c>
      <c r="T30" s="69"/>
      <c r="U30" s="54" t="s">
        <v>130</v>
      </c>
      <c r="V30" s="59">
        <v>46227</v>
      </c>
      <c r="W30" s="36">
        <v>46260</v>
      </c>
      <c r="X30" s="36"/>
      <c r="Y30" s="36">
        <v>46255</v>
      </c>
      <c r="Z30" s="36"/>
      <c r="AA30" s="52">
        <v>46232</v>
      </c>
      <c r="AB30" s="36">
        <v>46267</v>
      </c>
      <c r="AC30" s="36"/>
      <c r="AD30" s="33" t="s">
        <v>136</v>
      </c>
      <c r="AE30" s="33" t="s">
        <v>49</v>
      </c>
      <c r="AF30" s="38"/>
      <c r="AG30" s="36"/>
      <c r="AH30" s="39"/>
      <c r="AI30" s="33"/>
      <c r="AJ30" s="40" t="s">
        <v>53</v>
      </c>
      <c r="AK30" s="73" t="str">
        <f>IF($B30="","",IF(AND(LEFT($AJ30,3)="Yes",SUMPRODUCT(('Rework Log'!$A$3:$A$499=$B30)*('Rework Log'!$G$3:$G$499&lt;&gt;"Yes")*('Rework Log'!$G$3:$G$499&lt;&gt;"Did not pass re-test"))=0),"Blocked - log it on Rework Log",IF(AND(LEFT($AJ30,3)&lt;&gt;"Yes",SUMPRODUCT(('Rework Log'!$A$3:$A$499=$B30)*('Rework Log'!$G$3:$G$499&lt;&gt;"Yes")*('Rework Log'!$G$3:$G$499&lt;&gt;"Did not pass re-test"))&gt;0),"Open rework row - mark Blocked? or close it",IF(AND($AJ30="Yes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H)",IF(AND($AJ30="Yes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H)",IF(AND($AJ30="Yes – needs QA to fix",Y30&lt;&gt;"",SUMPRODUCT(MAX((('Rework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target",IF(AND(AA30&lt;&gt;"",V30&lt;&gt;"",AA30&lt;V30),"DPO Approval target is before QA target",IF(AND(AG30&lt;&gt;"",AA30&lt;&gt;"",AG30&lt;AA30),"Confirmed Deployed date is before DPO Approval target",""))))))))))))</f>
        <v/>
      </c>
      <c r="AL30" s="41" t="s">
        <v>137</v>
      </c>
      <c r="AM30" s="32" cm="1">
        <f t="array" ref="AM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0" s="32" t="str" cm="1">
        <f t="array" ref="AN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40">
      <c r="A31" s="33" t="s">
        <v>127</v>
      </c>
      <c r="B31" s="33" t="s">
        <v>138</v>
      </c>
      <c r="C31" s="33" t="s">
        <v>129</v>
      </c>
      <c r="D31" t="str" cm="1">
        <f t="array" aca="1" ref="D31" ca="1">IF($B31="","",IF(LEFT($AJ31,3)="Yes","Blocked - "&amp;MID($AJ31,7,100)&amp;IF(SUMPRODUCT(('Rework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track")),IF(C31="QA",_xlfn.LET(_xlpm.tgt,IF(AM31&lt;&gt;"",AM31,IF(W31&lt;&gt;"",W31,V31)),_xlpm.sent,_xlfn.MAXIFS('Rework Log'!$B$3:$B$499,'Rework Log'!$A$3:$A$499,$B31,'Rework Log'!$C$3:$C$499,"QA"),_xlpm.act,IF(AND(Y31&lt;&gt;"",Y31&gt;_xlpm.sent),Y31,""),IF(_xlpm.tgt="","No target set",IF(AND(_xlpm.tgt&lt;TODAY(),_xlpm.act=""),"Overdue","On track"))),IF(C31="DPO Approval",_xlfn.LET(_xlpm.tgt,IF(AN31&lt;&gt;"",AN31,IF(AB31&lt;&gt;"",AB31,AA31)),_xlpm.sent,_xlfn.MAXIFS('Rework Log'!$B$3:$B$499,'Rework Log'!$A$3:$A$499,$B31,'Rework Log'!$C$3:$C$499,"DPO*"),_xlpm.act,IF(AND(AC31&lt;&gt;"",AC31&gt;_xlpm.sent),AC31,""),IF(_xlpm.tgt="","No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130</v>
      </c>
      <c r="G31" s="33"/>
      <c r="H31" s="50">
        <v>46234</v>
      </c>
      <c r="I31" s="61" t="s">
        <v>131</v>
      </c>
      <c r="J31" s="33" t="s">
        <v>118</v>
      </c>
      <c r="K31" s="4">
        <v>46213</v>
      </c>
      <c r="L31" s="36">
        <v>46245</v>
      </c>
      <c r="M31" s="35">
        <v>46246</v>
      </c>
      <c r="N31" s="47" t="s">
        <v>45</v>
      </c>
      <c r="O31" s="36" t="s">
        <v>132</v>
      </c>
      <c r="P31" s="65" t="s">
        <v>77</v>
      </c>
      <c r="Q31" s="4">
        <v>46220</v>
      </c>
      <c r="R31" s="36">
        <v>46246</v>
      </c>
      <c r="S31" s="36">
        <v>46251</v>
      </c>
      <c r="T31" s="69"/>
      <c r="U31" s="54" t="s">
        <v>130</v>
      </c>
      <c r="V31" s="59">
        <v>46227</v>
      </c>
      <c r="W31" s="36">
        <v>46253</v>
      </c>
      <c r="X31" s="36"/>
      <c r="Y31" s="36">
        <v>46258</v>
      </c>
      <c r="Z31" s="36"/>
      <c r="AA31" s="52">
        <v>46232</v>
      </c>
      <c r="AB31" s="36">
        <v>46267</v>
      </c>
      <c r="AC31" s="36"/>
      <c r="AD31" s="33" t="s">
        <v>133</v>
      </c>
      <c r="AE31" s="33" t="s">
        <v>49</v>
      </c>
      <c r="AF31" s="38"/>
      <c r="AG31" s="36"/>
      <c r="AH31" s="39"/>
      <c r="AI31" s="33"/>
      <c r="AJ31" s="40" t="s">
        <v>53</v>
      </c>
      <c r="AK31" s="73" t="str">
        <f>IF($B31="","",IF(AND(LEFT($AJ31,3)="Yes",SUMPRODUCT(('Rework Log'!$A$3:$A$499=$B31)*('Rework Log'!$G$3:$G$499&lt;&gt;"Yes")*('Rework Log'!$G$3:$G$499&lt;&gt;"Did not pass re-test"))=0),"Blocked - log it on Rework Log",IF(AND(LEFT($AJ31,3)&lt;&gt;"Yes",SUMPRODUCT(('Rework Log'!$A$3:$A$499=$B31)*('Rework Log'!$G$3:$G$499&lt;&gt;"Yes")*('Rework Log'!$G$3:$G$499&lt;&gt;"Did not pass re-test"))&gt;0),"Open rework row - mark Blocked? or close it",IF(AND($AJ31="Yes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H)",IF(AND($AJ31="Yes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H)",IF(AND($AJ31="Yes – needs QA to fix",Y31&lt;&gt;"",SUMPRODUCT(MAX((('Rework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target",IF(AND(AA31&lt;&gt;"",V31&lt;&gt;"",AA31&lt;V31),"DPO Approval target is before QA target",IF(AND(AG31&lt;&gt;"",AA31&lt;&gt;"",AG31&lt;AA31),"Confirmed Deployed date is before DPO Approval target",""))))))))))))</f>
        <v/>
      </c>
      <c r="AL31" s="41" t="s">
        <v>139</v>
      </c>
      <c r="AM31" s="32" cm="1">
        <f t="array" ref="AM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1" s="32" t="str" cm="1">
        <f t="array" ref="AN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40">
      <c r="A32" s="33" t="s">
        <v>127</v>
      </c>
      <c r="B32" s="33" t="s">
        <v>140</v>
      </c>
      <c r="C32" s="33" t="s">
        <v>141</v>
      </c>
      <c r="D32" t="str" cm="1">
        <f t="array" aca="1" ref="D32" ca="1">IF($B32="","",IF(LEFT($AJ32,3)="Yes","Blocked - "&amp;MID($AJ32,7,100)&amp;IF(SUMPRODUCT(('Rework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track")),IF(C32="QA",_xlfn.LET(_xlpm.tgt,IF(AM32&lt;&gt;"",AM32,IF(W32&lt;&gt;"",W32,V32)),_xlpm.sent,_xlfn.MAXIFS('Rework Log'!$B$3:$B$499,'Rework Log'!$A$3:$A$499,$B32,'Rework Log'!$C$3:$C$499,"QA"),_xlpm.act,IF(AND(Y32&lt;&gt;"",Y32&gt;_xlpm.sent),Y32,""),IF(_xlpm.tgt="","No target set",IF(AND(_xlpm.tgt&lt;TODAY(),_xlpm.act=""),"Overdue","On track"))),IF(C32="DPO Approval",_xlfn.LET(_xlpm.tgt,IF(AN32&lt;&gt;"",AN32,IF(AB32&lt;&gt;"",AB32,AA32)),_xlpm.sent,_xlfn.MAXIFS('Rework Log'!$B$3:$B$499,'Rework Log'!$A$3:$A$499,$B32,'Rework Log'!$C$3:$C$499,"DPO*"),_xlpm.act,IF(AND(AC32&lt;&gt;"",AC32&gt;_xlpm.sent),AC32,""),IF(_xlpm.tgt="","No target set",IF(AND(_xlpm.tgt&lt;TODAY(),_xlpm.act=""),"Overdue","On track"))),IF(C32="RELEASED IN PROD","Delivered",""))))))))</f>
        <v>Blocked - needs DB Dev to fix</v>
      </c>
      <c r="E32" s="33">
        <v>4</v>
      </c>
      <c r="F32" s="34" t="s">
        <v>130</v>
      </c>
      <c r="G32" s="33"/>
      <c r="H32" s="50">
        <v>46234</v>
      </c>
      <c r="I32" s="61" t="s">
        <v>131</v>
      </c>
      <c r="J32" s="33" t="s">
        <v>59</v>
      </c>
      <c r="K32" s="4">
        <v>46213</v>
      </c>
      <c r="L32" s="36"/>
      <c r="M32" s="37">
        <v>46266</v>
      </c>
      <c r="N32" s="47" t="s">
        <v>45</v>
      </c>
      <c r="O32" s="36" t="s">
        <v>132</v>
      </c>
      <c r="P32" s="65" t="s">
        <v>46</v>
      </c>
      <c r="Q32" s="4">
        <v>46220</v>
      </c>
      <c r="R32" s="36">
        <v>46251</v>
      </c>
      <c r="S32" s="36">
        <v>46253</v>
      </c>
      <c r="T32" s="69"/>
      <c r="U32" s="54" t="s">
        <v>47</v>
      </c>
      <c r="V32" s="59">
        <v>46227</v>
      </c>
      <c r="W32" s="36">
        <v>46269</v>
      </c>
      <c r="X32" s="36"/>
      <c r="Y32" s="36"/>
      <c r="Z32" s="36"/>
      <c r="AA32" s="52">
        <v>46232</v>
      </c>
      <c r="AB32" s="36">
        <v>46267</v>
      </c>
      <c r="AC32" s="36"/>
      <c r="AD32" s="33" t="s">
        <v>142</v>
      </c>
      <c r="AE32" s="33" t="s">
        <v>49</v>
      </c>
      <c r="AF32" s="38"/>
      <c r="AG32" s="36"/>
      <c r="AH32" s="39"/>
      <c r="AI32" s="33"/>
      <c r="AJ32" s="40" t="s">
        <v>143</v>
      </c>
      <c r="AK32" s="73" t="str">
        <f>IF($B32="","",IF(AND(LEFT($AJ32,3)="Yes",SUMPRODUCT(('Rework Log'!$A$3:$A$499=$B32)*('Rework Log'!$G$3:$G$499&lt;&gt;"Yes")*('Rework Log'!$G$3:$G$499&lt;&gt;"Did not pass re-test"))=0),"Blocked - log it on Rework Log",IF(AND(LEFT($AJ32,3)&lt;&gt;"Yes",SUMPRODUCT(('Rework Log'!$A$3:$A$499=$B32)*('Rework Log'!$G$3:$G$499&lt;&gt;"Yes")*('Rework Log'!$G$3:$G$499&lt;&gt;"Did not pass re-test"))&gt;0),"Open rework row - mark Blocked? or close it",IF(AND($AJ32="Yes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H)",IF(AND($AJ32="Yes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H)",IF(AND($AJ32="Yes – needs QA to fix",Y32&lt;&gt;"",SUMPRODUCT(MAX((('Rework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target",IF(AND(AA32&lt;&gt;"",V32&lt;&gt;"",AA32&lt;V32),"DPO Approval target is before QA target",IF(AND(AG32&lt;&gt;"",AA32&lt;&gt;"",AG32&lt;AA32),"Confirmed Deployed date is before DPO Approval target",""))))))))))))</f>
        <v>Blocked - log it on Rework Log</v>
      </c>
      <c r="AL32" s="41" t="s">
        <v>144</v>
      </c>
      <c r="AM32" s="32" cm="1">
        <f t="array" ref="AM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2" s="32" t="str" cm="1">
        <f t="array" ref="AN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40">
      <c r="A33" s="33" t="s">
        <v>127</v>
      </c>
      <c r="B33" s="33" t="s">
        <v>145</v>
      </c>
      <c r="C33" s="33" t="s">
        <v>129</v>
      </c>
      <c r="D33" t="str" cm="1">
        <f t="array" aca="1" ref="D33" ca="1">IF($B33="","",IF(LEFT($AJ33,3)="Yes","Blocked - "&amp;MID($AJ33,7,100)&amp;IF(SUMPRODUCT(('Rework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track")),IF(C33="QA",_xlfn.LET(_xlpm.tgt,IF(AM33&lt;&gt;"",AM33,IF(W33&lt;&gt;"",W33,V33)),_xlpm.sent,_xlfn.MAXIFS('Rework Log'!$B$3:$B$499,'Rework Log'!$A$3:$A$499,$B33,'Rework Log'!$C$3:$C$499,"QA"),_xlpm.act,IF(AND(Y33&lt;&gt;"",Y33&gt;_xlpm.sent),Y33,""),IF(_xlpm.tgt="","No target set",IF(AND(_xlpm.tgt&lt;TODAY(),_xlpm.act=""),"Overdue","On track"))),IF(C33="DPO Approval",_xlfn.LET(_xlpm.tgt,IF(AN33&lt;&gt;"",AN33,IF(AB33&lt;&gt;"",AB33,AA33)),_xlpm.sent,_xlfn.MAXIFS('Rework Log'!$B$3:$B$499,'Rework Log'!$A$3:$A$499,$B33,'Rework Log'!$C$3:$C$499,"DPO*"),_xlpm.act,IF(AND(AC33&lt;&gt;"",AC33&gt;_xlpm.sent),AC33,""),IF(_xlpm.tgt="","No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130</v>
      </c>
      <c r="G33" s="33"/>
      <c r="H33" s="50">
        <v>46234</v>
      </c>
      <c r="I33" s="61" t="s">
        <v>131</v>
      </c>
      <c r="J33" s="33" t="s">
        <v>103</v>
      </c>
      <c r="K33" s="4">
        <v>46213</v>
      </c>
      <c r="L33" s="36">
        <v>46246</v>
      </c>
      <c r="M33" s="37">
        <v>46251</v>
      </c>
      <c r="N33" s="47" t="s">
        <v>45</v>
      </c>
      <c r="O33" s="36" t="s">
        <v>132</v>
      </c>
      <c r="P33" s="65" t="s">
        <v>77</v>
      </c>
      <c r="Q33" s="4">
        <v>46220</v>
      </c>
      <c r="R33" s="36">
        <v>46246</v>
      </c>
      <c r="S33" s="36">
        <v>46244</v>
      </c>
      <c r="T33" s="69"/>
      <c r="U33" s="54" t="s">
        <v>47</v>
      </c>
      <c r="V33" s="59">
        <v>46227</v>
      </c>
      <c r="W33" s="36">
        <v>46254</v>
      </c>
      <c r="X33" s="36"/>
      <c r="Y33" s="36">
        <v>46254</v>
      </c>
      <c r="Z33" s="36"/>
      <c r="AA33" s="52">
        <v>46232</v>
      </c>
      <c r="AB33" s="36">
        <v>46267</v>
      </c>
      <c r="AC33" s="36"/>
      <c r="AD33" s="33" t="s">
        <v>133</v>
      </c>
      <c r="AE33" s="33" t="s">
        <v>49</v>
      </c>
      <c r="AF33" s="38"/>
      <c r="AG33" s="36"/>
      <c r="AH33" s="39"/>
      <c r="AI33" s="33"/>
      <c r="AJ33" s="40" t="s">
        <v>53</v>
      </c>
      <c r="AK33" s="73"/>
      <c r="AL33" s="41" t="s">
        <v>146</v>
      </c>
      <c r="AM33" s="32" cm="1">
        <f t="array" ref="AM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N33" s="32" t="str" cm="1">
        <f t="array" ref="AN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40">
      <c r="A34" s="33" t="s">
        <v>127</v>
      </c>
      <c r="B34" s="33" t="s">
        <v>147</v>
      </c>
      <c r="C34" s="33" t="s">
        <v>129</v>
      </c>
      <c r="D34" t="str" cm="1">
        <f t="array" aca="1" ref="D34" ca="1">IF($B34="","",IF(LEFT($AJ34,3)="Yes","Blocked - "&amp;MID($AJ34,7,100)&amp;IF(SUMPRODUCT(('Rework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track")),IF(C34="QA",_xlfn.LET(_xlpm.tgt,IF(AM34&lt;&gt;"",AM34,IF(W34&lt;&gt;"",W34,V34)),_xlpm.sent,_xlfn.MAXIFS('Rework Log'!$B$3:$B$499,'Rework Log'!$A$3:$A$499,$B34,'Rework Log'!$C$3:$C$499,"QA"),_xlpm.act,IF(AND(Y34&lt;&gt;"",Y34&gt;_xlpm.sent),Y34,""),IF(_xlpm.tgt="","No target set",IF(AND(_xlpm.tgt&lt;TODAY(),_xlpm.act=""),"Overdue","On track"))),IF(C34="DPO Approval",_xlfn.LET(_xlpm.tgt,IF(AN34&lt;&gt;"",AN34,IF(AB34&lt;&gt;"",AB34,AA34)),_xlpm.sent,_xlfn.MAXIFS('Rework Log'!$B$3:$B$499,'Rework Log'!$A$3:$A$499,$B34,'Rework Log'!$C$3:$C$499,"DPO*"),_xlpm.act,IF(AND(AC34&lt;&gt;"",AC34&gt;_xlpm.sent),AC34,""),IF(_xlpm.tgt="","No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148</v>
      </c>
      <c r="G34" s="33"/>
      <c r="H34" s="50">
        <v>46234</v>
      </c>
      <c r="I34" s="61" t="s">
        <v>131</v>
      </c>
      <c r="J34" s="33" t="s">
        <v>84</v>
      </c>
      <c r="K34" s="4">
        <v>46213</v>
      </c>
      <c r="L34" s="36">
        <v>46246</v>
      </c>
      <c r="M34" s="36">
        <v>46252</v>
      </c>
      <c r="N34" s="36" t="s">
        <v>45</v>
      </c>
      <c r="O34" s="36" t="s">
        <v>132</v>
      </c>
      <c r="P34" s="65" t="s">
        <v>60</v>
      </c>
      <c r="Q34" s="4">
        <v>46220</v>
      </c>
      <c r="R34" s="36">
        <v>46246</v>
      </c>
      <c r="S34" s="36">
        <v>46251</v>
      </c>
      <c r="T34" s="69"/>
      <c r="U34" s="54" t="s">
        <v>148</v>
      </c>
      <c r="V34" s="59">
        <v>46227</v>
      </c>
      <c r="W34" s="36">
        <v>46255</v>
      </c>
      <c r="X34" s="36"/>
      <c r="Y34" s="36">
        <v>46255</v>
      </c>
      <c r="Z34" s="36"/>
      <c r="AA34" s="52">
        <v>46232</v>
      </c>
      <c r="AB34" s="36">
        <v>46269</v>
      </c>
      <c r="AC34" s="36"/>
      <c r="AD34" s="33" t="s">
        <v>133</v>
      </c>
      <c r="AE34" s="33" t="s">
        <v>49</v>
      </c>
      <c r="AF34" s="38"/>
      <c r="AG34" s="36"/>
      <c r="AH34" s="39"/>
      <c r="AI34" s="33"/>
      <c r="AJ34" s="40" t="s">
        <v>53</v>
      </c>
      <c r="AK34" s="73" t="str">
        <f>IF($B34="","",IF(AND(LEFT($AJ34,3)="Yes",SUMPRODUCT(('Rework Log'!$A$3:$A$499=$B34)*('Rework Log'!$G$3:$G$499&lt;&gt;"Yes")*('Rework Log'!$G$3:$G$499&lt;&gt;"Did not pass re-test"))=0),"Blocked - log it on Rework Log",IF(AND(LEFT($AJ34,3)&lt;&gt;"Yes",SUMPRODUCT(('Rework Log'!$A$3:$A$499=$B34)*('Rework Log'!$G$3:$G$499&lt;&gt;"Yes")*('Rework Log'!$G$3:$G$499&lt;&gt;"Did not pass re-test"))&gt;0),"Open rework row - mark Blocked? or close it",IF(AND($AJ34="Yes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H)",IF(AND($AJ34="Yes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H)",IF(AND($AJ34="Yes – needs QA to fix",Y34&lt;&gt;"",SUMPRODUCT(MAX((('Rework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target",IF(AND(AA34&lt;&gt;"",V34&lt;&gt;"",AA34&lt;V34),"DPO Approval target is before QA target",IF(AND(AG34&lt;&gt;"",AA34&lt;&gt;"",AG34&lt;AA34),"Confirmed Deployed date is before DPO Approval target",""))))))))))))</f>
        <v/>
      </c>
      <c r="AL34" s="41" t="s">
        <v>149</v>
      </c>
      <c r="AM34" s="32" cm="1">
        <f t="array" ref="AM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N34" s="32" t="str" cm="1">
        <f t="array" ref="AN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40">
      <c r="A35" s="33" t="s">
        <v>127</v>
      </c>
      <c r="B35" s="33" t="s">
        <v>150</v>
      </c>
      <c r="C35" s="33" t="s">
        <v>151</v>
      </c>
      <c r="D35" t="str" cm="1">
        <f t="array" aca="1" ref="D35" ca="1">IF($B35="","",IF(LEFT($AJ35,3)="Yes","Blocked - "&amp;MID($AJ35,7,100)&amp;IF(SUMPRODUCT(('Rework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track")),IF(C35="QA",_xlfn.LET(_xlpm.tgt,IF(AM35&lt;&gt;"",AM35,IF(W35&lt;&gt;"",W35,V35)),_xlpm.sent,_xlfn.MAXIFS('Rework Log'!$B$3:$B$499,'Rework Log'!$A$3:$A$499,$B35,'Rework Log'!$C$3:$C$499,"QA"),_xlpm.act,IF(AND(Y35&lt;&gt;"",Y35&gt;_xlpm.sent),Y35,""),IF(_xlpm.tgt="","No target set",IF(AND(_xlpm.tgt&lt;TODAY(),_xlpm.act=""),"Overdue","On track"))),IF(C35="DPO Approval",_xlfn.LET(_xlpm.tgt,IF(AN35&lt;&gt;"",AN35,IF(AB35&lt;&gt;"",AB35,AA35)),_xlpm.sent,_xlfn.MAXIFS('Rework Log'!$B$3:$B$499,'Rework Log'!$A$3:$A$499,$B35,'Rework Log'!$C$3:$C$499,"DPO*"),_xlpm.act,IF(AND(AC35&lt;&gt;"",AC35&gt;_xlpm.sent),AC35,""),IF(_xlpm.tgt="","No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148</v>
      </c>
      <c r="G35" s="33"/>
      <c r="H35" s="50">
        <v>46234</v>
      </c>
      <c r="I35" s="61" t="s">
        <v>131</v>
      </c>
      <c r="J35" s="33" t="s">
        <v>118</v>
      </c>
      <c r="K35" s="4">
        <v>46213</v>
      </c>
      <c r="L35" s="36">
        <v>46244</v>
      </c>
      <c r="M35" s="35">
        <v>46258</v>
      </c>
      <c r="N35" s="47" t="s">
        <v>45</v>
      </c>
      <c r="O35" s="36" t="s">
        <v>132</v>
      </c>
      <c r="P35" s="65" t="s">
        <v>46</v>
      </c>
      <c r="Q35" s="4">
        <v>46220</v>
      </c>
      <c r="R35" s="36">
        <v>46251</v>
      </c>
      <c r="S35" s="36">
        <v>46266</v>
      </c>
      <c r="T35" s="69"/>
      <c r="U35" s="54" t="s">
        <v>148</v>
      </c>
      <c r="V35" s="59">
        <v>46227</v>
      </c>
      <c r="W35" s="36">
        <v>46269</v>
      </c>
      <c r="X35" s="36"/>
      <c r="Y35" s="36"/>
      <c r="Z35" s="36"/>
      <c r="AA35" s="52">
        <v>46232</v>
      </c>
      <c r="AB35" s="36">
        <v>46274</v>
      </c>
      <c r="AC35" s="36"/>
      <c r="AD35" s="33" t="s">
        <v>152</v>
      </c>
      <c r="AE35" s="33" t="s">
        <v>49</v>
      </c>
      <c r="AF35" s="38"/>
      <c r="AG35" s="36"/>
      <c r="AH35" s="39"/>
      <c r="AI35" s="33"/>
      <c r="AJ35" s="40" t="s">
        <v>153</v>
      </c>
      <c r="AK35" s="73" t="str">
        <f>IF($B35="","",IF(AND(LEFT($AJ35,3)="Yes",SUMPRODUCT(('Rework Log'!$A$3:$A$499=$B35)*('Rework Log'!$G$3:$G$499&lt;&gt;"Yes")*('Rework Log'!$G$3:$G$499&lt;&gt;"Did not pass re-test"))=0),"Blocked - log it on Rework Log",IF(AND(LEFT($AJ35,3)&lt;&gt;"Yes",SUMPRODUCT(('Rework Log'!$A$3:$A$499=$B35)*('Rework Log'!$G$3:$G$499&lt;&gt;"Yes")*('Rework Log'!$G$3:$G$499&lt;&gt;"Did not pass re-test"))&gt;0),"Open rework row - mark Blocked? or close it",IF(AND($AJ35="Yes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H)",IF(AND($AJ35="Yes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H)",IF(AND($AJ35="Yes – needs QA to fix",Y35&lt;&gt;"",SUMPRODUCT(MAX((('Rework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target",IF(AND(AA35&lt;&gt;"",V35&lt;&gt;"",AA35&lt;V35),"DPO Approval target is before QA target",IF(AND(AG35&lt;&gt;"",AA35&lt;&gt;"",AG35&lt;AA35),"Confirmed Deployed date is before DPO Approval target",""))))))))))))</f>
        <v/>
      </c>
      <c r="AL35" s="41" t="s">
        <v>154</v>
      </c>
      <c r="AM35" s="32" cm="1">
        <f t="array" ref="AM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5" s="32" t="str" cm="1">
        <f t="array" ref="AN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40">
      <c r="A36" s="33" t="s">
        <v>127</v>
      </c>
      <c r="B36" s="33" t="s">
        <v>155</v>
      </c>
      <c r="C36" s="33" t="s">
        <v>156</v>
      </c>
      <c r="D36" t="str" cm="1">
        <f t="array" aca="1" ref="D36" ca="1">IF($B36="","",IF(LEFT($AJ36,3)="Yes","Blocked - "&amp;MID($AJ36,7,100)&amp;IF(SUMPRODUCT(('Rework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track")),IF(C36="QA",_xlfn.LET(_xlpm.tgt,IF(AM36&lt;&gt;"",AM36,IF(W36&lt;&gt;"",W36,V36)),_xlpm.sent,_xlfn.MAXIFS('Rework Log'!$B$3:$B$499,'Rework Log'!$A$3:$A$499,$B36,'Rework Log'!$C$3:$C$499,"QA"),_xlpm.act,IF(AND(Y36&lt;&gt;"",Y36&gt;_xlpm.sent),Y36,""),IF(_xlpm.tgt="","No target set",IF(AND(_xlpm.tgt&lt;TODAY(),_xlpm.act=""),"Overdue","On track"))),IF(C36="DPO Approval",_xlfn.LET(_xlpm.tgt,IF(AN36&lt;&gt;"",AN36,IF(AB36&lt;&gt;"",AB36,AA36)),_xlpm.sent,_xlfn.MAXIFS('Rework Log'!$B$3:$B$499,'Rework Log'!$A$3:$A$499,$B36,'Rework Log'!$C$3:$C$499,"DPO*"),_xlpm.act,IF(AND(AC36&lt;&gt;"",AC36&gt;_xlpm.sent),AC36,""),IF(_xlpm.tgt="","No target set",IF(AND(_xlpm.tgt&lt;TODAY(),_xlpm.act=""),"Overdue","On track"))),IF(C36="RELEASED IN PROD","Delivered",""))))))))</f>
        <v>Blocked - needs DB Dev to fix</v>
      </c>
      <c r="E36" s="33">
        <v>8</v>
      </c>
      <c r="F36" s="34" t="s">
        <v>148</v>
      </c>
      <c r="G36" s="33"/>
      <c r="H36" s="50">
        <v>46234</v>
      </c>
      <c r="I36" s="61" t="s">
        <v>131</v>
      </c>
      <c r="J36" s="33" t="s">
        <v>118</v>
      </c>
      <c r="K36" s="4">
        <v>46213</v>
      </c>
      <c r="L36" s="36">
        <v>46245</v>
      </c>
      <c r="M36" s="36">
        <v>46258</v>
      </c>
      <c r="N36" s="36" t="s">
        <v>45</v>
      </c>
      <c r="O36" s="36" t="s">
        <v>132</v>
      </c>
      <c r="P36" s="65" t="s">
        <v>77</v>
      </c>
      <c r="Q36" s="4">
        <v>46220</v>
      </c>
      <c r="R36" s="36">
        <v>46246</v>
      </c>
      <c r="S36" s="36">
        <v>46246</v>
      </c>
      <c r="T36" s="69"/>
      <c r="U36" s="54" t="s">
        <v>148</v>
      </c>
      <c r="V36" s="59">
        <v>46227</v>
      </c>
      <c r="W36" s="36">
        <v>46261</v>
      </c>
      <c r="X36" s="36"/>
      <c r="Y36" s="36"/>
      <c r="Z36" s="36"/>
      <c r="AA36" s="52">
        <v>46232</v>
      </c>
      <c r="AB36" s="36">
        <v>46269</v>
      </c>
      <c r="AC36" s="36"/>
      <c r="AD36" s="33" t="s">
        <v>133</v>
      </c>
      <c r="AE36" s="33" t="s">
        <v>49</v>
      </c>
      <c r="AF36" s="38"/>
      <c r="AG36" s="36"/>
      <c r="AH36" s="39"/>
      <c r="AI36" s="33"/>
      <c r="AJ36" s="40" t="s">
        <v>143</v>
      </c>
      <c r="AK36" s="73" t="str">
        <f>IF($B36="","",IF(AND(LEFT($AJ36,3)="Yes",SUMPRODUCT(('Rework Log'!$A$3:$A$499=$B36)*('Rework Log'!$G$3:$G$499&lt;&gt;"Yes")*('Rework Log'!$G$3:$G$499&lt;&gt;"Did not pass re-test"))=0),"Blocked - log it on Rework Log",IF(AND(LEFT($AJ36,3)&lt;&gt;"Yes",SUMPRODUCT(('Rework Log'!$A$3:$A$499=$B36)*('Rework Log'!$G$3:$G$499&lt;&gt;"Yes")*('Rework Log'!$G$3:$G$499&lt;&gt;"Did not pass re-test"))&gt;0),"Open rework row - mark Blocked? or close it",IF(AND($AJ36="Yes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H)",IF(AND($AJ36="Yes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H)",IF(AND($AJ36="Yes – needs QA to fix",Y36&lt;&gt;"",SUMPRODUCT(MAX((('Rework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target",IF(AND(AA36&lt;&gt;"",V36&lt;&gt;"",AA36&lt;V36),"DPO Approval target is before QA target",IF(AND(AG36&lt;&gt;"",AA36&lt;&gt;"",AG36&lt;AA36),"Confirmed Deployed date is before DPO Approval target",""))))))))))))</f>
        <v>Blocked - log it on Rework Log</v>
      </c>
      <c r="AL36" s="41" t="s">
        <v>154</v>
      </c>
      <c r="AM36" s="32" cm="1">
        <f t="array" ref="AM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N36" s="32" t="str" cm="1">
        <f t="array" ref="AN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40">
      <c r="A37" s="33" t="s">
        <v>127</v>
      </c>
      <c r="B37" s="33" t="s">
        <v>157</v>
      </c>
      <c r="C37" s="33" t="s">
        <v>129</v>
      </c>
      <c r="D37" t="str" cm="1">
        <f t="array" aca="1" ref="D37" ca="1">IF($B37="","",IF(LEFT($AJ37,3)="Yes","Blocked - "&amp;MID($AJ37,7,100)&amp;IF(SUMPRODUCT(('Rework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track")),IF(C37="QA",_xlfn.LET(_xlpm.tgt,IF(AM37&lt;&gt;"",AM37,IF(W37&lt;&gt;"",W37,V37)),_xlpm.sent,_xlfn.MAXIFS('Rework Log'!$B$3:$B$499,'Rework Log'!$A$3:$A$499,$B37,'Rework Log'!$C$3:$C$499,"QA"),_xlpm.act,IF(AND(Y37&lt;&gt;"",Y37&gt;_xlpm.sent),Y37,""),IF(_xlpm.tgt="","No target set",IF(AND(_xlpm.tgt&lt;TODAY(),_xlpm.act=""),"Overdue","On track"))),IF(C37="DPO Approval",_xlfn.LET(_xlpm.tgt,IF(AN37&lt;&gt;"",AN37,IF(AB37&lt;&gt;"",AB37,AA37)),_xlpm.sent,_xlfn.MAXIFS('Rework Log'!$B$3:$B$499,'Rework Log'!$A$3:$A$499,$B37,'Rework Log'!$C$3:$C$499,"DPO*"),_xlpm.act,IF(AND(AC37&lt;&gt;"",AC37&gt;_xlpm.sent),AC37,""),IF(_xlpm.tgt="","No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148</v>
      </c>
      <c r="G37" s="33"/>
      <c r="H37" s="50">
        <v>46234</v>
      </c>
      <c r="I37" s="61" t="s">
        <v>131</v>
      </c>
      <c r="J37" s="33" t="s">
        <v>84</v>
      </c>
      <c r="K37" s="4">
        <v>46213</v>
      </c>
      <c r="L37" s="36">
        <v>46246</v>
      </c>
      <c r="M37" s="36">
        <v>46255</v>
      </c>
      <c r="N37" s="36" t="s">
        <v>45</v>
      </c>
      <c r="O37" s="36" t="s">
        <v>132</v>
      </c>
      <c r="P37" s="65" t="s">
        <v>60</v>
      </c>
      <c r="Q37" s="4">
        <v>46220</v>
      </c>
      <c r="R37" s="36">
        <v>46255</v>
      </c>
      <c r="S37" s="36">
        <v>46255</v>
      </c>
      <c r="T37" s="69"/>
      <c r="U37" s="54" t="s">
        <v>148</v>
      </c>
      <c r="V37" s="59">
        <v>46227</v>
      </c>
      <c r="W37" s="36">
        <v>46260</v>
      </c>
      <c r="X37" s="36"/>
      <c r="Y37" s="36">
        <v>46255</v>
      </c>
      <c r="Z37" s="36"/>
      <c r="AA37" s="52">
        <v>46232</v>
      </c>
      <c r="AB37" s="36">
        <v>46269</v>
      </c>
      <c r="AC37" s="36"/>
      <c r="AD37" s="33" t="s">
        <v>158</v>
      </c>
      <c r="AE37" s="33" t="s">
        <v>49</v>
      </c>
      <c r="AF37" s="38"/>
      <c r="AG37" s="36"/>
      <c r="AH37" s="39"/>
      <c r="AI37" s="33"/>
      <c r="AJ37" s="40" t="s">
        <v>53</v>
      </c>
      <c r="AK37" s="73" t="str">
        <f>IF($B37="","",IF(AND(LEFT($AJ37,3)="Yes",SUMPRODUCT(('Rework Log'!$A$3:$A$499=$B37)*('Rework Log'!$G$3:$G$499&lt;&gt;"Yes")*('Rework Log'!$G$3:$G$499&lt;&gt;"Did not pass re-test"))=0),"Blocked - log it on Rework Log",IF(AND(LEFT($AJ37,3)&lt;&gt;"Yes",SUMPRODUCT(('Rework Log'!$A$3:$A$499=$B37)*('Rework Log'!$G$3:$G$499&lt;&gt;"Yes")*('Rework Log'!$G$3:$G$499&lt;&gt;"Did not pass re-test"))&gt;0),"Open rework row - mark Blocked? or close it",IF(AND($AJ37="Yes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H)",IF(AND($AJ37="Yes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H)",IF(AND($AJ37="Yes – needs QA to fix",Y37&lt;&gt;"",SUMPRODUCT(MAX((('Rework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target",IF(AND(AA37&lt;&gt;"",V37&lt;&gt;"",AA37&lt;V37),"DPO Approval target is before QA target",IF(AND(AG37&lt;&gt;"",AA37&lt;&gt;"",AG37&lt;AA37),"Confirmed Deployed date is before DPO Approval target",""))))))))))))</f>
        <v/>
      </c>
      <c r="AL37" s="41" t="s">
        <v>159</v>
      </c>
      <c r="AM37" s="32" cm="1">
        <f t="array" ref="AM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7" s="32" t="str" cm="1">
        <f t="array" ref="AN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40">
      <c r="A38" s="33" t="s">
        <v>127</v>
      </c>
      <c r="B38" s="33" t="s">
        <v>160</v>
      </c>
      <c r="C38" s="33" t="s">
        <v>129</v>
      </c>
      <c r="D38" t="str" cm="1">
        <f t="array" aca="1" ref="D38" ca="1">IF($B38="","",IF(LEFT($AJ38,3)="Yes","Blocked - "&amp;MID($AJ38,7,100)&amp;IF(SUMPRODUCT(('Rework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track")),IF(C38="QA",_xlfn.LET(_xlpm.tgt,IF(AM38&lt;&gt;"",AM38,IF(W38&lt;&gt;"",W38,V38)),_xlpm.sent,_xlfn.MAXIFS('Rework Log'!$B$3:$B$499,'Rework Log'!$A$3:$A$499,$B38,'Rework Log'!$C$3:$C$499,"QA"),_xlpm.act,IF(AND(Y38&lt;&gt;"",Y38&gt;_xlpm.sent),Y38,""),IF(_xlpm.tgt="","No target set",IF(AND(_xlpm.tgt&lt;TODAY(),_xlpm.act=""),"Overdue","On track"))),IF(C38="DPO Approval",_xlfn.LET(_xlpm.tgt,IF(AN38&lt;&gt;"",AN38,IF(AB38&lt;&gt;"",AB38,AA38)),_xlpm.sent,_xlfn.MAXIFS('Rework Log'!$B$3:$B$499,'Rework Log'!$A$3:$A$499,$B38,'Rework Log'!$C$3:$C$499,"DPO*"),_xlpm.act,IF(AND(AC38&lt;&gt;"",AC38&gt;_xlpm.sent),AC38,""),IF(_xlpm.tgt="","No target set",IF(AND(_xlpm.tgt&lt;TODAY(),_xlpm.act=""),"Overdue","On track"))),IF(C38="RELEASED IN PROD","Delivered",""))))))))</f>
        <v>On track</v>
      </c>
      <c r="E38" s="33" t="s">
        <v>161</v>
      </c>
      <c r="F38" s="34" t="s">
        <v>148</v>
      </c>
      <c r="G38" s="33"/>
      <c r="H38" s="50">
        <v>46234</v>
      </c>
      <c r="I38" s="61" t="s">
        <v>131</v>
      </c>
      <c r="J38" s="33" t="s">
        <v>162</v>
      </c>
      <c r="K38" s="4">
        <v>46213</v>
      </c>
      <c r="L38" s="36">
        <v>46246</v>
      </c>
      <c r="M38" s="35">
        <v>46254</v>
      </c>
      <c r="N38" s="47" t="s">
        <v>45</v>
      </c>
      <c r="O38" s="36" t="s">
        <v>132</v>
      </c>
      <c r="P38" s="65" t="s">
        <v>60</v>
      </c>
      <c r="Q38" s="4">
        <v>46220</v>
      </c>
      <c r="R38" s="36">
        <v>46254</v>
      </c>
      <c r="S38" s="36">
        <v>46254</v>
      </c>
      <c r="T38" s="69"/>
      <c r="U38" s="54" t="s">
        <v>148</v>
      </c>
      <c r="V38" s="59">
        <v>46227</v>
      </c>
      <c r="W38" s="36">
        <v>46259</v>
      </c>
      <c r="X38" s="36"/>
      <c r="Y38" s="36">
        <v>46254</v>
      </c>
      <c r="Z38" s="36"/>
      <c r="AA38" s="52">
        <v>46232</v>
      </c>
      <c r="AB38" s="36">
        <v>46269</v>
      </c>
      <c r="AC38" s="36"/>
      <c r="AD38" s="33" t="s">
        <v>158</v>
      </c>
      <c r="AE38" s="33" t="s">
        <v>49</v>
      </c>
      <c r="AF38" s="38"/>
      <c r="AG38" s="36"/>
      <c r="AH38" s="39"/>
      <c r="AI38" s="33"/>
      <c r="AJ38" s="40" t="s">
        <v>53</v>
      </c>
      <c r="AK38" s="73" t="str">
        <f>IF($B38="","",IF(AND(LEFT($AJ38,3)="Yes",SUMPRODUCT(('Rework Log'!$A$3:$A$499=$B38)*('Rework Log'!$G$3:$G$499&lt;&gt;"Yes")*('Rework Log'!$G$3:$G$499&lt;&gt;"Did not pass re-test"))=0),"Blocked - log it on Rework Log",IF(AND(LEFT($AJ38,3)&lt;&gt;"Yes",SUMPRODUCT(('Rework Log'!$A$3:$A$499=$B38)*('Rework Log'!$G$3:$G$499&lt;&gt;"Yes")*('Rework Log'!$G$3:$G$499&lt;&gt;"Did not pass re-test"))&gt;0),"Open rework row - mark Blocked? or close it",IF(AND($AJ38="Yes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H)",IF(AND($AJ38="Yes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H)",IF(AND($AJ38="Yes – needs QA to fix",Y38&lt;&gt;"",SUMPRODUCT(MAX((('Rework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target",IF(AND(AA38&lt;&gt;"",V38&lt;&gt;"",AA38&lt;V38),"DPO Approval target is before QA target",IF(AND(AG38&lt;&gt;"",AA38&lt;&gt;"",AG38&lt;AA38),"Confirmed Deployed date is before DPO Approval target",""))))))))))))</f>
        <v/>
      </c>
      <c r="AL38" s="41"/>
      <c r="AM38" s="32" cm="1">
        <f t="array" ref="AM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N38" s="32" t="str" cm="1">
        <f t="array" ref="AN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40">
      <c r="A39" s="33" t="s">
        <v>127</v>
      </c>
      <c r="B39" s="33" t="s">
        <v>163</v>
      </c>
      <c r="C39" s="33" t="s">
        <v>129</v>
      </c>
      <c r="D39" t="str" cm="1">
        <f t="array" aca="1" ref="D39" ca="1">IF($B39="","",IF(LEFT($AJ39,3)="Yes","Blocked - "&amp;MID($AJ39,7,100)&amp;IF(SUMPRODUCT(('Rework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track")),IF(C39="QA",_xlfn.LET(_xlpm.tgt,IF(AM39&lt;&gt;"",AM39,IF(W39&lt;&gt;"",W39,V39)),_xlpm.sent,_xlfn.MAXIFS('Rework Log'!$B$3:$B$499,'Rework Log'!$A$3:$A$499,$B39,'Rework Log'!$C$3:$C$499,"QA"),_xlpm.act,IF(AND(Y39&lt;&gt;"",Y39&gt;_xlpm.sent),Y39,""),IF(_xlpm.tgt="","No target set",IF(AND(_xlpm.tgt&lt;TODAY(),_xlpm.act=""),"Overdue","On track"))),IF(C39="DPO Approval",_xlfn.LET(_xlpm.tgt,IF(AN39&lt;&gt;"",AN39,IF(AB39&lt;&gt;"",AB39,AA39)),_xlpm.sent,_xlfn.MAXIFS('Rework Log'!$B$3:$B$499,'Rework Log'!$A$3:$A$499,$B39,'Rework Log'!$C$3:$C$499,"DPO*"),_xlpm.act,IF(AND(AC39&lt;&gt;"",AC39&gt;_xlpm.sent),AC39,""),IF(_xlpm.tgt="","No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148</v>
      </c>
      <c r="G39" s="33"/>
      <c r="H39" s="50">
        <v>46234</v>
      </c>
      <c r="I39" s="61" t="s">
        <v>131</v>
      </c>
      <c r="J39" s="33" t="s">
        <v>162</v>
      </c>
      <c r="K39" s="4">
        <v>46213</v>
      </c>
      <c r="L39" s="36">
        <v>46246</v>
      </c>
      <c r="M39" s="36">
        <v>46245</v>
      </c>
      <c r="N39" s="36" t="s">
        <v>45</v>
      </c>
      <c r="O39" s="36" t="s">
        <v>132</v>
      </c>
      <c r="P39" s="65" t="s">
        <v>77</v>
      </c>
      <c r="Q39" s="4">
        <v>46220</v>
      </c>
      <c r="R39" s="36">
        <v>46247</v>
      </c>
      <c r="S39" s="36">
        <v>46258</v>
      </c>
      <c r="T39" s="69"/>
      <c r="U39" s="54" t="s">
        <v>47</v>
      </c>
      <c r="V39" s="59">
        <v>46227</v>
      </c>
      <c r="W39" s="36">
        <v>46261</v>
      </c>
      <c r="X39" s="36"/>
      <c r="Y39" s="36">
        <v>46258</v>
      </c>
      <c r="Z39" s="36"/>
      <c r="AA39" s="52">
        <v>46232</v>
      </c>
      <c r="AB39" s="36">
        <v>46269</v>
      </c>
      <c r="AC39" s="36"/>
      <c r="AD39" s="33" t="s">
        <v>158</v>
      </c>
      <c r="AE39" s="33" t="s">
        <v>49</v>
      </c>
      <c r="AF39" s="38"/>
      <c r="AG39" s="36"/>
      <c r="AH39" s="39"/>
      <c r="AI39" s="33"/>
      <c r="AJ39" s="40" t="s">
        <v>53</v>
      </c>
      <c r="AK39" s="73" t="str">
        <f>IF($B39="","",IF(AND(LEFT($AJ39,3)="Yes",SUMPRODUCT(('Rework Log'!$A$3:$A$499=$B39)*('Rework Log'!$G$3:$G$499&lt;&gt;"Yes")*('Rework Log'!$G$3:$G$499&lt;&gt;"Did not pass re-test"))=0),"Blocked - log it on Rework Log",IF(AND(LEFT($AJ39,3)&lt;&gt;"Yes",SUMPRODUCT(('Rework Log'!$A$3:$A$499=$B39)*('Rework Log'!$G$3:$G$499&lt;&gt;"Yes")*('Rework Log'!$G$3:$G$499&lt;&gt;"Did not pass re-test"))&gt;0),"Open rework row - mark Blocked? or close it",IF(AND($AJ39="Yes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H)",IF(AND($AJ39="Yes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H)",IF(AND($AJ39="Yes – needs QA to fix",Y39&lt;&gt;"",SUMPRODUCT(MAX((('Rework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target",IF(AND(AA39&lt;&gt;"",V39&lt;&gt;"",AA39&lt;V39),"DPO Approval target is before QA target",IF(AND(AG39&lt;&gt;"",AA39&lt;&gt;"",AG39&lt;AA39),"Confirmed Deployed date is before DPO Approval target",""))))))))))))</f>
        <v/>
      </c>
      <c r="AL39" s="41" t="s">
        <v>154</v>
      </c>
      <c r="AM39" s="32" cm="1">
        <f t="array" ref="AM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9" s="32" t="str" cm="1">
        <f t="array" ref="AN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40">
      <c r="A40" s="33" t="s">
        <v>127</v>
      </c>
      <c r="B40" s="33" t="s">
        <v>164</v>
      </c>
      <c r="C40" s="33" t="s">
        <v>129</v>
      </c>
      <c r="D40" t="str" cm="1">
        <f t="array" aca="1" ref="D40" ca="1">IF($B40="","",IF(LEFT($AJ40,3)="Yes","Blocked - "&amp;MID($AJ40,7,100)&amp;IF(SUMPRODUCT(('Rework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track")),IF(C40="QA",_xlfn.LET(_xlpm.tgt,IF(AM40&lt;&gt;"",AM40,IF(W40&lt;&gt;"",W40,V40)),_xlpm.sent,_xlfn.MAXIFS('Rework Log'!$B$3:$B$499,'Rework Log'!$A$3:$A$499,$B40,'Rework Log'!$C$3:$C$499,"QA"),_xlpm.act,IF(AND(Y40&lt;&gt;"",Y40&gt;_xlpm.sent),Y40,""),IF(_xlpm.tgt="","No target set",IF(AND(_xlpm.tgt&lt;TODAY(),_xlpm.act=""),"Overdue","On track"))),IF(C40="DPO Approval",_xlfn.LET(_xlpm.tgt,IF(AN40&lt;&gt;"",AN40,IF(AB40&lt;&gt;"",AB40,AA40)),_xlpm.sent,_xlfn.MAXIFS('Rework Log'!$B$3:$B$499,'Rework Log'!$A$3:$A$499,$B40,'Rework Log'!$C$3:$C$499,"DPO*"),_xlpm.act,IF(AND(AC40&lt;&gt;"",AC40&gt;_xlpm.sent),AC40,""),IF(_xlpm.tgt="","No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130</v>
      </c>
      <c r="G40" s="33"/>
      <c r="H40" s="50">
        <v>46234</v>
      </c>
      <c r="I40" s="61" t="s">
        <v>131</v>
      </c>
      <c r="J40" s="33" t="s">
        <v>76</v>
      </c>
      <c r="K40" s="4">
        <v>46213</v>
      </c>
      <c r="L40" s="36">
        <v>46251</v>
      </c>
      <c r="M40" s="37">
        <v>46251</v>
      </c>
      <c r="N40" s="47" t="s">
        <v>45</v>
      </c>
      <c r="O40" s="36" t="s">
        <v>132</v>
      </c>
      <c r="P40" s="65" t="s">
        <v>77</v>
      </c>
      <c r="Q40" s="4">
        <v>46220</v>
      </c>
      <c r="R40" s="36">
        <v>46251</v>
      </c>
      <c r="S40" s="36">
        <v>46255</v>
      </c>
      <c r="T40" s="69"/>
      <c r="U40" s="54" t="s">
        <v>47</v>
      </c>
      <c r="V40" s="59">
        <v>46227</v>
      </c>
      <c r="W40" s="36">
        <v>46254</v>
      </c>
      <c r="X40" s="36"/>
      <c r="Y40" s="36">
        <v>46258</v>
      </c>
      <c r="Z40" s="36"/>
      <c r="AA40" s="52">
        <v>46232</v>
      </c>
      <c r="AB40" s="36">
        <v>46267</v>
      </c>
      <c r="AC40" s="36"/>
      <c r="AD40" s="33" t="s">
        <v>133</v>
      </c>
      <c r="AE40" s="33" t="s">
        <v>49</v>
      </c>
      <c r="AF40" s="38"/>
      <c r="AG40" s="36"/>
      <c r="AH40" s="39"/>
      <c r="AI40" s="33"/>
      <c r="AJ40" s="40" t="s">
        <v>53</v>
      </c>
      <c r="AK40" s="73" t="str">
        <f>IF($B40="","",IF(AND(LEFT($AJ40,3)="Yes",SUMPRODUCT(('Rework Log'!$A$3:$A$499=$B40)*('Rework Log'!$G$3:$G$499&lt;&gt;"Yes")*('Rework Log'!$G$3:$G$499&lt;&gt;"Did not pass re-test"))=0),"Blocked - log it on Rework Log",IF(AND(LEFT($AJ40,3)&lt;&gt;"Yes",SUMPRODUCT(('Rework Log'!$A$3:$A$499=$B40)*('Rework Log'!$G$3:$G$499&lt;&gt;"Yes")*('Rework Log'!$G$3:$G$499&lt;&gt;"Did not pass re-test"))&gt;0),"Open rework row - mark Blocked? or close it",IF(AND($AJ40="Yes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H)",IF(AND($AJ40="Yes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H)",IF(AND($AJ40="Yes – needs QA to fix",Y40&lt;&gt;"",SUMPRODUCT(MAX((('Rework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target",IF(AND(AA40&lt;&gt;"",V40&lt;&gt;"",AA40&lt;V40),"DPO Approval target is before QA target",IF(AND(AG40&lt;&gt;"",AA40&lt;&gt;"",AG40&lt;AA40),"Confirmed Deployed date is before DPO Approval target",""))))))))))))</f>
        <v/>
      </c>
      <c r="AL40" s="41" t="s">
        <v>165</v>
      </c>
      <c r="AM40" s="32" cm="1">
        <f t="array" ref="AM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0" s="32" t="str" cm="1">
        <f t="array" ref="AN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40">
      <c r="A41" s="33" t="s">
        <v>127</v>
      </c>
      <c r="B41" s="33" t="s">
        <v>166</v>
      </c>
      <c r="C41" s="33" t="s">
        <v>129</v>
      </c>
      <c r="D41" t="str" cm="1">
        <f t="array" aca="1" ref="D41" ca="1">IF($B41="","",IF(LEFT($AJ41,3)="Yes","Blocked - "&amp;MID($AJ41,7,100)&amp;IF(SUMPRODUCT(('Rework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track")),IF(C41="QA",_xlfn.LET(_xlpm.tgt,IF(AM41&lt;&gt;"",AM41,IF(W41&lt;&gt;"",W41,V41)),_xlpm.sent,_xlfn.MAXIFS('Rework Log'!$B$3:$B$499,'Rework Log'!$A$3:$A$499,$B41,'Rework Log'!$C$3:$C$499,"QA"),_xlpm.act,IF(AND(Y41&lt;&gt;"",Y41&gt;_xlpm.sent),Y41,""),IF(_xlpm.tgt="","No target set",IF(AND(_xlpm.tgt&lt;TODAY(),_xlpm.act=""),"Overdue","On track"))),IF(C41="DPO Approval",_xlfn.LET(_xlpm.tgt,IF(AN41&lt;&gt;"",AN41,IF(AB41&lt;&gt;"",AB41,AA41)),_xlpm.sent,_xlfn.MAXIFS('Rework Log'!$B$3:$B$499,'Rework Log'!$A$3:$A$499,$B41,'Rework Log'!$C$3:$C$499,"DPO*"),_xlpm.act,IF(AND(AC41&lt;&gt;"",AC41&gt;_xlpm.sent),AC41,""),IF(_xlpm.tgt="","No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130</v>
      </c>
      <c r="G41" s="33"/>
      <c r="H41" s="50">
        <v>46234</v>
      </c>
      <c r="I41" s="61" t="s">
        <v>131</v>
      </c>
      <c r="J41" s="33" t="s">
        <v>59</v>
      </c>
      <c r="K41" s="4">
        <v>46213</v>
      </c>
      <c r="L41" s="35">
        <v>46248</v>
      </c>
      <c r="M41" s="37">
        <v>46248</v>
      </c>
      <c r="N41" s="47" t="s">
        <v>45</v>
      </c>
      <c r="O41" s="36" t="s">
        <v>132</v>
      </c>
      <c r="P41" s="65" t="s">
        <v>60</v>
      </c>
      <c r="Q41" s="4">
        <v>46220</v>
      </c>
      <c r="R41" s="36">
        <v>46251</v>
      </c>
      <c r="S41" s="36">
        <v>46251</v>
      </c>
      <c r="T41" s="69"/>
      <c r="U41" s="54" t="s">
        <v>47</v>
      </c>
      <c r="V41" s="59">
        <v>46227</v>
      </c>
      <c r="W41" s="36">
        <v>46258</v>
      </c>
      <c r="X41" s="36"/>
      <c r="Y41" s="36">
        <v>46258</v>
      </c>
      <c r="Z41" s="36"/>
      <c r="AA41" s="52">
        <v>46232</v>
      </c>
      <c r="AB41" s="36">
        <v>46267</v>
      </c>
      <c r="AC41" s="36"/>
      <c r="AD41" s="33" t="s">
        <v>133</v>
      </c>
      <c r="AE41" s="33" t="s">
        <v>49</v>
      </c>
      <c r="AF41" s="38"/>
      <c r="AG41" s="36"/>
      <c r="AH41" s="39"/>
      <c r="AI41" s="33"/>
      <c r="AJ41" s="40" t="s">
        <v>53</v>
      </c>
      <c r="AK41" s="73" t="str">
        <f>IF($B41="","",IF(AND(LEFT($AJ41,3)="Yes",SUMPRODUCT(('Rework Log'!$A$3:$A$499=$B41)*('Rework Log'!$G$3:$G$499&lt;&gt;"Yes")*('Rework Log'!$G$3:$G$499&lt;&gt;"Did not pass re-test"))=0),"Blocked - log it on Rework Log",IF(AND(LEFT($AJ41,3)&lt;&gt;"Yes",SUMPRODUCT(('Rework Log'!$A$3:$A$499=$B41)*('Rework Log'!$G$3:$G$499&lt;&gt;"Yes")*('Rework Log'!$G$3:$G$499&lt;&gt;"Did not pass re-test"))&gt;0),"Open rework row - mark Blocked? or close it",IF(AND($AJ41="Yes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H)",IF(AND($AJ41="Yes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H)",IF(AND($AJ41="Yes – needs QA to fix",Y41&lt;&gt;"",SUMPRODUCT(MAX((('Rework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target",IF(AND(AA41&lt;&gt;"",V41&lt;&gt;"",AA41&lt;V41),"DPO Approval target is before QA target",IF(AND(AG41&lt;&gt;"",AA41&lt;&gt;"",AG41&lt;AA41),"Confirmed Deployed date is before DPO Approval target",""))))))))))))</f>
        <v/>
      </c>
      <c r="AL41" s="41" t="s">
        <v>167</v>
      </c>
      <c r="AM41" s="32" t="str" cm="1">
        <f t="array" ref="AM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1" s="32" t="str" cm="1">
        <f t="array" ref="AN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40">
      <c r="A42" s="33" t="s">
        <v>127</v>
      </c>
      <c r="B42" s="33" t="s">
        <v>168</v>
      </c>
      <c r="C42" s="33" t="s">
        <v>129</v>
      </c>
      <c r="D42" t="str" cm="1">
        <f t="array" aca="1" ref="D42" ca="1">IF($B42="","",IF(LEFT($AJ42,3)="Yes","Blocked - "&amp;MID($AJ42,7,100)&amp;IF(SUMPRODUCT(('Rework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track")),IF(C42="QA",_xlfn.LET(_xlpm.tgt,IF(AM42&lt;&gt;"",AM42,IF(W42&lt;&gt;"",W42,V42)),_xlpm.sent,_xlfn.MAXIFS('Rework Log'!$B$3:$B$499,'Rework Log'!$A$3:$A$499,$B42,'Rework Log'!$C$3:$C$499,"QA"),_xlpm.act,IF(AND(Y42&lt;&gt;"",Y42&gt;_xlpm.sent),Y42,""),IF(_xlpm.tgt="","No target set",IF(AND(_xlpm.tgt&lt;TODAY(),_xlpm.act=""),"Overdue","On track"))),IF(C42="DPO Approval",_xlfn.LET(_xlpm.tgt,IF(AN42&lt;&gt;"",AN42,IF(AB42&lt;&gt;"",AB42,AA42)),_xlpm.sent,_xlfn.MAXIFS('Rework Log'!$B$3:$B$499,'Rework Log'!$A$3:$A$499,$B42,'Rework Log'!$C$3:$C$499,"DPO*"),_xlpm.act,IF(AND(AC42&lt;&gt;"",AC42&gt;_xlpm.sent),AC42,""),IF(_xlpm.tgt="","No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148</v>
      </c>
      <c r="G42" s="33"/>
      <c r="H42" s="50">
        <v>46234</v>
      </c>
      <c r="I42" s="61" t="s">
        <v>131</v>
      </c>
      <c r="J42" s="33" t="s">
        <v>76</v>
      </c>
      <c r="K42" s="4">
        <v>46213</v>
      </c>
      <c r="L42" s="36">
        <v>46245</v>
      </c>
      <c r="M42" s="36">
        <v>46245</v>
      </c>
      <c r="N42" s="36" t="s">
        <v>45</v>
      </c>
      <c r="O42" s="36" t="s">
        <v>169</v>
      </c>
      <c r="P42" s="65" t="s">
        <v>46</v>
      </c>
      <c r="Q42" s="4">
        <v>46220</v>
      </c>
      <c r="R42" s="36">
        <v>46248</v>
      </c>
      <c r="S42" s="36">
        <v>46248</v>
      </c>
      <c r="T42" s="69"/>
      <c r="U42" s="54" t="s">
        <v>47</v>
      </c>
      <c r="V42" s="59">
        <v>46227</v>
      </c>
      <c r="W42" s="36">
        <v>46255</v>
      </c>
      <c r="X42" s="36"/>
      <c r="Y42" s="36">
        <v>46261</v>
      </c>
      <c r="Z42" s="36"/>
      <c r="AA42" s="52">
        <v>46232</v>
      </c>
      <c r="AB42" s="36">
        <v>46269</v>
      </c>
      <c r="AC42" s="36"/>
      <c r="AD42" s="33" t="s">
        <v>158</v>
      </c>
      <c r="AE42" s="33" t="s">
        <v>49</v>
      </c>
      <c r="AF42" s="38"/>
      <c r="AG42" s="36"/>
      <c r="AH42" s="39"/>
      <c r="AI42" s="33"/>
      <c r="AJ42" s="40" t="s">
        <v>53</v>
      </c>
      <c r="AK42" s="48"/>
      <c r="AL42" s="45" t="s">
        <v>170</v>
      </c>
      <c r="AM42" s="32" t="str" cm="1">
        <f t="array" ref="AM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2" s="32" t="str" cm="1">
        <f t="array" ref="AN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40">
      <c r="A43" s="33" t="s">
        <v>127</v>
      </c>
      <c r="B43" s="33" t="s">
        <v>171</v>
      </c>
      <c r="C43" s="33" t="s">
        <v>141</v>
      </c>
      <c r="D43" t="str" cm="1">
        <f t="array" aca="1" ref="D43" ca="1">IF($B43="","",IF(LEFT($AJ43,3)="Yes","Blocked - "&amp;MID($AJ43,7,100)&amp;IF(SUMPRODUCT(('Rework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track")),IF(C43="QA",_xlfn.LET(_xlpm.tgt,IF(AM43&lt;&gt;"",AM43,IF(W43&lt;&gt;"",W43,V43)),_xlpm.sent,_xlfn.MAXIFS('Rework Log'!$B$3:$B$499,'Rework Log'!$A$3:$A$499,$B43,'Rework Log'!$C$3:$C$499,"QA"),_xlpm.act,IF(AND(Y43&lt;&gt;"",Y43&gt;_xlpm.sent),Y43,""),IF(_xlpm.tgt="","No target set",IF(AND(_xlpm.tgt&lt;TODAY(),_xlpm.act=""),"Overdue","On track"))),IF(C43="DPO Approval",_xlfn.LET(_xlpm.tgt,IF(AN43&lt;&gt;"",AN43,IF(AB43&lt;&gt;"",AB43,AA43)),_xlpm.sent,_xlfn.MAXIFS('Rework Log'!$B$3:$B$499,'Rework Log'!$A$3:$A$499,$B43,'Rework Log'!$C$3:$C$499,"DPO*"),_xlpm.act,IF(AND(AC43&lt;&gt;"",AC43&gt;_xlpm.sent),AC43,""),IF(_xlpm.tgt="","No target set",IF(AND(_xlpm.tgt&lt;TODAY(),_xlpm.act=""),"Overdue","On track"))),IF(C43="RELEASED IN PROD","Delivered",""))))))))</f>
        <v>Overdue</v>
      </c>
      <c r="E43" s="33" t="s">
        <v>172</v>
      </c>
      <c r="F43" s="34" t="s">
        <v>148</v>
      </c>
      <c r="G43" s="33"/>
      <c r="H43" s="50">
        <v>46265</v>
      </c>
      <c r="I43" s="61" t="s">
        <v>173</v>
      </c>
      <c r="J43" s="33" t="s">
        <v>103</v>
      </c>
      <c r="K43" s="4">
        <v>46234</v>
      </c>
      <c r="L43" s="36">
        <v>46251</v>
      </c>
      <c r="M43" s="36">
        <v>46252</v>
      </c>
      <c r="N43" s="36" t="s">
        <v>174</v>
      </c>
      <c r="O43" s="36" t="s">
        <v>175</v>
      </c>
      <c r="P43" s="65" t="s">
        <v>60</v>
      </c>
      <c r="Q43" s="4">
        <v>46241</v>
      </c>
      <c r="R43" s="36">
        <v>46260</v>
      </c>
      <c r="S43" s="36">
        <v>46260</v>
      </c>
      <c r="T43" s="69"/>
      <c r="U43" s="54" t="s">
        <v>47</v>
      </c>
      <c r="V43" s="59">
        <v>46255</v>
      </c>
      <c r="W43" s="36">
        <v>46262</v>
      </c>
      <c r="X43" s="36"/>
      <c r="Y43" s="36"/>
      <c r="Z43" s="36"/>
      <c r="AA43" s="52">
        <v>46260</v>
      </c>
      <c r="AB43" s="36">
        <v>46274</v>
      </c>
      <c r="AC43" s="36"/>
      <c r="AD43" s="33" t="s">
        <v>133</v>
      </c>
      <c r="AE43" s="33" t="s">
        <v>49</v>
      </c>
      <c r="AF43" s="38"/>
      <c r="AG43" s="36"/>
      <c r="AH43" s="39"/>
      <c r="AI43" s="33"/>
      <c r="AJ43" s="40" t="s">
        <v>53</v>
      </c>
      <c r="AK43" s="73" t="str">
        <f>IF($B43="","",IF(AND(LEFT($AJ43,3)="Yes",SUMPRODUCT(('Rework Log'!$A$3:$A$499=$B43)*('Rework Log'!$G$3:$G$499&lt;&gt;"Yes")*('Rework Log'!$G$3:$G$499&lt;&gt;"Did not pass re-test"))=0),"Blocked - log it on Rework Log",IF(AND(LEFT($AJ43,3)&lt;&gt;"Yes",SUMPRODUCT(('Rework Log'!$A$3:$A$499=$B43)*('Rework Log'!$G$3:$G$499&lt;&gt;"Yes")*('Rework Log'!$G$3:$G$499&lt;&gt;"Did not pass re-test"))&gt;0),"Open rework row - mark Blocked? or close it",IF(AND($AJ43="Yes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H)",IF(AND($AJ43="Yes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H)",IF(AND($AJ43="Yes – needs QA to fix",Y43&lt;&gt;"",SUMPRODUCT(MAX((('Rework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target",IF(AND(AA43&lt;&gt;"",V43&lt;&gt;"",AA43&lt;V43),"DPO Approval target is before QA target",IF(AND(AG43&lt;&gt;"",AA43&lt;&gt;"",AG43&lt;AA43),"Confirmed Deployed date is before DPO Approval target",""))))))))))))</f>
        <v/>
      </c>
      <c r="AL43" s="41" t="s">
        <v>176</v>
      </c>
      <c r="AM43" s="32" t="str" cm="1">
        <f t="array" ref="AM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3" s="32" t="str" cm="1">
        <f t="array" ref="AN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40">
      <c r="A44" s="33" t="s">
        <v>127</v>
      </c>
      <c r="B44" s="33" t="s">
        <v>177</v>
      </c>
      <c r="C44" s="33" t="s">
        <v>156</v>
      </c>
      <c r="D44" t="str" cm="1">
        <f t="array" aca="1" ref="D44" ca="1">IF($B44="","",IF(LEFT($AJ44,3)="Yes","Blocked - "&amp;MID($AJ44,7,100)&amp;IF(SUMPRODUCT(('Rework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track")),IF(C44="QA",_xlfn.LET(_xlpm.tgt,IF(AM44&lt;&gt;"",AM44,IF(W44&lt;&gt;"",W44,V44)),_xlpm.sent,_xlfn.MAXIFS('Rework Log'!$B$3:$B$499,'Rework Log'!$A$3:$A$499,$B44,'Rework Log'!$C$3:$C$499,"QA"),_xlpm.act,IF(AND(Y44&lt;&gt;"",Y44&gt;_xlpm.sent),Y44,""),IF(_xlpm.tgt="","No target set",IF(AND(_xlpm.tgt&lt;TODAY(),_xlpm.act=""),"Overdue","On track"))),IF(C44="DPO Approval",_xlfn.LET(_xlpm.tgt,IF(AN44&lt;&gt;"",AN44,IF(AB44&lt;&gt;"",AB44,AA44)),_xlpm.sent,_xlfn.MAXIFS('Rework Log'!$B$3:$B$499,'Rework Log'!$A$3:$A$499,$B44,'Rework Log'!$C$3:$C$499,"DPO*"),_xlpm.act,IF(AND(AC44&lt;&gt;"",AC44&gt;_xlpm.sent),AC44,""),IF(_xlpm.tgt="","No target set",IF(AND(_xlpm.tgt&lt;TODAY(),_xlpm.act=""),"Overdue","On track"))),IF(C44="RELEASED IN PROD","Delivered",""))))))))</f>
        <v>Blocked - needs DB Dev to fix - unclaimed</v>
      </c>
      <c r="E44" s="33">
        <v>18</v>
      </c>
      <c r="F44" s="34" t="s">
        <v>148</v>
      </c>
      <c r="G44" s="33"/>
      <c r="H44" s="50">
        <v>46265</v>
      </c>
      <c r="I44" s="61" t="s">
        <v>173</v>
      </c>
      <c r="J44" s="33" t="s">
        <v>59</v>
      </c>
      <c r="K44" s="4">
        <v>46234</v>
      </c>
      <c r="L44" s="36">
        <v>46255</v>
      </c>
      <c r="M44" s="36">
        <v>46255</v>
      </c>
      <c r="N44" s="36" t="s">
        <v>45</v>
      </c>
      <c r="O44" s="36" t="s">
        <v>175</v>
      </c>
      <c r="P44" s="65" t="s">
        <v>46</v>
      </c>
      <c r="Q44" s="4">
        <v>46241</v>
      </c>
      <c r="R44" s="36">
        <v>46258</v>
      </c>
      <c r="S44" s="36">
        <v>46258</v>
      </c>
      <c r="T44" s="69"/>
      <c r="U44" s="54" t="s">
        <v>47</v>
      </c>
      <c r="V44" s="59">
        <v>46255</v>
      </c>
      <c r="W44" s="36">
        <v>46261</v>
      </c>
      <c r="X44" s="36"/>
      <c r="Y44" s="36"/>
      <c r="Z44" s="36"/>
      <c r="AA44" s="52">
        <v>46260</v>
      </c>
      <c r="AB44" s="36">
        <v>46273</v>
      </c>
      <c r="AC44" s="36"/>
      <c r="AD44" s="33" t="s">
        <v>178</v>
      </c>
      <c r="AE44" s="33" t="s">
        <v>49</v>
      </c>
      <c r="AF44" s="38"/>
      <c r="AG44" s="36"/>
      <c r="AH44" s="39"/>
      <c r="AI44" s="33"/>
      <c r="AJ44" s="40" t="s">
        <v>143</v>
      </c>
      <c r="AK44" s="73" t="str">
        <f>IF($B44="","",IF(AND(LEFT($AJ44,3)="Yes",SUMPRODUCT(('Rework Log'!$A$3:$A$499=$B44)*('Rework Log'!$G$3:$G$499&lt;&gt;"Yes")*('Rework Log'!$G$3:$G$499&lt;&gt;"Did not pass re-test"))=0),"Blocked - log it on Rework Log",IF(AND(LEFT($AJ44,3)&lt;&gt;"Yes",SUMPRODUCT(('Rework Log'!$A$3:$A$499=$B44)*('Rework Log'!$G$3:$G$499&lt;&gt;"Yes")*('Rework Log'!$G$3:$G$499&lt;&gt;"Did not pass re-test"))&gt;0),"Open rework row - mark Blocked? or close it",IF(AND($AJ44="Yes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H)",IF(AND($AJ44="Yes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H)",IF(AND($AJ44="Yes – needs QA to fix",Y44&lt;&gt;"",SUMPRODUCT(MAX((('Rework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target",IF(AND(AA44&lt;&gt;"",V44&lt;&gt;"",AA44&lt;V44),"DPO Approval target is before QA target",IF(AND(AG44&lt;&gt;"",AA44&lt;&gt;"",AG44&lt;AA44),"Confirmed Deployed date is before DPO Approval target",""))))))))))))</f>
        <v/>
      </c>
      <c r="AL44" s="77" t="s">
        <v>179</v>
      </c>
      <c r="AM44" s="32" t="str" cm="1">
        <f t="array" ref="AM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4" s="32" t="str" cm="1">
        <f t="array" ref="AN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40">
      <c r="A45" s="33" t="s">
        <v>127</v>
      </c>
      <c r="B45" s="33" t="s">
        <v>180</v>
      </c>
      <c r="C45" s="33" t="s">
        <v>129</v>
      </c>
      <c r="D45" t="str" cm="1">
        <f t="array" aca="1" ref="D45" ca="1">IF($B45="","",IF(LEFT($AJ45,3)="Yes","Blocked - "&amp;MID($AJ45,7,100)&amp;IF(SUMPRODUCT(('Rework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track")),IF(C45="QA",_xlfn.LET(_xlpm.tgt,IF(AM45&lt;&gt;"",AM45,IF(W45&lt;&gt;"",W45,V45)),_xlpm.sent,_xlfn.MAXIFS('Rework Log'!$B$3:$B$499,'Rework Log'!$A$3:$A$499,$B45,'Rework Log'!$C$3:$C$499,"QA"),_xlpm.act,IF(AND(Y45&lt;&gt;"",Y45&gt;_xlpm.sent),Y45,""),IF(_xlpm.tgt="","No target set",IF(AND(_xlpm.tgt&lt;TODAY(),_xlpm.act=""),"Overdue","On track"))),IF(C45="DPO Approval",_xlfn.LET(_xlpm.tgt,IF(AN45&lt;&gt;"",AN45,IF(AB45&lt;&gt;"",AB45,AA45)),_xlpm.sent,_xlfn.MAXIFS('Rework Log'!$B$3:$B$499,'Rework Log'!$A$3:$A$499,$B45,'Rework Log'!$C$3:$C$499,"DPO*"),_xlpm.act,IF(AND(AC45&lt;&gt;"",AC45&gt;_xlpm.sent),AC45,""),IF(_xlpm.tgt="","No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130</v>
      </c>
      <c r="G45" s="33"/>
      <c r="H45" s="50">
        <v>46265</v>
      </c>
      <c r="I45" s="61" t="s">
        <v>173</v>
      </c>
      <c r="J45" s="33" t="s">
        <v>44</v>
      </c>
      <c r="K45" s="4">
        <v>46234</v>
      </c>
      <c r="L45" s="36">
        <v>46249</v>
      </c>
      <c r="M45" s="36">
        <v>46244</v>
      </c>
      <c r="N45" s="36"/>
      <c r="O45" s="36" t="s">
        <v>175</v>
      </c>
      <c r="P45" s="65" t="s">
        <v>77</v>
      </c>
      <c r="Q45" s="4">
        <v>46241</v>
      </c>
      <c r="R45" s="36">
        <v>46252</v>
      </c>
      <c r="S45" s="36">
        <v>46265</v>
      </c>
      <c r="T45" s="69"/>
      <c r="U45" s="54" t="s">
        <v>47</v>
      </c>
      <c r="V45" s="59">
        <v>46255</v>
      </c>
      <c r="W45" s="36">
        <v>46268</v>
      </c>
      <c r="X45" s="36"/>
      <c r="Y45" s="36">
        <v>46265</v>
      </c>
      <c r="Z45" s="36"/>
      <c r="AA45" s="52">
        <v>46260</v>
      </c>
      <c r="AB45" s="36"/>
      <c r="AC45" s="36"/>
      <c r="AD45" s="33" t="s">
        <v>178</v>
      </c>
      <c r="AE45" s="33" t="s">
        <v>49</v>
      </c>
      <c r="AF45" s="38"/>
      <c r="AG45" s="36"/>
      <c r="AH45" s="39"/>
      <c r="AI45" s="33"/>
      <c r="AJ45" s="40" t="s">
        <v>53</v>
      </c>
      <c r="AK45" s="73" t="str">
        <f>IF($B45="","",IF(AND(LEFT($AJ45,3)="Yes",SUMPRODUCT(('Rework Log'!$A$3:$A$499=$B45)*('Rework Log'!$G$3:$G$499&lt;&gt;"Yes")*('Rework Log'!$G$3:$G$499&lt;&gt;"Did not pass re-test"))=0),"Blocked - log it on Rework Log",IF(AND(LEFT($AJ45,3)&lt;&gt;"Yes",SUMPRODUCT(('Rework Log'!$A$3:$A$499=$B45)*('Rework Log'!$G$3:$G$499&lt;&gt;"Yes")*('Rework Log'!$G$3:$G$499&lt;&gt;"Did not pass re-test"))&gt;0),"Open rework row - mark Blocked? or close it",IF(AND($AJ45="Yes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H)",IF(AND($AJ45="Yes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H)",IF(AND($AJ45="Yes – needs QA to fix",Y45&lt;&gt;"",SUMPRODUCT(MAX((('Rework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target",IF(AND(AA45&lt;&gt;"",V45&lt;&gt;"",AA45&lt;V45),"DPO Approval target is before QA target",IF(AND(AG45&lt;&gt;"",AA45&lt;&gt;"",AG45&lt;AA45),"Confirmed Deployed date is before DPO Approval target",""))))))))))))</f>
        <v/>
      </c>
      <c r="AL45" s="41" t="s">
        <v>181</v>
      </c>
      <c r="AM45" s="32" t="str" cm="1">
        <f t="array" ref="AM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5" s="32" t="str" cm="1">
        <f t="array" ref="AN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40">
      <c r="A46" s="33" t="s">
        <v>127</v>
      </c>
      <c r="B46" s="33" t="s">
        <v>182</v>
      </c>
      <c r="C46" s="33" t="s">
        <v>141</v>
      </c>
      <c r="D46" t="str" cm="1">
        <f t="array" aca="1" ref="D46" ca="1">IF($B46="","",IF(LEFT($AJ46,3)="Yes","Blocked - "&amp;MID($AJ46,7,100)&amp;IF(SUMPRODUCT(('Rework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track")),IF(C46="QA",_xlfn.LET(_xlpm.tgt,IF(AM46&lt;&gt;"",AM46,IF(W46&lt;&gt;"",W46,V46)),_xlpm.sent,_xlfn.MAXIFS('Rework Log'!$B$3:$B$499,'Rework Log'!$A$3:$A$499,$B46,'Rework Log'!$C$3:$C$499,"QA"),_xlpm.act,IF(AND(Y46&lt;&gt;"",Y46&gt;_xlpm.sent),Y46,""),IF(_xlpm.tgt="","No target set",IF(AND(_xlpm.tgt&lt;TODAY(),_xlpm.act=""),"Overdue","On track"))),IF(C46="DPO Approval",_xlfn.LET(_xlpm.tgt,IF(AN46&lt;&gt;"",AN46,IF(AB46&lt;&gt;"",AB46,AA46)),_xlpm.sent,_xlfn.MAXIFS('Rework Log'!$B$3:$B$499,'Rework Log'!$A$3:$A$499,$B46,'Rework Log'!$C$3:$C$499,"DPO*"),_xlpm.act,IF(AND(AC46&lt;&gt;"",AC46&gt;_xlpm.sent),AC46,""),IF(_xlpm.tgt="","No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130</v>
      </c>
      <c r="G46" s="33"/>
      <c r="H46" s="50">
        <v>46265</v>
      </c>
      <c r="I46" s="61" t="s">
        <v>173</v>
      </c>
      <c r="J46" s="33" t="s">
        <v>84</v>
      </c>
      <c r="K46" s="4">
        <v>46234</v>
      </c>
      <c r="L46" s="36">
        <v>46213</v>
      </c>
      <c r="M46" s="36">
        <v>46244</v>
      </c>
      <c r="N46" s="36"/>
      <c r="O46" s="36" t="s">
        <v>183</v>
      </c>
      <c r="P46" s="65" t="s">
        <v>60</v>
      </c>
      <c r="Q46" s="4">
        <v>46241</v>
      </c>
      <c r="R46" s="36">
        <v>46261</v>
      </c>
      <c r="S46" s="36">
        <v>46261</v>
      </c>
      <c r="T46" s="69"/>
      <c r="U46" s="54" t="s">
        <v>47</v>
      </c>
      <c r="V46" s="59">
        <v>46255</v>
      </c>
      <c r="W46" s="36">
        <v>46266</v>
      </c>
      <c r="X46" s="36"/>
      <c r="Y46" s="36">
        <v>46266</v>
      </c>
      <c r="Z46" s="36"/>
      <c r="AA46" s="52">
        <v>46260</v>
      </c>
      <c r="AB46" s="36"/>
      <c r="AC46" s="36"/>
      <c r="AD46" s="33" t="s">
        <v>133</v>
      </c>
      <c r="AE46" s="33" t="s">
        <v>49</v>
      </c>
      <c r="AF46" s="38"/>
      <c r="AG46" s="36"/>
      <c r="AH46" s="39"/>
      <c r="AI46" s="33"/>
      <c r="AJ46" s="40" t="s">
        <v>53</v>
      </c>
      <c r="AK46" s="73" t="str">
        <f>IF($B46="","",IF(AND(LEFT($AJ46,3)="Yes",SUMPRODUCT(('Rework Log'!$A$3:$A$499=$B46)*('Rework Log'!$G$3:$G$499&lt;&gt;"Yes")*('Rework Log'!$G$3:$G$499&lt;&gt;"Did not pass re-test"))=0),"Blocked - log it on Rework Log",IF(AND(LEFT($AJ46,3)&lt;&gt;"Yes",SUMPRODUCT(('Rework Log'!$A$3:$A$499=$B46)*('Rework Log'!$G$3:$G$499&lt;&gt;"Yes")*('Rework Log'!$G$3:$G$499&lt;&gt;"Did not pass re-test"))&gt;0),"Open rework row - mark Blocked? or close it",IF(AND($AJ46="Yes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H)",IF(AND($AJ46="Yes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H)",IF(AND($AJ46="Yes – needs QA to fix",Y46&lt;&gt;"",SUMPRODUCT(MAX((('Rework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target",IF(AND(AA46&lt;&gt;"",V46&lt;&gt;"",AA46&lt;V46),"DPO Approval target is before QA target",IF(AND(AG46&lt;&gt;"",AA46&lt;&gt;"",AG46&lt;AA46),"Confirmed Deployed date is before DPO Approval target",""))))))))))))</f>
        <v/>
      </c>
      <c r="AL46" s="41" t="s">
        <v>181</v>
      </c>
      <c r="AM46" s="32" t="str" cm="1">
        <f t="array" ref="AM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6" s="32" t="str" cm="1">
        <f t="array" ref="AN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40">
      <c r="A47" s="33" t="s">
        <v>127</v>
      </c>
      <c r="B47" s="33" t="s">
        <v>184</v>
      </c>
      <c r="C47" s="33" t="s">
        <v>129</v>
      </c>
      <c r="D47" t="str" cm="1">
        <f t="array" aca="1" ref="D47" ca="1">IF($B47="","",IF(LEFT($AJ47,3)="Yes","Blocked - "&amp;MID($AJ47,7,100)&amp;IF(SUMPRODUCT(('Rework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track")),IF(C47="QA",_xlfn.LET(_xlpm.tgt,IF(AM47&lt;&gt;"",AM47,IF(W47&lt;&gt;"",W47,V47)),_xlpm.sent,_xlfn.MAXIFS('Rework Log'!$B$3:$B$499,'Rework Log'!$A$3:$A$499,$B47,'Rework Log'!$C$3:$C$499,"QA"),_xlpm.act,IF(AND(Y47&lt;&gt;"",Y47&gt;_xlpm.sent),Y47,""),IF(_xlpm.tgt="","No target set",IF(AND(_xlpm.tgt&lt;TODAY(),_xlpm.act=""),"Overdue","On track"))),IF(C47="DPO Approval",_xlfn.LET(_xlpm.tgt,IF(AN47&lt;&gt;"",AN47,IF(AB47&lt;&gt;"",AB47,AA47)),_xlpm.sent,_xlfn.MAXIFS('Rework Log'!$B$3:$B$499,'Rework Log'!$A$3:$A$499,$B47,'Rework Log'!$C$3:$C$499,"DPO*"),_xlpm.act,IF(AND(AC47&lt;&gt;"",AC47&gt;_xlpm.sent),AC47,""),IF(_xlpm.tgt="","No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130</v>
      </c>
      <c r="G47" s="33"/>
      <c r="H47" s="50">
        <v>46265</v>
      </c>
      <c r="I47" s="61" t="s">
        <v>173</v>
      </c>
      <c r="J47" s="33" t="s">
        <v>162</v>
      </c>
      <c r="K47" s="4">
        <v>46234</v>
      </c>
      <c r="L47" s="36">
        <v>46246</v>
      </c>
      <c r="M47" s="36">
        <v>46246</v>
      </c>
      <c r="N47" s="36"/>
      <c r="O47" s="36" t="s">
        <v>185</v>
      </c>
      <c r="P47" s="65" t="s">
        <v>77</v>
      </c>
      <c r="Q47" s="4">
        <v>46241</v>
      </c>
      <c r="R47" s="36">
        <v>46261</v>
      </c>
      <c r="S47" s="36">
        <v>46261</v>
      </c>
      <c r="T47" s="69"/>
      <c r="U47" s="54" t="s">
        <v>130</v>
      </c>
      <c r="V47" s="59">
        <v>46255</v>
      </c>
      <c r="W47" s="36">
        <v>46265</v>
      </c>
      <c r="X47" s="36"/>
      <c r="Y47" s="36">
        <v>46265</v>
      </c>
      <c r="Z47" s="36"/>
      <c r="AA47" s="52">
        <v>46260</v>
      </c>
      <c r="AB47" s="36">
        <v>46280</v>
      </c>
      <c r="AC47" s="36"/>
      <c r="AD47" s="33" t="s">
        <v>133</v>
      </c>
      <c r="AE47" s="33" t="s">
        <v>49</v>
      </c>
      <c r="AF47" s="38"/>
      <c r="AG47" s="36"/>
      <c r="AH47" s="39"/>
      <c r="AI47" s="33"/>
      <c r="AJ47" s="40" t="s">
        <v>53</v>
      </c>
      <c r="AK47" s="73" t="str">
        <f>IF($B47="","",IF(AND(LEFT($AJ47,3)="Yes",SUMPRODUCT(('Rework Log'!$A$3:$A$499=$B47)*('Rework Log'!$G$3:$G$499&lt;&gt;"Yes")*('Rework Log'!$G$3:$G$499&lt;&gt;"Did not pass re-test"))=0),"Blocked - log it on Rework Log",IF(AND(LEFT($AJ47,3)&lt;&gt;"Yes",SUMPRODUCT(('Rework Log'!$A$3:$A$499=$B47)*('Rework Log'!$G$3:$G$499&lt;&gt;"Yes")*('Rework Log'!$G$3:$G$499&lt;&gt;"Did not pass re-test"))&gt;0),"Open rework row - mark Blocked? or close it",IF(AND($AJ47="Yes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H)",IF(AND($AJ47="Yes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H)",IF(AND($AJ47="Yes – needs QA to fix",Y47&lt;&gt;"",SUMPRODUCT(MAX((('Rework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target",IF(AND(AA47&lt;&gt;"",V47&lt;&gt;"",AA47&lt;V47),"DPO Approval target is before QA target",IF(AND(AG47&lt;&gt;"",AA47&lt;&gt;"",AG47&lt;AA47),"Confirmed Deployed date is before DPO Approval target",""))))))))))))</f>
        <v/>
      </c>
      <c r="AL47" s="41" t="s">
        <v>181</v>
      </c>
      <c r="AM47" s="32" t="str" cm="1">
        <f t="array" ref="AM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7" s="32" t="str" cm="1">
        <f t="array" ref="AN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40">
      <c r="A48" s="33" t="s">
        <v>127</v>
      </c>
      <c r="B48" s="33" t="s">
        <v>186</v>
      </c>
      <c r="C48" s="33" t="s">
        <v>141</v>
      </c>
      <c r="D48" t="str" cm="1">
        <f t="array" aca="1" ref="D48" ca="1">IF($B48="","",IF(LEFT($AJ48,3)="Yes","Blocked - "&amp;MID($AJ48,7,100)&amp;IF(SUMPRODUCT(('Rework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track")),IF(C48="QA",_xlfn.LET(_xlpm.tgt,IF(AM48&lt;&gt;"",AM48,IF(W48&lt;&gt;"",W48,V48)),_xlpm.sent,_xlfn.MAXIFS('Rework Log'!$B$3:$B$499,'Rework Log'!$A$3:$A$499,$B48,'Rework Log'!$C$3:$C$499,"QA"),_xlpm.act,IF(AND(Y48&lt;&gt;"",Y48&gt;_xlpm.sent),Y48,""),IF(_xlpm.tgt="","No target set",IF(AND(_xlpm.tgt&lt;TODAY(),_xlpm.act=""),"Overdue","On track"))),IF(C48="DPO Approval",_xlfn.LET(_xlpm.tgt,IF(AN48&lt;&gt;"",AN48,IF(AB48&lt;&gt;"",AB48,AA48)),_xlpm.sent,_xlfn.MAXIFS('Rework Log'!$B$3:$B$499,'Rework Log'!$A$3:$A$499,$B48,'Rework Log'!$C$3:$C$499,"DPO*"),_xlpm.act,IF(AND(AC48&lt;&gt;"",AC48&gt;_xlpm.sent),AC48,""),IF(_xlpm.tgt="","No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148</v>
      </c>
      <c r="G48" s="33"/>
      <c r="H48" s="50">
        <v>46265</v>
      </c>
      <c r="I48" s="61" t="s">
        <v>173</v>
      </c>
      <c r="J48" s="33" t="s">
        <v>103</v>
      </c>
      <c r="K48" s="4">
        <v>46234</v>
      </c>
      <c r="L48" s="36">
        <v>46255</v>
      </c>
      <c r="M48" s="36">
        <v>46253</v>
      </c>
      <c r="N48" s="36"/>
      <c r="O48" s="36" t="s">
        <v>185</v>
      </c>
      <c r="P48" s="65" t="s">
        <v>46</v>
      </c>
      <c r="Q48" s="4">
        <v>46241</v>
      </c>
      <c r="R48" s="36">
        <v>46255</v>
      </c>
      <c r="S48" s="36">
        <v>46255</v>
      </c>
      <c r="T48" s="69"/>
      <c r="U48" s="54" t="s">
        <v>148</v>
      </c>
      <c r="V48" s="59">
        <v>46255</v>
      </c>
      <c r="W48" s="36">
        <v>46269</v>
      </c>
      <c r="X48" s="36"/>
      <c r="Y48" s="36"/>
      <c r="Z48" s="36"/>
      <c r="AA48" s="52">
        <v>46260</v>
      </c>
      <c r="AB48" s="47">
        <v>46268</v>
      </c>
      <c r="AC48" s="36"/>
      <c r="AD48" s="33" t="s">
        <v>178</v>
      </c>
      <c r="AE48" s="33" t="s">
        <v>49</v>
      </c>
      <c r="AF48" s="38"/>
      <c r="AG48" s="36"/>
      <c r="AH48" s="39"/>
      <c r="AI48" s="33"/>
      <c r="AJ48" s="40" t="s">
        <v>53</v>
      </c>
      <c r="AK48" s="73" t="str">
        <f>IF($B48="","",IF(AND(LEFT($AJ48,3)="Yes",SUMPRODUCT(('Rework Log'!$A$3:$A$499=$B48)*('Rework Log'!$G$3:$G$499&lt;&gt;"Yes")*('Rework Log'!$G$3:$G$499&lt;&gt;"Did not pass re-test"))=0),"Blocked - log it on Rework Log",IF(AND(LEFT($AJ48,3)&lt;&gt;"Yes",SUMPRODUCT(('Rework Log'!$A$3:$A$499=$B48)*('Rework Log'!$G$3:$G$499&lt;&gt;"Yes")*('Rework Log'!$G$3:$G$499&lt;&gt;"Did not pass re-test"))&gt;0),"Open rework row - mark Blocked? or close it",IF(AND($AJ48="Yes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H)",IF(AND($AJ48="Yes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H)",IF(AND($AJ48="Yes – needs QA to fix",Y48&lt;&gt;"",SUMPRODUCT(MAX((('Rework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target",IF(AND(AA48&lt;&gt;"",V48&lt;&gt;"",AA48&lt;V48),"DPO Approval target is before QA target",IF(AND(AG48&lt;&gt;"",AA48&lt;&gt;"",AG48&lt;AA48),"Confirmed Deployed date is before DPO Approval target",""))))))))))))</f>
        <v/>
      </c>
      <c r="AL48" s="41" t="s">
        <v>187</v>
      </c>
      <c r="AM48" s="32" t="str" cm="1">
        <f t="array" ref="AM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8" s="32" t="str" cm="1">
        <f t="array" ref="AN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40">
      <c r="A49" s="33" t="s">
        <v>127</v>
      </c>
      <c r="B49" s="33" t="s">
        <v>188</v>
      </c>
      <c r="C49" s="33" t="s">
        <v>141</v>
      </c>
      <c r="D49" t="str" cm="1">
        <f t="array" aca="1" ref="D49" ca="1">IF($B49="","",IF(LEFT($AJ49,3)="Yes","Blocked - "&amp;MID($AJ49,7,100)&amp;IF(SUMPRODUCT(('Rework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track")),IF(C49="QA",_xlfn.LET(_xlpm.tgt,IF(AM49&lt;&gt;"",AM49,IF(W49&lt;&gt;"",W49,V49)),_xlpm.sent,_xlfn.MAXIFS('Rework Log'!$B$3:$B$499,'Rework Log'!$A$3:$A$499,$B49,'Rework Log'!$C$3:$C$499,"QA"),_xlpm.act,IF(AND(Y49&lt;&gt;"",Y49&gt;_xlpm.sent),Y49,""),IF(_xlpm.tgt="","No target set",IF(AND(_xlpm.tgt&lt;TODAY(),_xlpm.act=""),"Overdue","On track"))),IF(C49="DPO Approval",_xlfn.LET(_xlpm.tgt,IF(AN49&lt;&gt;"",AN49,IF(AB49&lt;&gt;"",AB49,AA49)),_xlpm.sent,_xlfn.MAXIFS('Rework Log'!$B$3:$B$499,'Rework Log'!$A$3:$A$499,$B49,'Rework Log'!$C$3:$C$499,"DPO*"),_xlpm.act,IF(AND(AC49&lt;&gt;"",AC49&gt;_xlpm.sent),AC49,""),IF(_xlpm.tgt="","No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130</v>
      </c>
      <c r="G49" s="33"/>
      <c r="H49" s="50">
        <v>46265</v>
      </c>
      <c r="I49" s="61" t="s">
        <v>173</v>
      </c>
      <c r="J49" s="33" t="s">
        <v>162</v>
      </c>
      <c r="K49" s="4">
        <v>46234</v>
      </c>
      <c r="L49" s="36">
        <v>46253</v>
      </c>
      <c r="M49" s="36">
        <v>46265</v>
      </c>
      <c r="N49" s="36"/>
      <c r="O49" s="36" t="s">
        <v>132</v>
      </c>
      <c r="P49" s="65" t="s">
        <v>46</v>
      </c>
      <c r="Q49" s="4">
        <v>46241</v>
      </c>
      <c r="R49" s="36">
        <v>46259</v>
      </c>
      <c r="S49" s="36">
        <v>46266</v>
      </c>
      <c r="T49" s="69"/>
      <c r="U49" s="54" t="s">
        <v>130</v>
      </c>
      <c r="V49" s="59">
        <v>46255</v>
      </c>
      <c r="W49" s="36">
        <v>46272</v>
      </c>
      <c r="X49" s="36"/>
      <c r="Y49" s="36"/>
      <c r="Z49" s="36"/>
      <c r="AA49" s="52">
        <v>46260</v>
      </c>
      <c r="AB49" s="36"/>
      <c r="AC49" s="36"/>
      <c r="AD49" s="33" t="s">
        <v>158</v>
      </c>
      <c r="AE49" s="33" t="s">
        <v>72</v>
      </c>
      <c r="AF49" s="38"/>
      <c r="AG49" s="36"/>
      <c r="AH49" s="39"/>
      <c r="AI49" s="33"/>
      <c r="AJ49" s="40" t="s">
        <v>53</v>
      </c>
      <c r="AK49" s="73" t="str">
        <f>IF($B49="","",IF(AND(LEFT($AJ49,3)="Yes",SUMPRODUCT(('Rework Log'!$A$3:$A$499=$B49)*('Rework Log'!$G$3:$G$499&lt;&gt;"Yes")*('Rework Log'!$G$3:$G$499&lt;&gt;"Did not pass re-test"))=0),"Blocked - log it on Rework Log",IF(AND(LEFT($AJ49,3)&lt;&gt;"Yes",SUMPRODUCT(('Rework Log'!$A$3:$A$499=$B49)*('Rework Log'!$G$3:$G$499&lt;&gt;"Yes")*('Rework Log'!$G$3:$G$499&lt;&gt;"Did not pass re-test"))&gt;0),"Open rework row - mark Blocked? or close it",IF(AND($AJ49="Yes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H)",IF(AND($AJ49="Yes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H)",IF(AND($AJ49="Yes – needs QA to fix",Y49&lt;&gt;"",SUMPRODUCT(MAX((('Rework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target",IF(AND(AA49&lt;&gt;"",V49&lt;&gt;"",AA49&lt;V49),"DPO Approval target is before QA target",IF(AND(AG49&lt;&gt;"",AA49&lt;&gt;"",AG49&lt;AA49),"Confirmed Deployed date is before DPO Approval target",""))))))))))))</f>
        <v>Open rework row - mark Blocked? or close it</v>
      </c>
      <c r="AL49" s="41"/>
      <c r="AM49" s="32" cm="1">
        <f t="array" ref="AM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9" s="32" t="str" cm="1">
        <f t="array" ref="AN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40" ht="15" customHeight="1">
      <c r="A50" s="33" t="s">
        <v>127</v>
      </c>
      <c r="B50" s="33" t="s">
        <v>189</v>
      </c>
      <c r="C50" s="33" t="s">
        <v>141</v>
      </c>
      <c r="D50" t="str" cm="1">
        <f t="array" aca="1" ref="D50" ca="1">IF($B50="","",IF(LEFT($AJ50,3)="Yes","Blocked - "&amp;MID($AJ50,7,100)&amp;IF(SUMPRODUCT(('Rework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track")),IF(C50="QA",_xlfn.LET(_xlpm.tgt,IF(AM50&lt;&gt;"",AM50,IF(W50&lt;&gt;"",W50,V50)),_xlpm.sent,_xlfn.MAXIFS('Rework Log'!$B$3:$B$499,'Rework Log'!$A$3:$A$499,$B50,'Rework Log'!$C$3:$C$499,"QA"),_xlpm.act,IF(AND(Y50&lt;&gt;"",Y50&gt;_xlpm.sent),Y50,""),IF(_xlpm.tgt="","No target set",IF(AND(_xlpm.tgt&lt;TODAY(),_xlpm.act=""),"Overdue","On track"))),IF(C50="DPO Approval",_xlfn.LET(_xlpm.tgt,IF(AN50&lt;&gt;"",AN50,IF(AB50&lt;&gt;"",AB50,AA50)),_xlpm.sent,_xlfn.MAXIFS('Rework Log'!$B$3:$B$499,'Rework Log'!$A$3:$A$499,$B50,'Rework Log'!$C$3:$C$499,"DPO*"),_xlpm.act,IF(AND(AC50&lt;&gt;"",AC50&gt;_xlpm.sent),AC50,""),IF(_xlpm.tgt="","No target set",IF(AND(_xlpm.tgt&lt;TODAY(),_xlpm.act=""),"Overdue","On track"))),IF(C50="RELEASED IN PROD","Delivered",""))))))))</f>
        <v>On track</v>
      </c>
      <c r="E50" s="33">
        <v>25</v>
      </c>
      <c r="F50" s="34" t="s">
        <v>148</v>
      </c>
      <c r="G50" s="33"/>
      <c r="H50" s="50">
        <v>46265</v>
      </c>
      <c r="I50" s="61" t="s">
        <v>173</v>
      </c>
      <c r="J50" s="33" t="s">
        <v>44</v>
      </c>
      <c r="K50" s="4">
        <v>46234</v>
      </c>
      <c r="L50" s="36">
        <v>46249</v>
      </c>
      <c r="M50" s="36">
        <v>46245</v>
      </c>
      <c r="N50" s="36"/>
      <c r="O50" s="36" t="s">
        <v>185</v>
      </c>
      <c r="P50" s="65" t="s">
        <v>60</v>
      </c>
      <c r="Q50" s="4">
        <v>46241</v>
      </c>
      <c r="R50" s="36">
        <v>46252</v>
      </c>
      <c r="S50" s="36">
        <v>46252</v>
      </c>
      <c r="T50" s="69"/>
      <c r="U50" s="54" t="s">
        <v>148</v>
      </c>
      <c r="V50" s="59">
        <v>46255</v>
      </c>
      <c r="W50" s="36">
        <v>46269</v>
      </c>
      <c r="X50" s="36"/>
      <c r="Y50" s="36"/>
      <c r="Z50" s="36"/>
      <c r="AA50" s="52">
        <v>46260</v>
      </c>
      <c r="AB50" s="36">
        <v>46266</v>
      </c>
      <c r="AC50" s="36"/>
      <c r="AD50" s="33" t="s">
        <v>178</v>
      </c>
      <c r="AE50" s="33" t="s">
        <v>72</v>
      </c>
      <c r="AF50" s="38"/>
      <c r="AG50" s="36"/>
      <c r="AH50" s="39"/>
      <c r="AI50" s="33"/>
      <c r="AJ50" s="40" t="s">
        <v>53</v>
      </c>
      <c r="AK50" s="73" t="str">
        <f>IF($B50="","",IF(AND(LEFT($AJ50,3)="Yes",SUMPRODUCT(('Rework Log'!$A$3:$A$499=$B50)*('Rework Log'!$G$3:$G$499&lt;&gt;"Yes")*('Rework Log'!$G$3:$G$499&lt;&gt;"Did not pass re-test"))=0),"Blocked - log it on Rework Log",IF(AND(LEFT($AJ50,3)&lt;&gt;"Yes",SUMPRODUCT(('Rework Log'!$A$3:$A$499=$B50)*('Rework Log'!$G$3:$G$499&lt;&gt;"Yes")*('Rework Log'!$G$3:$G$499&lt;&gt;"Did not pass re-test"))&gt;0),"Open rework row - mark Blocked? or close it",IF(AND($AJ50="Yes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H)",IF(AND($AJ50="Yes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H)",IF(AND($AJ50="Yes – needs QA to fix",Y50&lt;&gt;"",SUMPRODUCT(MAX((('Rework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target",IF(AND(AA50&lt;&gt;"",V50&lt;&gt;"",AA50&lt;V50),"DPO Approval target is before QA target",IF(AND(AG50&lt;&gt;"",AA50&lt;&gt;"",AG50&lt;AA50),"Confirmed Deployed date is before DPO Approval target",""))))))))))))</f>
        <v/>
      </c>
      <c r="AL50" s="41"/>
      <c r="AM50" s="32" t="str" cm="1">
        <f t="array" ref="AM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0" s="32" t="str" cm="1">
        <f t="array" ref="AN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40">
      <c r="A51" s="33" t="s">
        <v>127</v>
      </c>
      <c r="B51" s="33" t="s">
        <v>190</v>
      </c>
      <c r="C51" s="33" t="s">
        <v>141</v>
      </c>
      <c r="D51" t="str" cm="1">
        <f t="array" aca="1" ref="D51" ca="1">IF($B51="","",IF(LEFT($AJ51,3)="Yes","Blocked - "&amp;MID($AJ51,7,100)&amp;IF(SUMPRODUCT(('Rework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track")),IF(C51="QA",_xlfn.LET(_xlpm.tgt,IF(AM51&lt;&gt;"",AM51,IF(W51&lt;&gt;"",W51,V51)),_xlpm.sent,_xlfn.MAXIFS('Rework Log'!$B$3:$B$499,'Rework Log'!$A$3:$A$499,$B51,'Rework Log'!$C$3:$C$499,"QA"),_xlpm.act,IF(AND(Y51&lt;&gt;"",Y51&gt;_xlpm.sent),Y51,""),IF(_xlpm.tgt="","No target set",IF(AND(_xlpm.tgt&lt;TODAY(),_xlpm.act=""),"Overdue","On track"))),IF(C51="DPO Approval",_xlfn.LET(_xlpm.tgt,IF(AN51&lt;&gt;"",AN51,IF(AB51&lt;&gt;"",AB51,AA51)),_xlpm.sent,_xlfn.MAXIFS('Rework Log'!$B$3:$B$499,'Rework Log'!$A$3:$A$499,$B51,'Rework Log'!$C$3:$C$499,"DPO*"),_xlpm.act,IF(AND(AC51&lt;&gt;"",AC51&gt;_xlpm.sent),AC51,""),IF(_xlpm.tgt="","No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148</v>
      </c>
      <c r="G51" s="33"/>
      <c r="H51" s="50">
        <v>46265</v>
      </c>
      <c r="I51" s="61" t="s">
        <v>173</v>
      </c>
      <c r="J51" s="33" t="s">
        <v>76</v>
      </c>
      <c r="K51" s="4">
        <v>46234</v>
      </c>
      <c r="L51" s="36">
        <v>46248</v>
      </c>
      <c r="M51" s="36">
        <v>46248</v>
      </c>
      <c r="N51" s="36" t="s">
        <v>45</v>
      </c>
      <c r="O51" s="36" t="s">
        <v>185</v>
      </c>
      <c r="P51" s="65" t="s">
        <v>77</v>
      </c>
      <c r="Q51" s="4">
        <v>46241</v>
      </c>
      <c r="R51" s="36">
        <v>46255</v>
      </c>
      <c r="S51" s="36">
        <v>46260</v>
      </c>
      <c r="T51" s="69"/>
      <c r="U51" s="54" t="s">
        <v>148</v>
      </c>
      <c r="V51" s="59">
        <v>46255</v>
      </c>
      <c r="W51" s="36">
        <v>46269</v>
      </c>
      <c r="X51" s="36"/>
      <c r="Y51" s="36"/>
      <c r="Z51" s="36"/>
      <c r="AA51" s="52">
        <v>46260</v>
      </c>
      <c r="AB51" s="36">
        <v>46269</v>
      </c>
      <c r="AC51" s="36"/>
      <c r="AD51" s="33" t="s">
        <v>191</v>
      </c>
      <c r="AE51" s="33" t="s">
        <v>72</v>
      </c>
      <c r="AF51" s="38"/>
      <c r="AG51" s="36"/>
      <c r="AH51" s="39"/>
      <c r="AI51" s="33"/>
      <c r="AJ51" s="40" t="s">
        <v>53</v>
      </c>
      <c r="AK51" s="73" t="str">
        <f>IF($B51="","",IF(AND(LEFT($AJ51,3)="Yes",SUMPRODUCT(('Rework Log'!$A$3:$A$499=$B51)*('Rework Log'!$G$3:$G$499&lt;&gt;"Yes")*('Rework Log'!$G$3:$G$499&lt;&gt;"Did not pass re-test"))=0),"Blocked - log it on Rework Log",IF(AND(LEFT($AJ51,3)&lt;&gt;"Yes",SUMPRODUCT(('Rework Log'!$A$3:$A$499=$B51)*('Rework Log'!$G$3:$G$499&lt;&gt;"Yes")*('Rework Log'!$G$3:$G$499&lt;&gt;"Did not pass re-test"))&gt;0),"Open rework row - mark Blocked? or close it",IF(AND($AJ51="Yes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H)",IF(AND($AJ51="Yes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H)",IF(AND($AJ51="Yes – needs QA to fix",Y51&lt;&gt;"",SUMPRODUCT(MAX((('Rework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target",IF(AND(AA51&lt;&gt;"",V51&lt;&gt;"",AA51&lt;V51),"DPO Approval target is before QA target",IF(AND(AG51&lt;&gt;"",AA51&lt;&gt;"",AG51&lt;AA51),"Confirmed Deployed date is before DPO Approval target",""))))))))))))</f>
        <v/>
      </c>
      <c r="AL51" s="41" t="s">
        <v>187</v>
      </c>
      <c r="AM51" s="32" t="str" cm="1">
        <f t="array" ref="AM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1" s="32" t="str" cm="1">
        <f t="array" ref="AN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40" ht="16.899999999999999" customHeight="1">
      <c r="A52" s="33" t="s">
        <v>127</v>
      </c>
      <c r="B52" s="33" t="s">
        <v>192</v>
      </c>
      <c r="C52" s="33" t="s">
        <v>141</v>
      </c>
      <c r="D52" t="str" cm="1">
        <f t="array" aca="1" ref="D52" ca="1">IF($B52="","",IF(LEFT($AJ52,3)="Yes","Blocked - "&amp;MID($AJ52,7,100)&amp;IF(SUMPRODUCT(('Rework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track")),IF(C52="QA",_xlfn.LET(_xlpm.tgt,IF(AM52&lt;&gt;"",AM52,IF(W52&lt;&gt;"",W52,V52)),_xlpm.sent,_xlfn.MAXIFS('Rework Log'!$B$3:$B$499,'Rework Log'!$A$3:$A$499,$B52,'Rework Log'!$C$3:$C$499,"QA"),_xlpm.act,IF(AND(Y52&lt;&gt;"",Y52&gt;_xlpm.sent),Y52,""),IF(_xlpm.tgt="","No target set",IF(AND(_xlpm.tgt&lt;TODAY(),_xlpm.act=""),"Overdue","On track"))),IF(C52="DPO Approval",_xlfn.LET(_xlpm.tgt,IF(AN52&lt;&gt;"",AN52,IF(AB52&lt;&gt;"",AB52,AA52)),_xlpm.sent,_xlfn.MAXIFS('Rework Log'!$B$3:$B$499,'Rework Log'!$A$3:$A$499,$B52,'Rework Log'!$C$3:$C$499,"DPO*"),_xlpm.act,IF(AND(AC52&lt;&gt;"",AC52&gt;_xlpm.sent),AC52,""),IF(_xlpm.tgt="","No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130</v>
      </c>
      <c r="G52" s="33"/>
      <c r="H52" s="50">
        <v>46265</v>
      </c>
      <c r="I52" s="61" t="s">
        <v>173</v>
      </c>
      <c r="J52" s="33" t="s">
        <v>118</v>
      </c>
      <c r="K52" s="4">
        <v>46234</v>
      </c>
      <c r="L52" s="36">
        <v>46253</v>
      </c>
      <c r="M52" s="36">
        <v>46252</v>
      </c>
      <c r="N52" s="36"/>
      <c r="O52" s="36" t="s">
        <v>185</v>
      </c>
      <c r="P52" s="65" t="s">
        <v>46</v>
      </c>
      <c r="Q52" s="4">
        <v>46241</v>
      </c>
      <c r="R52" s="36">
        <v>46266</v>
      </c>
      <c r="S52" s="36"/>
      <c r="T52" s="69"/>
      <c r="U52" s="54" t="s">
        <v>47</v>
      </c>
      <c r="V52" s="59">
        <v>46255</v>
      </c>
      <c r="W52" s="36">
        <v>46269</v>
      </c>
      <c r="X52" s="36"/>
      <c r="Y52" s="36"/>
      <c r="Z52" s="36"/>
      <c r="AA52" s="52">
        <v>46260</v>
      </c>
      <c r="AB52" s="36"/>
      <c r="AC52" s="36"/>
      <c r="AD52" s="33" t="s">
        <v>193</v>
      </c>
      <c r="AE52" s="33" t="s">
        <v>72</v>
      </c>
      <c r="AF52" s="38"/>
      <c r="AG52" s="36"/>
      <c r="AH52" s="39"/>
      <c r="AI52" s="33"/>
      <c r="AJ52" s="40" t="s">
        <v>53</v>
      </c>
      <c r="AK52" s="73" t="str">
        <f>IF($B52="","",IF(AND(LEFT($AJ52,3)="Yes",SUMPRODUCT(('Rework Log'!$A$3:$A$499=$B52)*('Rework Log'!$G$3:$G$499&lt;&gt;"Yes")*('Rework Log'!$G$3:$G$499&lt;&gt;"Did not pass re-test"))=0),"Blocked - log it on Rework Log",IF(AND(LEFT($AJ52,3)&lt;&gt;"Yes",SUMPRODUCT(('Rework Log'!$A$3:$A$499=$B52)*('Rework Log'!$G$3:$G$499&lt;&gt;"Yes")*('Rework Log'!$G$3:$G$499&lt;&gt;"Did not pass re-test"))&gt;0),"Open rework row - mark Blocked? or close it",IF(AND($AJ52="Yes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H)",IF(AND($AJ52="Yes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H)",IF(AND($AJ52="Yes – needs QA to fix",Y52&lt;&gt;"",SUMPRODUCT(MAX((('Rework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target",IF(AND(AA52&lt;&gt;"",V52&lt;&gt;"",AA52&lt;V52),"DPO Approval target is before QA target",IF(AND(AG52&lt;&gt;"",AA52&lt;&gt;"",AG52&lt;AA52),"Confirmed Deployed date is before DPO Approval target",""))))))))))))</f>
        <v>Open rework row - mark Blocked? or close it</v>
      </c>
      <c r="AL52" s="81" t="s">
        <v>194</v>
      </c>
      <c r="AM52" s="32" t="str" cm="1">
        <f t="array" ref="AM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2" s="32" t="str" cm="1">
        <f t="array" ref="AN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40">
      <c r="A53" s="33" t="s">
        <v>127</v>
      </c>
      <c r="B53" s="33" t="s">
        <v>195</v>
      </c>
      <c r="C53" s="33" t="s">
        <v>141</v>
      </c>
      <c r="D53" t="str" cm="1">
        <f t="array" aca="1" ref="D53" ca="1">IF($B53="","",IF(LEFT($AJ53,3)="Yes","Blocked - "&amp;MID($AJ53,7,100)&amp;IF(SUMPRODUCT(('Rework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track")),IF(C53="QA",_xlfn.LET(_xlpm.tgt,IF(AM53&lt;&gt;"",AM53,IF(W53&lt;&gt;"",W53,V53)),_xlpm.sent,_xlfn.MAXIFS('Rework Log'!$B$3:$B$499,'Rework Log'!$A$3:$A$499,$B53,'Rework Log'!$C$3:$C$499,"QA"),_xlpm.act,IF(AND(Y53&lt;&gt;"",Y53&gt;_xlpm.sent),Y53,""),IF(_xlpm.tgt="","No target set",IF(AND(_xlpm.tgt&lt;TODAY(),_xlpm.act=""),"Overdue","On track"))),IF(C53="DPO Approval",_xlfn.LET(_xlpm.tgt,IF(AN53&lt;&gt;"",AN53,IF(AB53&lt;&gt;"",AB53,AA53)),_xlpm.sent,_xlfn.MAXIFS('Rework Log'!$B$3:$B$499,'Rework Log'!$A$3:$A$499,$B53,'Rework Log'!$C$3:$C$499,"DPO*"),_xlpm.act,IF(AND(AC53&lt;&gt;"",AC53&gt;_xlpm.sent),AC53,""),IF(_xlpm.tgt="","No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148</v>
      </c>
      <c r="G53" s="33"/>
      <c r="H53" s="50">
        <v>46265</v>
      </c>
      <c r="I53" s="61" t="s">
        <v>173</v>
      </c>
      <c r="J53" s="33" t="s">
        <v>76</v>
      </c>
      <c r="K53" s="4">
        <v>46234</v>
      </c>
      <c r="L53" s="36">
        <v>46251</v>
      </c>
      <c r="M53" s="36">
        <v>46251</v>
      </c>
      <c r="N53" s="36" t="s">
        <v>174</v>
      </c>
      <c r="O53" s="36" t="s">
        <v>132</v>
      </c>
      <c r="P53" s="65" t="s">
        <v>77</v>
      </c>
      <c r="Q53" s="4">
        <v>46241</v>
      </c>
      <c r="R53" s="36">
        <v>46265</v>
      </c>
      <c r="S53" s="36">
        <v>46262</v>
      </c>
      <c r="T53" s="69"/>
      <c r="U53" s="54" t="s">
        <v>148</v>
      </c>
      <c r="V53" s="59">
        <v>46255</v>
      </c>
      <c r="W53" s="36">
        <v>46269</v>
      </c>
      <c r="X53" s="36"/>
      <c r="Y53" s="36"/>
      <c r="Z53" s="36"/>
      <c r="AA53" s="52">
        <v>46260</v>
      </c>
      <c r="AB53" s="47">
        <v>46280</v>
      </c>
      <c r="AC53" s="36"/>
      <c r="AD53" s="33" t="s">
        <v>196</v>
      </c>
      <c r="AE53" s="33" t="s">
        <v>72</v>
      </c>
      <c r="AF53" s="38"/>
      <c r="AG53" s="36"/>
      <c r="AH53" s="39"/>
      <c r="AI53" s="33"/>
      <c r="AJ53" s="40" t="s">
        <v>53</v>
      </c>
      <c r="AK53" s="73" t="str">
        <f>IF($B53="","",IF(AND(LEFT($AJ53,3)="Yes",SUMPRODUCT(('Rework Log'!$A$3:$A$499=$B53)*('Rework Log'!$G$3:$G$499&lt;&gt;"Yes")*('Rework Log'!$G$3:$G$499&lt;&gt;"Did not pass re-test"))=0),"Blocked - log it on Rework Log",IF(AND(LEFT($AJ53,3)&lt;&gt;"Yes",SUMPRODUCT(('Rework Log'!$A$3:$A$499=$B53)*('Rework Log'!$G$3:$G$499&lt;&gt;"Yes")*('Rework Log'!$G$3:$G$499&lt;&gt;"Did not pass re-test"))&gt;0),"Open rework row - mark Blocked? or close it",IF(AND($AJ53="Yes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H)",IF(AND($AJ53="Yes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H)",IF(AND($AJ53="Yes – needs QA to fix",Y53&lt;&gt;"",SUMPRODUCT(MAX((('Rework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target",IF(AND(AA53&lt;&gt;"",V53&lt;&gt;"",AA53&lt;V53),"DPO Approval target is before QA target",IF(AND(AG53&lt;&gt;"",AA53&lt;&gt;"",AG53&lt;AA53),"Confirmed Deployed date is before DPO Approval target",""))))))))))))</f>
        <v/>
      </c>
      <c r="AL53" s="41"/>
      <c r="AM53" s="32" t="str" cm="1">
        <f t="array" ref="AM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3" s="32" t="str" cm="1">
        <f t="array" ref="AN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40">
      <c r="A54" s="33" t="s">
        <v>127</v>
      </c>
      <c r="B54" s="33" t="s">
        <v>197</v>
      </c>
      <c r="C54" s="33" t="s">
        <v>141</v>
      </c>
      <c r="D54" t="str" cm="1">
        <f t="array" aca="1" ref="D54" ca="1">IF($B54="","",IF(LEFT($AJ54,3)="Yes","Blocked - "&amp;MID($AJ54,7,100)&amp;IF(SUMPRODUCT(('Rework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track")),IF(C54="QA",_xlfn.LET(_xlpm.tgt,IF(AM54&lt;&gt;"",AM54,IF(W54&lt;&gt;"",W54,V54)),_xlpm.sent,_xlfn.MAXIFS('Rework Log'!$B$3:$B$499,'Rework Log'!$A$3:$A$499,$B54,'Rework Log'!$C$3:$C$499,"QA"),_xlpm.act,IF(AND(Y54&lt;&gt;"",Y54&gt;_xlpm.sent),Y54,""),IF(_xlpm.tgt="","No target set",IF(AND(_xlpm.tgt&lt;TODAY(),_xlpm.act=""),"Overdue","On track"))),IF(C54="DPO Approval",_xlfn.LET(_xlpm.tgt,IF(AN54&lt;&gt;"",AN54,IF(AB54&lt;&gt;"",AB54,AA54)),_xlpm.sent,_xlfn.MAXIFS('Rework Log'!$B$3:$B$499,'Rework Log'!$A$3:$A$499,$B54,'Rework Log'!$C$3:$C$499,"DPO*"),_xlpm.act,IF(AND(AC54&lt;&gt;"",AC54&gt;_xlpm.sent),AC54,""),IF(_xlpm.tgt="","No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130</v>
      </c>
      <c r="G54" s="33"/>
      <c r="H54" s="50">
        <v>46265</v>
      </c>
      <c r="I54" s="61" t="s">
        <v>173</v>
      </c>
      <c r="J54" s="33" t="s">
        <v>84</v>
      </c>
      <c r="K54" s="4">
        <v>46234</v>
      </c>
      <c r="L54" s="36">
        <v>46255</v>
      </c>
      <c r="M54" s="36">
        <v>46253</v>
      </c>
      <c r="N54" s="36"/>
      <c r="O54" s="36" t="s">
        <v>132</v>
      </c>
      <c r="P54" s="65" t="s">
        <v>60</v>
      </c>
      <c r="Q54" s="4">
        <v>46241</v>
      </c>
      <c r="R54" s="36">
        <v>46262</v>
      </c>
      <c r="S54" s="36"/>
      <c r="T54" s="69"/>
      <c r="U54" s="54" t="s">
        <v>47</v>
      </c>
      <c r="V54" s="59">
        <v>46255</v>
      </c>
      <c r="W54" s="36">
        <v>46267</v>
      </c>
      <c r="X54" s="36"/>
      <c r="Y54" s="36">
        <v>46267</v>
      </c>
      <c r="Z54" s="36"/>
      <c r="AA54" s="52">
        <v>46260</v>
      </c>
      <c r="AB54" s="36"/>
      <c r="AC54" s="36"/>
      <c r="AD54" s="33" t="s">
        <v>198</v>
      </c>
      <c r="AE54" s="33" t="s">
        <v>72</v>
      </c>
      <c r="AF54" s="38"/>
      <c r="AG54" s="36"/>
      <c r="AH54" s="39"/>
      <c r="AI54" s="33"/>
      <c r="AJ54" s="40" t="s">
        <v>53</v>
      </c>
      <c r="AK54" s="73" t="str">
        <f>IF($B54="","",IF(AND(LEFT($AJ54,3)="Yes",SUMPRODUCT(('Rework Log'!$A$3:$A$499=$B54)*('Rework Log'!$G$3:$G$499&lt;&gt;"Yes")*('Rework Log'!$G$3:$G$499&lt;&gt;"Did not pass re-test"))=0),"Blocked - log it on Rework Log",IF(AND(LEFT($AJ54,3)&lt;&gt;"Yes",SUMPRODUCT(('Rework Log'!$A$3:$A$499=$B54)*('Rework Log'!$G$3:$G$499&lt;&gt;"Yes")*('Rework Log'!$G$3:$G$499&lt;&gt;"Did not pass re-test"))&gt;0),"Open rework row - mark Blocked? or close it",IF(AND($AJ54="Yes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H)",IF(AND($AJ54="Yes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H)",IF(AND($AJ54="Yes – needs QA to fix",Y54&lt;&gt;"",SUMPRODUCT(MAX((('Rework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target",IF(AND(AA54&lt;&gt;"",V54&lt;&gt;"",AA54&lt;V54),"DPO Approval target is before QA target",IF(AND(AG54&lt;&gt;"",AA54&lt;&gt;"",AG54&lt;AA54),"Confirmed Deployed date is before DPO Approval target",""))))))))))))</f>
        <v/>
      </c>
      <c r="AL54" s="41"/>
      <c r="AM54" s="32" t="str" cm="1">
        <f t="array" ref="AM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4" s="32" t="str" cm="1">
        <f t="array" ref="AN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40">
      <c r="A55" s="33" t="s">
        <v>127</v>
      </c>
      <c r="B55" s="33" t="s">
        <v>199</v>
      </c>
      <c r="C55" s="33" t="s">
        <v>141</v>
      </c>
      <c r="D55" t="str" cm="1">
        <f t="array" aca="1" ref="D55" ca="1">IF($B55="","",IF(LEFT($AJ55,3)="Yes","Blocked - "&amp;MID($AJ55,7,100)&amp;IF(SUMPRODUCT(('Rework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track")),IF(C55="QA",_xlfn.LET(_xlpm.tgt,IF(AM55&lt;&gt;"",AM55,IF(W55&lt;&gt;"",W55,V55)),_xlpm.sent,_xlfn.MAXIFS('Rework Log'!$B$3:$B$499,'Rework Log'!$A$3:$A$499,$B55,'Rework Log'!$C$3:$C$499,"QA"),_xlpm.act,IF(AND(Y55&lt;&gt;"",Y55&gt;_xlpm.sent),Y55,""),IF(_xlpm.tgt="","No target set",IF(AND(_xlpm.tgt&lt;TODAY(),_xlpm.act=""),"Overdue","On track"))),IF(C55="DPO Approval",_xlfn.LET(_xlpm.tgt,IF(AN55&lt;&gt;"",AN55,IF(AB55&lt;&gt;"",AB55,AA55)),_xlpm.sent,_xlfn.MAXIFS('Rework Log'!$B$3:$B$499,'Rework Log'!$A$3:$A$499,$B55,'Rework Log'!$C$3:$C$499,"DPO*"),_xlpm.act,IF(AND(AC55&lt;&gt;"",AC55&gt;_xlpm.sent),AC55,""),IF(_xlpm.tgt="","No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148</v>
      </c>
      <c r="G55" s="33"/>
      <c r="H55" s="50">
        <v>46295</v>
      </c>
      <c r="I55" s="55" t="s">
        <v>200</v>
      </c>
      <c r="J55" s="33" t="s">
        <v>76</v>
      </c>
      <c r="K55" s="4">
        <v>46262</v>
      </c>
      <c r="L55" s="36">
        <v>46253</v>
      </c>
      <c r="M55" s="36">
        <v>46253</v>
      </c>
      <c r="N55" s="36"/>
      <c r="O55" s="36" t="s">
        <v>201</v>
      </c>
      <c r="P55" s="63" t="s">
        <v>77</v>
      </c>
      <c r="Q55" s="4">
        <v>46269</v>
      </c>
      <c r="R55" s="36">
        <v>46267</v>
      </c>
      <c r="S55" s="36">
        <v>46267</v>
      </c>
      <c r="T55" s="69" t="s">
        <v>202</v>
      </c>
      <c r="U55" s="33"/>
      <c r="V55" s="59">
        <v>46276</v>
      </c>
      <c r="W55" s="36"/>
      <c r="X55" s="36"/>
      <c r="Y55" s="36"/>
      <c r="Z55" s="36"/>
      <c r="AA55" s="52">
        <v>46290</v>
      </c>
      <c r="AB55" s="36"/>
      <c r="AC55" s="36"/>
      <c r="AD55" s="33" t="s">
        <v>203</v>
      </c>
      <c r="AE55" s="33" t="s">
        <v>49</v>
      </c>
      <c r="AF55" s="38"/>
      <c r="AG55" s="36"/>
      <c r="AH55" s="39"/>
      <c r="AI55" s="33"/>
      <c r="AJ55" s="40" t="s">
        <v>53</v>
      </c>
      <c r="AK55" s="73" t="str">
        <f>IF($B55="","",IF(AND(LEFT($AJ55,3)="Yes",SUMPRODUCT(('Rework Log'!$A$3:$A$499=$B55)*('Rework Log'!$G$3:$G$499&lt;&gt;"Yes")*('Rework Log'!$G$3:$G$499&lt;&gt;"Did not pass re-test"))=0),"Blocked - log it on Rework Log",IF(AND(LEFT($AJ55,3)&lt;&gt;"Yes",SUMPRODUCT(('Rework Log'!$A$3:$A$499=$B55)*('Rework Log'!$G$3:$G$499&lt;&gt;"Yes")*('Rework Log'!$G$3:$G$499&lt;&gt;"Did not pass re-test"))&gt;0),"Open rework row - mark Blocked? or close it",IF(AND($AJ55="Yes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H)",IF(AND($AJ55="Yes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H)",IF(AND($AJ55="Yes – needs QA to fix",Y55&lt;&gt;"",SUMPRODUCT(MAX((('Rework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target",IF(AND(AA55&lt;&gt;"",V55&lt;&gt;"",AA55&lt;V55),"DPO Approval target is before QA target",IF(AND(AG55&lt;&gt;"",AA55&lt;&gt;"",AG55&lt;AA55),"Confirmed Deployed date is before DPO Approval target",""))))))))))))</f>
        <v/>
      </c>
      <c r="AL55" s="41"/>
      <c r="AM55" s="32" t="str" cm="1">
        <f t="array" ref="AM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5" s="32" t="str" cm="1">
        <f t="array" ref="AN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40">
      <c r="A56" s="33" t="s">
        <v>127</v>
      </c>
      <c r="B56" s="33" t="s">
        <v>204</v>
      </c>
      <c r="C56" s="33" t="s">
        <v>151</v>
      </c>
      <c r="D56" t="str" cm="1">
        <f t="array" aca="1" ref="D56" ca="1">IF($B56="","",IF(LEFT($AJ56,3)="Yes","Blocked - "&amp;MID($AJ56,7,100)&amp;IF(SUMPRODUCT(('Rework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track")),IF(C56="QA",_xlfn.LET(_xlpm.tgt,IF(AM56&lt;&gt;"",AM56,IF(W56&lt;&gt;"",W56,V56)),_xlpm.sent,_xlfn.MAXIFS('Rework Log'!$B$3:$B$499,'Rework Log'!$A$3:$A$499,$B56,'Rework Log'!$C$3:$C$499,"QA"),_xlpm.act,IF(AND(Y56&lt;&gt;"",Y56&gt;_xlpm.sent),Y56,""),IF(_xlpm.tgt="","No target set",IF(AND(_xlpm.tgt&lt;TODAY(),_xlpm.act=""),"Overdue","On track"))),IF(C56="DPO Approval",_xlfn.LET(_xlpm.tgt,IF(AN56&lt;&gt;"",AN56,IF(AB56&lt;&gt;"",AB56,AA56)),_xlpm.sent,_xlfn.MAXIFS('Rework Log'!$B$3:$B$499,'Rework Log'!$A$3:$A$499,$B56,'Rework Log'!$C$3:$C$499,"DPO*"),_xlpm.act,IF(AND(AC56&lt;&gt;"",AC56&gt;_xlpm.sent),AC56,""),IF(_xlpm.tgt="","No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130</v>
      </c>
      <c r="G56" s="33"/>
      <c r="H56" s="50">
        <v>46295</v>
      </c>
      <c r="I56" s="55" t="s">
        <v>200</v>
      </c>
      <c r="J56" s="33" t="s">
        <v>76</v>
      </c>
      <c r="K56" s="4">
        <v>46262</v>
      </c>
      <c r="L56" s="36">
        <v>46253</v>
      </c>
      <c r="M56" s="36">
        <v>46253</v>
      </c>
      <c r="N56" s="36" t="s">
        <v>174</v>
      </c>
      <c r="O56" s="36" t="s">
        <v>201</v>
      </c>
      <c r="P56" s="63" t="s">
        <v>60</v>
      </c>
      <c r="Q56" s="4">
        <v>46269</v>
      </c>
      <c r="R56" s="36">
        <v>46266</v>
      </c>
      <c r="S56" s="36">
        <v>46266</v>
      </c>
      <c r="T56" s="69" t="s">
        <v>202</v>
      </c>
      <c r="U56" s="33"/>
      <c r="V56" s="59">
        <v>46276</v>
      </c>
      <c r="W56" s="36"/>
      <c r="X56" s="36"/>
      <c r="Y56" s="36"/>
      <c r="Z56" s="36"/>
      <c r="AA56" s="52">
        <v>46290</v>
      </c>
      <c r="AB56" s="36"/>
      <c r="AC56" s="36"/>
      <c r="AD56" s="33" t="s">
        <v>205</v>
      </c>
      <c r="AE56" s="33" t="s">
        <v>49</v>
      </c>
      <c r="AF56" s="38"/>
      <c r="AG56" s="36"/>
      <c r="AH56" s="39"/>
      <c r="AI56" s="33"/>
      <c r="AJ56" s="40" t="s">
        <v>53</v>
      </c>
      <c r="AK56" s="73" t="str">
        <f>IF($B56="","",IF(AND(LEFT($AJ56,3)="Yes",SUMPRODUCT(('Rework Log'!$A$3:$A$499=$B56)*('Rework Log'!$G$3:$G$499&lt;&gt;"Yes")*('Rework Log'!$G$3:$G$499&lt;&gt;"Did not pass re-test"))=0),"Blocked - log it on Rework Log",IF(AND(LEFT($AJ56,3)&lt;&gt;"Yes",SUMPRODUCT(('Rework Log'!$A$3:$A$499=$B56)*('Rework Log'!$G$3:$G$499&lt;&gt;"Yes")*('Rework Log'!$G$3:$G$499&lt;&gt;"Did not pass re-test"))&gt;0),"Open rework row - mark Blocked? or close it",IF(AND($AJ56="Yes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H)",IF(AND($AJ56="Yes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H)",IF(AND($AJ56="Yes – needs QA to fix",Y56&lt;&gt;"",SUMPRODUCT(MAX((('Rework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target",IF(AND(AA56&lt;&gt;"",V56&lt;&gt;"",AA56&lt;V56),"DPO Approval target is before QA target",IF(AND(AG56&lt;&gt;"",AA56&lt;&gt;"",AG56&lt;AA56),"Confirmed Deployed date is before DPO Approval target",""))))))))))))</f>
        <v/>
      </c>
      <c r="AL56" s="41" t="s">
        <v>206</v>
      </c>
      <c r="AM56" s="32" t="str" cm="1">
        <f t="array" ref="AM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6" s="32" t="str" cm="1">
        <f t="array" ref="AN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40">
      <c r="A57" s="33" t="s">
        <v>127</v>
      </c>
      <c r="B57" s="33" t="s">
        <v>207</v>
      </c>
      <c r="C57" s="33" t="s">
        <v>208</v>
      </c>
      <c r="D57" t="str" cm="1">
        <f t="array" aca="1" ref="D57" ca="1">IF($B57="","",IF(LEFT($AJ57,3)="Yes","Blocked - "&amp;MID($AJ57,7,100)&amp;IF(SUMPRODUCT(('Rework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track")),IF(C57="QA",_xlfn.LET(_xlpm.tgt,IF(AM57&lt;&gt;"",AM57,IF(W57&lt;&gt;"",W57,V57)),_xlpm.sent,_xlfn.MAXIFS('Rework Log'!$B$3:$B$499,'Rework Log'!$A$3:$A$499,$B57,'Rework Log'!$C$3:$C$499,"QA"),_xlpm.act,IF(AND(Y57&lt;&gt;"",Y57&gt;_xlpm.sent),Y57,""),IF(_xlpm.tgt="","No target set",IF(AND(_xlpm.tgt&lt;TODAY(),_xlpm.act=""),"Overdue","On track"))),IF(C57="DPO Approval",_xlfn.LET(_xlpm.tgt,IF(AN57&lt;&gt;"",AN57,IF(AB57&lt;&gt;"",AB57,AA57)),_xlpm.sent,_xlfn.MAXIFS('Rework Log'!$B$3:$B$499,'Rework Log'!$A$3:$A$499,$B57,'Rework Log'!$C$3:$C$499,"DPO*"),_xlpm.act,IF(AND(AC57&lt;&gt;"",AC57&gt;_xlpm.sent),AC57,""),IF(_xlpm.tgt="","No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148</v>
      </c>
      <c r="G57" s="33"/>
      <c r="H57" s="50">
        <v>46295</v>
      </c>
      <c r="I57" s="55" t="s">
        <v>200</v>
      </c>
      <c r="J57" s="33" t="s">
        <v>118</v>
      </c>
      <c r="K57" s="4">
        <v>46262</v>
      </c>
      <c r="L57" s="36">
        <v>46254</v>
      </c>
      <c r="M57" s="36"/>
      <c r="N57" s="36"/>
      <c r="O57" s="36" t="s">
        <v>201</v>
      </c>
      <c r="P57" s="63" t="s">
        <v>46</v>
      </c>
      <c r="Q57" s="4">
        <v>46269</v>
      </c>
      <c r="R57" s="36">
        <v>46268</v>
      </c>
      <c r="S57" s="36"/>
      <c r="T57" s="69" t="s">
        <v>202</v>
      </c>
      <c r="U57" s="33"/>
      <c r="V57" s="59">
        <v>46276</v>
      </c>
      <c r="W57" s="36"/>
      <c r="X57" s="36"/>
      <c r="Y57" s="36"/>
      <c r="Z57" s="36"/>
      <c r="AA57" s="52">
        <v>46290</v>
      </c>
      <c r="AB57" s="36"/>
      <c r="AC57" s="36"/>
      <c r="AD57" s="33" t="s">
        <v>196</v>
      </c>
      <c r="AE57" s="33" t="s">
        <v>49</v>
      </c>
      <c r="AF57" s="38"/>
      <c r="AG57" s="36"/>
      <c r="AH57" s="39"/>
      <c r="AI57" s="33"/>
      <c r="AJ57" s="40" t="s">
        <v>53</v>
      </c>
      <c r="AK57" s="73" t="str">
        <f>IF($B57="","",IF(AND(LEFT($AJ57,3)="Yes",SUMPRODUCT(('Rework Log'!$A$3:$A$499=$B57)*('Rework Log'!$G$3:$G$499&lt;&gt;"Yes")*('Rework Log'!$G$3:$G$499&lt;&gt;"Did not pass re-test"))=0),"Blocked - log it on Rework Log",IF(AND(LEFT($AJ57,3)&lt;&gt;"Yes",SUMPRODUCT(('Rework Log'!$A$3:$A$499=$B57)*('Rework Log'!$G$3:$G$499&lt;&gt;"Yes")*('Rework Log'!$G$3:$G$499&lt;&gt;"Did not pass re-test"))&gt;0),"Open rework row - mark Blocked? or close it",IF(AND($AJ57="Yes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H)",IF(AND($AJ57="Yes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H)",IF(AND($AJ57="Yes – needs QA to fix",Y57&lt;&gt;"",SUMPRODUCT(MAX((('Rework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target",IF(AND(AA57&lt;&gt;"",V57&lt;&gt;"",AA57&lt;V57),"DPO Approval target is before QA target",IF(AND(AG57&lt;&gt;"",AA57&lt;&gt;"",AG57&lt;AA57),"Confirmed Deployed date is before DPO Approval target",""))))))))))))</f>
        <v/>
      </c>
      <c r="AL57" s="41" t="s">
        <v>206</v>
      </c>
      <c r="AM57" s="32" t="str" cm="1">
        <f t="array" ref="AM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7" s="32" t="str" cm="1">
        <f t="array" ref="AN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40">
      <c r="A58" s="33" t="s">
        <v>127</v>
      </c>
      <c r="B58" s="33" t="s">
        <v>209</v>
      </c>
      <c r="C58" s="33" t="s">
        <v>151</v>
      </c>
      <c r="D58" t="e" cm="1">
        <f t="array" aca="1" ref="D58" ca="1">IF($B58="","",IF(LEFT($AJ58,3)="Yes","Blocked - "&amp;MID($AJ58,7,100)&amp;IF(SUMPRODUCT(('Rework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track")),IF(C58="QA",_xlfn.LET(_xlpm.tgt,IF(AM58&lt;&gt;"",AM58,IF(W58&lt;&gt;"",W58,V58)),_xlpm.sent,_xlfn.MAXIFS('Rework Log'!$B$3:$B$499,'Rework Log'!$A$3:$A$499,$B58,'Rework Log'!$C$3:$C$499,"QA"),_xlpm.act,IF(AND(Y58&lt;&gt;"",Y58&gt;_xlpm.sent),Y58,""),IF(_xlpm.tgt="","No target set",IF(AND(_xlpm.tgt&lt;TODAY(),_xlpm.act=""),"Overdue","On track"))),IF(C58="DPO Approval",_xlfn.LET(_xlpm.tgt,IF(AN58&lt;&gt;"",AN58,IF(AB58&lt;&gt;"",AB58,AA58)),_xlpm.sent,_xlfn.MAXIFS('Rework Log'!$B$3:$B$499,'Rework Log'!$A$3:$A$499,$B58,'Rework Log'!$C$3:$C$499,"DPO*"),_xlpm.act,IF(AND(AC58&lt;&gt;"",AC58&gt;_xlpm.sent),AC58,""),IF(_xlpm.tgt="","No target set",IF(AND(_xlpm.tgt&lt;TODAY(),_xlpm.act=""),"Overdue","On track"))),IF(C58="RELEASED IN PROD","Delivered",""))))))))</f>
        <v>#REF!</v>
      </c>
      <c r="E58" s="33">
        <v>34</v>
      </c>
      <c r="F58" s="34" t="s">
        <v>130</v>
      </c>
      <c r="G58" s="33"/>
      <c r="H58" s="50">
        <v>46295</v>
      </c>
      <c r="I58" s="55" t="s">
        <v>200</v>
      </c>
      <c r="J58" s="33" t="s">
        <v>118</v>
      </c>
      <c r="K58" s="4">
        <v>46262</v>
      </c>
      <c r="L58" s="36">
        <v>46254</v>
      </c>
      <c r="M58" s="36"/>
      <c r="N58" s="36"/>
      <c r="O58" s="36" t="s">
        <v>201</v>
      </c>
      <c r="P58" s="63" t="s">
        <v>77</v>
      </c>
      <c r="Q58" s="4">
        <v>46269</v>
      </c>
      <c r="R58" s="36">
        <v>46272</v>
      </c>
      <c r="S58" s="36"/>
      <c r="T58" s="69" t="s">
        <v>202</v>
      </c>
      <c r="U58" s="33"/>
      <c r="V58" s="59">
        <v>46276</v>
      </c>
      <c r="W58" s="36"/>
      <c r="X58" s="36"/>
      <c r="Y58" s="36"/>
      <c r="Z58" s="36"/>
      <c r="AA58" s="52">
        <v>46290</v>
      </c>
      <c r="AB58" s="36"/>
      <c r="AC58" s="36"/>
      <c r="AD58" s="33" t="s">
        <v>133</v>
      </c>
      <c r="AE58" s="33" t="s">
        <v>49</v>
      </c>
      <c r="AF58" s="38"/>
      <c r="AG58" s="36"/>
      <c r="AH58" s="39"/>
      <c r="AI58" s="33"/>
      <c r="AJ58" s="40" t="s">
        <v>53</v>
      </c>
      <c r="AK58" s="73" t="str">
        <f>IF($B58="","",IF(AND(LEFT($AJ58,3)="Yes",SUMPRODUCT(('Rework Log'!$A$3:$A$499=$B58)*('Rework Log'!$G$3:$G$499&lt;&gt;"Yes")*('Rework Log'!$G$3:$G$499&lt;&gt;"Did not pass re-test"))=0),"Blocked - log it on Rework Log",IF(AND(LEFT($AJ58,3)&lt;&gt;"Yes",SUMPRODUCT(('Rework Log'!$A$3:$A$499=$B58)*('Rework Log'!$G$3:$G$499&lt;&gt;"Yes")*('Rework Log'!$G$3:$G$499&lt;&gt;"Did not pass re-test"))&gt;0),"Open rework row - mark Blocked? or close it",IF(AND($AJ58="Yes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H)",IF(AND($AJ58="Yes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H)",IF(AND($AJ58="Yes – needs QA to fix",Y58&lt;&gt;"",SUMPRODUCT(MAX((('Rework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target",IF(AND(AA58&lt;&gt;"",V58&lt;&gt;"",AA58&lt;V58),"DPO Approval target is before QA target",IF(AND(AG58&lt;&gt;"",AA58&lt;&gt;"",AG58&lt;AA58),"Confirmed Deployed date is before DPO Approval target",""))))))))))))</f>
        <v/>
      </c>
      <c r="AL58" s="41"/>
      <c r="AM58" s="32" t="str" cm="1">
        <f t="array" ref="AM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8" s="32" t="str" cm="1">
        <f t="array" ref="AN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40">
      <c r="A59" s="33" t="s">
        <v>127</v>
      </c>
      <c r="B59" s="33" t="s">
        <v>210</v>
      </c>
      <c r="C59" s="33" t="s">
        <v>151</v>
      </c>
      <c r="D59" t="str" cm="1">
        <f t="array" aca="1" ref="D59" ca="1">IF($B59="","",IF(LEFT($AJ59,3)="Yes","Blocked - "&amp;MID($AJ59,7,100)&amp;IF(SUMPRODUCT(('Rework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track")),IF(C59="QA",_xlfn.LET(_xlpm.tgt,IF(AM59&lt;&gt;"",AM59,IF(W59&lt;&gt;"",W59,V59)),_xlpm.sent,_xlfn.MAXIFS('Rework Log'!$B$3:$B$499,'Rework Log'!$A$3:$A$499,$B59,'Rework Log'!$C$3:$C$499,"QA"),_xlpm.act,IF(AND(Y59&lt;&gt;"",Y59&gt;_xlpm.sent),Y59,""),IF(_xlpm.tgt="","No target set",IF(AND(_xlpm.tgt&lt;TODAY(),_xlpm.act=""),"Overdue","On track"))),IF(C59="DPO Approval",_xlfn.LET(_xlpm.tgt,IF(AN59&lt;&gt;"",AN59,IF(AB59&lt;&gt;"",AB59,AA59)),_xlpm.sent,_xlfn.MAXIFS('Rework Log'!$B$3:$B$499,'Rework Log'!$A$3:$A$499,$B59,'Rework Log'!$C$3:$C$499,"DPO*"),_xlpm.act,IF(AND(AC59&lt;&gt;"",AC59&gt;_xlpm.sent),AC59,""),IF(_xlpm.tgt="","No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148</v>
      </c>
      <c r="G59" s="33"/>
      <c r="H59" s="50">
        <v>46295</v>
      </c>
      <c r="I59" s="55" t="s">
        <v>200</v>
      </c>
      <c r="J59" s="33" t="s">
        <v>44</v>
      </c>
      <c r="K59" s="4">
        <v>46262</v>
      </c>
      <c r="L59" s="36">
        <v>46253</v>
      </c>
      <c r="M59" s="36">
        <v>46253</v>
      </c>
      <c r="N59" s="36"/>
      <c r="O59" s="36" t="s">
        <v>201</v>
      </c>
      <c r="P59" s="63" t="s">
        <v>60</v>
      </c>
      <c r="Q59" s="4">
        <v>46269</v>
      </c>
      <c r="R59" s="36">
        <v>46266</v>
      </c>
      <c r="S59" s="36">
        <v>46266</v>
      </c>
      <c r="T59" s="69" t="s">
        <v>202</v>
      </c>
      <c r="U59" s="33"/>
      <c r="V59" s="59">
        <v>46276</v>
      </c>
      <c r="W59" s="36"/>
      <c r="X59" s="36"/>
      <c r="Y59" s="36"/>
      <c r="Z59" s="36"/>
      <c r="AA59" s="52">
        <v>46290</v>
      </c>
      <c r="AB59" s="36"/>
      <c r="AC59" s="36"/>
      <c r="AD59" s="33" t="s">
        <v>196</v>
      </c>
      <c r="AE59" s="33" t="s">
        <v>49</v>
      </c>
      <c r="AF59" s="38"/>
      <c r="AG59" s="36"/>
      <c r="AH59" s="39"/>
      <c r="AI59" s="33"/>
      <c r="AJ59" s="40" t="s">
        <v>53</v>
      </c>
      <c r="AK59" s="73" t="str">
        <f>IF($B59="","",IF(AND(LEFT($AJ59,3)="Yes",SUMPRODUCT(('Rework Log'!$A$3:$A$499=$B59)*('Rework Log'!$G$3:$G$499&lt;&gt;"Yes")*('Rework Log'!$G$3:$G$499&lt;&gt;"Did not pass re-test"))=0),"Blocked - log it on Rework Log",IF(AND(LEFT($AJ59,3)&lt;&gt;"Yes",SUMPRODUCT(('Rework Log'!$A$3:$A$499=$B59)*('Rework Log'!$G$3:$G$499&lt;&gt;"Yes")*('Rework Log'!$G$3:$G$499&lt;&gt;"Did not pass re-test"))&gt;0),"Open rework row - mark Blocked? or close it",IF(AND($AJ59="Yes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H)",IF(AND($AJ59="Yes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H)",IF(AND($AJ59="Yes – needs QA to fix",Y59&lt;&gt;"",SUMPRODUCT(MAX((('Rework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target",IF(AND(AA59&lt;&gt;"",V59&lt;&gt;"",AA59&lt;V59),"DPO Approval target is before QA target",IF(AND(AG59&lt;&gt;"",AA59&lt;&gt;"",AG59&lt;AA59),"Confirmed Deployed date is before DPO Approval target",""))))))))))))</f>
        <v/>
      </c>
      <c r="AL59" s="41"/>
      <c r="AM59" s="32" t="str" cm="1">
        <f t="array" ref="AM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9" s="32" t="str" cm="1">
        <f t="array" ref="AN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40">
      <c r="A60" s="33" t="s">
        <v>127</v>
      </c>
      <c r="B60" s="33" t="s">
        <v>211</v>
      </c>
      <c r="C60" s="33" t="s">
        <v>151</v>
      </c>
      <c r="D60" t="str" cm="1">
        <f t="array" aca="1" ref="D60" ca="1">IF($B60="","",IF(LEFT($AJ60,3)="Yes","Blocked - "&amp;MID($AJ60,7,100)&amp;IF(SUMPRODUCT(('Rework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track")),IF(C60="QA",_xlfn.LET(_xlpm.tgt,IF(AM60&lt;&gt;"",AM60,IF(W60&lt;&gt;"",W60,V60)),_xlpm.sent,_xlfn.MAXIFS('Rework Log'!$B$3:$B$499,'Rework Log'!$A$3:$A$499,$B60,'Rework Log'!$C$3:$C$499,"QA"),_xlpm.act,IF(AND(Y60&lt;&gt;"",Y60&gt;_xlpm.sent),Y60,""),IF(_xlpm.tgt="","No target set",IF(AND(_xlpm.tgt&lt;TODAY(),_xlpm.act=""),"Overdue","On track"))),IF(C60="DPO Approval",_xlfn.LET(_xlpm.tgt,IF(AN60&lt;&gt;"",AN60,IF(AB60&lt;&gt;"",AB60,AA60)),_xlpm.sent,_xlfn.MAXIFS('Rework Log'!$B$3:$B$499,'Rework Log'!$A$3:$A$499,$B60,'Rework Log'!$C$3:$C$499,"DPO*"),_xlpm.act,IF(AND(AC60&lt;&gt;"",AC60&gt;_xlpm.sent),AC60,""),IF(_xlpm.tgt="","No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148</v>
      </c>
      <c r="G60" s="33"/>
      <c r="H60" s="50">
        <v>46295</v>
      </c>
      <c r="I60" s="55" t="s">
        <v>200</v>
      </c>
      <c r="J60" s="33" t="s">
        <v>162</v>
      </c>
      <c r="K60" s="4">
        <v>46262</v>
      </c>
      <c r="L60" s="36">
        <v>46255</v>
      </c>
      <c r="M60" s="36">
        <v>46255</v>
      </c>
      <c r="N60" s="36"/>
      <c r="O60" s="36" t="s">
        <v>201</v>
      </c>
      <c r="P60" s="63" t="s">
        <v>46</v>
      </c>
      <c r="Q60" s="4">
        <v>46269</v>
      </c>
      <c r="R60" s="36"/>
      <c r="S60" s="36"/>
      <c r="T60" s="69" t="s">
        <v>202</v>
      </c>
      <c r="U60" s="33"/>
      <c r="V60" s="59">
        <v>46276</v>
      </c>
      <c r="W60" s="36"/>
      <c r="X60" s="36"/>
      <c r="Y60" s="36"/>
      <c r="Z60" s="36"/>
      <c r="AA60" s="52">
        <v>46290</v>
      </c>
      <c r="AB60" s="36"/>
      <c r="AC60" s="36"/>
      <c r="AD60" s="33" t="s">
        <v>212</v>
      </c>
      <c r="AE60" s="33" t="s">
        <v>72</v>
      </c>
      <c r="AF60" s="38"/>
      <c r="AG60" s="36"/>
      <c r="AH60" s="39"/>
      <c r="AI60" s="33"/>
      <c r="AJ60" s="40" t="s">
        <v>53</v>
      </c>
      <c r="AK60" s="73" t="str">
        <f>IF($B60="","",IF(AND(LEFT($AJ60,3)="Yes",SUMPRODUCT(('Rework Log'!$A$3:$A$499=$B60)*('Rework Log'!$G$3:$G$499&lt;&gt;"Yes")*('Rework Log'!$G$3:$G$499&lt;&gt;"Did not pass re-test"))=0),"Blocked - log it on Rework Log",IF(AND(LEFT($AJ60,3)&lt;&gt;"Yes",SUMPRODUCT(('Rework Log'!$A$3:$A$499=$B60)*('Rework Log'!$G$3:$G$499&lt;&gt;"Yes")*('Rework Log'!$G$3:$G$499&lt;&gt;"Did not pass re-test"))&gt;0),"Open rework row - mark Blocked? or close it",IF(AND($AJ60="Yes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H)",IF(AND($AJ60="Yes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H)",IF(AND($AJ60="Yes – needs QA to fix",Y60&lt;&gt;"",SUMPRODUCT(MAX((('Rework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target",IF(AND(AA60&lt;&gt;"",V60&lt;&gt;"",AA60&lt;V60),"DPO Approval target is before QA target",IF(AND(AG60&lt;&gt;"",AA60&lt;&gt;"",AG60&lt;AA60),"Confirmed Deployed date is before DPO Approval target",""))))))))))))</f>
        <v/>
      </c>
      <c r="AL60" s="41"/>
      <c r="AM60" s="32" t="str" cm="1">
        <f t="array" ref="AM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0" s="32" t="str" cm="1">
        <f t="array" ref="AN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40">
      <c r="A61" s="33" t="s">
        <v>127</v>
      </c>
      <c r="B61" s="33" t="s">
        <v>213</v>
      </c>
      <c r="C61" s="33" t="s">
        <v>208</v>
      </c>
      <c r="D61" t="str" cm="1">
        <f t="array" aca="1" ref="D61" ca="1">IF($B61="","",IF(LEFT($AJ61,3)="Yes","Blocked - "&amp;MID($AJ61,7,100)&amp;IF(SUMPRODUCT(('Rework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track")),IF(C61="QA",_xlfn.LET(_xlpm.tgt,IF(AM61&lt;&gt;"",AM61,IF(W61&lt;&gt;"",W61,V61)),_xlpm.sent,_xlfn.MAXIFS('Rework Log'!$B$3:$B$499,'Rework Log'!$A$3:$A$499,$B61,'Rework Log'!$C$3:$C$499,"QA"),_xlpm.act,IF(AND(Y61&lt;&gt;"",Y61&gt;_xlpm.sent),Y61,""),IF(_xlpm.tgt="","No target set",IF(AND(_xlpm.tgt&lt;TODAY(),_xlpm.act=""),"Overdue","On track"))),IF(C61="DPO Approval",_xlfn.LET(_xlpm.tgt,IF(AN61&lt;&gt;"",AN61,IF(AB61&lt;&gt;"",AB61,AA61)),_xlpm.sent,_xlfn.MAXIFS('Rework Log'!$B$3:$B$499,'Rework Log'!$A$3:$A$499,$B61,'Rework Log'!$C$3:$C$499,"DPO*"),_xlpm.act,IF(AND(AC61&lt;&gt;"",AC61&gt;_xlpm.sent),AC61,""),IF(_xlpm.tgt="","No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130</v>
      </c>
      <c r="G61" s="33"/>
      <c r="H61" s="50">
        <v>46295</v>
      </c>
      <c r="I61" s="55" t="s">
        <v>200</v>
      </c>
      <c r="J61" s="33" t="s">
        <v>44</v>
      </c>
      <c r="K61" s="4">
        <v>46262</v>
      </c>
      <c r="L61" s="36">
        <v>46255</v>
      </c>
      <c r="M61" s="36"/>
      <c r="N61" s="36"/>
      <c r="O61" s="36" t="s">
        <v>201</v>
      </c>
      <c r="P61" s="63" t="s">
        <v>60</v>
      </c>
      <c r="Q61" s="4">
        <v>46269</v>
      </c>
      <c r="R61" s="36">
        <v>46267</v>
      </c>
      <c r="S61" s="36"/>
      <c r="T61" s="69" t="s">
        <v>202</v>
      </c>
      <c r="U61" s="33"/>
      <c r="V61" s="59">
        <v>46276</v>
      </c>
      <c r="W61" s="36"/>
      <c r="X61" s="36"/>
      <c r="Y61" s="36"/>
      <c r="Z61" s="36"/>
      <c r="AA61" s="52">
        <v>46290</v>
      </c>
      <c r="AB61" s="36"/>
      <c r="AC61" s="36"/>
      <c r="AD61" s="33" t="s">
        <v>214</v>
      </c>
      <c r="AE61" s="33" t="s">
        <v>72</v>
      </c>
      <c r="AF61" s="38"/>
      <c r="AG61" s="36"/>
      <c r="AH61" s="39"/>
      <c r="AI61" s="33"/>
      <c r="AJ61" s="40" t="s">
        <v>53</v>
      </c>
      <c r="AK61" s="73" t="str">
        <f>IF($B61="","",IF(AND(LEFT($AJ61,3)="Yes",SUMPRODUCT(('Rework Log'!$A$3:$A$499=$B61)*('Rework Log'!$G$3:$G$499&lt;&gt;"Yes")*('Rework Log'!$G$3:$G$499&lt;&gt;"Did not pass re-test"))=0),"Blocked - log it on Rework Log",IF(AND(LEFT($AJ61,3)&lt;&gt;"Yes",SUMPRODUCT(('Rework Log'!$A$3:$A$499=$B61)*('Rework Log'!$G$3:$G$499&lt;&gt;"Yes")*('Rework Log'!$G$3:$G$499&lt;&gt;"Did not pass re-test"))&gt;0),"Open rework row - mark Blocked? or close it",IF(AND($AJ61="Yes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H)",IF(AND($AJ61="Yes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H)",IF(AND($AJ61="Yes – needs QA to fix",Y61&lt;&gt;"",SUMPRODUCT(MAX((('Rework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target",IF(AND(AA61&lt;&gt;"",V61&lt;&gt;"",AA61&lt;V61),"DPO Approval target is before QA target",IF(AND(AG61&lt;&gt;"",AA61&lt;&gt;"",AG61&lt;AA61),"Confirmed Deployed date is before DPO Approval target",""))))))))))))</f>
        <v/>
      </c>
      <c r="AL61" s="41"/>
      <c r="AM61" s="32" t="str" cm="1">
        <f t="array" ref="AM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1" s="32" t="str" cm="1">
        <f t="array" ref="AN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40">
      <c r="A62" s="33" t="s">
        <v>127</v>
      </c>
      <c r="B62" s="33" t="s">
        <v>215</v>
      </c>
      <c r="C62" s="33" t="s">
        <v>208</v>
      </c>
      <c r="D62" t="str" cm="1">
        <f t="array" aca="1" ref="D62" ca="1">IF($B62="","",IF(LEFT($AJ62,3)="Yes","Blocked - "&amp;MID($AJ62,7,100)&amp;IF(SUMPRODUCT(('Rework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track")),IF(C62="QA",_xlfn.LET(_xlpm.tgt,IF(AM62&lt;&gt;"",AM62,IF(W62&lt;&gt;"",W62,V62)),_xlpm.sent,_xlfn.MAXIFS('Rework Log'!$B$3:$B$499,'Rework Log'!$A$3:$A$499,$B62,'Rework Log'!$C$3:$C$499,"QA"),_xlpm.act,IF(AND(Y62&lt;&gt;"",Y62&gt;_xlpm.sent),Y62,""),IF(_xlpm.tgt="","No target set",IF(AND(_xlpm.tgt&lt;TODAY(),_xlpm.act=""),"Overdue","On track"))),IF(C62="DPO Approval",_xlfn.LET(_xlpm.tgt,IF(AN62&lt;&gt;"",AN62,IF(AB62&lt;&gt;"",AB62,AA62)),_xlpm.sent,_xlfn.MAXIFS('Rework Log'!$B$3:$B$499,'Rework Log'!$A$3:$A$499,$B62,'Rework Log'!$C$3:$C$499,"DPO*"),_xlpm.act,IF(AND(AC62&lt;&gt;"",AC62&gt;_xlpm.sent),AC62,""),IF(_xlpm.tgt="","No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148</v>
      </c>
      <c r="G62" s="33"/>
      <c r="H62" s="50">
        <v>46295</v>
      </c>
      <c r="I62" s="55" t="s">
        <v>200</v>
      </c>
      <c r="J62" s="33" t="s">
        <v>84</v>
      </c>
      <c r="K62" s="4">
        <v>46262</v>
      </c>
      <c r="L62" s="36">
        <v>46260</v>
      </c>
      <c r="M62" s="36">
        <v>46259</v>
      </c>
      <c r="N62" s="36"/>
      <c r="O62" s="36" t="s">
        <v>201</v>
      </c>
      <c r="P62" s="63" t="s">
        <v>77</v>
      </c>
      <c r="Q62" s="4">
        <v>46269</v>
      </c>
      <c r="R62" s="36"/>
      <c r="S62" s="36"/>
      <c r="T62" s="69" t="s">
        <v>202</v>
      </c>
      <c r="U62" s="33"/>
      <c r="V62" s="59">
        <v>46276</v>
      </c>
      <c r="W62" s="36"/>
      <c r="X62" s="36"/>
      <c r="Y62" s="36"/>
      <c r="Z62" s="36"/>
      <c r="AA62" s="52">
        <v>46290</v>
      </c>
      <c r="AB62" s="36"/>
      <c r="AC62" s="36"/>
      <c r="AD62" s="33" t="s">
        <v>216</v>
      </c>
      <c r="AE62" s="33" t="s">
        <v>72</v>
      </c>
      <c r="AF62" s="38"/>
      <c r="AG62" s="36"/>
      <c r="AH62" s="39"/>
      <c r="AI62" s="33"/>
      <c r="AJ62" s="40" t="s">
        <v>53</v>
      </c>
      <c r="AK62" s="73" t="str">
        <f>IF($B62="","",IF(AND(LEFT($AJ62,3)="Yes",SUMPRODUCT(('Rework Log'!$A$3:$A$499=$B62)*('Rework Log'!$G$3:$G$499&lt;&gt;"Yes")*('Rework Log'!$G$3:$G$499&lt;&gt;"Did not pass re-test"))=0),"Blocked - log it on Rework Log",IF(AND(LEFT($AJ62,3)&lt;&gt;"Yes",SUMPRODUCT(('Rework Log'!$A$3:$A$499=$B62)*('Rework Log'!$G$3:$G$499&lt;&gt;"Yes")*('Rework Log'!$G$3:$G$499&lt;&gt;"Did not pass re-test"))&gt;0),"Open rework row - mark Blocked? or close it",IF(AND($AJ62="Yes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H)",IF(AND($AJ62="Yes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H)",IF(AND($AJ62="Yes – needs QA to fix",Y62&lt;&gt;"",SUMPRODUCT(MAX((('Rework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target",IF(AND(AA62&lt;&gt;"",V62&lt;&gt;"",AA62&lt;V62),"DPO Approval target is before QA target",IF(AND(AG62&lt;&gt;"",AA62&lt;&gt;"",AG62&lt;AA62),"Confirmed Deployed date is before DPO Approval target",""))))))))))))</f>
        <v/>
      </c>
      <c r="AL62" s="41"/>
      <c r="AM62" s="32" t="str" cm="1">
        <f t="array" ref="AM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2" s="32" t="str" cm="1">
        <f t="array" ref="AN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40">
      <c r="A63" s="33" t="s">
        <v>127</v>
      </c>
      <c r="B63" s="33" t="s">
        <v>217</v>
      </c>
      <c r="C63" s="33" t="s">
        <v>208</v>
      </c>
      <c r="D63" t="str" cm="1">
        <f t="array" aca="1" ref="D63" ca="1">IF($B63="","",IF(LEFT($AJ63,3)="Yes","Blocked - "&amp;MID($AJ63,7,100)&amp;IF(SUMPRODUCT(('Rework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track")),IF(C63="QA",_xlfn.LET(_xlpm.tgt,IF(AM63&lt;&gt;"",AM63,IF(W63&lt;&gt;"",W63,V63)),_xlpm.sent,_xlfn.MAXIFS('Rework Log'!$B$3:$B$499,'Rework Log'!$A$3:$A$499,$B63,'Rework Log'!$C$3:$C$499,"QA"),_xlpm.act,IF(AND(Y63&lt;&gt;"",Y63&gt;_xlpm.sent),Y63,""),IF(_xlpm.tgt="","No target set",IF(AND(_xlpm.tgt&lt;TODAY(),_xlpm.act=""),"Overdue","On track"))),IF(C63="DPO Approval",_xlfn.LET(_xlpm.tgt,IF(AN63&lt;&gt;"",AN63,IF(AB63&lt;&gt;"",AB63,AA63)),_xlpm.sent,_xlfn.MAXIFS('Rework Log'!$B$3:$B$499,'Rework Log'!$A$3:$A$499,$B63,'Rework Log'!$C$3:$C$499,"DPO*"),_xlpm.act,IF(AND(AC63&lt;&gt;"",AC63&gt;_xlpm.sent),AC63,""),IF(_xlpm.tgt="","No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148</v>
      </c>
      <c r="G63" s="33"/>
      <c r="H63" s="50">
        <v>46295</v>
      </c>
      <c r="I63" s="55" t="s">
        <v>200</v>
      </c>
      <c r="J63" s="33" t="s">
        <v>84</v>
      </c>
      <c r="K63" s="4">
        <v>46276</v>
      </c>
      <c r="L63" s="36">
        <v>46276</v>
      </c>
      <c r="M63" s="36">
        <v>46266</v>
      </c>
      <c r="N63" s="36"/>
      <c r="O63" s="36" t="s">
        <v>201</v>
      </c>
      <c r="P63" s="63" t="s">
        <v>46</v>
      </c>
      <c r="Q63" s="4">
        <v>46286</v>
      </c>
      <c r="R63" s="36"/>
      <c r="S63" s="36"/>
      <c r="T63" s="69" t="s">
        <v>202</v>
      </c>
      <c r="U63" s="33"/>
      <c r="V63" s="59">
        <v>46290</v>
      </c>
      <c r="W63" s="36"/>
      <c r="X63" s="36"/>
      <c r="Y63" s="36"/>
      <c r="Z63" s="36"/>
      <c r="AA63" s="52">
        <v>46295</v>
      </c>
      <c r="AB63" s="36"/>
      <c r="AC63" s="36"/>
      <c r="AD63" s="33" t="s">
        <v>218</v>
      </c>
      <c r="AE63" s="33" t="s">
        <v>72</v>
      </c>
      <c r="AF63" s="38"/>
      <c r="AG63" s="36"/>
      <c r="AH63" s="39"/>
      <c r="AI63" s="33"/>
      <c r="AJ63" s="40" t="s">
        <v>53</v>
      </c>
      <c r="AK63" s="73" t="str">
        <f>IF($B63="","",IF(AND(LEFT($AJ63,3)="Yes",SUMPRODUCT(('Rework Log'!$A$3:$A$499=$B63)*('Rework Log'!$G$3:$G$499&lt;&gt;"Yes")*('Rework Log'!$G$3:$G$499&lt;&gt;"Did not pass re-test"))=0),"Blocked - log it on Rework Log",IF(AND(LEFT($AJ63,3)&lt;&gt;"Yes",SUMPRODUCT(('Rework Log'!$A$3:$A$499=$B63)*('Rework Log'!$G$3:$G$499&lt;&gt;"Yes")*('Rework Log'!$G$3:$G$499&lt;&gt;"Did not pass re-test"))&gt;0),"Open rework row - mark Blocked? or close it",IF(AND($AJ63="Yes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H)",IF(AND($AJ63="Yes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H)",IF(AND($AJ63="Yes – needs QA to fix",Y63&lt;&gt;"",SUMPRODUCT(MAX((('Rework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target",IF(AND(AA63&lt;&gt;"",V63&lt;&gt;"",AA63&lt;V63),"DPO Approval target is before QA target",IF(AND(AG63&lt;&gt;"",AA63&lt;&gt;"",AG63&lt;AA63),"Confirmed Deployed date is before DPO Approval target",""))))))))))))</f>
        <v/>
      </c>
      <c r="AL63" s="41"/>
      <c r="AM63" s="32" t="str" cm="1">
        <f t="array" ref="AM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3" s="32" t="str" cm="1">
        <f t="array" ref="AN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40">
      <c r="A64" s="33" t="s">
        <v>127</v>
      </c>
      <c r="B64" s="33" t="s">
        <v>219</v>
      </c>
      <c r="C64" s="33" t="s">
        <v>208</v>
      </c>
      <c r="D64" t="str" cm="1">
        <f t="array" aca="1" ref="D64" ca="1">IF($B64="","",IF(LEFT($AJ64,3)="Yes","Blocked - "&amp;MID($AJ64,7,100)&amp;IF(SUMPRODUCT(('Rework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track")),IF(C64="QA",_xlfn.LET(_xlpm.tgt,IF(AM64&lt;&gt;"",AM64,IF(W64&lt;&gt;"",W64,V64)),_xlpm.sent,_xlfn.MAXIFS('Rework Log'!$B$3:$B$499,'Rework Log'!$A$3:$A$499,$B64,'Rework Log'!$C$3:$C$499,"QA"),_xlpm.act,IF(AND(Y64&lt;&gt;"",Y64&gt;_xlpm.sent),Y64,""),IF(_xlpm.tgt="","No target set",IF(AND(_xlpm.tgt&lt;TODAY(),_xlpm.act=""),"Overdue","On track"))),IF(C64="DPO Approval",_xlfn.LET(_xlpm.tgt,IF(AN64&lt;&gt;"",AN64,IF(AB64&lt;&gt;"",AB64,AA64)),_xlpm.sent,_xlfn.MAXIFS('Rework Log'!$B$3:$B$499,'Rework Log'!$A$3:$A$499,$B64,'Rework Log'!$C$3:$C$499,"DPO*"),_xlpm.act,IF(AND(AC64&lt;&gt;"",AC64&gt;_xlpm.sent),AC64,""),IF(_xlpm.tgt="","No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130</v>
      </c>
      <c r="G64" s="33"/>
      <c r="H64" s="50">
        <v>46295</v>
      </c>
      <c r="I64" s="55" t="s">
        <v>200</v>
      </c>
      <c r="J64" s="33" t="s">
        <v>103</v>
      </c>
      <c r="K64" s="4">
        <v>46276</v>
      </c>
      <c r="L64" s="36">
        <v>46265</v>
      </c>
      <c r="M64" s="36">
        <v>46266</v>
      </c>
      <c r="N64" s="36"/>
      <c r="O64" s="36" t="s">
        <v>201</v>
      </c>
      <c r="P64" s="63" t="s">
        <v>60</v>
      </c>
      <c r="Q64" s="4">
        <v>46286</v>
      </c>
      <c r="R64" s="36"/>
      <c r="S64" s="36"/>
      <c r="T64" s="69" t="s">
        <v>202</v>
      </c>
      <c r="U64" s="33"/>
      <c r="V64" s="59">
        <v>46290</v>
      </c>
      <c r="W64" s="36"/>
      <c r="X64" s="36"/>
      <c r="Y64" s="36"/>
      <c r="Z64" s="36"/>
      <c r="AA64" s="52">
        <v>46295</v>
      </c>
      <c r="AB64" s="36"/>
      <c r="AC64" s="36"/>
      <c r="AD64" s="33" t="s">
        <v>220</v>
      </c>
      <c r="AE64" s="33" t="s">
        <v>72</v>
      </c>
      <c r="AF64" s="38"/>
      <c r="AG64" s="36"/>
      <c r="AH64" s="39"/>
      <c r="AI64" s="33"/>
      <c r="AJ64" s="40" t="s">
        <v>53</v>
      </c>
      <c r="AK64" s="73" t="str">
        <f>IF($B64="","",IF(AND(LEFT($AJ64,3)="Yes",SUMPRODUCT(('Rework Log'!$A$3:$A$499=$B64)*('Rework Log'!$G$3:$G$499&lt;&gt;"Yes")*('Rework Log'!$G$3:$G$499&lt;&gt;"Did not pass re-test"))=0),"Blocked - log it on Rework Log",IF(AND(LEFT($AJ64,3)&lt;&gt;"Yes",SUMPRODUCT(('Rework Log'!$A$3:$A$499=$B64)*('Rework Log'!$G$3:$G$499&lt;&gt;"Yes")*('Rework Log'!$G$3:$G$499&lt;&gt;"Did not pass re-test"))&gt;0),"Open rework row - mark Blocked? or close it",IF(AND($AJ64="Yes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H)",IF(AND($AJ64="Yes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H)",IF(AND($AJ64="Yes – needs QA to fix",Y64&lt;&gt;"",SUMPRODUCT(MAX((('Rework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target",IF(AND(AA64&lt;&gt;"",V64&lt;&gt;"",AA64&lt;V64),"DPO Approval target is before QA target",IF(AND(AG64&lt;&gt;"",AA64&lt;&gt;"",AG64&lt;AA64),"Confirmed Deployed date is before DPO Approval target",""))))))))))))</f>
        <v/>
      </c>
      <c r="AL64" s="41"/>
      <c r="AM64" s="32" t="str" cm="1">
        <f t="array" ref="AM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4" s="32" t="str" cm="1">
        <f t="array" ref="AN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40">
      <c r="A65" s="33" t="s">
        <v>127</v>
      </c>
      <c r="B65" s="33" t="s">
        <v>221</v>
      </c>
      <c r="C65" s="33" t="s">
        <v>156</v>
      </c>
      <c r="D65" t="str" cm="1">
        <f t="array" aca="1" ref="D65" ca="1">IF($B65="","",IF(LEFT($AJ65,3)="Yes","Blocked - "&amp;MID($AJ65,7,100)&amp;IF(SUMPRODUCT(('Rework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track")),IF(C65="QA",_xlfn.LET(_xlpm.tgt,IF(AM65&lt;&gt;"",AM65,IF(W65&lt;&gt;"",W65,V65)),_xlpm.sent,_xlfn.MAXIFS('Rework Log'!$B$3:$B$499,'Rework Log'!$A$3:$A$499,$B65,'Rework Log'!$C$3:$C$499,"QA"),_xlpm.act,IF(AND(Y65&lt;&gt;"",Y65&gt;_xlpm.sent),Y65,""),IF(_xlpm.tgt="","No target set",IF(AND(_xlpm.tgt&lt;TODAY(),_xlpm.act=""),"Overdue","On track"))),IF(C65="DPO Approval",_xlfn.LET(_xlpm.tgt,IF(AN65&lt;&gt;"",AN65,IF(AB65&lt;&gt;"",AB65,AA65)),_xlpm.sent,_xlfn.MAXIFS('Rework Log'!$B$3:$B$499,'Rework Log'!$A$3:$A$499,$B65,'Rework Log'!$C$3:$C$499,"DPO*"),_xlpm.act,IF(AND(AC65&lt;&gt;"",AC65&gt;_xlpm.sent),AC65,""),IF(_xlpm.tgt="","No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130</v>
      </c>
      <c r="G65" s="33"/>
      <c r="H65" s="50">
        <v>46295</v>
      </c>
      <c r="I65" s="55" t="s">
        <v>200</v>
      </c>
      <c r="J65" s="33" t="s">
        <v>162</v>
      </c>
      <c r="K65" s="4">
        <v>46276</v>
      </c>
      <c r="L65" s="4">
        <v>46262</v>
      </c>
      <c r="M65" s="36">
        <v>46265</v>
      </c>
      <c r="N65" s="36"/>
      <c r="O65" s="36" t="s">
        <v>201</v>
      </c>
      <c r="P65" s="63" t="s">
        <v>77</v>
      </c>
      <c r="Q65" s="4">
        <v>46286</v>
      </c>
      <c r="R65" s="43"/>
      <c r="S65" s="31"/>
      <c r="T65" s="69" t="s">
        <v>202</v>
      </c>
      <c r="U65" s="33"/>
      <c r="V65" s="59">
        <v>46290</v>
      </c>
      <c r="W65" s="36"/>
      <c r="X65" s="36"/>
      <c r="Y65" s="36"/>
      <c r="Z65" s="36"/>
      <c r="AA65" s="52">
        <v>46295</v>
      </c>
      <c r="AB65" s="36"/>
      <c r="AC65" s="36"/>
      <c r="AD65" s="33" t="s">
        <v>133</v>
      </c>
      <c r="AE65" s="33" t="s">
        <v>49</v>
      </c>
      <c r="AF65" s="38"/>
      <c r="AG65" s="36"/>
      <c r="AH65" s="39"/>
      <c r="AI65" s="33"/>
      <c r="AJ65" s="40" t="s">
        <v>53</v>
      </c>
      <c r="AK65" s="73" t="str">
        <f>IF($B65="","",IF(AND(LEFT($AJ65,3)="Yes",SUMPRODUCT(('Rework Log'!$A$3:$A$499=$B65)*('Rework Log'!$G$3:$G$499&lt;&gt;"Yes")*('Rework Log'!$G$3:$G$499&lt;&gt;"Did not pass re-test"))=0),"Blocked - log it on Rework Log",IF(AND(LEFT($AJ65,3)&lt;&gt;"Yes",SUMPRODUCT(('Rework Log'!$A$3:$A$499=$B65)*('Rework Log'!$G$3:$G$499&lt;&gt;"Yes")*('Rework Log'!$G$3:$G$499&lt;&gt;"Did not pass re-test"))&gt;0),"Open rework row - mark Blocked? or close it",IF(AND($AJ65="Yes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H)",IF(AND($AJ65="Yes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H)",IF(AND($AJ65="Yes – needs QA to fix",Y65&lt;&gt;"",SUMPRODUCT(MAX((('Rework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target",IF(AND(AA65&lt;&gt;"",V65&lt;&gt;"",AA65&lt;V65),"DPO Approval target is before QA target",IF(AND(AG65&lt;&gt;"",AA65&lt;&gt;"",AG65&lt;AA65),"Confirmed Deployed date is before DPO Approval target",""))))))))))))</f>
        <v/>
      </c>
      <c r="AL65" s="41"/>
      <c r="AM65" s="32" t="str" cm="1">
        <f t="array" ref="AM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5" s="32" t="str" cm="1">
        <f t="array" ref="AN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40">
      <c r="A66" s="33" t="s">
        <v>127</v>
      </c>
      <c r="B66" s="33" t="s">
        <v>222</v>
      </c>
      <c r="C66" s="33" t="s">
        <v>208</v>
      </c>
      <c r="D66" t="str" cm="1">
        <f t="array" aca="1" ref="D66" ca="1">IF($B66="","",IF(LEFT($AJ66,3)="Yes","Blocked - "&amp;MID($AJ66,7,100)&amp;IF(SUMPRODUCT(('Rework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track")),IF(C66="QA",_xlfn.LET(_xlpm.tgt,IF(AM66&lt;&gt;"",AM66,IF(W66&lt;&gt;"",W66,V66)),_xlpm.sent,_xlfn.MAXIFS('Rework Log'!$B$3:$B$499,'Rework Log'!$A$3:$A$499,$B66,'Rework Log'!$C$3:$C$499,"QA"),_xlpm.act,IF(AND(Y66&lt;&gt;"",Y66&gt;_xlpm.sent),Y66,""),IF(_xlpm.tgt="","No target set",IF(AND(_xlpm.tgt&lt;TODAY(),_xlpm.act=""),"Overdue","On track"))),IF(C66="DPO Approval",_xlfn.LET(_xlpm.tgt,IF(AN66&lt;&gt;"",AN66,IF(AB66&lt;&gt;"",AB66,AA66)),_xlpm.sent,_xlfn.MAXIFS('Rework Log'!$B$3:$B$499,'Rework Log'!$A$3:$A$499,$B66,'Rework Log'!$C$3:$C$499,"DPO*"),_xlpm.act,IF(AND(AC66&lt;&gt;"",AC66&gt;_xlpm.sent),AC66,""),IF(_xlpm.tgt="","No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130</v>
      </c>
      <c r="G66" s="33"/>
      <c r="H66" s="50">
        <v>46295</v>
      </c>
      <c r="I66" s="55" t="s">
        <v>200</v>
      </c>
      <c r="J66" s="33" t="s">
        <v>44</v>
      </c>
      <c r="K66" s="4">
        <v>46276</v>
      </c>
      <c r="L66" s="36"/>
      <c r="M66" s="36"/>
      <c r="N66" s="36"/>
      <c r="O66" s="36" t="s">
        <v>201</v>
      </c>
      <c r="P66" s="63" t="s">
        <v>46</v>
      </c>
      <c r="Q66" s="4">
        <v>46286</v>
      </c>
      <c r="R66" s="36"/>
      <c r="S66" s="36"/>
      <c r="T66" s="69" t="s">
        <v>202</v>
      </c>
      <c r="U66" s="33"/>
      <c r="V66" s="59">
        <v>46290</v>
      </c>
      <c r="W66" s="36"/>
      <c r="X66" s="36"/>
      <c r="Y66" s="36"/>
      <c r="Z66" s="36"/>
      <c r="AA66" s="52">
        <v>46295</v>
      </c>
      <c r="AB66" s="36"/>
      <c r="AC66" s="36"/>
      <c r="AD66" s="33" t="s">
        <v>220</v>
      </c>
      <c r="AE66" s="33" t="s">
        <v>94</v>
      </c>
      <c r="AF66" s="38"/>
      <c r="AG66" s="36"/>
      <c r="AH66" s="39"/>
      <c r="AI66" s="33"/>
      <c r="AJ66" s="40" t="s">
        <v>53</v>
      </c>
      <c r="AK66" s="73" t="str">
        <f>IF($B66="","",IF(AND(LEFT($AJ66,3)="Yes",SUMPRODUCT(('Rework Log'!$A$3:$A$499=$B66)*('Rework Log'!$G$3:$G$499&lt;&gt;"Yes")*('Rework Log'!$G$3:$G$499&lt;&gt;"Did not pass re-test"))=0),"Blocked - log it on Rework Log",IF(AND(LEFT($AJ66,3)&lt;&gt;"Yes",SUMPRODUCT(('Rework Log'!$A$3:$A$499=$B66)*('Rework Log'!$G$3:$G$499&lt;&gt;"Yes")*('Rework Log'!$G$3:$G$499&lt;&gt;"Did not pass re-test"))&gt;0),"Open rework row - mark Blocked? or close it",IF(AND($AJ66="Yes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H)",IF(AND($AJ66="Yes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H)",IF(AND($AJ66="Yes – needs QA to fix",Y66&lt;&gt;"",SUMPRODUCT(MAX((('Rework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target",IF(AND(AA66&lt;&gt;"",V66&lt;&gt;"",AA66&lt;V66),"DPO Approval target is before QA target",IF(AND(AG66&lt;&gt;"",AA66&lt;&gt;"",AG66&lt;AA66),"Confirmed Deployed date is before DPO Approval target",""))))))))))))</f>
        <v/>
      </c>
      <c r="AL66" s="41"/>
      <c r="AM66" s="32" t="str" cm="1">
        <f t="array" ref="AM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6" s="32" t="str" cm="1">
        <f t="array" ref="AN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40">
      <c r="A67" s="33" t="s">
        <v>127</v>
      </c>
      <c r="B67" s="33" t="s">
        <v>223</v>
      </c>
      <c r="C67" s="33" t="s">
        <v>208</v>
      </c>
      <c r="D67" t="str" cm="1">
        <f t="array" aca="1" ref="D67" ca="1">IF($B67="","",IF(LEFT($AJ67,3)="Yes","Blocked - "&amp;MID($AJ67,7,100)&amp;IF(SUMPRODUCT(('Rework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track")),IF(C67="QA",_xlfn.LET(_xlpm.tgt,IF(AM67&lt;&gt;"",AM67,IF(W67&lt;&gt;"",W67,V67)),_xlpm.sent,_xlfn.MAXIFS('Rework Log'!$B$3:$B$499,'Rework Log'!$A$3:$A$499,$B67,'Rework Log'!$C$3:$C$499,"QA"),_xlpm.act,IF(AND(Y67&lt;&gt;"",Y67&gt;_xlpm.sent),Y67,""),IF(_xlpm.tgt="","No target set",IF(AND(_xlpm.tgt&lt;TODAY(),_xlpm.act=""),"Overdue","On track"))),IF(C67="DPO Approval",_xlfn.LET(_xlpm.tgt,IF(AN67&lt;&gt;"",AN67,IF(AB67&lt;&gt;"",AB67,AA67)),_xlpm.sent,_xlfn.MAXIFS('Rework Log'!$B$3:$B$499,'Rework Log'!$A$3:$A$499,$B67,'Rework Log'!$C$3:$C$499,"DPO*"),_xlpm.act,IF(AND(AC67&lt;&gt;"",AC67&gt;_xlpm.sent),AC67,""),IF(_xlpm.tgt="","No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130</v>
      </c>
      <c r="G67" s="33"/>
      <c r="H67" s="50">
        <v>46295</v>
      </c>
      <c r="I67" s="55" t="s">
        <v>200</v>
      </c>
      <c r="J67" s="33" t="s">
        <v>44</v>
      </c>
      <c r="K67" s="4">
        <v>46276</v>
      </c>
      <c r="L67" s="36">
        <v>46254</v>
      </c>
      <c r="M67" s="36">
        <v>46254</v>
      </c>
      <c r="N67" s="36"/>
      <c r="O67" s="36" t="s">
        <v>201</v>
      </c>
      <c r="P67" s="63" t="s">
        <v>60</v>
      </c>
      <c r="Q67" s="4">
        <v>46286</v>
      </c>
      <c r="R67" s="36">
        <v>46254</v>
      </c>
      <c r="S67" s="36">
        <v>46254</v>
      </c>
      <c r="T67" s="69" t="s">
        <v>202</v>
      </c>
      <c r="U67" s="33"/>
      <c r="V67" s="59">
        <v>46290</v>
      </c>
      <c r="W67" s="36">
        <v>46259</v>
      </c>
      <c r="X67" s="36"/>
      <c r="Y67" s="36"/>
      <c r="Z67" s="36"/>
      <c r="AA67" s="52">
        <v>46295</v>
      </c>
      <c r="AB67" s="36">
        <v>46268</v>
      </c>
      <c r="AC67" s="36"/>
      <c r="AD67" s="33" t="s">
        <v>224</v>
      </c>
      <c r="AE67" s="33" t="s">
        <v>94</v>
      </c>
      <c r="AF67" s="38"/>
      <c r="AG67" s="36"/>
      <c r="AH67" s="39"/>
      <c r="AI67" s="33"/>
      <c r="AJ67" s="40" t="s">
        <v>53</v>
      </c>
      <c r="AK67" s="73" t="str">
        <f>IF($B67="","",IF(AND(LEFT($AJ67,3)="Yes",SUMPRODUCT(('Rework Log'!$A$3:$A$499=$B67)*('Rework Log'!$G$3:$G$499&lt;&gt;"Yes")*('Rework Log'!$G$3:$G$499&lt;&gt;"Did not pass re-test"))=0),"Blocked - log it on Rework Log",IF(AND(LEFT($AJ67,3)&lt;&gt;"Yes",SUMPRODUCT(('Rework Log'!$A$3:$A$499=$B67)*('Rework Log'!$G$3:$G$499&lt;&gt;"Yes")*('Rework Log'!$G$3:$G$499&lt;&gt;"Did not pass re-test"))&gt;0),"Open rework row - mark Blocked? or close it",IF(AND($AJ67="Yes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H)",IF(AND($AJ67="Yes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H)",IF(AND($AJ67="Yes – needs QA to fix",Y67&lt;&gt;"",SUMPRODUCT(MAX((('Rework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target",IF(AND(AA67&lt;&gt;"",V67&lt;&gt;"",AA67&lt;V67),"DPO Approval target is before QA target",IF(AND(AG67&lt;&gt;"",AA67&lt;&gt;"",AG67&lt;AA67),"Confirmed Deployed date is before DPO Approval target",""))))))))))))</f>
        <v/>
      </c>
      <c r="AL67" s="41"/>
      <c r="AM67" s="32" t="str" cm="1">
        <f t="array" ref="AM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7" s="32" t="str" cm="1">
        <f t="array" ref="AN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40" s="83" customFormat="1">
      <c r="A68" s="82" t="s">
        <v>127</v>
      </c>
      <c r="B68" s="79" t="s">
        <v>225</v>
      </c>
      <c r="C68" s="82" t="s">
        <v>151</v>
      </c>
      <c r="D68" s="83" t="str" cm="1">
        <f t="array" aca="1" ref="D68" ca="1">IF($B68="","",IF(LEFT($AJ68,3)="Yes","Blocked - "&amp;MID($AJ68,7,100)&amp;IF(SUMPRODUCT(('Rework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track")),IF(C68="QA",_xlfn.LET(_xlpm.tgt,IF(AM68&lt;&gt;"",AM68,IF(W68&lt;&gt;"",W68,V68)),_xlpm.sent,_xlfn.MAXIFS('Rework Log'!$B$3:$B$499,'Rework Log'!$A$3:$A$499,$B68,'Rework Log'!$C$3:$C$499,"QA"),_xlpm.act,IF(AND(Y68&lt;&gt;"",Y68&gt;_xlpm.sent),Y68,""),IF(_xlpm.tgt="","No target set",IF(AND(_xlpm.tgt&lt;TODAY(),_xlpm.act=""),"Overdue","On track"))),IF(C68="DPO Approval",_xlfn.LET(_xlpm.tgt,IF(AN68&lt;&gt;"",AN68,IF(AB68&lt;&gt;"",AB68,AA68)),_xlpm.sent,_xlfn.MAXIFS('Rework Log'!$B$3:$B$499,'Rework Log'!$A$3:$A$499,$B68,'Rework Log'!$C$3:$C$499,"DPO*"),_xlpm.act,IF(AND(AC68&lt;&gt;"",AC68&gt;_xlpm.sent),AC68,""),IF(_xlpm.tgt="","No target set",IF(AND(_xlpm.tgt&lt;TODAY(),_xlpm.act=""),"Overdue","On track"))),IF(C68="RELEASED IN PROD","Delivered",""))))))))</f>
        <v>On track</v>
      </c>
      <c r="E68" s="82">
        <v>44</v>
      </c>
      <c r="F68" s="84" t="s">
        <v>130</v>
      </c>
      <c r="G68" s="82"/>
      <c r="H68" s="85">
        <v>46295</v>
      </c>
      <c r="I68" s="86" t="s">
        <v>200</v>
      </c>
      <c r="J68" s="82" t="s">
        <v>226</v>
      </c>
      <c r="K68" s="87">
        <v>46276</v>
      </c>
      <c r="L68" s="88">
        <v>46258</v>
      </c>
      <c r="M68" s="88">
        <v>46258</v>
      </c>
      <c r="N68" s="88"/>
      <c r="O68" s="88" t="s">
        <v>201</v>
      </c>
      <c r="P68" s="89" t="s">
        <v>77</v>
      </c>
      <c r="Q68" s="87">
        <v>46286</v>
      </c>
      <c r="R68" s="88"/>
      <c r="S68" s="88"/>
      <c r="T68" s="90" t="s">
        <v>227</v>
      </c>
      <c r="U68" s="82"/>
      <c r="V68" s="91">
        <v>46290</v>
      </c>
      <c r="W68" s="88"/>
      <c r="X68" s="88"/>
      <c r="Y68" s="88"/>
      <c r="Z68" s="88"/>
      <c r="AA68" s="92">
        <v>46295</v>
      </c>
      <c r="AB68" s="88"/>
      <c r="AC68" s="88"/>
      <c r="AD68" s="79" t="s">
        <v>228</v>
      </c>
      <c r="AE68" s="82" t="s">
        <v>72</v>
      </c>
      <c r="AF68" s="93"/>
      <c r="AG68" s="88"/>
      <c r="AH68" s="94"/>
      <c r="AI68" s="82"/>
      <c r="AJ68" s="95" t="s">
        <v>53</v>
      </c>
      <c r="AK68" s="96" t="str">
        <f>IF($B68="","",IF(AND(LEFT($AJ68,3)="Yes",SUMPRODUCT(('Rework Log'!$A$3:$A$499=$B68)*('Rework Log'!$G$3:$G$499&lt;&gt;"Yes")*('Rework Log'!$G$3:$G$499&lt;&gt;"Did not pass re-test"))=0),"Blocked - log it on Rework Log",IF(AND(LEFT($AJ68,3)&lt;&gt;"Yes",SUMPRODUCT(('Rework Log'!$A$3:$A$499=$B68)*('Rework Log'!$G$3:$G$499&lt;&gt;"Yes")*('Rework Log'!$G$3:$G$499&lt;&gt;"Did not pass re-test"))&gt;0),"Open rework row - mark Blocked? or close it",IF(AND($AJ68="Yes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H)",IF(AND($AJ68="Yes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H)",IF(AND($AJ68="Yes – needs QA to fix",Y68&lt;&gt;"",SUMPRODUCT(MAX((('Rework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target",IF(AND(AA68&lt;&gt;"",V68&lt;&gt;"",AA68&lt;V68),"DPO Approval target is before QA target",IF(AND(AG68&lt;&gt;"",AA68&lt;&gt;"",AG68&lt;AA68),"Confirmed Deployed date is before DPO Approval target",""))))))))))))</f>
        <v/>
      </c>
      <c r="AL68" s="97" t="s">
        <v>229</v>
      </c>
      <c r="AM68" s="98" t="str" cm="1">
        <f t="array" ref="AM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8" s="98" t="str" cm="1">
        <f t="array" ref="AN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40" s="100" customFormat="1">
      <c r="A69" s="99" t="s">
        <v>127</v>
      </c>
      <c r="B69" s="80" t="s">
        <v>230</v>
      </c>
      <c r="C69" s="99" t="s">
        <v>208</v>
      </c>
      <c r="D69" s="100" t="str" cm="1">
        <f t="array" aca="1" ref="D69" ca="1">IF($B69="","",IF(LEFT($AJ69,3)="Yes","Blocked - "&amp;MID($AJ69,7,100)&amp;IF(SUMPRODUCT(('Rework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track")),IF(C69="QA",_xlfn.LET(_xlpm.tgt,IF(AM69&lt;&gt;"",AM69,IF(W69&lt;&gt;"",W69,V69)),_xlpm.sent,_xlfn.MAXIFS('Rework Log'!$B$3:$B$499,'Rework Log'!$A$3:$A$499,$B69,'Rework Log'!$C$3:$C$499,"QA"),_xlpm.act,IF(AND(Y69&lt;&gt;"",Y69&gt;_xlpm.sent),Y69,""),IF(_xlpm.tgt="","No target set",IF(AND(_xlpm.tgt&lt;TODAY(),_xlpm.act=""),"Overdue","On track"))),IF(C69="DPO Approval",_xlfn.LET(_xlpm.tgt,IF(AN69&lt;&gt;"",AN69,IF(AB69&lt;&gt;"",AB69,AA69)),_xlpm.sent,_xlfn.MAXIFS('Rework Log'!$B$3:$B$499,'Rework Log'!$A$3:$A$499,$B69,'Rework Log'!$C$3:$C$499,"DPO*"),_xlpm.act,IF(AND(AC69&lt;&gt;"",AC69&gt;_xlpm.sent),AC69,""),IF(_xlpm.tgt="","No target set",IF(AND(_xlpm.tgt&lt;TODAY(),_xlpm.act=""),"Overdue","On track"))),IF(C69="RELEASED IN PROD","Delivered",""))))))))</f>
        <v>On track</v>
      </c>
      <c r="E69" s="99">
        <v>45</v>
      </c>
      <c r="F69" s="101" t="s">
        <v>148</v>
      </c>
      <c r="G69" s="99"/>
      <c r="H69" s="102">
        <v>46295</v>
      </c>
      <c r="I69" s="103" t="s">
        <v>200</v>
      </c>
      <c r="J69" s="99" t="s">
        <v>59</v>
      </c>
      <c r="K69" s="104">
        <v>46276</v>
      </c>
      <c r="L69" s="105"/>
      <c r="M69" s="105"/>
      <c r="N69" s="105"/>
      <c r="O69" s="105" t="s">
        <v>201</v>
      </c>
      <c r="P69" s="106" t="s">
        <v>46</v>
      </c>
      <c r="Q69" s="104">
        <v>46286</v>
      </c>
      <c r="R69" s="105"/>
      <c r="S69" s="105"/>
      <c r="T69" s="107" t="s">
        <v>227</v>
      </c>
      <c r="U69" s="99"/>
      <c r="V69" s="108">
        <v>46290</v>
      </c>
      <c r="W69" s="105"/>
      <c r="X69" s="105"/>
      <c r="Y69" s="105"/>
      <c r="Z69" s="105"/>
      <c r="AA69" s="109">
        <v>46295</v>
      </c>
      <c r="AB69" s="105"/>
      <c r="AC69" s="105"/>
      <c r="AD69" s="80" t="s">
        <v>231</v>
      </c>
      <c r="AE69" s="99" t="s">
        <v>72</v>
      </c>
      <c r="AF69" s="110"/>
      <c r="AG69" s="105"/>
      <c r="AH69" s="111"/>
      <c r="AI69" s="99"/>
      <c r="AJ69" s="112" t="s">
        <v>53</v>
      </c>
      <c r="AK69" s="113" t="str">
        <f>IF($B69="","",IF(AND(LEFT($AJ69,3)="Yes",SUMPRODUCT(('Rework Log'!$A$3:$A$499=$B69)*('Rework Log'!$G$3:$G$499&lt;&gt;"Yes")*('Rework Log'!$G$3:$G$499&lt;&gt;"Did not pass re-test"))=0),"Blocked - log it on Rework Log",IF(AND(LEFT($AJ69,3)&lt;&gt;"Yes",SUMPRODUCT(('Rework Log'!$A$3:$A$499=$B69)*('Rework Log'!$G$3:$G$499&lt;&gt;"Yes")*('Rework Log'!$G$3:$G$499&lt;&gt;"Did not pass re-test"))&gt;0),"Open rework row - mark Blocked? or close it",IF(AND($AJ69="Yes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H)",IF(AND($AJ69="Yes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H)",IF(AND($AJ69="Yes – needs QA to fix",Y69&lt;&gt;"",SUMPRODUCT(MAX((('Rework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target",IF(AND(AA69&lt;&gt;"",V69&lt;&gt;"",AA69&lt;V69),"DPO Approval target is before QA target",IF(AND(AG69&lt;&gt;"",AA69&lt;&gt;"",AG69&lt;AA69),"Confirmed Deployed date is before DPO Approval target",""))))))))))))</f>
        <v/>
      </c>
      <c r="AL69" s="114" t="s">
        <v>232</v>
      </c>
      <c r="AM69" s="115" t="str" cm="1">
        <f t="array" ref="AM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9" s="115" t="str" cm="1">
        <f t="array" ref="AN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40">
      <c r="A70" s="33" t="s">
        <v>127</v>
      </c>
      <c r="B70" s="33" t="s">
        <v>233</v>
      </c>
      <c r="C70" s="33" t="s">
        <v>208</v>
      </c>
      <c r="D70" t="str" cm="1">
        <f t="array" aca="1" ref="D70" ca="1">IF($B70="","",IF(LEFT($AJ70,3)="Yes","Blocked - "&amp;MID($AJ70,7,100)&amp;IF(SUMPRODUCT(('Rework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track")),IF(C70="QA",_xlfn.LET(_xlpm.tgt,IF(AM70&lt;&gt;"",AM70,IF(W70&lt;&gt;"",W70,V70)),_xlpm.sent,_xlfn.MAXIFS('Rework Log'!$B$3:$B$499,'Rework Log'!$A$3:$A$499,$B70,'Rework Log'!$C$3:$C$499,"QA"),_xlpm.act,IF(AND(Y70&lt;&gt;"",Y70&gt;_xlpm.sent),Y70,""),IF(_xlpm.tgt="","No target set",IF(AND(_xlpm.tgt&lt;TODAY(),_xlpm.act=""),"Overdue","On track"))),IF(C70="DPO Approval",_xlfn.LET(_xlpm.tgt,IF(AN70&lt;&gt;"",AN70,IF(AB70&lt;&gt;"",AB70,AA70)),_xlpm.sent,_xlfn.MAXIFS('Rework Log'!$B$3:$B$499,'Rework Log'!$A$3:$A$499,$B70,'Rework Log'!$C$3:$C$499,"DPO*"),_xlpm.act,IF(AND(AC70&lt;&gt;"",AC70&gt;_xlpm.sent),AC70,""),IF(_xlpm.tgt="","No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148</v>
      </c>
      <c r="G70" s="33"/>
      <c r="H70" s="50">
        <v>46295</v>
      </c>
      <c r="I70" s="55" t="s">
        <v>200</v>
      </c>
      <c r="J70" s="33" t="s">
        <v>118</v>
      </c>
      <c r="K70" s="4">
        <v>46276</v>
      </c>
      <c r="L70" s="36">
        <v>46262</v>
      </c>
      <c r="M70" s="36"/>
      <c r="N70" s="36"/>
      <c r="O70" s="36" t="s">
        <v>201</v>
      </c>
      <c r="P70" s="63" t="s">
        <v>46</v>
      </c>
      <c r="Q70" s="4">
        <v>46286</v>
      </c>
      <c r="R70" s="36"/>
      <c r="S70" s="36"/>
      <c r="T70" s="69" t="s">
        <v>227</v>
      </c>
      <c r="U70" s="33"/>
      <c r="V70" s="59">
        <v>46290</v>
      </c>
      <c r="W70" s="36"/>
      <c r="X70" s="36"/>
      <c r="Y70" s="36"/>
      <c r="Z70" s="36"/>
      <c r="AA70" s="52">
        <v>46295</v>
      </c>
      <c r="AB70" s="36"/>
      <c r="AC70" s="36"/>
      <c r="AD70" s="33" t="s">
        <v>196</v>
      </c>
      <c r="AE70" s="33" t="s">
        <v>72</v>
      </c>
      <c r="AF70" s="38"/>
      <c r="AG70" s="36"/>
      <c r="AH70" s="39"/>
      <c r="AI70" s="33"/>
      <c r="AJ70" s="40" t="s">
        <v>53</v>
      </c>
      <c r="AK70" s="73" t="str">
        <f>IF($B70="","",IF(AND(LEFT($AJ70,3)="Yes",SUMPRODUCT(('Rework Log'!$A$3:$A$499=$B70)*('Rework Log'!$G$3:$G$499&lt;&gt;"Yes")*('Rework Log'!$G$3:$G$499&lt;&gt;"Did not pass re-test"))=0),"Blocked - log it on Rework Log",IF(AND(LEFT($AJ70,3)&lt;&gt;"Yes",SUMPRODUCT(('Rework Log'!$A$3:$A$499=$B70)*('Rework Log'!$G$3:$G$499&lt;&gt;"Yes")*('Rework Log'!$G$3:$G$499&lt;&gt;"Did not pass re-test"))&gt;0),"Open rework row - mark Blocked? or close it",IF(AND($AJ70="Yes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H)",IF(AND($AJ70="Yes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H)",IF(AND($AJ70="Yes – needs QA to fix",Y70&lt;&gt;"",SUMPRODUCT(MAX((('Rework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target",IF(AND(AA70&lt;&gt;"",V70&lt;&gt;"",AA70&lt;V70),"DPO Approval target is before QA target",IF(AND(AG70&lt;&gt;"",AA70&lt;&gt;"",AG70&lt;AA70),"Confirmed Deployed date is before DPO Approval target",""))))))))))))</f>
        <v/>
      </c>
      <c r="AL70" s="41"/>
      <c r="AM70" s="32" t="str" cm="1">
        <f t="array" ref="AM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0" s="32" t="str" cm="1">
        <f t="array" ref="AN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40">
      <c r="A71" s="33" t="s">
        <v>127</v>
      </c>
      <c r="B71" s="33" t="s">
        <v>234</v>
      </c>
      <c r="C71" s="33" t="s">
        <v>208</v>
      </c>
      <c r="D71" t="str" cm="1">
        <f t="array" aca="1" ref="D71" ca="1">IF($B71="","",IF(LEFT($AJ71,3)="Yes","Blocked - "&amp;MID($AJ71,7,100)&amp;IF(SUMPRODUCT(('Rework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track")),IF(C71="QA",_xlfn.LET(_xlpm.tgt,IF(AM71&lt;&gt;"",AM71,IF(W71&lt;&gt;"",W71,V71)),_xlpm.sent,_xlfn.MAXIFS('Rework Log'!$B$3:$B$499,'Rework Log'!$A$3:$A$499,$B71,'Rework Log'!$C$3:$C$499,"QA"),_xlpm.act,IF(AND(Y71&lt;&gt;"",Y71&gt;_xlpm.sent),Y71,""),IF(_xlpm.tgt="","No target set",IF(AND(_xlpm.tgt&lt;TODAY(),_xlpm.act=""),"Overdue","On track"))),IF(C71="DPO Approval",_xlfn.LET(_xlpm.tgt,IF(AN71&lt;&gt;"",AN71,IF(AB71&lt;&gt;"",AB71,AA71)),_xlpm.sent,_xlfn.MAXIFS('Rework Log'!$B$3:$B$499,'Rework Log'!$A$3:$A$499,$B71,'Rework Log'!$C$3:$C$499,"DPO*"),_xlpm.act,IF(AND(AC71&lt;&gt;"",AC71&gt;_xlpm.sent),AC71,""),IF(_xlpm.tgt="","No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148</v>
      </c>
      <c r="G71" s="33"/>
      <c r="H71" s="50">
        <v>46295</v>
      </c>
      <c r="I71" s="55" t="s">
        <v>200</v>
      </c>
      <c r="J71" s="33" t="s">
        <v>44</v>
      </c>
      <c r="K71" s="4">
        <v>46276</v>
      </c>
      <c r="L71" s="36">
        <v>46259</v>
      </c>
      <c r="M71" s="36">
        <v>46259</v>
      </c>
      <c r="N71" s="36"/>
      <c r="O71" s="36" t="s">
        <v>201</v>
      </c>
      <c r="P71" s="63" t="s">
        <v>60</v>
      </c>
      <c r="Q71" s="4">
        <v>46286</v>
      </c>
      <c r="R71" s="36"/>
      <c r="S71" s="36"/>
      <c r="T71" s="69" t="s">
        <v>227</v>
      </c>
      <c r="U71" s="33"/>
      <c r="V71" s="59">
        <v>46290</v>
      </c>
      <c r="W71" s="36"/>
      <c r="X71" s="36"/>
      <c r="Y71" s="36"/>
      <c r="Z71" s="36"/>
      <c r="AA71" s="52">
        <v>46295</v>
      </c>
      <c r="AB71" s="36"/>
      <c r="AC71" s="36"/>
      <c r="AD71" s="33" t="s">
        <v>235</v>
      </c>
      <c r="AE71" s="33" t="s">
        <v>94</v>
      </c>
      <c r="AF71" s="38"/>
      <c r="AG71" s="36"/>
      <c r="AH71" s="39"/>
      <c r="AI71" s="33"/>
      <c r="AJ71" s="40" t="s">
        <v>53</v>
      </c>
      <c r="AK71" s="73" t="str">
        <f>IF($B71="","",IF(AND(LEFT($AJ71,3)="Yes",SUMPRODUCT(('Rework Log'!$A$3:$A$499=$B71)*('Rework Log'!$G$3:$G$499&lt;&gt;"Yes")*('Rework Log'!$G$3:$G$499&lt;&gt;"Did not pass re-test"))=0),"Blocked - log it on Rework Log",IF(AND(LEFT($AJ71,3)&lt;&gt;"Yes",SUMPRODUCT(('Rework Log'!$A$3:$A$499=$B71)*('Rework Log'!$G$3:$G$499&lt;&gt;"Yes")*('Rework Log'!$G$3:$G$499&lt;&gt;"Did not pass re-test"))&gt;0),"Open rework row - mark Blocked? or close it",IF(AND($AJ71="Yes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H)",IF(AND($AJ71="Yes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H)",IF(AND($AJ71="Yes – needs QA to fix",Y71&lt;&gt;"",SUMPRODUCT(MAX((('Rework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target",IF(AND(AA71&lt;&gt;"",V71&lt;&gt;"",AA71&lt;V71),"DPO Approval target is before QA target",IF(AND(AG71&lt;&gt;"",AA71&lt;&gt;"",AG71&lt;AA71),"Confirmed Deployed date is before DPO Approval target",""))))))))))))</f>
        <v/>
      </c>
      <c r="AL71" s="41"/>
      <c r="AM71" s="32" t="str" cm="1">
        <f t="array" ref="AM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1" s="32" t="str" cm="1">
        <f t="array" ref="AN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40">
      <c r="A72" s="33" t="s">
        <v>127</v>
      </c>
      <c r="B72" s="33" t="s">
        <v>236</v>
      </c>
      <c r="C72" s="33" t="s">
        <v>151</v>
      </c>
      <c r="D72" t="str" cm="1">
        <f t="array" aca="1" ref="D72" ca="1">IF($B72="","",IF(LEFT($AJ72,3)="Yes","Blocked - "&amp;MID($AJ72,7,100)&amp;IF(SUMPRODUCT(('Rework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track")),IF(C72="QA",_xlfn.LET(_xlpm.tgt,IF(AM72&lt;&gt;"",AM72,IF(W72&lt;&gt;"",W72,V72)),_xlpm.sent,_xlfn.MAXIFS('Rework Log'!$B$3:$B$499,'Rework Log'!$A$3:$A$499,$B72,'Rework Log'!$C$3:$C$499,"QA"),_xlpm.act,IF(AND(Y72&lt;&gt;"",Y72&gt;_xlpm.sent),Y72,""),IF(_xlpm.tgt="","No target set",IF(AND(_xlpm.tgt&lt;TODAY(),_xlpm.act=""),"Overdue","On track"))),IF(C72="DPO Approval",_xlfn.LET(_xlpm.tgt,IF(AN72&lt;&gt;"",AN72,IF(AB72&lt;&gt;"",AB72,AA72)),_xlpm.sent,_xlfn.MAXIFS('Rework Log'!$B$3:$B$499,'Rework Log'!$A$3:$A$499,$B72,'Rework Log'!$C$3:$C$499,"DPO*"),_xlpm.act,IF(AND(AC72&lt;&gt;"",AC72&gt;_xlpm.sent),AC72,""),IF(_xlpm.tgt="","No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130</v>
      </c>
      <c r="G72" s="33"/>
      <c r="H72" s="50">
        <v>46295</v>
      </c>
      <c r="I72" s="55" t="s">
        <v>200</v>
      </c>
      <c r="J72" s="33" t="s">
        <v>76</v>
      </c>
      <c r="K72" s="4">
        <v>46276</v>
      </c>
      <c r="L72" s="36">
        <v>46258</v>
      </c>
      <c r="M72" s="36">
        <v>46258</v>
      </c>
      <c r="N72" s="36" t="s">
        <v>45</v>
      </c>
      <c r="O72" s="36" t="s">
        <v>201</v>
      </c>
      <c r="P72" s="63" t="s">
        <v>77</v>
      </c>
      <c r="Q72" s="4">
        <v>46286</v>
      </c>
      <c r="R72" s="36"/>
      <c r="S72" s="36"/>
      <c r="T72" s="69" t="s">
        <v>227</v>
      </c>
      <c r="U72" s="33"/>
      <c r="V72" s="59">
        <v>46290</v>
      </c>
      <c r="W72" s="36"/>
      <c r="X72" s="36"/>
      <c r="Y72" s="36"/>
      <c r="Z72" s="36"/>
      <c r="AA72" s="52">
        <v>46295</v>
      </c>
      <c r="AB72" s="36"/>
      <c r="AC72" s="36"/>
      <c r="AD72" s="33" t="s">
        <v>178</v>
      </c>
      <c r="AE72" s="33" t="s">
        <v>49</v>
      </c>
      <c r="AF72" s="38"/>
      <c r="AG72" s="36"/>
      <c r="AH72" s="39"/>
      <c r="AI72" s="33"/>
      <c r="AJ72" s="40" t="s">
        <v>53</v>
      </c>
      <c r="AK72" s="73" t="str">
        <f>IF($B72="","",IF(AND(LEFT($AJ72,3)="Yes",SUMPRODUCT(('Rework Log'!$A$3:$A$499=$B72)*('Rework Log'!$G$3:$G$499&lt;&gt;"Yes")*('Rework Log'!$G$3:$G$499&lt;&gt;"Did not pass re-test"))=0),"Blocked - log it on Rework Log",IF(AND(LEFT($AJ72,3)&lt;&gt;"Yes",SUMPRODUCT(('Rework Log'!$A$3:$A$499=$B72)*('Rework Log'!$G$3:$G$499&lt;&gt;"Yes")*('Rework Log'!$G$3:$G$499&lt;&gt;"Did not pass re-test"))&gt;0),"Open rework row - mark Blocked? or close it",IF(AND($AJ72="Yes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H)",IF(AND($AJ72="Yes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H)",IF(AND($AJ72="Yes – needs QA to fix",Y72&lt;&gt;"",SUMPRODUCT(MAX((('Rework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target",IF(AND(AA72&lt;&gt;"",V72&lt;&gt;"",AA72&lt;V72),"DPO Approval target is before QA target",IF(AND(AG72&lt;&gt;"",AA72&lt;&gt;"",AG72&lt;AA72),"Confirmed Deployed date is before DPO Approval target",""))))))))))))</f>
        <v/>
      </c>
      <c r="AL72" s="41"/>
      <c r="AM72" s="32" t="str" cm="1">
        <f t="array" ref="AM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2" s="32" t="str" cm="1">
        <f t="array" ref="AN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40" ht="14.45" hidden="1">
      <c r="A73" s="78" t="s">
        <v>127</v>
      </c>
      <c r="B73" s="31" t="s">
        <v>237</v>
      </c>
      <c r="C73" s="31" t="s">
        <v>151</v>
      </c>
      <c r="D73" t="str" cm="1">
        <f t="array" aca="1" ref="D73" ca="1">IF($B73="","",IF(LEFT($AJ73,3)="Yes","Blocked - "&amp;MID($AJ73,7,100)&amp;IF(SUMPRODUCT(('Rework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track")),IF(C73="QA",_xlfn.LET(_xlpm.tgt,IF(AM73&lt;&gt;"",AM73,IF(W73&lt;&gt;"",W73,V73)),_xlpm.sent,_xlfn.MAXIFS('Rework Log'!$B$3:$B$499,'Rework Log'!$A$3:$A$499,$B73,'Rework Log'!$C$3:$C$499,"QA"),_xlpm.act,IF(AND(Y73&lt;&gt;"",Y73&gt;_xlpm.sent),Y73,""),IF(_xlpm.tgt="","No target set",IF(AND(_xlpm.tgt&lt;TODAY(),_xlpm.act=""),"Overdue","On track"))),IF(C73="DPO Approval",_xlfn.LET(_xlpm.tgt,IF(AN73&lt;&gt;"",AN73,IF(AB73&lt;&gt;"",AB73,AA73)),_xlpm.sent,_xlfn.MAXIFS('Rework Log'!$B$3:$B$499,'Rework Log'!$A$3:$A$499,$B73,'Rework Log'!$C$3:$C$499,"DPO*"),_xlpm.act,IF(AND(AC73&lt;&gt;"",AC73&gt;_xlpm.sent),AC73,""),IF(_xlpm.tgt="","No target set",IF(AND(_xlpm.tgt&lt;TODAY(),_xlpm.act=""),"Overdue","On track"))),IF(C73="RELEASED IN PROD","Delivered",""))))))))</f>
        <v>On track</v>
      </c>
      <c r="E73" s="31">
        <v>49</v>
      </c>
      <c r="F73" s="31"/>
      <c r="G73" s="31"/>
      <c r="H73" s="50">
        <v>46325</v>
      </c>
      <c r="I73" s="56" t="s">
        <v>238</v>
      </c>
      <c r="J73" s="31" t="s">
        <v>76</v>
      </c>
      <c r="K73" s="43">
        <v>46304</v>
      </c>
      <c r="L73" s="43">
        <v>46259</v>
      </c>
      <c r="M73" s="47">
        <v>46259</v>
      </c>
      <c r="N73" s="44" t="s">
        <v>45</v>
      </c>
      <c r="O73" s="44" t="s">
        <v>201</v>
      </c>
      <c r="P73" s="66"/>
      <c r="Q73" s="43">
        <v>46313</v>
      </c>
      <c r="R73" s="43"/>
      <c r="S73" s="44"/>
      <c r="T73" s="70" t="s">
        <v>239</v>
      </c>
      <c r="U73" s="31"/>
      <c r="V73" s="28">
        <v>46316</v>
      </c>
      <c r="W73" s="43"/>
      <c r="X73" s="31"/>
      <c r="Y73" s="31"/>
      <c r="Z73" s="31"/>
      <c r="AA73" s="28">
        <v>46325</v>
      </c>
      <c r="AB73" s="43"/>
      <c r="AC73" s="43"/>
      <c r="AD73" s="31" t="s">
        <v>203</v>
      </c>
      <c r="AE73" s="31" t="s">
        <v>72</v>
      </c>
      <c r="AF73" s="31"/>
      <c r="AG73" s="31"/>
      <c r="AH73" s="31"/>
      <c r="AI73" s="31"/>
      <c r="AJ73" s="31"/>
      <c r="AK73" s="31"/>
      <c r="AL73" s="31"/>
      <c r="AM73" s="32" t="str" cm="1">
        <f t="array" ref="AM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3" s="32" t="str" cm="1">
        <f t="array" ref="AN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40" ht="14.45" hidden="1">
      <c r="A74" s="31" t="s">
        <v>127</v>
      </c>
      <c r="B74" s="31" t="s">
        <v>240</v>
      </c>
      <c r="C74" s="31" t="s">
        <v>208</v>
      </c>
      <c r="D74" t="str" cm="1">
        <f t="array" aca="1" ref="D74" ca="1">IF($B74="","",IF(LEFT($AJ74,3)="Yes","Blocked - "&amp;MID($AJ74,7,100)&amp;IF(SUMPRODUCT(('Rework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track")),IF(C74="QA",_xlfn.LET(_xlpm.tgt,IF(AM74&lt;&gt;"",AM74,IF(W74&lt;&gt;"",W74,V74)),_xlpm.sent,_xlfn.MAXIFS('Rework Log'!$B$3:$B$499,'Rework Log'!$A$3:$A$499,$B74,'Rework Log'!$C$3:$C$499,"QA"),_xlpm.act,IF(AND(Y74&lt;&gt;"",Y74&gt;_xlpm.sent),Y74,""),IF(_xlpm.tgt="","No target set",IF(AND(_xlpm.tgt&lt;TODAY(),_xlpm.act=""),"Overdue","On track"))),IF(C74="DPO Approval",_xlfn.LET(_xlpm.tgt,IF(AN74&lt;&gt;"",AN74,IF(AB74&lt;&gt;"",AB74,AA74)),_xlpm.sent,_xlfn.MAXIFS('Rework Log'!$B$3:$B$499,'Rework Log'!$A$3:$A$499,$B74,'Rework Log'!$C$3:$C$499,"DPO*"),_xlpm.act,IF(AND(AC74&lt;&gt;"",AC74&gt;_xlpm.sent),AC74,""),IF(_xlpm.tgt="","No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6" t="s">
        <v>238</v>
      </c>
      <c r="J74" s="54" t="s">
        <v>226</v>
      </c>
      <c r="K74" s="43">
        <v>46304</v>
      </c>
      <c r="L74" s="43"/>
      <c r="M74" s="44"/>
      <c r="N74" s="44"/>
      <c r="O74" s="44" t="s">
        <v>201</v>
      </c>
      <c r="P74" s="75"/>
      <c r="Q74" s="43">
        <v>46313</v>
      </c>
      <c r="R74" s="43"/>
      <c r="S74" s="44"/>
      <c r="T74" s="70" t="s">
        <v>239</v>
      </c>
      <c r="U74" s="47"/>
      <c r="V74" s="28">
        <v>46316</v>
      </c>
      <c r="W74" s="43"/>
      <c r="X74" s="31"/>
      <c r="Y74" s="31"/>
      <c r="Z74" s="36"/>
      <c r="AA74" s="28">
        <v>46325</v>
      </c>
      <c r="AB74" s="43"/>
      <c r="AC74" s="43"/>
      <c r="AD74" s="31" t="s">
        <v>178</v>
      </c>
      <c r="AE74" s="31" t="s">
        <v>94</v>
      </c>
      <c r="AF74" s="31"/>
      <c r="AG74" s="31"/>
      <c r="AH74" s="31"/>
      <c r="AI74" s="31"/>
      <c r="AJ74" s="31"/>
      <c r="AK74" s="31"/>
      <c r="AL74" s="31"/>
      <c r="AM74" s="32" t="str" cm="1">
        <f t="array" ref="AM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4" s="32" t="str" cm="1">
        <f t="array" ref="AN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40" ht="14.45" hidden="1">
      <c r="A75" s="31" t="s">
        <v>127</v>
      </c>
      <c r="B75" s="31" t="s">
        <v>241</v>
      </c>
      <c r="C75" s="31" t="s">
        <v>208</v>
      </c>
      <c r="D75" t="str" cm="1">
        <f t="array" aca="1" ref="D75" ca="1">IF($B75="","",IF(LEFT($AJ75,3)="Yes","Blocked - "&amp;MID($AJ75,7,100)&amp;IF(SUMPRODUCT(('Rework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track")),IF(C75="QA",_xlfn.LET(_xlpm.tgt,IF(AM75&lt;&gt;"",AM75,IF(W75&lt;&gt;"",W75,V75)),_xlpm.sent,_xlfn.MAXIFS('Rework Log'!$B$3:$B$499,'Rework Log'!$A$3:$A$499,$B75,'Rework Log'!$C$3:$C$499,"QA"),_xlpm.act,IF(AND(Y75&lt;&gt;"",Y75&gt;_xlpm.sent),Y75,""),IF(_xlpm.tgt="","No target set",IF(AND(_xlpm.tgt&lt;TODAY(),_xlpm.act=""),"Overdue","On track"))),IF(C75="DPO Approval",_xlfn.LET(_xlpm.tgt,IF(AN75&lt;&gt;"",AN75,IF(AB75&lt;&gt;"",AB75,AA75)),_xlpm.sent,_xlfn.MAXIFS('Rework Log'!$B$3:$B$499,'Rework Log'!$A$3:$A$499,$B75,'Rework Log'!$C$3:$C$499,"DPO*"),_xlpm.act,IF(AND(AC75&lt;&gt;"",AC75&gt;_xlpm.sent),AC75,""),IF(_xlpm.tgt="","No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6" t="s">
        <v>238</v>
      </c>
      <c r="J75" s="54" t="s">
        <v>59</v>
      </c>
      <c r="K75" s="43">
        <v>46304</v>
      </c>
      <c r="L75" s="43"/>
      <c r="M75" s="44"/>
      <c r="N75" s="44"/>
      <c r="O75" s="44" t="s">
        <v>201</v>
      </c>
      <c r="P75" s="75"/>
      <c r="Q75" s="43">
        <v>46313</v>
      </c>
      <c r="R75" s="43"/>
      <c r="S75" s="44"/>
      <c r="T75" s="70" t="s">
        <v>239</v>
      </c>
      <c r="U75" s="47"/>
      <c r="V75" s="28">
        <v>46316</v>
      </c>
      <c r="W75" s="43"/>
      <c r="X75" s="31"/>
      <c r="Y75" s="31"/>
      <c r="Z75" s="36"/>
      <c r="AA75" s="28">
        <v>46325</v>
      </c>
      <c r="AB75" s="43"/>
      <c r="AC75" s="43"/>
      <c r="AD75" s="31" t="s">
        <v>242</v>
      </c>
      <c r="AE75" s="31" t="s">
        <v>94</v>
      </c>
      <c r="AF75" s="31"/>
      <c r="AG75" s="31"/>
      <c r="AH75" s="31"/>
      <c r="AI75" s="31"/>
      <c r="AJ75" s="31"/>
      <c r="AK75" s="31"/>
      <c r="AL75" s="31"/>
      <c r="AM75" s="32" t="str" cm="1">
        <f t="array" ref="AM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5" s="32" t="str" cm="1">
        <f t="array" ref="AN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40" ht="14.45" hidden="1">
      <c r="A76" s="31" t="s">
        <v>127</v>
      </c>
      <c r="B76" s="31" t="s">
        <v>243</v>
      </c>
      <c r="C76" s="31" t="s">
        <v>208</v>
      </c>
      <c r="D76" t="str" cm="1">
        <f t="array" aca="1" ref="D76" ca="1">IF($B76="","",IF(LEFT($AJ76,3)="Yes","Blocked - "&amp;MID($AJ76,7,100)&amp;IF(SUMPRODUCT(('Rework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track")),IF(C76="QA",_xlfn.LET(_xlpm.tgt,IF(AM76&lt;&gt;"",AM76,IF(W76&lt;&gt;"",W76,V76)),_xlpm.sent,_xlfn.MAXIFS('Rework Log'!$B$3:$B$499,'Rework Log'!$A$3:$A$499,$B76,'Rework Log'!$C$3:$C$499,"QA"),_xlpm.act,IF(AND(Y76&lt;&gt;"",Y76&gt;_xlpm.sent),Y76,""),IF(_xlpm.tgt="","No target set",IF(AND(_xlpm.tgt&lt;TODAY(),_xlpm.act=""),"Overdue","On track"))),IF(C76="DPO Approval",_xlfn.LET(_xlpm.tgt,IF(AN76&lt;&gt;"",AN76,IF(AB76&lt;&gt;"",AB76,AA76)),_xlpm.sent,_xlfn.MAXIFS('Rework Log'!$B$3:$B$499,'Rework Log'!$A$3:$A$499,$B76,'Rework Log'!$C$3:$C$499,"DPO*"),_xlpm.act,IF(AND(AC76&lt;&gt;"",AC76&gt;_xlpm.sent),AC76,""),IF(_xlpm.tgt="","No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6" t="s">
        <v>238</v>
      </c>
      <c r="J76" s="54" t="s">
        <v>59</v>
      </c>
      <c r="K76" s="43">
        <v>46304</v>
      </c>
      <c r="L76" s="43"/>
      <c r="M76" s="44"/>
      <c r="N76" s="44"/>
      <c r="O76" s="44" t="s">
        <v>201</v>
      </c>
      <c r="P76" s="75"/>
      <c r="Q76" s="43">
        <v>46313</v>
      </c>
      <c r="R76" s="43"/>
      <c r="S76" s="44"/>
      <c r="T76" s="70" t="s">
        <v>239</v>
      </c>
      <c r="U76" s="47"/>
      <c r="V76" s="28">
        <v>46316</v>
      </c>
      <c r="W76" s="43"/>
      <c r="X76" s="31"/>
      <c r="Y76" s="31"/>
      <c r="Z76" s="36"/>
      <c r="AA76" s="28">
        <v>46325</v>
      </c>
      <c r="AB76" s="43"/>
      <c r="AC76" s="43"/>
      <c r="AD76" s="31" t="s">
        <v>242</v>
      </c>
      <c r="AE76" s="31" t="s">
        <v>94</v>
      </c>
      <c r="AF76" s="31"/>
      <c r="AG76" s="31"/>
      <c r="AH76" s="31"/>
      <c r="AI76" s="31"/>
      <c r="AJ76" s="31"/>
      <c r="AK76" s="31"/>
      <c r="AL76" s="31"/>
      <c r="AM76" s="32" t="str" cm="1">
        <f t="array" ref="AM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6" s="32" t="str" cm="1">
        <f t="array" ref="AN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40" ht="14.45" hidden="1">
      <c r="A77" s="31" t="s">
        <v>127</v>
      </c>
      <c r="B77" s="31" t="s">
        <v>244</v>
      </c>
      <c r="C77" s="31" t="s">
        <v>208</v>
      </c>
      <c r="D77" t="str" cm="1">
        <f t="array" aca="1" ref="D77" ca="1">IF($B77="","",IF(LEFT($AJ77,3)="Yes","Blocked - "&amp;MID($AJ77,7,100)&amp;IF(SUMPRODUCT(('Rework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track")),IF(C77="QA",_xlfn.LET(_xlpm.tgt,IF(AM77&lt;&gt;"",AM77,IF(W77&lt;&gt;"",W77,V77)),_xlpm.sent,_xlfn.MAXIFS('Rework Log'!$B$3:$B$499,'Rework Log'!$A$3:$A$499,$B77,'Rework Log'!$C$3:$C$499,"QA"),_xlpm.act,IF(AND(Y77&lt;&gt;"",Y77&gt;_xlpm.sent),Y77,""),IF(_xlpm.tgt="","No target set",IF(AND(_xlpm.tgt&lt;TODAY(),_xlpm.act=""),"Overdue","On track"))),IF(C77="DPO Approval",_xlfn.LET(_xlpm.tgt,IF(AN77&lt;&gt;"",AN77,IF(AB77&lt;&gt;"",AB77,AA77)),_xlpm.sent,_xlfn.MAXIFS('Rework Log'!$B$3:$B$499,'Rework Log'!$A$3:$A$499,$B77,'Rework Log'!$C$3:$C$499,"DPO*"),_xlpm.act,IF(AND(AC77&lt;&gt;"",AC77&gt;_xlpm.sent),AC77,""),IF(_xlpm.tgt="","No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6" t="s">
        <v>238</v>
      </c>
      <c r="J77" s="54" t="s">
        <v>162</v>
      </c>
      <c r="K77" s="43">
        <v>46304</v>
      </c>
      <c r="L77" s="43"/>
      <c r="M77" s="44"/>
      <c r="N77" s="44"/>
      <c r="O77" s="44" t="s">
        <v>201</v>
      </c>
      <c r="P77" s="75"/>
      <c r="Q77" s="43">
        <v>46313</v>
      </c>
      <c r="R77" s="43"/>
      <c r="S77" s="44"/>
      <c r="T77" s="70" t="s">
        <v>239</v>
      </c>
      <c r="U77" s="47"/>
      <c r="V77" s="28">
        <v>46316</v>
      </c>
      <c r="W77" s="43"/>
      <c r="X77" s="31"/>
      <c r="Y77" s="31"/>
      <c r="Z77" s="36"/>
      <c r="AA77" s="28">
        <v>46325</v>
      </c>
      <c r="AB77" s="43"/>
      <c r="AC77" s="43"/>
      <c r="AD77" s="31" t="s">
        <v>242</v>
      </c>
      <c r="AE77" s="31" t="s">
        <v>94</v>
      </c>
      <c r="AF77" s="31"/>
      <c r="AG77" s="31"/>
      <c r="AH77" s="31"/>
      <c r="AI77" s="31"/>
      <c r="AJ77" s="31"/>
      <c r="AK77" s="31"/>
      <c r="AL77" s="31"/>
      <c r="AM77" s="32" t="str" cm="1">
        <f t="array" ref="AM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7" s="32" t="str" cm="1">
        <f t="array" ref="AN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40" ht="14.45" hidden="1">
      <c r="A78" s="31" t="s">
        <v>127</v>
      </c>
      <c r="B78" s="31" t="s">
        <v>245</v>
      </c>
      <c r="C78" s="31" t="s">
        <v>208</v>
      </c>
      <c r="D78" t="str" cm="1">
        <f t="array" aca="1" ref="D78" ca="1">IF($B78="","",IF(LEFT($AJ78,3)="Yes","Blocked - "&amp;MID($AJ78,7,100)&amp;IF(SUMPRODUCT(('Rework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track")),IF(C78="QA",_xlfn.LET(_xlpm.tgt,IF(AM78&lt;&gt;"",AM78,IF(W78&lt;&gt;"",W78,V78)),_xlpm.sent,_xlfn.MAXIFS('Rework Log'!$B$3:$B$499,'Rework Log'!$A$3:$A$499,$B78,'Rework Log'!$C$3:$C$499,"QA"),_xlpm.act,IF(AND(Y78&lt;&gt;"",Y78&gt;_xlpm.sent),Y78,""),IF(_xlpm.tgt="","No target set",IF(AND(_xlpm.tgt&lt;TODAY(),_xlpm.act=""),"Overdue","On track"))),IF(C78="DPO Approval",_xlfn.LET(_xlpm.tgt,IF(AN78&lt;&gt;"",AN78,IF(AB78&lt;&gt;"",AB78,AA78)),_xlpm.sent,_xlfn.MAXIFS('Rework Log'!$B$3:$B$499,'Rework Log'!$A$3:$A$499,$B78,'Rework Log'!$C$3:$C$499,"DPO*"),_xlpm.act,IF(AND(AC78&lt;&gt;"",AC78&gt;_xlpm.sent),AC78,""),IF(_xlpm.tgt="","No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6" t="s">
        <v>238</v>
      </c>
      <c r="J78" s="54" t="s">
        <v>44</v>
      </c>
      <c r="K78" s="43">
        <v>46304</v>
      </c>
      <c r="L78" s="43"/>
      <c r="M78" s="44"/>
      <c r="N78" s="44"/>
      <c r="O78" s="44" t="s">
        <v>246</v>
      </c>
      <c r="P78" s="75"/>
      <c r="Q78" s="43">
        <v>46313</v>
      </c>
      <c r="R78" s="43"/>
      <c r="S78" s="44"/>
      <c r="T78" s="70" t="s">
        <v>239</v>
      </c>
      <c r="U78" s="47"/>
      <c r="V78" s="28">
        <v>46316</v>
      </c>
      <c r="W78" s="43"/>
      <c r="X78" s="31"/>
      <c r="Y78" s="31"/>
      <c r="Z78" s="36"/>
      <c r="AA78" s="28">
        <v>46325</v>
      </c>
      <c r="AB78" s="43"/>
      <c r="AC78" s="43"/>
      <c r="AD78" s="31" t="s">
        <v>193</v>
      </c>
      <c r="AE78" s="31" t="s">
        <v>94</v>
      </c>
      <c r="AF78" s="31"/>
      <c r="AG78" s="31"/>
      <c r="AH78" s="31"/>
      <c r="AI78" s="31"/>
      <c r="AJ78" s="31"/>
      <c r="AK78" s="31"/>
      <c r="AL78" s="31"/>
      <c r="AM78" s="32" t="str" cm="1">
        <f t="array" ref="AM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8" s="32" t="str" cm="1">
        <f t="array" ref="AN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40" ht="14.45" hidden="1">
      <c r="A79" s="31" t="s">
        <v>127</v>
      </c>
      <c r="B79" s="31" t="s">
        <v>247</v>
      </c>
      <c r="C79" s="31" t="s">
        <v>151</v>
      </c>
      <c r="D79" t="str" cm="1">
        <f t="array" aca="1" ref="D79" ca="1">IF($B79="","",IF(LEFT($AJ79,3)="Yes","Blocked - "&amp;MID($AJ79,7,100)&amp;IF(SUMPRODUCT(('Rework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track")),IF(C79="QA",_xlfn.LET(_xlpm.tgt,IF(AM79&lt;&gt;"",AM79,IF(W79&lt;&gt;"",W79,V79)),_xlpm.sent,_xlfn.MAXIFS('Rework Log'!$B$3:$B$499,'Rework Log'!$A$3:$A$499,$B79,'Rework Log'!$C$3:$C$499,"QA"),_xlpm.act,IF(AND(Y79&lt;&gt;"",Y79&gt;_xlpm.sent),Y79,""),IF(_xlpm.tgt="","No target set",IF(AND(_xlpm.tgt&lt;TODAY(),_xlpm.act=""),"Overdue","On track"))),IF(C79="DPO Approval",_xlfn.LET(_xlpm.tgt,IF(AN79&lt;&gt;"",AN79,IF(AB79&lt;&gt;"",AB79,AA79)),_xlpm.sent,_xlfn.MAXIFS('Rework Log'!$B$3:$B$499,'Rework Log'!$A$3:$A$499,$B79,'Rework Log'!$C$3:$C$499,"DPO*"),_xlpm.act,IF(AND(AC79&lt;&gt;"",AC79&gt;_xlpm.sent),AC79,""),IF(_xlpm.tgt="","No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46326</v>
      </c>
      <c r="I79" s="56" t="s">
        <v>238</v>
      </c>
      <c r="J79" s="54" t="s">
        <v>76</v>
      </c>
      <c r="K79" s="43">
        <v>46304</v>
      </c>
      <c r="L79" s="43">
        <v>46266</v>
      </c>
      <c r="M79" s="47">
        <v>46266</v>
      </c>
      <c r="N79" s="44" t="s">
        <v>248</v>
      </c>
      <c r="O79" s="44" t="s">
        <v>201</v>
      </c>
      <c r="P79" s="75"/>
      <c r="Q79" s="43">
        <v>46313</v>
      </c>
      <c r="R79" s="43"/>
      <c r="S79" s="44"/>
      <c r="T79" s="70" t="s">
        <v>239</v>
      </c>
      <c r="U79" s="47"/>
      <c r="V79" s="28">
        <v>46316</v>
      </c>
      <c r="W79" s="43"/>
      <c r="X79" s="31"/>
      <c r="Y79" s="31"/>
      <c r="Z79" s="36"/>
      <c r="AA79" s="28">
        <v>46325</v>
      </c>
      <c r="AB79" s="43"/>
      <c r="AC79" s="43"/>
      <c r="AD79" s="31" t="s">
        <v>249</v>
      </c>
      <c r="AE79" s="31" t="s">
        <v>94</v>
      </c>
      <c r="AF79" s="31"/>
      <c r="AG79" s="31"/>
      <c r="AH79" s="31"/>
      <c r="AI79" s="31"/>
      <c r="AJ79" s="31"/>
      <c r="AK79" s="31"/>
      <c r="AL79" s="31"/>
      <c r="AM79" s="32" t="str" cm="1">
        <f t="array" ref="AM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9" s="32" t="str" cm="1">
        <f t="array" ref="AN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40" ht="14.45" hidden="1">
      <c r="A80" s="31" t="s">
        <v>127</v>
      </c>
      <c r="B80" s="31" t="s">
        <v>250</v>
      </c>
      <c r="C80" s="31" t="s">
        <v>208</v>
      </c>
      <c r="D80" t="str" cm="1">
        <f t="array" aca="1" ref="D80" ca="1">IF($B80="","",IF(LEFT($AJ80,3)="Yes","Blocked - "&amp;MID($AJ80,7,100)&amp;IF(SUMPRODUCT(('Rework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track")),IF(C80="QA",_xlfn.LET(_xlpm.tgt,IF(AM80&lt;&gt;"",AM80,IF(W80&lt;&gt;"",W80,V80)),_xlpm.sent,_xlfn.MAXIFS('Rework Log'!$B$3:$B$499,'Rework Log'!$A$3:$A$499,$B80,'Rework Log'!$C$3:$C$499,"QA"),_xlpm.act,IF(AND(Y80&lt;&gt;"",Y80&gt;_xlpm.sent),Y80,""),IF(_xlpm.tgt="","No target set",IF(AND(_xlpm.tgt&lt;TODAY(),_xlpm.act=""),"Overdue","On track"))),IF(C80="DPO Approval",_xlfn.LET(_xlpm.tgt,IF(AN80&lt;&gt;"",AN80,IF(AB80&lt;&gt;"",AB80,AA80)),_xlpm.sent,_xlfn.MAXIFS('Rework Log'!$B$3:$B$499,'Rework Log'!$A$3:$A$499,$B80,'Rework Log'!$C$3:$C$499,"DPO*"),_xlpm.act,IF(AND(AC80&lt;&gt;"",AC80&gt;_xlpm.sent),AC80,""),IF(_xlpm.tgt="","No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6" t="s">
        <v>238</v>
      </c>
      <c r="J80" s="54" t="s">
        <v>251</v>
      </c>
      <c r="K80" s="43">
        <v>46304</v>
      </c>
      <c r="L80" s="43"/>
      <c r="M80" s="44"/>
      <c r="N80" s="44"/>
      <c r="O80" s="44" t="s">
        <v>246</v>
      </c>
      <c r="P80" s="75"/>
      <c r="Q80" s="43">
        <v>46313</v>
      </c>
      <c r="R80" s="43"/>
      <c r="S80" s="44"/>
      <c r="T80" s="70" t="s">
        <v>239</v>
      </c>
      <c r="U80" s="47"/>
      <c r="V80" s="28">
        <v>46316</v>
      </c>
      <c r="W80" s="43"/>
      <c r="X80" s="31"/>
      <c r="Y80" s="31"/>
      <c r="Z80" s="36"/>
      <c r="AA80" s="28">
        <v>46325</v>
      </c>
      <c r="AB80" s="43"/>
      <c r="AC80" s="43"/>
      <c r="AD80" s="31" t="s">
        <v>212</v>
      </c>
      <c r="AE80" s="31" t="s">
        <v>94</v>
      </c>
      <c r="AF80" s="31"/>
      <c r="AG80" s="31"/>
      <c r="AH80" s="31"/>
      <c r="AI80" s="31"/>
      <c r="AJ80" s="31"/>
      <c r="AK80" s="31"/>
      <c r="AL80" s="31"/>
      <c r="AM80" s="32" t="str" cm="1">
        <f t="array" ref="AM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0" s="32" t="str" cm="1">
        <f t="array" ref="AN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40" ht="14.45" hidden="1">
      <c r="A81" s="31" t="s">
        <v>127</v>
      </c>
      <c r="B81" s="31" t="s">
        <v>252</v>
      </c>
      <c r="C81" s="31" t="s">
        <v>208</v>
      </c>
      <c r="D81" t="str" cm="1">
        <f t="array" aca="1" ref="D81" ca="1">IF($B81="","",IF(LEFT($AJ81,3)="Yes","Blocked - "&amp;MID($AJ81,7,100)&amp;IF(SUMPRODUCT(('Rework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track")),IF(C81="QA",_xlfn.LET(_xlpm.tgt,IF(AM81&lt;&gt;"",AM81,IF(W81&lt;&gt;"",W81,V81)),_xlpm.sent,_xlfn.MAXIFS('Rework Log'!$B$3:$B$499,'Rework Log'!$A$3:$A$499,$B81,'Rework Log'!$C$3:$C$499,"QA"),_xlpm.act,IF(AND(Y81&lt;&gt;"",Y81&gt;_xlpm.sent),Y81,""),IF(_xlpm.tgt="","No target set",IF(AND(_xlpm.tgt&lt;TODAY(),_xlpm.act=""),"Overdue","On track"))),IF(C81="DPO Approval",_xlfn.LET(_xlpm.tgt,IF(AN81&lt;&gt;"",AN81,IF(AB81&lt;&gt;"",AB81,AA81)),_xlpm.sent,_xlfn.MAXIFS('Rework Log'!$B$3:$B$499,'Rework Log'!$A$3:$A$499,$B81,'Rework Log'!$C$3:$C$499,"DPO*"),_xlpm.act,IF(AND(AC81&lt;&gt;"",AC81&gt;_xlpm.sent),AC81,""),IF(_xlpm.tgt="","No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6" t="s">
        <v>238</v>
      </c>
      <c r="J81" s="54" t="s">
        <v>251</v>
      </c>
      <c r="K81" s="43">
        <v>46304</v>
      </c>
      <c r="L81" s="43"/>
      <c r="M81" s="44"/>
      <c r="N81" s="44"/>
      <c r="O81" s="44" t="s">
        <v>246</v>
      </c>
      <c r="P81" s="75"/>
      <c r="Q81" s="43">
        <v>46313</v>
      </c>
      <c r="R81" s="43"/>
      <c r="S81" s="44"/>
      <c r="T81" s="69" t="s">
        <v>253</v>
      </c>
      <c r="U81" s="47"/>
      <c r="V81" s="28">
        <v>46316</v>
      </c>
      <c r="W81" s="43"/>
      <c r="X81" s="31"/>
      <c r="Y81" s="31"/>
      <c r="Z81" s="36"/>
      <c r="AA81" s="28">
        <v>46325</v>
      </c>
      <c r="AB81" s="43"/>
      <c r="AC81" s="43"/>
      <c r="AD81" s="31" t="s">
        <v>220</v>
      </c>
      <c r="AE81" s="31" t="s">
        <v>94</v>
      </c>
      <c r="AF81" s="31"/>
      <c r="AG81" s="31"/>
      <c r="AH81" s="31"/>
      <c r="AI81" s="31"/>
      <c r="AJ81" s="31"/>
      <c r="AK81" s="31"/>
      <c r="AL81" s="31"/>
      <c r="AM81" s="32" t="str" cm="1">
        <f t="array" ref="AM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1" s="32" t="str" cm="1">
        <f t="array" ref="AN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40" ht="14.45" hidden="1">
      <c r="A82" s="31" t="s">
        <v>127</v>
      </c>
      <c r="B82" s="31" t="s">
        <v>254</v>
      </c>
      <c r="C82" s="31" t="s">
        <v>208</v>
      </c>
      <c r="D82" t="str" cm="1">
        <f t="array" aca="1" ref="D82" ca="1">IF($B82="","",IF(LEFT($AJ82,3)="Yes","Blocked - "&amp;MID($AJ82,7,100)&amp;IF(SUMPRODUCT(('Rework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track")),IF(C82="QA",_xlfn.LET(_xlpm.tgt,IF(AM82&lt;&gt;"",AM82,IF(W82&lt;&gt;"",W82,V82)),_xlpm.sent,_xlfn.MAXIFS('Rework Log'!$B$3:$B$499,'Rework Log'!$A$3:$A$499,$B82,'Rework Log'!$C$3:$C$499,"QA"),_xlpm.act,IF(AND(Y82&lt;&gt;"",Y82&gt;_xlpm.sent),Y82,""),IF(_xlpm.tgt="","No target set",IF(AND(_xlpm.tgt&lt;TODAY(),_xlpm.act=""),"Overdue","On track"))),IF(C82="DPO Approval",_xlfn.LET(_xlpm.tgt,IF(AN82&lt;&gt;"",AN82,IF(AB82&lt;&gt;"",AB82,AA82)),_xlpm.sent,_xlfn.MAXIFS('Rework Log'!$B$3:$B$499,'Rework Log'!$A$3:$A$499,$B82,'Rework Log'!$C$3:$C$499,"DPO*"),_xlpm.act,IF(AND(AC82&lt;&gt;"",AC82&gt;_xlpm.sent),AC82,""),IF(_xlpm.tgt="","No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6" t="s">
        <v>238</v>
      </c>
      <c r="J82" s="54" t="s">
        <v>162</v>
      </c>
      <c r="K82" s="43">
        <v>46304</v>
      </c>
      <c r="L82" s="43"/>
      <c r="M82" s="44"/>
      <c r="N82" s="44"/>
      <c r="O82" s="44" t="s">
        <v>246</v>
      </c>
      <c r="P82" s="75"/>
      <c r="Q82" s="43">
        <v>46313</v>
      </c>
      <c r="R82" s="43"/>
      <c r="S82" s="44"/>
      <c r="T82" s="69" t="s">
        <v>253</v>
      </c>
      <c r="U82" s="47"/>
      <c r="V82" s="28">
        <v>46316</v>
      </c>
      <c r="W82" s="43"/>
      <c r="X82" s="31"/>
      <c r="Y82" s="31"/>
      <c r="Z82" s="36"/>
      <c r="AA82" s="28">
        <v>46325</v>
      </c>
      <c r="AB82" s="43"/>
      <c r="AC82" s="43"/>
      <c r="AD82" s="31" t="s">
        <v>255</v>
      </c>
      <c r="AE82" s="31" t="s">
        <v>94</v>
      </c>
      <c r="AF82" s="31"/>
      <c r="AG82" s="31"/>
      <c r="AH82" s="31"/>
      <c r="AI82" s="31"/>
      <c r="AJ82" s="31"/>
      <c r="AK82" s="31"/>
      <c r="AL82" s="31"/>
      <c r="AM82" s="32" t="str" cm="1">
        <f t="array" ref="AM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2" s="32" t="str" cm="1">
        <f t="array" ref="AN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40" ht="14.45" hidden="1">
      <c r="A83" s="31" t="s">
        <v>127</v>
      </c>
      <c r="B83" s="31" t="s">
        <v>256</v>
      </c>
      <c r="C83" s="31" t="s">
        <v>208</v>
      </c>
      <c r="D83" t="str" cm="1">
        <f t="array" aca="1" ref="D83" ca="1">IF($B83="","",IF(LEFT($AJ83,3)="Yes","Blocked - "&amp;MID($AJ83,7,100)&amp;IF(SUMPRODUCT(('Rework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track")),IF(C83="QA",_xlfn.LET(_xlpm.tgt,IF(AM83&lt;&gt;"",AM83,IF(W83&lt;&gt;"",W83,V83)),_xlpm.sent,_xlfn.MAXIFS('Rework Log'!$B$3:$B$499,'Rework Log'!$A$3:$A$499,$B83,'Rework Log'!$C$3:$C$499,"QA"),_xlpm.act,IF(AND(Y83&lt;&gt;"",Y83&gt;_xlpm.sent),Y83,""),IF(_xlpm.tgt="","No target set",IF(AND(_xlpm.tgt&lt;TODAY(),_xlpm.act=""),"Overdue","On track"))),IF(C83="DPO Approval",_xlfn.LET(_xlpm.tgt,IF(AN83&lt;&gt;"",AN83,IF(AB83&lt;&gt;"",AB83,AA83)),_xlpm.sent,_xlfn.MAXIFS('Rework Log'!$B$3:$B$499,'Rework Log'!$A$3:$A$499,$B83,'Rework Log'!$C$3:$C$499,"DPO*"),_xlpm.act,IF(AND(AC83&lt;&gt;"",AC83&gt;_xlpm.sent),AC83,""),IF(_xlpm.tgt="","No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6" t="s">
        <v>238</v>
      </c>
      <c r="J83" s="54" t="s">
        <v>76</v>
      </c>
      <c r="K83" s="43">
        <v>46304</v>
      </c>
      <c r="L83" s="43"/>
      <c r="M83" s="44"/>
      <c r="N83" s="44"/>
      <c r="O83" s="44" t="s">
        <v>246</v>
      </c>
      <c r="P83" s="75"/>
      <c r="Q83" s="43">
        <v>46313</v>
      </c>
      <c r="R83" s="43"/>
      <c r="S83" s="44"/>
      <c r="T83" s="69" t="s">
        <v>253</v>
      </c>
      <c r="U83" s="47"/>
      <c r="V83" s="28">
        <v>46316</v>
      </c>
      <c r="W83" s="43"/>
      <c r="X83" s="31"/>
      <c r="Y83" s="31"/>
      <c r="Z83" s="36"/>
      <c r="AA83" s="28">
        <v>46325</v>
      </c>
      <c r="AB83" s="43"/>
      <c r="AC83" s="43"/>
      <c r="AD83" s="31" t="s">
        <v>257</v>
      </c>
      <c r="AE83" s="31" t="s">
        <v>94</v>
      </c>
      <c r="AF83" s="31"/>
      <c r="AG83" s="31"/>
      <c r="AH83" s="31"/>
      <c r="AI83" s="31"/>
      <c r="AJ83" s="31"/>
      <c r="AK83" s="31"/>
      <c r="AL83" s="31"/>
      <c r="AM83" s="32" t="str" cm="1">
        <f t="array" ref="AM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3" s="32" t="str" cm="1">
        <f t="array" ref="AN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40" ht="14.45" hidden="1">
      <c r="A84" s="31" t="s">
        <v>127</v>
      </c>
      <c r="B84" s="31" t="s">
        <v>258</v>
      </c>
      <c r="C84" s="31" t="s">
        <v>208</v>
      </c>
      <c r="D84" t="str" cm="1">
        <f t="array" aca="1" ref="D84" ca="1">IF($B84="","",IF(LEFT($AJ84,3)="Yes","Blocked - "&amp;MID($AJ84,7,100)&amp;IF(SUMPRODUCT(('Rework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track")),IF(C84="QA",_xlfn.LET(_xlpm.tgt,IF(AM84&lt;&gt;"",AM84,IF(W84&lt;&gt;"",W84,V84)),_xlpm.sent,_xlfn.MAXIFS('Rework Log'!$B$3:$B$499,'Rework Log'!$A$3:$A$499,$B84,'Rework Log'!$C$3:$C$499,"QA"),_xlpm.act,IF(AND(Y84&lt;&gt;"",Y84&gt;_xlpm.sent),Y84,""),IF(_xlpm.tgt="","No target set",IF(AND(_xlpm.tgt&lt;TODAY(),_xlpm.act=""),"Overdue","On track"))),IF(C84="DPO Approval",_xlfn.LET(_xlpm.tgt,IF(AN84&lt;&gt;"",AN84,IF(AB84&lt;&gt;"",AB84,AA84)),_xlpm.sent,_xlfn.MAXIFS('Rework Log'!$B$3:$B$499,'Rework Log'!$A$3:$A$499,$B84,'Rework Log'!$C$3:$C$499,"DPO*"),_xlpm.act,IF(AND(AC84&lt;&gt;"",AC84&gt;_xlpm.sent),AC84,""),IF(_xlpm.tgt="","No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6" t="s">
        <v>238</v>
      </c>
      <c r="J84" s="54" t="s">
        <v>76</v>
      </c>
      <c r="K84" s="43">
        <v>46304</v>
      </c>
      <c r="L84" s="43"/>
      <c r="M84" s="44"/>
      <c r="N84" s="44"/>
      <c r="O84" s="44" t="s">
        <v>246</v>
      </c>
      <c r="P84" s="75"/>
      <c r="Q84" s="43">
        <v>46313</v>
      </c>
      <c r="R84" s="43"/>
      <c r="S84" s="44"/>
      <c r="T84" s="69" t="s">
        <v>253</v>
      </c>
      <c r="U84" s="47"/>
      <c r="V84" s="28">
        <v>46316</v>
      </c>
      <c r="W84" s="43"/>
      <c r="X84" s="31"/>
      <c r="Y84" s="31"/>
      <c r="Z84" s="36"/>
      <c r="AA84" s="28">
        <v>46325</v>
      </c>
      <c r="AB84" s="43"/>
      <c r="AC84" s="43"/>
      <c r="AD84" s="31" t="s">
        <v>196</v>
      </c>
      <c r="AE84" s="31" t="s">
        <v>72</v>
      </c>
      <c r="AF84" s="31"/>
      <c r="AG84" s="31"/>
      <c r="AH84" s="31"/>
      <c r="AI84" s="31"/>
      <c r="AJ84" s="31"/>
      <c r="AK84" s="31"/>
      <c r="AL84" s="31"/>
      <c r="AM84" s="32" t="str" cm="1">
        <f t="array" ref="AM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4" s="32" t="str" cm="1">
        <f t="array" ref="AN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40" ht="14.45" hidden="1">
      <c r="A85" s="31" t="s">
        <v>127</v>
      </c>
      <c r="B85" s="31" t="s">
        <v>259</v>
      </c>
      <c r="C85" s="31" t="s">
        <v>208</v>
      </c>
      <c r="D85" t="str" cm="1">
        <f t="array" aca="1" ref="D85" ca="1">IF($B85="","",IF(LEFT($AJ85,3)="Yes","Blocked - "&amp;MID($AJ85,7,100)&amp;IF(SUMPRODUCT(('Rework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track")),IF(C85="QA",_xlfn.LET(_xlpm.tgt,IF(AM85&lt;&gt;"",AM85,IF(W85&lt;&gt;"",W85,V85)),_xlpm.sent,_xlfn.MAXIFS('Rework Log'!$B$3:$B$499,'Rework Log'!$A$3:$A$499,$B85,'Rework Log'!$C$3:$C$499,"QA"),_xlpm.act,IF(AND(Y85&lt;&gt;"",Y85&gt;_xlpm.sent),Y85,""),IF(_xlpm.tgt="","No target set",IF(AND(_xlpm.tgt&lt;TODAY(),_xlpm.act=""),"Overdue","On track"))),IF(C85="DPO Approval",_xlfn.LET(_xlpm.tgt,IF(AN85&lt;&gt;"",AN85,IF(AB85&lt;&gt;"",AB85,AA85)),_xlpm.sent,_xlfn.MAXIFS('Rework Log'!$B$3:$B$499,'Rework Log'!$A$3:$A$499,$B85,'Rework Log'!$C$3:$C$499,"DPO*"),_xlpm.act,IF(AND(AC85&lt;&gt;"",AC85&gt;_xlpm.sent),AC85,""),IF(_xlpm.tgt="","No target set",IF(AND(_xlpm.tgt&lt;TODAY(),_xlpm.act=""),"Overdue","On track"))),IF(C85="RELEASED IN PROD","Delivered",""))))))))</f>
        <v>On track</v>
      </c>
      <c r="E85" s="31" t="s">
        <v>260</v>
      </c>
      <c r="F85" s="31"/>
      <c r="G85" s="31"/>
      <c r="H85" s="50">
        <v>46325</v>
      </c>
      <c r="I85" s="56" t="s">
        <v>238</v>
      </c>
      <c r="J85" s="54" t="s">
        <v>44</v>
      </c>
      <c r="K85" s="43">
        <v>46304</v>
      </c>
      <c r="L85" s="43"/>
      <c r="M85" s="44"/>
      <c r="N85" s="44"/>
      <c r="O85" s="44" t="s">
        <v>246</v>
      </c>
      <c r="P85" s="75"/>
      <c r="Q85" s="43">
        <v>46313</v>
      </c>
      <c r="R85" s="43"/>
      <c r="S85" s="44"/>
      <c r="T85" s="69" t="s">
        <v>253</v>
      </c>
      <c r="U85" s="47"/>
      <c r="V85" s="28">
        <v>46316</v>
      </c>
      <c r="W85" s="43"/>
      <c r="X85" s="31"/>
      <c r="Y85" s="31"/>
      <c r="Z85" s="36"/>
      <c r="AA85" s="28">
        <v>46325</v>
      </c>
      <c r="AB85" s="43"/>
      <c r="AC85" s="43"/>
      <c r="AD85" s="31" t="s">
        <v>193</v>
      </c>
      <c r="AE85" s="31" t="s">
        <v>94</v>
      </c>
      <c r="AF85" s="31"/>
      <c r="AG85" s="31"/>
      <c r="AH85" s="31"/>
      <c r="AI85" s="31"/>
      <c r="AJ85" s="31"/>
      <c r="AK85" s="31"/>
      <c r="AL85" s="31"/>
      <c r="AM85" s="32" t="str" cm="1">
        <f t="array" ref="AM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5" s="32" t="str" cm="1">
        <f t="array" ref="AN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40" ht="14.45" hidden="1">
      <c r="A86" s="31" t="s">
        <v>127</v>
      </c>
      <c r="B86" s="31" t="s">
        <v>261</v>
      </c>
      <c r="C86" s="31" t="s">
        <v>208</v>
      </c>
      <c r="D86" t="str" cm="1">
        <f t="array" aca="1" ref="D86" ca="1">IF($B86="","",IF(LEFT($AJ86,3)="Yes","Blocked - "&amp;MID($AJ86,7,100)&amp;IF(SUMPRODUCT(('Rework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track")),IF(C86="QA",_xlfn.LET(_xlpm.tgt,IF(AM86&lt;&gt;"",AM86,IF(W86&lt;&gt;"",W86,V86)),_xlpm.sent,_xlfn.MAXIFS('Rework Log'!$B$3:$B$499,'Rework Log'!$A$3:$A$499,$B86,'Rework Log'!$C$3:$C$499,"QA"),_xlpm.act,IF(AND(Y86&lt;&gt;"",Y86&gt;_xlpm.sent),Y86,""),IF(_xlpm.tgt="","No target set",IF(AND(_xlpm.tgt&lt;TODAY(),_xlpm.act=""),"Overdue","On track"))),IF(C86="DPO Approval",_xlfn.LET(_xlpm.tgt,IF(AN86&lt;&gt;"",AN86,IF(AB86&lt;&gt;"",AB86,AA86)),_xlpm.sent,_xlfn.MAXIFS('Rework Log'!$B$3:$B$499,'Rework Log'!$A$3:$A$499,$B86,'Rework Log'!$C$3:$C$499,"DPO*"),_xlpm.act,IF(AND(AC86&lt;&gt;"",AC86&gt;_xlpm.sent),AC86,""),IF(_xlpm.tgt="","No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6" t="s">
        <v>262</v>
      </c>
      <c r="J86" s="54" t="s">
        <v>84</v>
      </c>
      <c r="K86" s="50">
        <v>46332</v>
      </c>
      <c r="L86" s="43"/>
      <c r="M86" s="44"/>
      <c r="N86" s="44"/>
      <c r="O86" s="44" t="s">
        <v>246</v>
      </c>
      <c r="P86" s="75"/>
      <c r="Q86" s="50">
        <v>46339</v>
      </c>
      <c r="R86" s="43"/>
      <c r="S86" s="44"/>
      <c r="T86" s="69" t="s">
        <v>253</v>
      </c>
      <c r="U86" s="47"/>
      <c r="V86" s="28">
        <v>46344</v>
      </c>
      <c r="W86" s="43"/>
      <c r="X86" s="31"/>
      <c r="Y86" s="31"/>
      <c r="Z86" s="36"/>
      <c r="AA86" s="28">
        <v>46356</v>
      </c>
      <c r="AB86" s="43"/>
      <c r="AC86" s="43"/>
      <c r="AD86" s="31" t="s">
        <v>263</v>
      </c>
      <c r="AE86" s="31" t="s">
        <v>49</v>
      </c>
      <c r="AF86" s="31"/>
      <c r="AG86" s="31"/>
      <c r="AH86" s="31"/>
      <c r="AI86" s="31"/>
      <c r="AJ86" s="31"/>
      <c r="AK86" s="31"/>
      <c r="AL86" s="31"/>
      <c r="AM86" s="32" t="str" cm="1">
        <f t="array" ref="AM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6" s="32" t="str" cm="1">
        <f t="array" ref="AN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40" ht="14.45" hidden="1">
      <c r="A87" s="31" t="s">
        <v>127</v>
      </c>
      <c r="B87" s="31" t="s">
        <v>264</v>
      </c>
      <c r="C87" s="31" t="s">
        <v>208</v>
      </c>
      <c r="D87" t="str" cm="1">
        <f t="array" aca="1" ref="D87" ca="1">IF($B87="","",IF(LEFT($AJ87,3)="Yes","Blocked - "&amp;MID($AJ87,7,100)&amp;IF(SUMPRODUCT(('Rework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track")),IF(C87="QA",_xlfn.LET(_xlpm.tgt,IF(AM87&lt;&gt;"",AM87,IF(W87&lt;&gt;"",W87,V87)),_xlpm.sent,_xlfn.MAXIFS('Rework Log'!$B$3:$B$499,'Rework Log'!$A$3:$A$499,$B87,'Rework Log'!$C$3:$C$499,"QA"),_xlpm.act,IF(AND(Y87&lt;&gt;"",Y87&gt;_xlpm.sent),Y87,""),IF(_xlpm.tgt="","No target set",IF(AND(_xlpm.tgt&lt;TODAY(),_xlpm.act=""),"Overdue","On track"))),IF(C87="DPO Approval",_xlfn.LET(_xlpm.tgt,IF(AN87&lt;&gt;"",AN87,IF(AB87&lt;&gt;"",AB87,AA87)),_xlpm.sent,_xlfn.MAXIFS('Rework Log'!$B$3:$B$499,'Rework Log'!$A$3:$A$499,$B87,'Rework Log'!$C$3:$C$499,"DPO*"),_xlpm.act,IF(AND(AC87&lt;&gt;"",AC87&gt;_xlpm.sent),AC87,""),IF(_xlpm.tgt="","No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6" t="s">
        <v>262</v>
      </c>
      <c r="J87" s="54" t="s">
        <v>59</v>
      </c>
      <c r="K87" s="50">
        <v>46332</v>
      </c>
      <c r="L87" s="43"/>
      <c r="M87" s="44"/>
      <c r="N87" s="44"/>
      <c r="O87" s="44" t="s">
        <v>246</v>
      </c>
      <c r="P87" s="75"/>
      <c r="Q87" s="50">
        <v>46339</v>
      </c>
      <c r="R87" s="43"/>
      <c r="S87" s="44"/>
      <c r="T87" s="69" t="s">
        <v>253</v>
      </c>
      <c r="U87" s="47"/>
      <c r="V87" s="28">
        <v>46344</v>
      </c>
      <c r="W87" s="43"/>
      <c r="X87" s="31"/>
      <c r="Y87" s="31"/>
      <c r="Z87" s="36"/>
      <c r="AA87" s="28">
        <v>46356</v>
      </c>
      <c r="AB87" s="43"/>
      <c r="AC87" s="43"/>
      <c r="AD87" s="31" t="s">
        <v>178</v>
      </c>
      <c r="AE87" s="31" t="s">
        <v>49</v>
      </c>
      <c r="AF87" s="31"/>
      <c r="AG87" s="31"/>
      <c r="AH87" s="31"/>
      <c r="AI87" s="31"/>
      <c r="AJ87" s="31"/>
      <c r="AK87" s="31"/>
      <c r="AL87" s="31"/>
      <c r="AM87" s="32" t="str" cm="1">
        <f t="array" ref="AM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7" s="32" t="str" cm="1">
        <f t="array" ref="AN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40" ht="14.45" hidden="1">
      <c r="A88" s="31" t="s">
        <v>127</v>
      </c>
      <c r="B88" s="31" t="s">
        <v>265</v>
      </c>
      <c r="C88" s="31" t="s">
        <v>208</v>
      </c>
      <c r="D88" t="str" cm="1">
        <f t="array" aca="1" ref="D88" ca="1">IF($B88="","",IF(LEFT($AJ88,3)="Yes","Blocked - "&amp;MID($AJ88,7,100)&amp;IF(SUMPRODUCT(('Rework Log'!$A$3:$A$499=$B88)*('Rework Log'!$G$3:$G$499&lt;&gt;"Yes")*('Rework Log'!$G$3:$G$499&lt;&gt;"Did not pass re-test"))=0,"",IF(SUMPRODUCT(MAX((('Rework Log'!$A$3:$A$499=$B88)*('Rework Log'!$G$3:$G$499&lt;&gt;"Yes")*('Rework Log'!$G$3:$G$499&lt;&gt;"Did not pass re-test"))*'Rework Log'!$I$3:$I$499))=0," - unclaimed"," - promised "&amp;TEXT(SUMPRODUCT(MAX((('Rework Log'!$A$3:$A$499=$B88)*('Rework Log'!$G$3:$G$499&lt;&gt;"Yes")*('Rework Log'!$G$3:$G$499&lt;&gt;"Did not pass re-test"))*'Rework Log'!$I$3:$I$499)),"m/d"))),IF(C88="NOT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track")),IF(C88="QA",_xlfn.LET(_xlpm.tgt,IF(AM88&lt;&gt;"",AM88,IF(W88&lt;&gt;"",W88,V88)),_xlpm.sent,_xlfn.MAXIFS('Rework Log'!$B$3:$B$499,'Rework Log'!$A$3:$A$499,$B88,'Rework Log'!$C$3:$C$499,"QA"),_xlpm.act,IF(AND(Y88&lt;&gt;"",Y88&gt;_xlpm.sent),Y88,""),IF(_xlpm.tgt="","No target set",IF(AND(_xlpm.tgt&lt;TODAY(),_xlpm.act=""),"Overdue","On track"))),IF(C88="DPO Approval",_xlfn.LET(_xlpm.tgt,IF(AN88&lt;&gt;"",AN88,IF(AB88&lt;&gt;"",AB88,AA88)),_xlpm.sent,_xlfn.MAXIFS('Rework Log'!$B$3:$B$499,'Rework Log'!$A$3:$A$499,$B88,'Rework Log'!$C$3:$C$499,"DPO*"),_xlpm.act,IF(AND(AC88&lt;&gt;"",AC88&gt;_xlpm.sent),AC88,""),IF(_xlpm.tgt="","No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6" t="s">
        <v>262</v>
      </c>
      <c r="J88" s="54" t="s">
        <v>59</v>
      </c>
      <c r="K88" s="50">
        <v>46332</v>
      </c>
      <c r="L88" s="43"/>
      <c r="M88" s="44"/>
      <c r="N88" s="44"/>
      <c r="O88" s="44" t="s">
        <v>246</v>
      </c>
      <c r="P88" s="75"/>
      <c r="Q88" s="50">
        <v>46339</v>
      </c>
      <c r="R88" s="43"/>
      <c r="S88" s="44"/>
      <c r="T88" s="69" t="s">
        <v>266</v>
      </c>
      <c r="U88" s="47"/>
      <c r="V88" s="28">
        <v>46344</v>
      </c>
      <c r="W88" s="43"/>
      <c r="X88" s="31"/>
      <c r="Y88" s="31"/>
      <c r="Z88" s="36"/>
      <c r="AA88" s="28">
        <v>46356</v>
      </c>
      <c r="AB88" s="43"/>
      <c r="AC88" s="43"/>
      <c r="AD88" s="31" t="s">
        <v>178</v>
      </c>
      <c r="AE88" s="31" t="s">
        <v>72</v>
      </c>
      <c r="AF88" s="31"/>
      <c r="AG88" s="31"/>
      <c r="AH88" s="31"/>
      <c r="AI88" s="31"/>
      <c r="AJ88" s="31"/>
      <c r="AK88" s="31"/>
      <c r="AL88" s="31"/>
      <c r="AM88" s="32" t="str" cm="1">
        <f t="array" ref="AM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8" s="32" t="str" cm="1">
        <f t="array" ref="AN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40" ht="14.45" hidden="1">
      <c r="A89" s="31" t="s">
        <v>127</v>
      </c>
      <c r="B89" s="31" t="s">
        <v>267</v>
      </c>
      <c r="C89" s="31" t="s">
        <v>208</v>
      </c>
      <c r="D89" t="str" cm="1">
        <f t="array" aca="1" ref="D89" ca="1">IF($B89="","",IF(LEFT($AJ89,3)="Yes","Blocked - "&amp;MID($AJ89,7,100)&amp;IF(SUMPRODUCT(('Rework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track")),IF(C89="QA",_xlfn.LET(_xlpm.tgt,IF(AM89&lt;&gt;"",AM89,IF(W89&lt;&gt;"",W89,V89)),_xlpm.sent,_xlfn.MAXIFS('Rework Log'!$B$3:$B$499,'Rework Log'!$A$3:$A$499,$B89,'Rework Log'!$C$3:$C$499,"QA"),_xlpm.act,IF(AND(Y89&lt;&gt;"",Y89&gt;_xlpm.sent),Y89,""),IF(_xlpm.tgt="","No target set",IF(AND(_xlpm.tgt&lt;TODAY(),_xlpm.act=""),"Overdue","On track"))),IF(C89="DPO Approval",_xlfn.LET(_xlpm.tgt,IF(AN89&lt;&gt;"",AN89,IF(AB89&lt;&gt;"",AB89,AA89)),_xlpm.sent,_xlfn.MAXIFS('Rework Log'!$B$3:$B$499,'Rework Log'!$A$3:$A$499,$B89,'Rework Log'!$C$3:$C$499,"DPO*"),_xlpm.act,IF(AND(AC89&lt;&gt;"",AC89&gt;_xlpm.sent),AC89,""),IF(_xlpm.tgt="","No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6" t="s">
        <v>262</v>
      </c>
      <c r="J89" s="54"/>
      <c r="K89" s="50">
        <v>46332</v>
      </c>
      <c r="L89" s="43"/>
      <c r="M89" s="44"/>
      <c r="N89" s="44"/>
      <c r="O89" s="36" t="s">
        <v>268</v>
      </c>
      <c r="P89" s="75"/>
      <c r="Q89" s="50">
        <v>46339</v>
      </c>
      <c r="R89" s="43"/>
      <c r="S89" s="44"/>
      <c r="T89" s="69" t="s">
        <v>266</v>
      </c>
      <c r="U89" s="47"/>
      <c r="V89" s="28">
        <v>46344</v>
      </c>
      <c r="W89" s="43"/>
      <c r="X89" s="31"/>
      <c r="Y89" s="31"/>
      <c r="Z89" s="36"/>
      <c r="AA89" s="28">
        <v>46356</v>
      </c>
      <c r="AB89" s="43"/>
      <c r="AC89" s="43"/>
      <c r="AD89" s="31" t="s">
        <v>178</v>
      </c>
      <c r="AE89" s="31" t="s">
        <v>72</v>
      </c>
      <c r="AF89" s="31"/>
      <c r="AG89" s="31"/>
      <c r="AH89" s="31"/>
      <c r="AI89" s="31"/>
      <c r="AJ89" s="31"/>
      <c r="AK89" s="31"/>
      <c r="AL89" s="31"/>
      <c r="AM89" s="32" t="str" cm="1">
        <f t="array" ref="AM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9" s="32" t="str" cm="1">
        <f t="array" ref="AN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40" ht="14.45" hidden="1">
      <c r="A90" s="31" t="s">
        <v>127</v>
      </c>
      <c r="B90" s="31" t="s">
        <v>269</v>
      </c>
      <c r="C90" s="31" t="s">
        <v>208</v>
      </c>
      <c r="D90" t="str" cm="1">
        <f t="array" aca="1" ref="D90" ca="1">IF($B90="","",IF(LEFT($AJ90,3)="Yes","Blocked - "&amp;MID($AJ90,7,100)&amp;IF(SUMPRODUCT(('Rework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track")),IF(C90="QA",_xlfn.LET(_xlpm.tgt,IF(AM90&lt;&gt;"",AM90,IF(W90&lt;&gt;"",W90,V90)),_xlpm.sent,_xlfn.MAXIFS('Rework Log'!$B$3:$B$499,'Rework Log'!$A$3:$A$499,$B90,'Rework Log'!$C$3:$C$499,"QA"),_xlpm.act,IF(AND(Y90&lt;&gt;"",Y90&gt;_xlpm.sent),Y90,""),IF(_xlpm.tgt="","No target set",IF(AND(_xlpm.tgt&lt;TODAY(),_xlpm.act=""),"Overdue","On track"))),IF(C90="DPO Approval",_xlfn.LET(_xlpm.tgt,IF(AN90&lt;&gt;"",AN90,IF(AB90&lt;&gt;"",AB90,AA90)),_xlpm.sent,_xlfn.MAXIFS('Rework Log'!$B$3:$B$499,'Rework Log'!$A$3:$A$499,$B90,'Rework Log'!$C$3:$C$499,"DPO*"),_xlpm.act,IF(AND(AC90&lt;&gt;"",AC90&gt;_xlpm.sent),AC90,""),IF(_xlpm.tgt="","No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6" t="s">
        <v>262</v>
      </c>
      <c r="J90" s="54"/>
      <c r="K90" s="50">
        <v>46332</v>
      </c>
      <c r="L90" s="43"/>
      <c r="M90" s="44"/>
      <c r="N90" s="44"/>
      <c r="O90" s="36" t="s">
        <v>268</v>
      </c>
      <c r="P90" s="75"/>
      <c r="Q90" s="50">
        <v>46339</v>
      </c>
      <c r="R90" s="43"/>
      <c r="S90" s="44"/>
      <c r="T90" s="69" t="s">
        <v>266</v>
      </c>
      <c r="U90" s="47"/>
      <c r="V90" s="28">
        <v>46344</v>
      </c>
      <c r="W90" s="43"/>
      <c r="X90" s="31"/>
      <c r="Y90" s="31"/>
      <c r="Z90" s="36"/>
      <c r="AA90" s="28">
        <v>46356</v>
      </c>
      <c r="AB90" s="43"/>
      <c r="AC90" s="43"/>
      <c r="AD90" s="31" t="s">
        <v>178</v>
      </c>
      <c r="AE90" s="31" t="s">
        <v>72</v>
      </c>
      <c r="AF90" s="31"/>
      <c r="AG90" s="31"/>
      <c r="AH90" s="31"/>
      <c r="AI90" s="31"/>
      <c r="AJ90" s="31"/>
      <c r="AK90" s="31"/>
      <c r="AL90" s="31"/>
      <c r="AM90" s="32" t="str" cm="1">
        <f t="array" ref="AM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0" s="32" t="str" cm="1">
        <f t="array" ref="AN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40" ht="14.45" hidden="1">
      <c r="A91" s="31" t="s">
        <v>127</v>
      </c>
      <c r="B91" s="31" t="s">
        <v>270</v>
      </c>
      <c r="C91" s="31" t="s">
        <v>208</v>
      </c>
      <c r="D91" t="str" cm="1">
        <f t="array" aca="1" ref="D91" ca="1">IF($B91="","",IF(LEFT($AJ91,3)="Yes","Blocked - "&amp;MID($AJ91,7,100)&amp;IF(SUMPRODUCT(('Rework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track")),IF(C91="QA",_xlfn.LET(_xlpm.tgt,IF(AM91&lt;&gt;"",AM91,IF(W91&lt;&gt;"",W91,V91)),_xlpm.sent,_xlfn.MAXIFS('Rework Log'!$B$3:$B$499,'Rework Log'!$A$3:$A$499,$B91,'Rework Log'!$C$3:$C$499,"QA"),_xlpm.act,IF(AND(Y91&lt;&gt;"",Y91&gt;_xlpm.sent),Y91,""),IF(_xlpm.tgt="","No target set",IF(AND(_xlpm.tgt&lt;TODAY(),_xlpm.act=""),"Overdue","On track"))),IF(C91="DPO Approval",_xlfn.LET(_xlpm.tgt,IF(AN91&lt;&gt;"",AN91,IF(AB91&lt;&gt;"",AB91,AA91)),_xlpm.sent,_xlfn.MAXIFS('Rework Log'!$B$3:$B$499,'Rework Log'!$A$3:$A$499,$B91,'Rework Log'!$C$3:$C$499,"DPO*"),_xlpm.act,IF(AND(AC91&lt;&gt;"",AC91&gt;_xlpm.sent),AC91,""),IF(_xlpm.tgt="","No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6" t="s">
        <v>262</v>
      </c>
      <c r="J91" s="54" t="s">
        <v>271</v>
      </c>
      <c r="K91" s="50">
        <v>46332</v>
      </c>
      <c r="L91" s="43"/>
      <c r="M91" s="44"/>
      <c r="N91" s="44"/>
      <c r="O91" s="44" t="s">
        <v>246</v>
      </c>
      <c r="P91" s="75"/>
      <c r="Q91" s="50">
        <v>46339</v>
      </c>
      <c r="R91" s="43"/>
      <c r="S91" s="44"/>
      <c r="T91" s="69" t="s">
        <v>266</v>
      </c>
      <c r="U91" s="47"/>
      <c r="V91" s="28">
        <v>46344</v>
      </c>
      <c r="W91" s="43"/>
      <c r="X91" s="31"/>
      <c r="Y91" s="31"/>
      <c r="Z91" s="36"/>
      <c r="AA91" s="28">
        <v>46356</v>
      </c>
      <c r="AB91" s="43"/>
      <c r="AC91" s="43"/>
      <c r="AD91" s="31" t="s">
        <v>272</v>
      </c>
      <c r="AE91" s="31" t="s">
        <v>72</v>
      </c>
      <c r="AF91" s="31"/>
      <c r="AG91" s="31"/>
      <c r="AH91" s="31"/>
      <c r="AI91" s="31"/>
      <c r="AJ91" s="31"/>
      <c r="AK91" s="31"/>
      <c r="AL91" s="31"/>
      <c r="AM91" s="32" t="str" cm="1">
        <f t="array" ref="AM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1" s="32" t="str" cm="1">
        <f t="array" ref="AN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40" ht="14.45" hidden="1">
      <c r="A92" s="31" t="s">
        <v>127</v>
      </c>
      <c r="B92" s="31" t="s">
        <v>273</v>
      </c>
      <c r="C92" s="31" t="s">
        <v>208</v>
      </c>
      <c r="D92" t="str" cm="1">
        <f t="array" aca="1" ref="D92" ca="1">IF($B92="","",IF(LEFT($AJ92,3)="Yes","Blocked - "&amp;MID($AJ92,7,100)&amp;IF(SUMPRODUCT(('Rework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track")),IF(C92="QA",_xlfn.LET(_xlpm.tgt,IF(AM92&lt;&gt;"",AM92,IF(W92&lt;&gt;"",W92,V92)),_xlpm.sent,_xlfn.MAXIFS('Rework Log'!$B$3:$B$499,'Rework Log'!$A$3:$A$499,$B92,'Rework Log'!$C$3:$C$499,"QA"),_xlpm.act,IF(AND(Y92&lt;&gt;"",Y92&gt;_xlpm.sent),Y92,""),IF(_xlpm.tgt="","No target set",IF(AND(_xlpm.tgt&lt;TODAY(),_xlpm.act=""),"Overdue","On track"))),IF(C92="DPO Approval",_xlfn.LET(_xlpm.tgt,IF(AN92&lt;&gt;"",AN92,IF(AB92&lt;&gt;"",AB92,AA92)),_xlpm.sent,_xlfn.MAXIFS('Rework Log'!$B$3:$B$499,'Rework Log'!$A$3:$A$499,$B92,'Rework Log'!$C$3:$C$499,"DPO*"),_xlpm.act,IF(AND(AC92&lt;&gt;"",AC92&gt;_xlpm.sent),AC92,""),IF(_xlpm.tgt="","No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6" t="s">
        <v>262</v>
      </c>
      <c r="J92" s="54" t="s">
        <v>84</v>
      </c>
      <c r="K92" s="50">
        <v>46332</v>
      </c>
      <c r="L92" s="43"/>
      <c r="M92" s="44"/>
      <c r="N92" s="44"/>
      <c r="O92" s="44" t="s">
        <v>246</v>
      </c>
      <c r="P92" s="75"/>
      <c r="Q92" s="50">
        <v>46339</v>
      </c>
      <c r="R92" s="43"/>
      <c r="S92" s="44"/>
      <c r="T92" s="69" t="s">
        <v>266</v>
      </c>
      <c r="U92" s="47"/>
      <c r="V92" s="28">
        <v>46344</v>
      </c>
      <c r="W92" s="43"/>
      <c r="X92" s="31"/>
      <c r="Y92" s="31"/>
      <c r="Z92" s="36"/>
      <c r="AA92" s="28">
        <v>46356</v>
      </c>
      <c r="AB92" s="43"/>
      <c r="AC92" s="43"/>
      <c r="AD92" s="31" t="s">
        <v>178</v>
      </c>
      <c r="AE92" s="31" t="s">
        <v>72</v>
      </c>
      <c r="AF92" s="31"/>
      <c r="AG92" s="31"/>
      <c r="AH92" s="31"/>
      <c r="AI92" s="31"/>
      <c r="AJ92" s="31"/>
      <c r="AK92" s="31"/>
      <c r="AL92" s="31"/>
      <c r="AM92" s="32" t="str" cm="1">
        <f t="array" ref="AM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2" s="32" t="str" cm="1">
        <f t="array" ref="AN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40" ht="14.45" hidden="1">
      <c r="A93" s="31" t="s">
        <v>127</v>
      </c>
      <c r="B93" s="31" t="s">
        <v>274</v>
      </c>
      <c r="C93" s="31" t="s">
        <v>208</v>
      </c>
      <c r="D93" t="str" cm="1">
        <f t="array" aca="1" ref="D93" ca="1">IF($B93="","",IF(LEFT($AJ93,3)="Yes","Blocked - "&amp;MID($AJ93,7,100)&amp;IF(SUMPRODUCT(('Rework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track")),IF(C93="QA",_xlfn.LET(_xlpm.tgt,IF(AM93&lt;&gt;"",AM93,IF(W93&lt;&gt;"",W93,V93)),_xlpm.sent,_xlfn.MAXIFS('Rework Log'!$B$3:$B$499,'Rework Log'!$A$3:$A$499,$B93,'Rework Log'!$C$3:$C$499,"QA"),_xlpm.act,IF(AND(Y93&lt;&gt;"",Y93&gt;_xlpm.sent),Y93,""),IF(_xlpm.tgt="","No target set",IF(AND(_xlpm.tgt&lt;TODAY(),_xlpm.act=""),"Overdue","On track"))),IF(C93="DPO Approval",_xlfn.LET(_xlpm.tgt,IF(AN93&lt;&gt;"",AN93,IF(AB93&lt;&gt;"",AB93,AA93)),_xlpm.sent,_xlfn.MAXIFS('Rework Log'!$B$3:$B$499,'Rework Log'!$A$3:$A$499,$B93,'Rework Log'!$C$3:$C$499,"DPO*"),_xlpm.act,IF(AND(AC93&lt;&gt;"",AC93&gt;_xlpm.sent),AC93,""),IF(_xlpm.tgt="","No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6" t="s">
        <v>262</v>
      </c>
      <c r="J93" s="54"/>
      <c r="K93" s="50">
        <v>46332</v>
      </c>
      <c r="L93" s="43"/>
      <c r="M93" s="44"/>
      <c r="N93" s="44"/>
      <c r="O93" s="36" t="s">
        <v>275</v>
      </c>
      <c r="P93" s="75"/>
      <c r="Q93" s="50">
        <v>46339</v>
      </c>
      <c r="R93" s="43"/>
      <c r="S93" s="44"/>
      <c r="T93" s="69" t="s">
        <v>266</v>
      </c>
      <c r="U93" s="47"/>
      <c r="V93" s="28">
        <v>46344</v>
      </c>
      <c r="W93" s="43"/>
      <c r="X93" s="31"/>
      <c r="Y93" s="31"/>
      <c r="Z93" s="36"/>
      <c r="AA93" s="28">
        <v>46356</v>
      </c>
      <c r="AB93" s="43"/>
      <c r="AC93" s="43"/>
      <c r="AD93" s="31" t="s">
        <v>198</v>
      </c>
      <c r="AE93" s="31" t="s">
        <v>94</v>
      </c>
      <c r="AF93" s="31"/>
      <c r="AG93" s="31"/>
      <c r="AH93" s="31"/>
      <c r="AI93" s="31"/>
      <c r="AJ93" s="31"/>
      <c r="AK93" s="31"/>
      <c r="AL93" s="31"/>
      <c r="AM93" s="32" t="str" cm="1">
        <f t="array" ref="AM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3" s="32" t="str" cm="1">
        <f t="array" ref="AN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40" ht="14.45" hidden="1">
      <c r="A94" s="31" t="s">
        <v>127</v>
      </c>
      <c r="B94" s="31" t="s">
        <v>276</v>
      </c>
      <c r="C94" s="31" t="s">
        <v>208</v>
      </c>
      <c r="D94" t="str" cm="1">
        <f t="array" aca="1" ref="D94" ca="1">IF($B94="","",IF(LEFT($AJ94,3)="Yes","Blocked - "&amp;MID($AJ94,7,100)&amp;IF(SUMPRODUCT(('Rework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track")),IF(C94="QA",_xlfn.LET(_xlpm.tgt,IF(AM94&lt;&gt;"",AM94,IF(W94&lt;&gt;"",W94,V94)),_xlpm.sent,_xlfn.MAXIFS('Rework Log'!$B$3:$B$499,'Rework Log'!$A$3:$A$499,$B94,'Rework Log'!$C$3:$C$499,"QA"),_xlpm.act,IF(AND(Y94&lt;&gt;"",Y94&gt;_xlpm.sent),Y94,""),IF(_xlpm.tgt="","No target set",IF(AND(_xlpm.tgt&lt;TODAY(),_xlpm.act=""),"Overdue","On track"))),IF(C94="DPO Approval",_xlfn.LET(_xlpm.tgt,IF(AN94&lt;&gt;"",AN94,IF(AB94&lt;&gt;"",AB94,AA94)),_xlpm.sent,_xlfn.MAXIFS('Rework Log'!$B$3:$B$499,'Rework Log'!$A$3:$A$499,$B94,'Rework Log'!$C$3:$C$499,"DPO*"),_xlpm.act,IF(AND(AC94&lt;&gt;"",AC94&gt;_xlpm.sent),AC94,""),IF(_xlpm.tgt="","No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6" t="s">
        <v>262</v>
      </c>
      <c r="J94" s="54"/>
      <c r="K94" s="50">
        <v>46332</v>
      </c>
      <c r="L94" s="43"/>
      <c r="M94" s="44"/>
      <c r="N94" s="44"/>
      <c r="O94" s="36" t="s">
        <v>275</v>
      </c>
      <c r="P94" s="75"/>
      <c r="Q94" s="50">
        <v>46339</v>
      </c>
      <c r="R94" s="43"/>
      <c r="S94" s="44"/>
      <c r="T94" s="69" t="s">
        <v>266</v>
      </c>
      <c r="U94" s="47"/>
      <c r="V94" s="28">
        <v>46344</v>
      </c>
      <c r="W94" s="43"/>
      <c r="X94" s="31"/>
      <c r="Y94" s="31"/>
      <c r="Z94" s="36"/>
      <c r="AA94" s="28">
        <v>46356</v>
      </c>
      <c r="AB94" s="43"/>
      <c r="AC94" s="43"/>
      <c r="AD94" s="31" t="s">
        <v>277</v>
      </c>
      <c r="AE94" s="31" t="s">
        <v>72</v>
      </c>
      <c r="AF94" s="31"/>
      <c r="AG94" s="31"/>
      <c r="AH94" s="31"/>
      <c r="AI94" s="31"/>
      <c r="AJ94" s="31"/>
      <c r="AK94" s="31"/>
      <c r="AL94" s="31"/>
      <c r="AM94" s="32" t="str" cm="1">
        <f t="array" ref="AM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4" s="32" t="str" cm="1">
        <f t="array" ref="AN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40" ht="14.45" hidden="1">
      <c r="A95" s="31" t="s">
        <v>127</v>
      </c>
      <c r="B95" s="31" t="s">
        <v>278</v>
      </c>
      <c r="C95" s="31" t="s">
        <v>208</v>
      </c>
      <c r="D95" t="str" cm="1">
        <f t="array" aca="1" ref="D95" ca="1">IF($B95="","",IF(LEFT($AJ95,3)="Yes","Blocked - "&amp;MID($AJ95,7,100)&amp;IF(SUMPRODUCT(('Rework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track")),IF(C95="QA",_xlfn.LET(_xlpm.tgt,IF(AM95&lt;&gt;"",AM95,IF(W95&lt;&gt;"",W95,V95)),_xlpm.sent,_xlfn.MAXIFS('Rework Log'!$B$3:$B$499,'Rework Log'!$A$3:$A$499,$B95,'Rework Log'!$C$3:$C$499,"QA"),_xlpm.act,IF(AND(Y95&lt;&gt;"",Y95&gt;_xlpm.sent),Y95,""),IF(_xlpm.tgt="","No target set",IF(AND(_xlpm.tgt&lt;TODAY(),_xlpm.act=""),"Overdue","On track"))),IF(C95="DPO Approval",_xlfn.LET(_xlpm.tgt,IF(AN95&lt;&gt;"",AN95,IF(AB95&lt;&gt;"",AB95,AA95)),_xlpm.sent,_xlfn.MAXIFS('Rework Log'!$B$3:$B$499,'Rework Log'!$A$3:$A$499,$B95,'Rework Log'!$C$3:$C$499,"DPO*"),_xlpm.act,IF(AND(AC95&lt;&gt;"",AC95&gt;_xlpm.sent),AC95,""),IF(_xlpm.tgt="","No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6" t="s">
        <v>262</v>
      </c>
      <c r="J95" s="54"/>
      <c r="K95" s="50">
        <v>46332</v>
      </c>
      <c r="L95" s="43"/>
      <c r="M95" s="44"/>
      <c r="N95" s="44"/>
      <c r="O95" s="36" t="s">
        <v>275</v>
      </c>
      <c r="P95" s="75"/>
      <c r="Q95" s="50">
        <v>46339</v>
      </c>
      <c r="R95" s="43"/>
      <c r="S95" s="44"/>
      <c r="T95" s="69" t="s">
        <v>279</v>
      </c>
      <c r="U95" s="47"/>
      <c r="V95" s="28">
        <v>46344</v>
      </c>
      <c r="W95" s="43"/>
      <c r="X95" s="31"/>
      <c r="Y95" s="31"/>
      <c r="Z95" s="36"/>
      <c r="AA95" s="28">
        <v>46356</v>
      </c>
      <c r="AB95" s="43"/>
      <c r="AC95" s="43"/>
      <c r="AD95" s="31" t="s">
        <v>280</v>
      </c>
      <c r="AE95" s="31" t="s">
        <v>72</v>
      </c>
      <c r="AF95" s="31"/>
      <c r="AG95" s="31"/>
      <c r="AH95" s="31"/>
      <c r="AI95" s="31"/>
      <c r="AJ95" s="31"/>
      <c r="AK95" s="31"/>
      <c r="AL95" s="31"/>
      <c r="AM95" s="32" t="str" cm="1">
        <f t="array" ref="AM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5" s="32" t="str" cm="1">
        <f t="array" ref="AN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40" ht="14.45" hidden="1">
      <c r="A96" s="31" t="s">
        <v>127</v>
      </c>
      <c r="B96" s="31" t="s">
        <v>281</v>
      </c>
      <c r="C96" s="31" t="s">
        <v>208</v>
      </c>
      <c r="D96" t="str" cm="1">
        <f t="array" aca="1" ref="D96" ca="1">IF($B96="","",IF(LEFT($AJ96,3)="Yes","Blocked - "&amp;MID($AJ96,7,100)&amp;IF(SUMPRODUCT(('Rework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track")),IF(C96="QA",_xlfn.LET(_xlpm.tgt,IF(AM96&lt;&gt;"",AM96,IF(W96&lt;&gt;"",W96,V96)),_xlpm.sent,_xlfn.MAXIFS('Rework Log'!$B$3:$B$499,'Rework Log'!$A$3:$A$499,$B96,'Rework Log'!$C$3:$C$499,"QA"),_xlpm.act,IF(AND(Y96&lt;&gt;"",Y96&gt;_xlpm.sent),Y96,""),IF(_xlpm.tgt="","No target set",IF(AND(_xlpm.tgt&lt;TODAY(),_xlpm.act=""),"Overdue","On track"))),IF(C96="DPO Approval",_xlfn.LET(_xlpm.tgt,IF(AN96&lt;&gt;"",AN96,IF(AB96&lt;&gt;"",AB96,AA96)),_xlpm.sent,_xlfn.MAXIFS('Rework Log'!$B$3:$B$499,'Rework Log'!$A$3:$A$499,$B96,'Rework Log'!$C$3:$C$499,"DPO*"),_xlpm.act,IF(AND(AC96&lt;&gt;"",AC96&gt;_xlpm.sent),AC96,""),IF(_xlpm.tgt="","No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6" t="s">
        <v>262</v>
      </c>
      <c r="J96" s="54"/>
      <c r="K96" s="50">
        <v>46332</v>
      </c>
      <c r="L96" s="43"/>
      <c r="M96" s="44"/>
      <c r="N96" s="44"/>
      <c r="O96" s="36" t="s">
        <v>275</v>
      </c>
      <c r="P96" s="75"/>
      <c r="Q96" s="50">
        <v>46339</v>
      </c>
      <c r="R96" s="43"/>
      <c r="S96" s="44"/>
      <c r="T96" s="69" t="s">
        <v>279</v>
      </c>
      <c r="U96" s="47"/>
      <c r="V96" s="28">
        <v>46344</v>
      </c>
      <c r="W96" s="43"/>
      <c r="X96" s="31"/>
      <c r="Y96" s="31"/>
      <c r="Z96" s="36"/>
      <c r="AA96" s="28">
        <v>46356</v>
      </c>
      <c r="AB96" s="43"/>
      <c r="AC96" s="43"/>
      <c r="AD96" s="31" t="s">
        <v>282</v>
      </c>
      <c r="AE96" s="31" t="s">
        <v>72</v>
      </c>
      <c r="AF96" s="31"/>
      <c r="AG96" s="31"/>
      <c r="AH96" s="31"/>
      <c r="AI96" s="31"/>
      <c r="AJ96" s="31"/>
      <c r="AK96" s="31"/>
      <c r="AL96" s="31"/>
      <c r="AM96" s="32" t="str" cm="1">
        <f t="array" ref="AM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6" s="32" t="str" cm="1">
        <f t="array" ref="AN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40" ht="14.45" hidden="1">
      <c r="A97" s="31" t="s">
        <v>127</v>
      </c>
      <c r="B97" s="31" t="s">
        <v>283</v>
      </c>
      <c r="C97" s="31" t="s">
        <v>208</v>
      </c>
      <c r="D97" t="str" cm="1">
        <f t="array" aca="1" ref="D97" ca="1">IF($B97="","",IF(LEFT($AJ97,3)="Yes","Blocked - "&amp;MID($AJ97,7,100)&amp;IF(SUMPRODUCT(('Rework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track")),IF(C97="QA",_xlfn.LET(_xlpm.tgt,IF(AM97&lt;&gt;"",AM97,IF(W97&lt;&gt;"",W97,V97)),_xlpm.sent,_xlfn.MAXIFS('Rework Log'!$B$3:$B$499,'Rework Log'!$A$3:$A$499,$B97,'Rework Log'!$C$3:$C$499,"QA"),_xlpm.act,IF(AND(Y97&lt;&gt;"",Y97&gt;_xlpm.sent),Y97,""),IF(_xlpm.tgt="","No target set",IF(AND(_xlpm.tgt&lt;TODAY(),_xlpm.act=""),"Overdue","On track"))),IF(C97="DPO Approval",_xlfn.LET(_xlpm.tgt,IF(AN97&lt;&gt;"",AN97,IF(AB97&lt;&gt;"",AB97,AA97)),_xlpm.sent,_xlfn.MAXIFS('Rework Log'!$B$3:$B$499,'Rework Log'!$A$3:$A$499,$B97,'Rework Log'!$C$3:$C$499,"DPO*"),_xlpm.act,IF(AND(AC97&lt;&gt;"",AC97&gt;_xlpm.sent),AC97,""),IF(_xlpm.tgt="","No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6" t="s">
        <v>262</v>
      </c>
      <c r="J97" s="54"/>
      <c r="K97" s="50">
        <v>46332</v>
      </c>
      <c r="L97" s="43"/>
      <c r="M97" s="44"/>
      <c r="N97" s="44"/>
      <c r="O97" s="36" t="s">
        <v>275</v>
      </c>
      <c r="P97" s="75"/>
      <c r="Q97" s="50">
        <v>46339</v>
      </c>
      <c r="R97" s="43"/>
      <c r="S97" s="44"/>
      <c r="T97" s="69" t="s">
        <v>279</v>
      </c>
      <c r="U97" s="47"/>
      <c r="V97" s="28">
        <v>46344</v>
      </c>
      <c r="W97" s="43"/>
      <c r="X97" s="31"/>
      <c r="Y97" s="31"/>
      <c r="Z97" s="36"/>
      <c r="AA97" s="28">
        <v>46356</v>
      </c>
      <c r="AB97" s="43"/>
      <c r="AC97" s="43"/>
      <c r="AD97" s="31" t="s">
        <v>284</v>
      </c>
      <c r="AE97" s="31" t="s">
        <v>72</v>
      </c>
      <c r="AF97" s="31"/>
      <c r="AG97" s="31"/>
      <c r="AH97" s="31"/>
      <c r="AI97" s="31"/>
      <c r="AJ97" s="31"/>
      <c r="AK97" s="31"/>
      <c r="AL97" s="31"/>
      <c r="AM97" s="32" t="str" cm="1">
        <f t="array" ref="AM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7" s="32" t="str" cm="1">
        <f t="array" ref="AN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40" ht="14.45" hidden="1">
      <c r="A98" s="31" t="s">
        <v>127</v>
      </c>
      <c r="B98" s="31" t="s">
        <v>285</v>
      </c>
      <c r="C98" s="31" t="s">
        <v>208</v>
      </c>
      <c r="D98" t="str" cm="1">
        <f t="array" aca="1" ref="D98" ca="1">IF($B98="","",IF(LEFT($AJ98,3)="Yes","Blocked - "&amp;MID($AJ98,7,100)&amp;IF(SUMPRODUCT(('Rework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track")),IF(C98="QA",_xlfn.LET(_xlpm.tgt,IF(AM98&lt;&gt;"",AM98,IF(W98&lt;&gt;"",W98,V98)),_xlpm.sent,_xlfn.MAXIFS('Rework Log'!$B$3:$B$499,'Rework Log'!$A$3:$A$499,$B98,'Rework Log'!$C$3:$C$499,"QA"),_xlpm.act,IF(AND(Y98&lt;&gt;"",Y98&gt;_xlpm.sent),Y98,""),IF(_xlpm.tgt="","No target set",IF(AND(_xlpm.tgt&lt;TODAY(),_xlpm.act=""),"Overdue","On track"))),IF(C98="DPO Approval",_xlfn.LET(_xlpm.tgt,IF(AN98&lt;&gt;"",AN98,IF(AB98&lt;&gt;"",AB98,AA98)),_xlpm.sent,_xlfn.MAXIFS('Rework Log'!$B$3:$B$499,'Rework Log'!$A$3:$A$499,$B98,'Rework Log'!$C$3:$C$499,"DPO*"),_xlpm.act,IF(AND(AC98&lt;&gt;"",AC98&gt;_xlpm.sent),AC98,""),IF(_xlpm.tgt="","No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6" t="s">
        <v>262</v>
      </c>
      <c r="J98" s="54"/>
      <c r="K98" s="50">
        <v>46332</v>
      </c>
      <c r="L98" s="43"/>
      <c r="M98" s="44"/>
      <c r="N98" s="44"/>
      <c r="O98" s="36" t="s">
        <v>275</v>
      </c>
      <c r="P98" s="75"/>
      <c r="Q98" s="50">
        <v>46339</v>
      </c>
      <c r="R98" s="43"/>
      <c r="S98" s="44"/>
      <c r="T98" s="69" t="s">
        <v>279</v>
      </c>
      <c r="U98" s="47"/>
      <c r="V98" s="28">
        <v>46344</v>
      </c>
      <c r="W98" s="43"/>
      <c r="X98" s="31"/>
      <c r="Y98" s="31"/>
      <c r="Z98" s="36"/>
      <c r="AA98" s="28">
        <v>46356</v>
      </c>
      <c r="AB98" s="43"/>
      <c r="AC98" s="43"/>
      <c r="AD98" s="31" t="s">
        <v>178</v>
      </c>
      <c r="AE98" s="31" t="s">
        <v>49</v>
      </c>
      <c r="AF98" s="31"/>
      <c r="AG98" s="31"/>
      <c r="AH98" s="31"/>
      <c r="AI98" s="31"/>
      <c r="AJ98" s="31"/>
      <c r="AK98" s="31"/>
      <c r="AL98" s="31"/>
      <c r="AM98" s="32" t="str" cm="1">
        <f t="array" ref="AM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8" s="32" t="str" cm="1">
        <f t="array" ref="AN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40" ht="14.45" hidden="1">
      <c r="A99" s="31" t="s">
        <v>127</v>
      </c>
      <c r="B99" s="31" t="s">
        <v>286</v>
      </c>
      <c r="C99" s="31" t="s">
        <v>208</v>
      </c>
      <c r="D99" t="str" cm="1">
        <f t="array" aca="1" ref="D99" ca="1">IF($B99="","",IF(LEFT($AJ99,3)="Yes","Blocked - "&amp;MID($AJ99,7,100)&amp;IF(SUMPRODUCT(('Rework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track")),IF(C99="QA",_xlfn.LET(_xlpm.tgt,IF(AM99&lt;&gt;"",AM99,IF(W99&lt;&gt;"",W99,V99)),_xlpm.sent,_xlfn.MAXIFS('Rework Log'!$B$3:$B$499,'Rework Log'!$A$3:$A$499,$B99,'Rework Log'!$C$3:$C$499,"QA"),_xlpm.act,IF(AND(Y99&lt;&gt;"",Y99&gt;_xlpm.sent),Y99,""),IF(_xlpm.tgt="","No target set",IF(AND(_xlpm.tgt&lt;TODAY(),_xlpm.act=""),"Overdue","On track"))),IF(C99="DPO Approval",_xlfn.LET(_xlpm.tgt,IF(AN99&lt;&gt;"",AN99,IF(AB99&lt;&gt;"",AB99,AA99)),_xlpm.sent,_xlfn.MAXIFS('Rework Log'!$B$3:$B$499,'Rework Log'!$A$3:$A$499,$B99,'Rework Log'!$C$3:$C$499,"DPO*"),_xlpm.act,IF(AND(AC99&lt;&gt;"",AC99&gt;_xlpm.sent),AC99,""),IF(_xlpm.tgt="","No target set",IF(AND(_xlpm.tgt&lt;TODAY(),_xlpm.act=""),"Overdue","On track"))),IF(C99="RELEASED IN PROD","Delivered",""))))))))</f>
        <v>On track</v>
      </c>
      <c r="E99" s="31" t="s">
        <v>287</v>
      </c>
      <c r="F99" s="31"/>
      <c r="G99" s="31"/>
      <c r="H99" s="50">
        <v>46356</v>
      </c>
      <c r="I99" s="56" t="s">
        <v>262</v>
      </c>
      <c r="J99" s="54" t="s">
        <v>118</v>
      </c>
      <c r="K99" s="50">
        <v>46332</v>
      </c>
      <c r="L99" s="43"/>
      <c r="M99" s="44"/>
      <c r="N99" s="44"/>
      <c r="O99" s="44" t="s">
        <v>246</v>
      </c>
      <c r="P99" s="75"/>
      <c r="Q99" s="50">
        <v>46339</v>
      </c>
      <c r="R99" s="43"/>
      <c r="S99" s="44"/>
      <c r="T99" s="69" t="s">
        <v>279</v>
      </c>
      <c r="U99" s="47"/>
      <c r="V99" s="28">
        <v>46344</v>
      </c>
      <c r="W99" s="43"/>
      <c r="X99" s="31"/>
      <c r="Y99" s="31"/>
      <c r="Z99" s="36"/>
      <c r="AA99" s="28">
        <v>46356</v>
      </c>
      <c r="AB99" s="43"/>
      <c r="AC99" s="43"/>
      <c r="AD99" s="31" t="s">
        <v>288</v>
      </c>
      <c r="AE99" s="31" t="s">
        <v>94</v>
      </c>
      <c r="AF99" s="31"/>
      <c r="AG99" s="31"/>
      <c r="AH99" s="31"/>
      <c r="AI99" s="31"/>
      <c r="AJ99" s="31"/>
      <c r="AK99" s="31"/>
      <c r="AL99" s="31"/>
      <c r="AM99" s="32" t="str" cm="1">
        <f t="array" ref="AM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9" s="32" t="str" cm="1">
        <f t="array" ref="AN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40" ht="14.45" hidden="1">
      <c r="A100" s="31" t="s">
        <v>127</v>
      </c>
      <c r="B100" s="31" t="s">
        <v>289</v>
      </c>
      <c r="C100" s="31" t="s">
        <v>208</v>
      </c>
      <c r="D100" t="str" cm="1">
        <f t="array" aca="1" ref="D100" ca="1">IF($B100="","",IF(LEFT($AJ100,3)="Yes","Blocked - "&amp;MID($AJ100,7,100)&amp;IF(SUMPRODUCT(('Rework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track")),IF(C100="QA",_xlfn.LET(_xlpm.tgt,IF(AM100&lt;&gt;"",AM100,IF(W100&lt;&gt;"",W100,V100)),_xlpm.sent,_xlfn.MAXIFS('Rework Log'!$B$3:$B$499,'Rework Log'!$A$3:$A$499,$B100,'Rework Log'!$C$3:$C$499,"QA"),_xlpm.act,IF(AND(Y100&lt;&gt;"",Y100&gt;_xlpm.sent),Y100,""),IF(_xlpm.tgt="","No target set",IF(AND(_xlpm.tgt&lt;TODAY(),_xlpm.act=""),"Overdue","On track"))),IF(C100="DPO Approval",_xlfn.LET(_xlpm.tgt,IF(AN100&lt;&gt;"",AN100,IF(AB100&lt;&gt;"",AB100,AA100)),_xlpm.sent,_xlfn.MAXIFS('Rework Log'!$B$3:$B$499,'Rework Log'!$A$3:$A$499,$B100,'Rework Log'!$C$3:$C$499,"DPO*"),_xlpm.act,IF(AND(AC100&lt;&gt;"",AC100&gt;_xlpm.sent),AC100,""),IF(_xlpm.tgt="","No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6" t="s">
        <v>262</v>
      </c>
      <c r="J100" s="54"/>
      <c r="K100" s="50">
        <v>46332</v>
      </c>
      <c r="L100" s="43"/>
      <c r="M100" s="44"/>
      <c r="N100" s="44"/>
      <c r="O100" s="36" t="s">
        <v>275</v>
      </c>
      <c r="P100" s="75"/>
      <c r="Q100" s="50">
        <v>46339</v>
      </c>
      <c r="R100" s="43"/>
      <c r="S100" s="44"/>
      <c r="T100" s="69" t="s">
        <v>279</v>
      </c>
      <c r="U100" s="47"/>
      <c r="V100" s="28">
        <v>46344</v>
      </c>
      <c r="W100" s="43"/>
      <c r="X100" s="31"/>
      <c r="Y100" s="31"/>
      <c r="Z100" s="36"/>
      <c r="AA100" s="28">
        <v>46356</v>
      </c>
      <c r="AB100" s="43"/>
      <c r="AC100" s="43"/>
      <c r="AD100" s="31" t="s">
        <v>290</v>
      </c>
      <c r="AE100" s="31" t="s">
        <v>72</v>
      </c>
      <c r="AF100" s="31"/>
      <c r="AG100" s="31"/>
      <c r="AH100" s="31"/>
      <c r="AI100" s="31"/>
      <c r="AJ100" s="31"/>
      <c r="AK100" s="31"/>
      <c r="AL100" s="31"/>
      <c r="AM100" s="32" t="str" cm="1">
        <f t="array" ref="AM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0" s="32" t="str" cm="1">
        <f t="array" ref="AN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40" ht="14.45" hidden="1">
      <c r="A101" s="31" t="s">
        <v>291</v>
      </c>
      <c r="B101" s="31" t="s">
        <v>292</v>
      </c>
      <c r="C101" s="31" t="s">
        <v>208</v>
      </c>
      <c r="D101" t="str" cm="1">
        <f t="array" aca="1" ref="D101" ca="1">IF($B101="","",IF(LEFT($AJ101,3)="Yes","Blocked - "&amp;MID($AJ101,7,100)&amp;IF(SUMPRODUCT(('Rework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track")),IF(C101="QA",_xlfn.LET(_xlpm.tgt,IF(AM101&lt;&gt;"",AM101,IF(W101&lt;&gt;"",W101,V101)),_xlpm.sent,_xlfn.MAXIFS('Rework Log'!$B$3:$B$499,'Rework Log'!$A$3:$A$499,$B101,'Rework Log'!$C$3:$C$499,"QA"),_xlpm.act,IF(AND(Y101&lt;&gt;"",Y101&gt;_xlpm.sent),Y101,""),IF(_xlpm.tgt="","No target set",IF(AND(_xlpm.tgt&lt;TODAY(),_xlpm.act=""),"Overdue","On track"))),IF(C101="DPO Approval",_xlfn.LET(_xlpm.tgt,IF(AN101&lt;&gt;"",AN101,IF(AB101&lt;&gt;"",AB101,AA101)),_xlpm.sent,_xlfn.MAXIFS('Rework Log'!$B$3:$B$499,'Rework Log'!$A$3:$A$499,$B101,'Rework Log'!$C$3:$C$499,"DPO*"),_xlpm.act,IF(AND(AC101&lt;&gt;"",AC101&gt;_xlpm.sent),AC101,""),IF(_xlpm.tgt="","No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130</v>
      </c>
      <c r="G101" s="31"/>
      <c r="H101" s="28">
        <v>46387</v>
      </c>
      <c r="I101" s="56" t="s">
        <v>293</v>
      </c>
      <c r="J101" s="54"/>
      <c r="K101" s="28">
        <v>46363</v>
      </c>
      <c r="L101" s="43"/>
      <c r="M101" s="31"/>
      <c r="N101" s="31"/>
      <c r="O101" s="36" t="s">
        <v>294</v>
      </c>
      <c r="P101" s="75"/>
      <c r="Q101" s="28">
        <v>46370</v>
      </c>
      <c r="R101" s="43"/>
      <c r="S101" s="31"/>
      <c r="T101" s="69" t="s">
        <v>279</v>
      </c>
      <c r="U101" s="47"/>
      <c r="V101" s="28">
        <v>46373</v>
      </c>
      <c r="W101" s="43"/>
      <c r="X101" s="31"/>
      <c r="Y101" s="31"/>
      <c r="Z101" s="36"/>
      <c r="AA101" s="28">
        <v>46386</v>
      </c>
      <c r="AB101" s="43"/>
      <c r="AC101" s="43"/>
      <c r="AD101" s="31" t="s">
        <v>295</v>
      </c>
      <c r="AE101" s="31" t="s">
        <v>94</v>
      </c>
      <c r="AF101" s="31"/>
      <c r="AG101" s="31"/>
      <c r="AH101" s="31"/>
      <c r="AI101" s="31"/>
      <c r="AJ101" s="31"/>
      <c r="AK101" s="31"/>
      <c r="AL101" s="31"/>
      <c r="AM101" s="31" t="str" cm="1">
        <f t="array" ref="AM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1" s="31" t="str" cm="1">
        <f t="array" ref="AN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40" ht="14.45" hidden="1">
      <c r="A102" s="31" t="s">
        <v>291</v>
      </c>
      <c r="B102" s="31" t="s">
        <v>296</v>
      </c>
      <c r="C102" s="31" t="s">
        <v>208</v>
      </c>
      <c r="D102" t="str" cm="1">
        <f t="array" aca="1" ref="D102" ca="1">IF($B102="","",IF(LEFT($AJ102,3)="Yes","Blocked - "&amp;MID($AJ102,7,100)&amp;IF(SUMPRODUCT(('Rework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track")),IF(C102="QA",_xlfn.LET(_xlpm.tgt,IF(AM102&lt;&gt;"",AM102,IF(W102&lt;&gt;"",W102,V102)),_xlpm.sent,_xlfn.MAXIFS('Rework Log'!$B$3:$B$499,'Rework Log'!$A$3:$A$499,$B102,'Rework Log'!$C$3:$C$499,"QA"),_xlpm.act,IF(AND(Y102&lt;&gt;"",Y102&gt;_xlpm.sent),Y102,""),IF(_xlpm.tgt="","No target set",IF(AND(_xlpm.tgt&lt;TODAY(),_xlpm.act=""),"Overdue","On track"))),IF(C102="DPO Approval",_xlfn.LET(_xlpm.tgt,IF(AN102&lt;&gt;"",AN102,IF(AB102&lt;&gt;"",AB102,AA102)),_xlpm.sent,_xlfn.MAXIFS('Rework Log'!$B$3:$B$499,'Rework Log'!$A$3:$A$499,$B102,'Rework Log'!$C$3:$C$499,"DPO*"),_xlpm.act,IF(AND(AC102&lt;&gt;"",AC102&gt;_xlpm.sent),AC102,""),IF(_xlpm.tgt="","No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130</v>
      </c>
      <c r="G102" s="31"/>
      <c r="H102" s="28">
        <v>46387</v>
      </c>
      <c r="I102" s="56" t="s">
        <v>293</v>
      </c>
      <c r="J102" s="54"/>
      <c r="K102" s="28">
        <v>46363</v>
      </c>
      <c r="L102" s="43"/>
      <c r="M102" s="31"/>
      <c r="N102" s="31"/>
      <c r="O102" s="36" t="s">
        <v>294</v>
      </c>
      <c r="P102" s="75"/>
      <c r="Q102" s="28">
        <v>46370</v>
      </c>
      <c r="R102" s="43"/>
      <c r="S102" s="31"/>
      <c r="T102" s="69" t="s">
        <v>297</v>
      </c>
      <c r="U102" s="47"/>
      <c r="V102" s="28">
        <v>46373</v>
      </c>
      <c r="W102" s="43"/>
      <c r="X102" s="31"/>
      <c r="Y102" s="31"/>
      <c r="Z102" s="36"/>
      <c r="AA102" s="28">
        <v>46386</v>
      </c>
      <c r="AB102" s="43"/>
      <c r="AC102" s="43"/>
      <c r="AD102" s="31" t="s">
        <v>298</v>
      </c>
      <c r="AE102" s="31" t="s">
        <v>94</v>
      </c>
      <c r="AF102" s="31"/>
      <c r="AG102" s="31"/>
      <c r="AH102" s="31"/>
      <c r="AI102" s="31"/>
      <c r="AJ102" s="31"/>
      <c r="AK102" s="31"/>
      <c r="AL102" s="31"/>
      <c r="AM102" s="31" t="str" cm="1">
        <f t="array" ref="AM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2" s="31" t="str" cm="1">
        <f t="array" ref="AN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40" ht="14.45" hidden="1">
      <c r="A103" s="31" t="s">
        <v>291</v>
      </c>
      <c r="B103" s="31" t="s">
        <v>299</v>
      </c>
      <c r="C103" s="31" t="s">
        <v>208</v>
      </c>
      <c r="D103" t="str" cm="1">
        <f t="array" aca="1" ref="D103" ca="1">IF($B103="","",IF(LEFT($AJ103,3)="Yes","Blocked - "&amp;MID($AJ103,7,100)&amp;IF(SUMPRODUCT(('Rework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track")),IF(C103="QA",_xlfn.LET(_xlpm.tgt,IF(AM103&lt;&gt;"",AM103,IF(W103&lt;&gt;"",W103,V103)),_xlpm.sent,_xlfn.MAXIFS('Rework Log'!$B$3:$B$499,'Rework Log'!$A$3:$A$499,$B103,'Rework Log'!$C$3:$C$499,"QA"),_xlpm.act,IF(AND(Y103&lt;&gt;"",Y103&gt;_xlpm.sent),Y103,""),IF(_xlpm.tgt="","No target set",IF(AND(_xlpm.tgt&lt;TODAY(),_xlpm.act=""),"Overdue","On track"))),IF(C103="DPO Approval",_xlfn.LET(_xlpm.tgt,IF(AN103&lt;&gt;"",AN103,IF(AB103&lt;&gt;"",AB103,AA103)),_xlpm.sent,_xlfn.MAXIFS('Rework Log'!$B$3:$B$499,'Rework Log'!$A$3:$A$499,$B103,'Rework Log'!$C$3:$C$499,"DPO*"),_xlpm.act,IF(AND(AC103&lt;&gt;"",AC103&gt;_xlpm.sent),AC103,""),IF(_xlpm.tgt="","No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130</v>
      </c>
      <c r="G103" s="31"/>
      <c r="H103" s="28">
        <v>46387</v>
      </c>
      <c r="I103" s="56" t="s">
        <v>293</v>
      </c>
      <c r="J103" s="54"/>
      <c r="K103" s="28">
        <v>46363</v>
      </c>
      <c r="L103" s="43"/>
      <c r="M103" s="31"/>
      <c r="N103" s="31"/>
      <c r="O103" s="36" t="s">
        <v>294</v>
      </c>
      <c r="P103" s="75"/>
      <c r="Q103" s="28">
        <v>46370</v>
      </c>
      <c r="R103" s="43"/>
      <c r="S103" s="31"/>
      <c r="T103" s="69" t="s">
        <v>297</v>
      </c>
      <c r="U103" s="47"/>
      <c r="V103" s="28">
        <v>46373</v>
      </c>
      <c r="W103" s="43"/>
      <c r="X103" s="31"/>
      <c r="Y103" s="31"/>
      <c r="Z103" s="36"/>
      <c r="AA103" s="28">
        <v>46386</v>
      </c>
      <c r="AB103" s="43"/>
      <c r="AC103" s="43"/>
      <c r="AD103" s="31" t="s">
        <v>300</v>
      </c>
      <c r="AE103" s="31" t="s">
        <v>94</v>
      </c>
      <c r="AF103" s="31"/>
      <c r="AG103" s="31"/>
      <c r="AH103" s="31"/>
      <c r="AI103" s="31"/>
      <c r="AJ103" s="31"/>
      <c r="AK103" s="31"/>
      <c r="AL103" s="31"/>
      <c r="AM103" s="31" t="str" cm="1">
        <f t="array" ref="AM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3" s="31" t="str" cm="1">
        <f t="array" ref="AN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40" ht="14.45" hidden="1">
      <c r="A104" s="31" t="s">
        <v>301</v>
      </c>
      <c r="B104" s="31" t="s">
        <v>302</v>
      </c>
      <c r="C104" s="31" t="s">
        <v>208</v>
      </c>
      <c r="D104" t="str" cm="1">
        <f t="array" aca="1" ref="D104" ca="1">IF($B104="","",IF(LEFT($AJ104,3)="Yes","Blocked - "&amp;MID($AJ104,7,100)&amp;IF(SUMPRODUCT(('Rework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track")),IF(C104="QA",_xlfn.LET(_xlpm.tgt,IF(AM104&lt;&gt;"",AM104,IF(W104&lt;&gt;"",W104,V104)),_xlpm.sent,_xlfn.MAXIFS('Rework Log'!$B$3:$B$499,'Rework Log'!$A$3:$A$499,$B104,'Rework Log'!$C$3:$C$499,"QA"),_xlpm.act,IF(AND(Y104&lt;&gt;"",Y104&gt;_xlpm.sent),Y104,""),IF(_xlpm.tgt="","No target set",IF(AND(_xlpm.tgt&lt;TODAY(),_xlpm.act=""),"Overdue","On track"))),IF(C104="DPO Approval",_xlfn.LET(_xlpm.tgt,IF(AN104&lt;&gt;"",AN104,IF(AB104&lt;&gt;"",AB104,AA104)),_xlpm.sent,_xlfn.MAXIFS('Rework Log'!$B$3:$B$499,'Rework Log'!$A$3:$A$499,$B104,'Rework Log'!$C$3:$C$499,"DPO*"),_xlpm.act,IF(AND(AC104&lt;&gt;"",AC104&gt;_xlpm.sent),AC104,""),IF(_xlpm.tgt="","No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148</v>
      </c>
      <c r="G104" s="31"/>
      <c r="H104" s="28">
        <v>46387</v>
      </c>
      <c r="I104" s="56" t="s">
        <v>293</v>
      </c>
      <c r="J104" s="54"/>
      <c r="K104" s="28">
        <v>46363</v>
      </c>
      <c r="L104" s="43"/>
      <c r="M104" s="31"/>
      <c r="N104" s="31"/>
      <c r="O104" s="36" t="s">
        <v>294</v>
      </c>
      <c r="P104" s="75"/>
      <c r="Q104" s="28">
        <v>46370</v>
      </c>
      <c r="R104" s="43"/>
      <c r="S104" s="31"/>
      <c r="T104" s="69" t="s">
        <v>297</v>
      </c>
      <c r="U104" s="47"/>
      <c r="V104" s="28">
        <v>46373</v>
      </c>
      <c r="W104" s="43"/>
      <c r="X104" s="31"/>
      <c r="Y104" s="31"/>
      <c r="Z104" s="36"/>
      <c r="AA104" s="28">
        <v>46386</v>
      </c>
      <c r="AB104" s="43"/>
      <c r="AC104" s="43"/>
      <c r="AD104" s="31" t="s">
        <v>303</v>
      </c>
      <c r="AE104" s="31" t="s">
        <v>49</v>
      </c>
      <c r="AF104" s="31"/>
      <c r="AG104" s="31"/>
      <c r="AH104" s="31"/>
      <c r="AI104" s="31"/>
      <c r="AJ104" s="31"/>
      <c r="AK104" s="31"/>
      <c r="AL104" s="31"/>
      <c r="AM104" s="31" t="str" cm="1">
        <f t="array" ref="AM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4" s="31" t="str" cm="1">
        <f t="array" ref="AN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40" ht="14.45" hidden="1">
      <c r="A105" s="31" t="s">
        <v>291</v>
      </c>
      <c r="B105" s="31" t="s">
        <v>304</v>
      </c>
      <c r="C105" s="31" t="s">
        <v>208</v>
      </c>
      <c r="D105" t="str" cm="1">
        <f t="array" aca="1" ref="D105" ca="1">IF($B105="","",IF(LEFT($AJ105,3)="Yes","Blocked - "&amp;MID($AJ105,7,100)&amp;IF(SUMPRODUCT(('Rework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track")),IF(C105="QA",_xlfn.LET(_xlpm.tgt,IF(AM105&lt;&gt;"",AM105,IF(W105&lt;&gt;"",W105,V105)),_xlpm.sent,_xlfn.MAXIFS('Rework Log'!$B$3:$B$499,'Rework Log'!$A$3:$A$499,$B105,'Rework Log'!$C$3:$C$499,"QA"),_xlpm.act,IF(AND(Y105&lt;&gt;"",Y105&gt;_xlpm.sent),Y105,""),IF(_xlpm.tgt="","No target set",IF(AND(_xlpm.tgt&lt;TODAY(),_xlpm.act=""),"Overdue","On track"))),IF(C105="DPO Approval",_xlfn.LET(_xlpm.tgt,IF(AN105&lt;&gt;"",AN105,IF(AB105&lt;&gt;"",AB105,AA105)),_xlpm.sent,_xlfn.MAXIFS('Rework Log'!$B$3:$B$499,'Rework Log'!$A$3:$A$499,$B105,'Rework Log'!$C$3:$C$499,"DPO*"),_xlpm.act,IF(AND(AC105&lt;&gt;"",AC105&gt;_xlpm.sent),AC105,""),IF(_xlpm.tgt="","No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130</v>
      </c>
      <c r="G105" s="31"/>
      <c r="H105" s="28">
        <v>46387</v>
      </c>
      <c r="I105" s="56" t="s">
        <v>293</v>
      </c>
      <c r="J105" s="54"/>
      <c r="K105" s="28">
        <v>46363</v>
      </c>
      <c r="L105" s="43"/>
      <c r="M105" s="31"/>
      <c r="N105" s="31"/>
      <c r="O105" s="36" t="s">
        <v>294</v>
      </c>
      <c r="P105" s="75"/>
      <c r="Q105" s="28">
        <v>46370</v>
      </c>
      <c r="R105" s="43"/>
      <c r="S105" s="31"/>
      <c r="T105" s="69" t="s">
        <v>297</v>
      </c>
      <c r="U105" s="47"/>
      <c r="V105" s="28">
        <v>46373</v>
      </c>
      <c r="W105" s="43"/>
      <c r="X105" s="31"/>
      <c r="Y105" s="31"/>
      <c r="Z105" s="36"/>
      <c r="AA105" s="28">
        <v>46386</v>
      </c>
      <c r="AB105" s="43"/>
      <c r="AC105" s="43"/>
      <c r="AD105" s="31" t="s">
        <v>305</v>
      </c>
      <c r="AE105" s="31" t="s">
        <v>72</v>
      </c>
      <c r="AF105" s="31"/>
      <c r="AG105" s="31"/>
      <c r="AH105" s="31"/>
      <c r="AI105" s="31"/>
      <c r="AJ105" s="31"/>
      <c r="AK105" s="31"/>
      <c r="AL105" s="31"/>
      <c r="AM105" s="31" t="str" cm="1">
        <f t="array" ref="AM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5" s="31" t="str" cm="1">
        <f t="array" ref="AN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40" ht="14.45" hidden="1">
      <c r="A106" s="31" t="s">
        <v>291</v>
      </c>
      <c r="B106" s="31" t="s">
        <v>306</v>
      </c>
      <c r="C106" s="31" t="s">
        <v>208</v>
      </c>
      <c r="D106" t="str" cm="1">
        <f t="array" aca="1" ref="D106" ca="1">IF($B106="","",IF(LEFT($AJ106,3)="Yes","Blocked - "&amp;MID($AJ106,7,100)&amp;IF(SUMPRODUCT(('Rework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track")),IF(C106="QA",_xlfn.LET(_xlpm.tgt,IF(AM106&lt;&gt;"",AM106,IF(W106&lt;&gt;"",W106,V106)),_xlpm.sent,_xlfn.MAXIFS('Rework Log'!$B$3:$B$499,'Rework Log'!$A$3:$A$499,$B106,'Rework Log'!$C$3:$C$499,"QA"),_xlpm.act,IF(AND(Y106&lt;&gt;"",Y106&gt;_xlpm.sent),Y106,""),IF(_xlpm.tgt="","No target set",IF(AND(_xlpm.tgt&lt;TODAY(),_xlpm.act=""),"Overdue","On track"))),IF(C106="DPO Approval",_xlfn.LET(_xlpm.tgt,IF(AN106&lt;&gt;"",AN106,IF(AB106&lt;&gt;"",AB106,AA106)),_xlpm.sent,_xlfn.MAXIFS('Rework Log'!$B$3:$B$499,'Rework Log'!$A$3:$A$499,$B106,'Rework Log'!$C$3:$C$499,"DPO*"),_xlpm.act,IF(AND(AC106&lt;&gt;"",AC106&gt;_xlpm.sent),AC106,""),IF(_xlpm.tgt="","No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130</v>
      </c>
      <c r="G106" s="31"/>
      <c r="H106" s="28">
        <v>46387</v>
      </c>
      <c r="I106" s="56" t="s">
        <v>293</v>
      </c>
      <c r="J106" s="54"/>
      <c r="K106" s="28">
        <v>46363</v>
      </c>
      <c r="L106" s="43"/>
      <c r="M106" s="31"/>
      <c r="N106" s="31"/>
      <c r="O106" s="36" t="s">
        <v>294</v>
      </c>
      <c r="P106" s="75"/>
      <c r="Q106" s="28">
        <v>46370</v>
      </c>
      <c r="R106" s="43"/>
      <c r="S106" s="31"/>
      <c r="T106" s="69" t="s">
        <v>297</v>
      </c>
      <c r="U106" s="47"/>
      <c r="V106" s="28">
        <v>46373</v>
      </c>
      <c r="W106" s="43"/>
      <c r="X106" s="31"/>
      <c r="Y106" s="31"/>
      <c r="Z106" s="36"/>
      <c r="AA106" s="28">
        <v>46386</v>
      </c>
      <c r="AB106" s="43"/>
      <c r="AC106" s="43"/>
      <c r="AD106" s="31" t="s">
        <v>307</v>
      </c>
      <c r="AE106" s="31" t="s">
        <v>72</v>
      </c>
      <c r="AF106" s="31"/>
      <c r="AG106" s="31"/>
      <c r="AH106" s="31"/>
      <c r="AI106" s="31"/>
      <c r="AJ106" s="31"/>
      <c r="AK106" s="31"/>
      <c r="AL106" s="31"/>
      <c r="AM106" s="31" t="str" cm="1">
        <f t="array" ref="AM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6" s="31" t="str" cm="1">
        <f t="array" ref="AN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40" ht="14.45" hidden="1">
      <c r="A107" s="31" t="s">
        <v>291</v>
      </c>
      <c r="B107" s="31" t="s">
        <v>308</v>
      </c>
      <c r="C107" s="31" t="s">
        <v>208</v>
      </c>
      <c r="D107" t="str" cm="1">
        <f t="array" aca="1" ref="D107" ca="1">IF($B107="","",IF(LEFT($AJ107,3)="Yes","Blocked - "&amp;MID($AJ107,7,100)&amp;IF(SUMPRODUCT(('Rework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track")),IF(C107="QA",_xlfn.LET(_xlpm.tgt,IF(AM107&lt;&gt;"",AM107,IF(W107&lt;&gt;"",W107,V107)),_xlpm.sent,_xlfn.MAXIFS('Rework Log'!$B$3:$B$499,'Rework Log'!$A$3:$A$499,$B107,'Rework Log'!$C$3:$C$499,"QA"),_xlpm.act,IF(AND(Y107&lt;&gt;"",Y107&gt;_xlpm.sent),Y107,""),IF(_xlpm.tgt="","No target set",IF(AND(_xlpm.tgt&lt;TODAY(),_xlpm.act=""),"Overdue","On track"))),IF(C107="DPO Approval",_xlfn.LET(_xlpm.tgt,IF(AN107&lt;&gt;"",AN107,IF(AB107&lt;&gt;"",AB107,AA107)),_xlpm.sent,_xlfn.MAXIFS('Rework Log'!$B$3:$B$499,'Rework Log'!$A$3:$A$499,$B107,'Rework Log'!$C$3:$C$499,"DPO*"),_xlpm.act,IF(AND(AC107&lt;&gt;"",AC107&gt;_xlpm.sent),AC107,""),IF(_xlpm.tgt="","No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130</v>
      </c>
      <c r="G107" s="31"/>
      <c r="H107" s="28">
        <v>46387</v>
      </c>
      <c r="I107" s="56" t="s">
        <v>293</v>
      </c>
      <c r="J107" s="54"/>
      <c r="K107" s="28">
        <v>46363</v>
      </c>
      <c r="L107" s="43"/>
      <c r="M107" s="31"/>
      <c r="N107" s="31"/>
      <c r="O107" s="36" t="s">
        <v>294</v>
      </c>
      <c r="P107" s="75"/>
      <c r="Q107" s="28">
        <v>46370</v>
      </c>
      <c r="R107" s="43"/>
      <c r="S107" s="31"/>
      <c r="T107" s="69" t="s">
        <v>297</v>
      </c>
      <c r="U107" s="47"/>
      <c r="V107" s="28">
        <v>46373</v>
      </c>
      <c r="W107" s="43"/>
      <c r="X107" s="31"/>
      <c r="Y107" s="31"/>
      <c r="Z107" s="36"/>
      <c r="AA107" s="28">
        <v>46386</v>
      </c>
      <c r="AB107" s="43"/>
      <c r="AC107" s="43"/>
      <c r="AD107" s="31" t="s">
        <v>309</v>
      </c>
      <c r="AE107" s="31" t="s">
        <v>72</v>
      </c>
      <c r="AF107" s="31"/>
      <c r="AG107" s="31"/>
      <c r="AH107" s="31"/>
      <c r="AI107" s="31"/>
      <c r="AJ107" s="31"/>
      <c r="AK107" s="31"/>
      <c r="AL107" s="31"/>
      <c r="AM107" s="31" t="str" cm="1">
        <f t="array" ref="AM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7" s="31" t="str" cm="1">
        <f t="array" ref="AN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40" ht="14.45" hidden="1">
      <c r="A108" s="31" t="s">
        <v>291</v>
      </c>
      <c r="B108" s="31" t="s">
        <v>310</v>
      </c>
      <c r="C108" s="31" t="s">
        <v>208</v>
      </c>
      <c r="D108" t="str" cm="1">
        <f t="array" aca="1" ref="D108" ca="1">IF($B108="","",IF(LEFT($AJ108,3)="Yes","Blocked - "&amp;MID($AJ108,7,100)&amp;IF(SUMPRODUCT(('Rework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track")),IF(C108="QA",_xlfn.LET(_xlpm.tgt,IF(AM108&lt;&gt;"",AM108,IF(W108&lt;&gt;"",W108,V108)),_xlpm.sent,_xlfn.MAXIFS('Rework Log'!$B$3:$B$499,'Rework Log'!$A$3:$A$499,$B108,'Rework Log'!$C$3:$C$499,"QA"),_xlpm.act,IF(AND(Y108&lt;&gt;"",Y108&gt;_xlpm.sent),Y108,""),IF(_xlpm.tgt="","No target set",IF(AND(_xlpm.tgt&lt;TODAY(),_xlpm.act=""),"Overdue","On track"))),IF(C108="DPO Approval",_xlfn.LET(_xlpm.tgt,IF(AN108&lt;&gt;"",AN108,IF(AB108&lt;&gt;"",AB108,AA108)),_xlpm.sent,_xlfn.MAXIFS('Rework Log'!$B$3:$B$499,'Rework Log'!$A$3:$A$499,$B108,'Rework Log'!$C$3:$C$499,"DPO*"),_xlpm.act,IF(AND(AC108&lt;&gt;"",AC108&gt;_xlpm.sent),AC108,""),IF(_xlpm.tgt="","No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130</v>
      </c>
      <c r="G108" s="31"/>
      <c r="H108" s="28">
        <v>46387</v>
      </c>
      <c r="I108" s="56" t="s">
        <v>293</v>
      </c>
      <c r="J108" s="54"/>
      <c r="K108" s="28">
        <v>46363</v>
      </c>
      <c r="L108" s="43"/>
      <c r="M108" s="31"/>
      <c r="N108" s="31"/>
      <c r="O108" s="36" t="s">
        <v>311</v>
      </c>
      <c r="P108" s="75"/>
      <c r="Q108" s="28">
        <v>46370</v>
      </c>
      <c r="R108" s="43"/>
      <c r="S108" s="31"/>
      <c r="T108" s="69" t="s">
        <v>297</v>
      </c>
      <c r="U108" s="47"/>
      <c r="V108" s="28">
        <v>46373</v>
      </c>
      <c r="W108" s="43"/>
      <c r="X108" s="31"/>
      <c r="Y108" s="31"/>
      <c r="Z108" s="36"/>
      <c r="AA108" s="28">
        <v>46386</v>
      </c>
      <c r="AB108" s="43"/>
      <c r="AC108" s="43"/>
      <c r="AD108" s="31" t="s">
        <v>312</v>
      </c>
      <c r="AE108" s="31" t="s">
        <v>72</v>
      </c>
      <c r="AF108" s="31"/>
      <c r="AG108" s="31"/>
      <c r="AH108" s="31"/>
      <c r="AI108" s="31"/>
      <c r="AJ108" s="31"/>
      <c r="AK108" s="31"/>
      <c r="AL108" s="31"/>
      <c r="AM108" s="31" t="str" cm="1">
        <f t="array" ref="AM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8" s="31" t="str" cm="1">
        <f t="array" ref="AN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40" ht="14.45" hidden="1">
      <c r="A109" s="31" t="s">
        <v>301</v>
      </c>
      <c r="B109" s="31" t="s">
        <v>313</v>
      </c>
      <c r="C109" s="31" t="s">
        <v>208</v>
      </c>
      <c r="D109" t="str" cm="1">
        <f t="array" aca="1" ref="D109" ca="1">IF($B109="","",IF(LEFT($AJ109,3)="Yes","Blocked - "&amp;MID($AJ109,7,100)&amp;IF(SUMPRODUCT(('Rework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track")),IF(C109="QA",_xlfn.LET(_xlpm.tgt,IF(AM109&lt;&gt;"",AM109,IF(W109&lt;&gt;"",W109,V109)),_xlpm.sent,_xlfn.MAXIFS('Rework Log'!$B$3:$B$499,'Rework Log'!$A$3:$A$499,$B109,'Rework Log'!$C$3:$C$499,"QA"),_xlpm.act,IF(AND(Y109&lt;&gt;"",Y109&gt;_xlpm.sent),Y109,""),IF(_xlpm.tgt="","No target set",IF(AND(_xlpm.tgt&lt;TODAY(),_xlpm.act=""),"Overdue","On track"))),IF(C109="DPO Approval",_xlfn.LET(_xlpm.tgt,IF(AN109&lt;&gt;"",AN109,IF(AB109&lt;&gt;"",AB109,AA109)),_xlpm.sent,_xlfn.MAXIFS('Rework Log'!$B$3:$B$499,'Rework Log'!$A$3:$A$499,$B109,'Rework Log'!$C$3:$C$499,"DPO*"),_xlpm.act,IF(AND(AC109&lt;&gt;"",AC109&gt;_xlpm.sent),AC109,""),IF(_xlpm.tgt="","No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148</v>
      </c>
      <c r="G109" s="31"/>
      <c r="H109" s="28">
        <v>46387</v>
      </c>
      <c r="I109" s="56" t="s">
        <v>293</v>
      </c>
      <c r="J109" s="54"/>
      <c r="K109" s="28">
        <v>46363</v>
      </c>
      <c r="L109" s="43"/>
      <c r="M109" s="31"/>
      <c r="N109" s="31"/>
      <c r="O109" s="36" t="s">
        <v>311</v>
      </c>
      <c r="P109" s="75"/>
      <c r="Q109" s="28">
        <v>46370</v>
      </c>
      <c r="R109" s="43"/>
      <c r="S109" s="31"/>
      <c r="T109" s="69" t="s">
        <v>314</v>
      </c>
      <c r="U109" s="47"/>
      <c r="V109" s="28">
        <v>46373</v>
      </c>
      <c r="W109" s="43"/>
      <c r="X109" s="31"/>
      <c r="Y109" s="31"/>
      <c r="Z109" s="36"/>
      <c r="AA109" s="28">
        <v>46386</v>
      </c>
      <c r="AB109" s="43"/>
      <c r="AC109" s="43"/>
      <c r="AD109" s="31" t="s">
        <v>315</v>
      </c>
      <c r="AE109" s="31" t="s">
        <v>72</v>
      </c>
      <c r="AF109" s="31"/>
      <c r="AG109" s="31"/>
      <c r="AH109" s="31"/>
      <c r="AI109" s="31"/>
      <c r="AJ109" s="31"/>
      <c r="AK109" s="31"/>
      <c r="AL109" s="31"/>
      <c r="AM109" s="31" t="str" cm="1">
        <f t="array" ref="AM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9" s="31" t="str" cm="1">
        <f t="array" ref="AN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40" ht="14.45" hidden="1">
      <c r="A110" s="31" t="s">
        <v>291</v>
      </c>
      <c r="B110" s="31" t="s">
        <v>316</v>
      </c>
      <c r="C110" s="31" t="s">
        <v>208</v>
      </c>
      <c r="D110" t="str" cm="1">
        <f t="array" aca="1" ref="D110" ca="1">IF($B110="","",IF(LEFT($AJ110,3)="Yes","Blocked - "&amp;MID($AJ110,7,100)&amp;IF(SUMPRODUCT(('Rework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track")),IF(C110="QA",_xlfn.LET(_xlpm.tgt,IF(AM110&lt;&gt;"",AM110,IF(W110&lt;&gt;"",W110,V110)),_xlpm.sent,_xlfn.MAXIFS('Rework Log'!$B$3:$B$499,'Rework Log'!$A$3:$A$499,$B110,'Rework Log'!$C$3:$C$499,"QA"),_xlpm.act,IF(AND(Y110&lt;&gt;"",Y110&gt;_xlpm.sent),Y110,""),IF(_xlpm.tgt="","No target set",IF(AND(_xlpm.tgt&lt;TODAY(),_xlpm.act=""),"Overdue","On track"))),IF(C110="DPO Approval",_xlfn.LET(_xlpm.tgt,IF(AN110&lt;&gt;"",AN110,IF(AB110&lt;&gt;"",AB110,AA110)),_xlpm.sent,_xlfn.MAXIFS('Rework Log'!$B$3:$B$499,'Rework Log'!$A$3:$A$499,$B110,'Rework Log'!$C$3:$C$499,"DPO*"),_xlpm.act,IF(AND(AC110&lt;&gt;"",AC110&gt;_xlpm.sent),AC110,""),IF(_xlpm.tgt="","No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130</v>
      </c>
      <c r="G110" s="31"/>
      <c r="H110" s="28">
        <v>46387</v>
      </c>
      <c r="I110" s="56" t="s">
        <v>293</v>
      </c>
      <c r="J110" s="54"/>
      <c r="K110" s="28">
        <v>46363</v>
      </c>
      <c r="L110" s="43"/>
      <c r="M110" s="31"/>
      <c r="N110" s="31"/>
      <c r="O110" s="36" t="s">
        <v>311</v>
      </c>
      <c r="P110" s="75"/>
      <c r="Q110" s="28">
        <v>46370</v>
      </c>
      <c r="R110" s="43"/>
      <c r="S110" s="31"/>
      <c r="T110" s="69" t="s">
        <v>314</v>
      </c>
      <c r="U110" s="47"/>
      <c r="V110" s="28">
        <v>46373</v>
      </c>
      <c r="W110" s="43"/>
      <c r="X110" s="31"/>
      <c r="Y110" s="31"/>
      <c r="Z110" s="36"/>
      <c r="AA110" s="28">
        <v>46386</v>
      </c>
      <c r="AB110" s="43"/>
      <c r="AC110" s="43"/>
      <c r="AD110" s="31" t="s">
        <v>317</v>
      </c>
      <c r="AE110" s="31" t="s">
        <v>72</v>
      </c>
      <c r="AF110" s="31"/>
      <c r="AG110" s="31"/>
      <c r="AH110" s="31"/>
      <c r="AI110" s="31"/>
      <c r="AJ110" s="31"/>
      <c r="AK110" s="31"/>
      <c r="AL110" s="31"/>
      <c r="AM110" s="31" t="str" cm="1">
        <f t="array" ref="AM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0" s="31" t="str" cm="1">
        <f t="array" ref="AN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40" ht="14.45" hidden="1">
      <c r="A111" s="31" t="s">
        <v>301</v>
      </c>
      <c r="B111" s="31" t="s">
        <v>318</v>
      </c>
      <c r="C111" s="31" t="s">
        <v>208</v>
      </c>
      <c r="D111" t="str" cm="1">
        <f t="array" aca="1" ref="D111" ca="1">IF($B111="","",IF(LEFT($AJ111,3)="Yes","Blocked - "&amp;MID($AJ111,7,100)&amp;IF(SUMPRODUCT(('Rework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track")),IF(C111="QA",_xlfn.LET(_xlpm.tgt,IF(AM111&lt;&gt;"",AM111,IF(W111&lt;&gt;"",W111,V111)),_xlpm.sent,_xlfn.MAXIFS('Rework Log'!$B$3:$B$499,'Rework Log'!$A$3:$A$499,$B111,'Rework Log'!$C$3:$C$499,"QA"),_xlpm.act,IF(AND(Y111&lt;&gt;"",Y111&gt;_xlpm.sent),Y111,""),IF(_xlpm.tgt="","No target set",IF(AND(_xlpm.tgt&lt;TODAY(),_xlpm.act=""),"Overdue","On track"))),IF(C111="DPO Approval",_xlfn.LET(_xlpm.tgt,IF(AN111&lt;&gt;"",AN111,IF(AB111&lt;&gt;"",AB111,AA111)),_xlpm.sent,_xlfn.MAXIFS('Rework Log'!$B$3:$B$499,'Rework Log'!$A$3:$A$499,$B111,'Rework Log'!$C$3:$C$499,"DPO*"),_xlpm.act,IF(AND(AC111&lt;&gt;"",AC111&gt;_xlpm.sent),AC111,""),IF(_xlpm.tgt="","No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148</v>
      </c>
      <c r="G111" s="31"/>
      <c r="H111" s="28">
        <v>46387</v>
      </c>
      <c r="I111" s="56" t="s">
        <v>293</v>
      </c>
      <c r="J111" s="54"/>
      <c r="K111" s="28">
        <v>46363</v>
      </c>
      <c r="L111" s="43"/>
      <c r="M111" s="31"/>
      <c r="N111" s="31"/>
      <c r="O111" s="36" t="s">
        <v>311</v>
      </c>
      <c r="P111" s="75"/>
      <c r="Q111" s="28">
        <v>46370</v>
      </c>
      <c r="R111" s="43"/>
      <c r="S111" s="31"/>
      <c r="T111" s="69" t="s">
        <v>314</v>
      </c>
      <c r="U111" s="47"/>
      <c r="V111" s="28">
        <v>46373</v>
      </c>
      <c r="W111" s="43"/>
      <c r="X111" s="31"/>
      <c r="Y111" s="31"/>
      <c r="Z111" s="36"/>
      <c r="AA111" s="28">
        <v>46386</v>
      </c>
      <c r="AB111" s="43"/>
      <c r="AC111" s="43"/>
      <c r="AD111" s="31" t="s">
        <v>319</v>
      </c>
      <c r="AE111" s="31" t="s">
        <v>72</v>
      </c>
      <c r="AF111" s="31"/>
      <c r="AG111" s="31"/>
      <c r="AH111" s="31"/>
      <c r="AI111" s="31"/>
      <c r="AJ111" s="31"/>
      <c r="AK111" s="31"/>
      <c r="AL111" s="31"/>
      <c r="AM111" s="31" t="str" cm="1">
        <f t="array" ref="AM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1" s="31" t="str" cm="1">
        <f t="array" ref="AN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40" ht="14.45" hidden="1">
      <c r="A112" s="31" t="s">
        <v>301</v>
      </c>
      <c r="B112" s="31" t="s">
        <v>320</v>
      </c>
      <c r="C112" s="31" t="s">
        <v>208</v>
      </c>
      <c r="D112" t="str" cm="1">
        <f t="array" aca="1" ref="D112" ca="1">IF($B112="","",IF(LEFT($AJ112,3)="Yes","Blocked - "&amp;MID($AJ112,7,100)&amp;IF(SUMPRODUCT(('Rework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track")),IF(C112="QA",_xlfn.LET(_xlpm.tgt,IF(AM112&lt;&gt;"",AM112,IF(W112&lt;&gt;"",W112,V112)),_xlpm.sent,_xlfn.MAXIFS('Rework Log'!$B$3:$B$499,'Rework Log'!$A$3:$A$499,$B112,'Rework Log'!$C$3:$C$499,"QA"),_xlpm.act,IF(AND(Y112&lt;&gt;"",Y112&gt;_xlpm.sent),Y112,""),IF(_xlpm.tgt="","No target set",IF(AND(_xlpm.tgt&lt;TODAY(),_xlpm.act=""),"Overdue","On track"))),IF(C112="DPO Approval",_xlfn.LET(_xlpm.tgt,IF(AN112&lt;&gt;"",AN112,IF(AB112&lt;&gt;"",AB112,AA112)),_xlpm.sent,_xlfn.MAXIFS('Rework Log'!$B$3:$B$499,'Rework Log'!$A$3:$A$499,$B112,'Rework Log'!$C$3:$C$499,"DPO*"),_xlpm.act,IF(AND(AC112&lt;&gt;"",AC112&gt;_xlpm.sent),AC112,""),IF(_xlpm.tgt="","No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148</v>
      </c>
      <c r="G112" s="31"/>
      <c r="H112" s="28">
        <v>46387</v>
      </c>
      <c r="I112" s="56" t="s">
        <v>293</v>
      </c>
      <c r="J112" s="54"/>
      <c r="K112" s="28">
        <v>46363</v>
      </c>
      <c r="L112" s="43"/>
      <c r="M112" s="31"/>
      <c r="N112" s="31"/>
      <c r="O112" s="36" t="s">
        <v>311</v>
      </c>
      <c r="P112" s="75"/>
      <c r="Q112" s="28">
        <v>46370</v>
      </c>
      <c r="R112" s="43"/>
      <c r="S112" s="31"/>
      <c r="T112" s="69" t="s">
        <v>314</v>
      </c>
      <c r="U112" s="47"/>
      <c r="V112" s="28">
        <v>46373</v>
      </c>
      <c r="W112" s="43"/>
      <c r="X112" s="31"/>
      <c r="Y112" s="31"/>
      <c r="Z112" s="36"/>
      <c r="AA112" s="28">
        <v>46386</v>
      </c>
      <c r="AB112" s="43"/>
      <c r="AC112" s="43"/>
      <c r="AD112" s="31" t="s">
        <v>315</v>
      </c>
      <c r="AE112" s="31" t="s">
        <v>72</v>
      </c>
      <c r="AF112" s="31"/>
      <c r="AG112" s="31"/>
      <c r="AH112" s="31"/>
      <c r="AI112" s="31"/>
      <c r="AJ112" s="31"/>
      <c r="AK112" s="31"/>
      <c r="AL112" s="31"/>
      <c r="AM112" s="31" t="str" cm="1">
        <f t="array" ref="AM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2" s="31" t="str" cm="1">
        <f t="array" ref="AN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40" ht="14.45" hidden="1">
      <c r="A113" s="31" t="s">
        <v>301</v>
      </c>
      <c r="B113" s="31" t="s">
        <v>321</v>
      </c>
      <c r="C113" s="31" t="s">
        <v>208</v>
      </c>
      <c r="D113" t="str" cm="1">
        <f t="array" aca="1" ref="D113" ca="1">IF($B113="","",IF(LEFT($AJ113,3)="Yes","Blocked - "&amp;MID($AJ113,7,100)&amp;IF(SUMPRODUCT(('Rework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track")),IF(C113="QA",_xlfn.LET(_xlpm.tgt,IF(AM113&lt;&gt;"",AM113,IF(W113&lt;&gt;"",W113,V113)),_xlpm.sent,_xlfn.MAXIFS('Rework Log'!$B$3:$B$499,'Rework Log'!$A$3:$A$499,$B113,'Rework Log'!$C$3:$C$499,"QA"),_xlpm.act,IF(AND(Y113&lt;&gt;"",Y113&gt;_xlpm.sent),Y113,""),IF(_xlpm.tgt="","No target set",IF(AND(_xlpm.tgt&lt;TODAY(),_xlpm.act=""),"Overdue","On track"))),IF(C113="DPO Approval",_xlfn.LET(_xlpm.tgt,IF(AN113&lt;&gt;"",AN113,IF(AB113&lt;&gt;"",AB113,AA113)),_xlpm.sent,_xlfn.MAXIFS('Rework Log'!$B$3:$B$499,'Rework Log'!$A$3:$A$499,$B113,'Rework Log'!$C$3:$C$499,"DPO*"),_xlpm.act,IF(AND(AC113&lt;&gt;"",AC113&gt;_xlpm.sent),AC113,""),IF(_xlpm.tgt="","No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148</v>
      </c>
      <c r="G113" s="31"/>
      <c r="H113" s="28">
        <v>46387</v>
      </c>
      <c r="I113" s="56" t="s">
        <v>293</v>
      </c>
      <c r="J113" s="54"/>
      <c r="K113" s="28">
        <v>46363</v>
      </c>
      <c r="L113" s="43"/>
      <c r="M113" s="31"/>
      <c r="N113" s="31"/>
      <c r="O113" s="36" t="s">
        <v>311</v>
      </c>
      <c r="P113" s="75"/>
      <c r="Q113" s="28">
        <v>46370</v>
      </c>
      <c r="R113" s="43"/>
      <c r="S113" s="31"/>
      <c r="T113" s="69" t="s">
        <v>314</v>
      </c>
      <c r="U113" s="47"/>
      <c r="V113" s="28">
        <v>46373</v>
      </c>
      <c r="W113" s="43"/>
      <c r="X113" s="31"/>
      <c r="Y113" s="31"/>
      <c r="Z113" s="36"/>
      <c r="AA113" s="28">
        <v>46386</v>
      </c>
      <c r="AB113" s="43"/>
      <c r="AC113" s="43"/>
      <c r="AD113" s="31" t="s">
        <v>315</v>
      </c>
      <c r="AE113" s="31" t="s">
        <v>72</v>
      </c>
      <c r="AF113" s="31"/>
      <c r="AG113" s="31"/>
      <c r="AH113" s="31"/>
      <c r="AI113" s="31"/>
      <c r="AJ113" s="31"/>
      <c r="AK113" s="31"/>
      <c r="AL113" s="31"/>
      <c r="AM113" s="31" t="str" cm="1">
        <f t="array" ref="AM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3" s="31" t="str" cm="1">
        <f t="array" ref="AN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40" ht="14.45" hidden="1">
      <c r="A114" s="31" t="s">
        <v>301</v>
      </c>
      <c r="B114" s="31" t="s">
        <v>322</v>
      </c>
      <c r="C114" s="31" t="s">
        <v>208</v>
      </c>
      <c r="D114" t="str" cm="1">
        <f t="array" aca="1" ref="D114" ca="1">IF($B114="","",IF(LEFT($AJ114,3)="Yes","Blocked - "&amp;MID($AJ114,7,100)&amp;IF(SUMPRODUCT(('Rework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track")),IF(C114="QA",_xlfn.LET(_xlpm.tgt,IF(AM114&lt;&gt;"",AM114,IF(W114&lt;&gt;"",W114,V114)),_xlpm.sent,_xlfn.MAXIFS('Rework Log'!$B$3:$B$499,'Rework Log'!$A$3:$A$499,$B114,'Rework Log'!$C$3:$C$499,"QA"),_xlpm.act,IF(AND(Y114&lt;&gt;"",Y114&gt;_xlpm.sent),Y114,""),IF(_xlpm.tgt="","No target set",IF(AND(_xlpm.tgt&lt;TODAY(),_xlpm.act=""),"Overdue","On track"))),IF(C114="DPO Approval",_xlfn.LET(_xlpm.tgt,IF(AN114&lt;&gt;"",AN114,IF(AB114&lt;&gt;"",AB114,AA114)),_xlpm.sent,_xlfn.MAXIFS('Rework Log'!$B$3:$B$499,'Rework Log'!$A$3:$A$499,$B114,'Rework Log'!$C$3:$C$499,"DPO*"),_xlpm.act,IF(AND(AC114&lt;&gt;"",AC114&gt;_xlpm.sent),AC114,""),IF(_xlpm.tgt="","No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148</v>
      </c>
      <c r="G114" s="31"/>
      <c r="H114" s="28">
        <v>46387</v>
      </c>
      <c r="I114" s="56" t="s">
        <v>293</v>
      </c>
      <c r="J114" s="54"/>
      <c r="K114" s="28">
        <v>46363</v>
      </c>
      <c r="L114" s="43"/>
      <c r="M114" s="31"/>
      <c r="N114" s="31"/>
      <c r="O114" s="36" t="s">
        <v>323</v>
      </c>
      <c r="P114" s="75"/>
      <c r="Q114" s="28">
        <v>46370</v>
      </c>
      <c r="R114" s="43"/>
      <c r="S114" s="31"/>
      <c r="T114" s="69" t="s">
        <v>314</v>
      </c>
      <c r="U114" s="47"/>
      <c r="V114" s="28">
        <v>46373</v>
      </c>
      <c r="W114" s="43"/>
      <c r="X114" s="31"/>
      <c r="Y114" s="31"/>
      <c r="Z114" s="36"/>
      <c r="AA114" s="28">
        <v>46386</v>
      </c>
      <c r="AB114" s="43"/>
      <c r="AC114" s="43"/>
      <c r="AD114" s="31" t="s">
        <v>319</v>
      </c>
      <c r="AE114" s="31" t="s">
        <v>72</v>
      </c>
      <c r="AF114" s="31"/>
      <c r="AG114" s="31"/>
      <c r="AH114" s="31"/>
      <c r="AI114" s="31"/>
      <c r="AJ114" s="31"/>
      <c r="AK114" s="31"/>
      <c r="AL114" s="31"/>
      <c r="AM114" s="31" t="str" cm="1">
        <f t="array" ref="AM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4" s="31" t="str" cm="1">
        <f t="array" ref="AN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40" ht="14.45" hidden="1">
      <c r="A115" s="31" t="s">
        <v>301</v>
      </c>
      <c r="B115" s="31" t="s">
        <v>324</v>
      </c>
      <c r="C115" s="31" t="s">
        <v>208</v>
      </c>
      <c r="D115" t="str" cm="1">
        <f t="array" aca="1" ref="D115" ca="1">IF($B115="","",IF(LEFT($AJ115,3)="Yes","Blocked - "&amp;MID($AJ115,7,100)&amp;IF(SUMPRODUCT(('Rework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track")),IF(C115="QA",_xlfn.LET(_xlpm.tgt,IF(AM115&lt;&gt;"",AM115,IF(W115&lt;&gt;"",W115,V115)),_xlpm.sent,_xlfn.MAXIFS('Rework Log'!$B$3:$B$499,'Rework Log'!$A$3:$A$499,$B115,'Rework Log'!$C$3:$C$499,"QA"),_xlpm.act,IF(AND(Y115&lt;&gt;"",Y115&gt;_xlpm.sent),Y115,""),IF(_xlpm.tgt="","No target set",IF(AND(_xlpm.tgt&lt;TODAY(),_xlpm.act=""),"Overdue","On track"))),IF(C115="DPO Approval",_xlfn.LET(_xlpm.tgt,IF(AN115&lt;&gt;"",AN115,IF(AB115&lt;&gt;"",AB115,AA115)),_xlpm.sent,_xlfn.MAXIFS('Rework Log'!$B$3:$B$499,'Rework Log'!$A$3:$A$499,$B115,'Rework Log'!$C$3:$C$499,"DPO*"),_xlpm.act,IF(AND(AC115&lt;&gt;"",AC115&gt;_xlpm.sent),AC115,""),IF(_xlpm.tgt="","No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148</v>
      </c>
      <c r="G115" s="31"/>
      <c r="H115" s="28">
        <v>46387</v>
      </c>
      <c r="I115" s="56" t="s">
        <v>293</v>
      </c>
      <c r="J115" s="54"/>
      <c r="K115" s="28">
        <v>46363</v>
      </c>
      <c r="L115" s="43"/>
      <c r="M115" s="31"/>
      <c r="N115" s="31"/>
      <c r="O115" s="36" t="s">
        <v>323</v>
      </c>
      <c r="P115" s="75"/>
      <c r="Q115" s="28">
        <v>46370</v>
      </c>
      <c r="R115" s="43"/>
      <c r="S115" s="31"/>
      <c r="T115" s="69" t="s">
        <v>314</v>
      </c>
      <c r="U115" s="47"/>
      <c r="V115" s="28">
        <v>46373</v>
      </c>
      <c r="W115" s="43"/>
      <c r="X115" s="31"/>
      <c r="Y115" s="31"/>
      <c r="Z115" s="36"/>
      <c r="AA115" s="28">
        <v>46386</v>
      </c>
      <c r="AB115" s="43"/>
      <c r="AC115" s="43"/>
      <c r="AD115" s="31" t="s">
        <v>263</v>
      </c>
      <c r="AE115" s="31" t="s">
        <v>72</v>
      </c>
      <c r="AF115" s="31"/>
      <c r="AG115" s="31"/>
      <c r="AH115" s="31"/>
      <c r="AI115" s="31"/>
      <c r="AJ115" s="31"/>
      <c r="AK115" s="31"/>
      <c r="AL115" s="31"/>
      <c r="AM115" s="31" t="str" cm="1">
        <f t="array" ref="AM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5" s="31" t="str" cm="1">
        <f t="array" ref="AN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40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6"/>
      <c r="R116" s="31"/>
      <c r="S116" s="31"/>
      <c r="T116" s="71"/>
      <c r="U116" s="31"/>
      <c r="W116" s="31"/>
      <c r="Y116" s="31"/>
      <c r="Z116" s="31"/>
      <c r="AA116" s="31"/>
      <c r="AB116" s="31"/>
      <c r="AC116" s="31"/>
      <c r="AD116" s="31"/>
      <c r="AE116" s="31"/>
      <c r="AG116" s="31"/>
    </row>
    <row r="117" spans="1:40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6"/>
      <c r="R117" s="31"/>
      <c r="S117" s="31"/>
      <c r="T117" s="71"/>
      <c r="U117" s="31"/>
      <c r="W117" s="31"/>
      <c r="Y117" s="31"/>
      <c r="Z117" s="31"/>
      <c r="AA117" s="31"/>
      <c r="AB117" s="31"/>
      <c r="AC117" s="31"/>
      <c r="AD117" s="31"/>
      <c r="AE117" s="31"/>
      <c r="AG117" s="31"/>
    </row>
    <row r="118" spans="1:40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6"/>
      <c r="R118" s="31"/>
      <c r="S118" s="31"/>
      <c r="T118" s="71"/>
      <c r="U118" s="31"/>
      <c r="W118" s="31"/>
      <c r="Y118" s="31"/>
      <c r="Z118" s="31"/>
      <c r="AA118" s="31"/>
      <c r="AB118" s="31"/>
      <c r="AC118" s="31"/>
      <c r="AD118" s="31"/>
      <c r="AE118" s="31"/>
      <c r="AG118" s="31"/>
    </row>
    <row r="119" spans="1:40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6"/>
      <c r="R119" s="31"/>
      <c r="S119" s="31"/>
      <c r="T119" s="71"/>
      <c r="U119" s="31"/>
      <c r="W119" s="31"/>
      <c r="Y119" s="31"/>
      <c r="Z119" s="31"/>
      <c r="AA119" s="31"/>
      <c r="AB119" s="31"/>
      <c r="AC119" s="31"/>
      <c r="AD119" s="31"/>
      <c r="AE119" s="31"/>
      <c r="AG119" s="31"/>
    </row>
    <row r="120" spans="1:40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6"/>
      <c r="R120" s="31"/>
      <c r="S120" s="31"/>
      <c r="T120" s="71"/>
      <c r="U120" s="31"/>
      <c r="W120" s="31"/>
      <c r="Y120" s="31"/>
      <c r="Z120" s="31"/>
      <c r="AA120" s="31"/>
      <c r="AB120" s="31"/>
      <c r="AC120" s="31"/>
      <c r="AD120" s="31"/>
      <c r="AE120" s="31"/>
      <c r="AG120" s="31"/>
    </row>
    <row r="121" spans="1:40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6"/>
      <c r="R121" s="31"/>
      <c r="S121" s="31"/>
      <c r="T121" s="71"/>
      <c r="U121" s="31"/>
      <c r="W121" s="31"/>
      <c r="Y121" s="31"/>
      <c r="Z121" s="31"/>
      <c r="AA121" s="31"/>
      <c r="AB121" s="31"/>
      <c r="AC121" s="31"/>
      <c r="AD121" s="31"/>
      <c r="AE121" s="31"/>
      <c r="AG121" s="31"/>
    </row>
    <row r="122" spans="1:40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6"/>
      <c r="R122" s="31"/>
      <c r="S122" s="31"/>
      <c r="T122" s="71"/>
      <c r="U122" s="31"/>
      <c r="W122" s="31"/>
      <c r="Y122" s="31"/>
      <c r="Z122" s="31"/>
      <c r="AA122" s="31"/>
      <c r="AB122" s="31"/>
      <c r="AC122" s="31"/>
      <c r="AD122" s="31"/>
      <c r="AE122" s="31"/>
      <c r="AG122" s="31"/>
    </row>
    <row r="123" spans="1:40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6"/>
      <c r="R123" s="31"/>
      <c r="S123" s="31"/>
      <c r="T123" s="71"/>
      <c r="U123" s="31"/>
      <c r="W123" s="31"/>
      <c r="Y123" s="31"/>
      <c r="Z123" s="31"/>
      <c r="AA123" s="31"/>
      <c r="AB123" s="31"/>
      <c r="AC123" s="31"/>
      <c r="AD123" s="31"/>
      <c r="AE123" s="31"/>
      <c r="AG123" s="31"/>
    </row>
    <row r="124" spans="1:40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6"/>
      <c r="R124" s="31"/>
      <c r="S124" s="31"/>
      <c r="T124" s="71"/>
      <c r="U124" s="31"/>
      <c r="W124" s="31"/>
      <c r="Y124" s="31"/>
      <c r="Z124" s="31"/>
      <c r="AA124" s="31"/>
      <c r="AB124" s="31"/>
      <c r="AC124" s="31"/>
      <c r="AD124" s="31"/>
      <c r="AE124" s="31"/>
      <c r="AG124" s="31"/>
    </row>
    <row r="125" spans="1:40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6"/>
      <c r="R125" s="31"/>
      <c r="S125" s="31"/>
      <c r="T125" s="71"/>
      <c r="U125" s="31"/>
      <c r="W125" s="31"/>
      <c r="Y125" s="31"/>
      <c r="Z125" s="31"/>
      <c r="AA125" s="31"/>
      <c r="AB125" s="31"/>
      <c r="AC125" s="31"/>
      <c r="AD125" s="31"/>
      <c r="AE125" s="31"/>
      <c r="AG125" s="31"/>
    </row>
    <row r="126" spans="1:40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6"/>
      <c r="R126" s="31"/>
      <c r="S126" s="31"/>
      <c r="T126" s="71"/>
      <c r="U126" s="31"/>
      <c r="W126" s="31"/>
      <c r="Y126" s="31"/>
      <c r="Z126" s="31"/>
      <c r="AA126" s="31"/>
      <c r="AB126" s="31"/>
      <c r="AC126" s="31"/>
      <c r="AD126" s="31"/>
      <c r="AE126" s="31"/>
      <c r="AG126" s="31"/>
    </row>
    <row r="127" spans="1:40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6"/>
      <c r="R127" s="31"/>
      <c r="S127" s="31"/>
      <c r="T127" s="71"/>
      <c r="U127" s="31"/>
      <c r="W127" s="31"/>
      <c r="Y127" s="31"/>
      <c r="Z127" s="31"/>
      <c r="AA127" s="31"/>
      <c r="AB127" s="31"/>
      <c r="AC127" s="31"/>
      <c r="AD127" s="31"/>
      <c r="AE127" s="31"/>
      <c r="AG127" s="31"/>
    </row>
    <row r="128" spans="1:40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6"/>
      <c r="R128" s="31"/>
      <c r="S128" s="31"/>
      <c r="T128" s="71"/>
      <c r="U128" s="31"/>
      <c r="W128" s="31"/>
      <c r="Y128" s="31"/>
      <c r="Z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6"/>
      <c r="R129" s="31"/>
      <c r="S129" s="31"/>
      <c r="T129" s="71"/>
      <c r="U129" s="31"/>
      <c r="W129" s="31"/>
      <c r="Y129" s="31"/>
      <c r="Z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6"/>
      <c r="R130" s="31"/>
      <c r="S130" s="31"/>
      <c r="T130" s="71"/>
      <c r="U130" s="31"/>
      <c r="W130" s="31"/>
      <c r="Y130" s="31"/>
      <c r="Z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6"/>
      <c r="R131" s="31"/>
      <c r="S131" s="31"/>
      <c r="T131" s="71"/>
      <c r="U131" s="31"/>
      <c r="W131" s="31"/>
      <c r="Y131" s="31"/>
      <c r="Z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6"/>
      <c r="R132" s="31"/>
      <c r="S132" s="31"/>
      <c r="T132" s="71"/>
      <c r="U132" s="31"/>
      <c r="W132" s="31"/>
      <c r="Y132" s="31"/>
      <c r="Z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6"/>
      <c r="R133" s="31"/>
      <c r="S133" s="31"/>
      <c r="T133" s="71"/>
      <c r="U133" s="31"/>
      <c r="W133" s="31"/>
      <c r="Y133" s="31"/>
      <c r="Z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6"/>
      <c r="R134" s="31"/>
      <c r="S134" s="31"/>
      <c r="T134" s="71"/>
      <c r="U134" s="31"/>
      <c r="W134" s="31"/>
      <c r="Y134" s="31"/>
      <c r="Z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6"/>
      <c r="R135" s="31"/>
      <c r="S135" s="31"/>
      <c r="T135" s="71"/>
      <c r="U135" s="31"/>
      <c r="W135" s="31"/>
      <c r="Y135" s="31"/>
      <c r="Z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6"/>
      <c r="R136" s="31"/>
      <c r="S136" s="31"/>
      <c r="T136" s="71"/>
      <c r="U136" s="31"/>
      <c r="W136" s="31"/>
      <c r="Y136" s="31"/>
      <c r="Z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6"/>
      <c r="R137" s="31"/>
      <c r="S137" s="31"/>
      <c r="T137" s="71"/>
      <c r="U137" s="31"/>
      <c r="W137" s="31"/>
      <c r="Y137" s="31"/>
      <c r="Z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6"/>
      <c r="R138" s="31"/>
      <c r="S138" s="31"/>
      <c r="T138" s="71"/>
      <c r="U138" s="31"/>
      <c r="W138" s="31"/>
      <c r="Y138" s="31"/>
      <c r="Z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6"/>
      <c r="R139" s="31"/>
      <c r="S139" s="31"/>
      <c r="T139" s="71"/>
      <c r="U139" s="31"/>
      <c r="W139" s="31"/>
      <c r="Y139" s="31"/>
      <c r="Z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6"/>
      <c r="R140" s="31"/>
      <c r="S140" s="31"/>
      <c r="T140" s="71"/>
      <c r="U140" s="31"/>
      <c r="W140" s="31"/>
      <c r="Y140" s="31"/>
      <c r="Z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6"/>
      <c r="R141" s="31"/>
      <c r="S141" s="31"/>
      <c r="T141" s="71"/>
      <c r="U141" s="31"/>
      <c r="W141" s="31"/>
      <c r="Y141" s="31"/>
      <c r="Z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6"/>
      <c r="R142" s="31"/>
      <c r="S142" s="31"/>
      <c r="T142" s="71"/>
      <c r="U142" s="31"/>
      <c r="W142" s="31"/>
      <c r="Y142" s="31"/>
      <c r="Z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6"/>
      <c r="R143" s="31"/>
      <c r="S143" s="31"/>
      <c r="T143" s="71"/>
      <c r="U143" s="31"/>
      <c r="W143" s="31"/>
      <c r="Y143" s="31"/>
      <c r="Z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6"/>
      <c r="R144" s="31"/>
      <c r="S144" s="31"/>
      <c r="T144" s="71"/>
      <c r="U144" s="31"/>
      <c r="W144" s="31"/>
      <c r="Y144" s="31"/>
      <c r="Z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6"/>
      <c r="R145" s="31"/>
      <c r="S145" s="31"/>
      <c r="T145" s="71"/>
      <c r="U145" s="31"/>
      <c r="W145" s="31"/>
      <c r="Y145" s="31"/>
      <c r="Z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6"/>
      <c r="R146" s="31"/>
      <c r="S146" s="31"/>
      <c r="T146" s="71"/>
      <c r="U146" s="31"/>
      <c r="W146" s="31"/>
      <c r="Y146" s="31"/>
      <c r="Z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6"/>
      <c r="R147" s="31"/>
      <c r="S147" s="31"/>
      <c r="T147" s="71"/>
      <c r="U147" s="31"/>
      <c r="W147" s="31"/>
      <c r="Y147" s="31"/>
      <c r="Z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6"/>
      <c r="R148" s="31"/>
      <c r="S148" s="31"/>
      <c r="T148" s="71"/>
      <c r="U148" s="31"/>
      <c r="W148" s="31"/>
      <c r="Y148" s="31"/>
      <c r="Z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6"/>
      <c r="R149" s="31"/>
      <c r="S149" s="31"/>
      <c r="T149" s="71"/>
      <c r="U149" s="31"/>
      <c r="W149" s="31"/>
      <c r="Y149" s="31"/>
      <c r="Z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6"/>
      <c r="R150" s="31"/>
      <c r="S150" s="31"/>
      <c r="T150" s="71"/>
      <c r="U150" s="31"/>
      <c r="W150" s="31"/>
      <c r="Y150" s="31"/>
      <c r="Z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6"/>
      <c r="R151" s="31"/>
      <c r="S151" s="31"/>
      <c r="T151" s="71"/>
      <c r="U151" s="31"/>
      <c r="W151" s="31"/>
      <c r="Y151" s="31"/>
      <c r="Z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6"/>
      <c r="R152" s="31"/>
      <c r="S152" s="31"/>
      <c r="T152" s="71"/>
      <c r="U152" s="31"/>
      <c r="W152" s="31"/>
      <c r="Y152" s="31"/>
      <c r="Z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6"/>
      <c r="R153" s="31"/>
      <c r="S153" s="31"/>
      <c r="T153" s="71"/>
      <c r="U153" s="31"/>
      <c r="W153" s="31"/>
      <c r="Y153" s="31"/>
      <c r="Z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6"/>
      <c r="R154" s="31"/>
      <c r="S154" s="31"/>
      <c r="T154" s="71"/>
      <c r="U154" s="31"/>
      <c r="W154" s="31"/>
      <c r="Y154" s="31"/>
      <c r="Z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6"/>
      <c r="R155" s="31"/>
      <c r="S155" s="31"/>
      <c r="T155" s="71"/>
      <c r="U155" s="31"/>
      <c r="W155" s="31"/>
      <c r="Y155" s="31"/>
      <c r="Z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6"/>
      <c r="R156" s="31"/>
      <c r="S156" s="31"/>
      <c r="T156" s="71"/>
      <c r="U156" s="31"/>
      <c r="W156" s="31"/>
      <c r="Y156" s="31"/>
      <c r="Z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6"/>
      <c r="R157" s="31"/>
      <c r="S157" s="31"/>
      <c r="T157" s="71"/>
      <c r="U157" s="31"/>
      <c r="W157" s="31"/>
      <c r="Y157" s="31"/>
      <c r="Z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6"/>
      <c r="R158" s="31"/>
      <c r="S158" s="31"/>
      <c r="T158" s="71"/>
      <c r="U158" s="31"/>
      <c r="W158" s="31"/>
      <c r="Y158" s="31"/>
      <c r="Z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6"/>
      <c r="R159" s="31"/>
      <c r="S159" s="31"/>
      <c r="T159" s="71"/>
      <c r="U159" s="31"/>
      <c r="W159" s="31"/>
      <c r="Y159" s="31"/>
      <c r="Z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6"/>
      <c r="R160" s="31"/>
      <c r="S160" s="31"/>
      <c r="T160" s="71"/>
      <c r="U160" s="31"/>
      <c r="W160" s="31"/>
      <c r="Y160" s="31"/>
      <c r="Z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6"/>
      <c r="R161" s="31"/>
      <c r="S161" s="31"/>
      <c r="T161" s="71"/>
      <c r="U161" s="31"/>
      <c r="W161" s="31"/>
      <c r="Y161" s="31"/>
      <c r="Z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6"/>
      <c r="R162" s="31"/>
      <c r="S162" s="31"/>
      <c r="T162" s="71"/>
      <c r="U162" s="31"/>
      <c r="W162" s="31"/>
      <c r="Y162" s="31"/>
      <c r="Z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6"/>
      <c r="R163" s="31"/>
      <c r="S163" s="31"/>
      <c r="T163" s="71"/>
      <c r="U163" s="31"/>
      <c r="W163" s="31"/>
      <c r="Y163" s="31"/>
      <c r="Z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6"/>
      <c r="R164" s="31"/>
      <c r="S164" s="31"/>
      <c r="T164" s="71"/>
      <c r="U164" s="31"/>
      <c r="W164" s="31"/>
      <c r="Y164" s="31"/>
      <c r="Z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6"/>
      <c r="R165" s="31"/>
      <c r="S165" s="31"/>
      <c r="T165" s="71"/>
      <c r="U165" s="31"/>
      <c r="W165" s="31"/>
      <c r="Y165" s="31"/>
      <c r="Z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6"/>
      <c r="R166" s="31"/>
      <c r="S166" s="31"/>
      <c r="T166" s="71"/>
      <c r="U166" s="31"/>
      <c r="W166" s="31"/>
      <c r="Y166" s="31"/>
      <c r="Z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6"/>
      <c r="R167" s="31"/>
      <c r="S167" s="31"/>
      <c r="T167" s="71"/>
      <c r="U167" s="31"/>
      <c r="W167" s="31"/>
      <c r="Y167" s="31"/>
      <c r="Z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6"/>
      <c r="R168" s="31"/>
      <c r="S168" s="31"/>
      <c r="T168" s="71"/>
      <c r="U168" s="31"/>
      <c r="W168" s="31"/>
      <c r="Y168" s="31"/>
      <c r="Z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6"/>
      <c r="R169" s="31"/>
      <c r="S169" s="31"/>
      <c r="T169" s="71"/>
      <c r="U169" s="31"/>
      <c r="W169" s="31"/>
      <c r="Y169" s="31"/>
      <c r="Z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6"/>
      <c r="R170" s="31"/>
      <c r="S170" s="31"/>
      <c r="T170" s="71"/>
      <c r="U170" s="31"/>
      <c r="W170" s="31"/>
      <c r="Y170" s="31"/>
      <c r="Z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6"/>
      <c r="R171" s="31"/>
      <c r="S171" s="31"/>
      <c r="T171" s="71"/>
      <c r="U171" s="31"/>
      <c r="W171" s="31"/>
      <c r="Y171" s="31"/>
      <c r="Z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6"/>
      <c r="R172" s="31"/>
      <c r="S172" s="31"/>
      <c r="T172" s="71"/>
      <c r="U172" s="31"/>
      <c r="W172" s="31"/>
      <c r="Y172" s="31"/>
      <c r="Z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6"/>
      <c r="R173" s="31"/>
      <c r="S173" s="31"/>
      <c r="T173" s="71"/>
      <c r="U173" s="31"/>
      <c r="W173" s="31"/>
      <c r="Y173" s="31"/>
      <c r="Z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6"/>
      <c r="R174" s="31"/>
      <c r="S174" s="31"/>
      <c r="T174" s="71"/>
      <c r="U174" s="31"/>
      <c r="W174" s="31"/>
      <c r="Y174" s="31"/>
      <c r="Z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6"/>
      <c r="R175" s="31"/>
      <c r="S175" s="31"/>
      <c r="T175" s="71"/>
      <c r="U175" s="31"/>
      <c r="W175" s="31"/>
      <c r="Y175" s="31"/>
      <c r="Z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6"/>
      <c r="R176" s="31"/>
      <c r="S176" s="31"/>
      <c r="T176" s="71"/>
      <c r="U176" s="31"/>
      <c r="W176" s="31"/>
      <c r="Y176" s="31"/>
      <c r="Z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6"/>
      <c r="R177" s="31"/>
      <c r="S177" s="31"/>
      <c r="T177" s="71"/>
      <c r="U177" s="31"/>
      <c r="W177" s="31"/>
      <c r="Y177" s="31"/>
      <c r="Z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6"/>
      <c r="R178" s="31"/>
      <c r="S178" s="31"/>
      <c r="T178" s="71"/>
      <c r="U178" s="31"/>
      <c r="W178" s="31"/>
      <c r="Y178" s="31"/>
      <c r="Z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6"/>
      <c r="R179" s="31"/>
      <c r="S179" s="31"/>
      <c r="T179" s="71"/>
      <c r="U179" s="31"/>
      <c r="W179" s="31"/>
      <c r="Y179" s="31"/>
      <c r="Z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6"/>
      <c r="R180" s="31"/>
      <c r="S180" s="31"/>
      <c r="T180" s="71"/>
      <c r="U180" s="31"/>
      <c r="W180" s="31"/>
      <c r="Y180" s="31"/>
      <c r="Z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6"/>
      <c r="R181" s="31"/>
      <c r="S181" s="31"/>
      <c r="T181" s="71"/>
      <c r="U181" s="31"/>
      <c r="W181" s="31"/>
      <c r="Y181" s="31"/>
      <c r="Z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6"/>
      <c r="R182" s="31"/>
      <c r="S182" s="31"/>
      <c r="T182" s="71"/>
      <c r="U182" s="31"/>
      <c r="W182" s="31"/>
      <c r="Y182" s="31"/>
      <c r="Z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6"/>
      <c r="R183" s="31"/>
      <c r="S183" s="31"/>
      <c r="T183" s="71"/>
      <c r="U183" s="31"/>
      <c r="W183" s="31"/>
      <c r="Y183" s="31"/>
      <c r="Z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6"/>
      <c r="R184" s="31"/>
      <c r="S184" s="31"/>
      <c r="T184" s="71"/>
      <c r="U184" s="31"/>
      <c r="W184" s="31"/>
      <c r="Y184" s="31"/>
      <c r="Z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6"/>
      <c r="R185" s="31"/>
      <c r="S185" s="31"/>
      <c r="T185" s="71"/>
      <c r="U185" s="31"/>
      <c r="W185" s="31"/>
      <c r="Y185" s="31"/>
      <c r="Z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6"/>
      <c r="R186" s="31"/>
      <c r="S186" s="31"/>
      <c r="T186" s="71"/>
      <c r="U186" s="31"/>
      <c r="W186" s="31"/>
      <c r="Y186" s="31"/>
      <c r="Z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6"/>
      <c r="R187" s="31"/>
      <c r="S187" s="31"/>
      <c r="T187" s="71"/>
      <c r="U187" s="31"/>
      <c r="W187" s="31"/>
      <c r="Y187" s="31"/>
      <c r="Z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6"/>
      <c r="R188" s="31"/>
      <c r="S188" s="31"/>
      <c r="T188" s="71"/>
      <c r="U188" s="31"/>
      <c r="W188" s="31"/>
      <c r="Y188" s="31"/>
      <c r="Z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6"/>
      <c r="R189" s="31"/>
      <c r="S189" s="31"/>
      <c r="T189" s="71"/>
      <c r="U189" s="31"/>
      <c r="W189" s="31"/>
      <c r="Y189" s="31"/>
      <c r="Z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6"/>
      <c r="R190" s="31"/>
      <c r="S190" s="31"/>
      <c r="T190" s="71"/>
      <c r="U190" s="31"/>
      <c r="W190" s="31"/>
      <c r="Y190" s="31"/>
      <c r="Z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6"/>
      <c r="R191" s="31"/>
      <c r="S191" s="31"/>
      <c r="T191" s="71"/>
      <c r="U191" s="31"/>
      <c r="W191" s="31"/>
      <c r="Y191" s="31"/>
      <c r="Z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6"/>
      <c r="R192" s="31"/>
      <c r="S192" s="31"/>
      <c r="T192" s="71"/>
      <c r="U192" s="31"/>
      <c r="W192" s="31"/>
      <c r="Y192" s="31"/>
      <c r="Z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6"/>
      <c r="R193" s="31"/>
      <c r="S193" s="31"/>
      <c r="T193" s="71"/>
      <c r="U193" s="31"/>
      <c r="W193" s="31"/>
      <c r="Y193" s="31"/>
      <c r="Z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6"/>
      <c r="R194" s="31"/>
      <c r="S194" s="31"/>
      <c r="T194" s="71"/>
      <c r="U194" s="31"/>
      <c r="W194" s="31"/>
      <c r="Y194" s="31"/>
      <c r="Z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6"/>
      <c r="R195" s="31"/>
      <c r="S195" s="31"/>
      <c r="T195" s="71"/>
      <c r="U195" s="31"/>
      <c r="W195" s="31"/>
      <c r="Y195" s="31"/>
      <c r="Z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6"/>
      <c r="R196" s="31"/>
      <c r="S196" s="31"/>
      <c r="T196" s="71"/>
      <c r="U196" s="31"/>
      <c r="W196" s="31"/>
      <c r="Y196" s="31"/>
      <c r="Z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6"/>
      <c r="R197" s="31"/>
      <c r="S197" s="31"/>
      <c r="T197" s="71"/>
      <c r="U197" s="31"/>
      <c r="W197" s="31"/>
      <c r="Y197" s="31"/>
      <c r="Z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6"/>
      <c r="R198" s="31"/>
      <c r="S198" s="31"/>
      <c r="T198" s="71"/>
      <c r="U198" s="31"/>
      <c r="W198" s="31"/>
      <c r="Y198" s="31"/>
      <c r="Z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6"/>
      <c r="R199" s="31"/>
      <c r="S199" s="31"/>
      <c r="T199" s="71"/>
      <c r="U199" s="31"/>
      <c r="W199" s="31"/>
      <c r="Y199" s="31"/>
      <c r="Z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6"/>
      <c r="R200" s="31"/>
      <c r="S200" s="31"/>
      <c r="T200" s="71"/>
      <c r="U200" s="31"/>
      <c r="W200" s="31"/>
      <c r="Y200" s="31"/>
      <c r="Z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6"/>
      <c r="R201" s="31"/>
      <c r="S201" s="31"/>
      <c r="T201" s="71"/>
      <c r="U201" s="31"/>
      <c r="W201" s="31"/>
      <c r="Y201" s="31"/>
      <c r="Z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6"/>
      <c r="R202" s="31"/>
      <c r="S202" s="31"/>
      <c r="T202" s="71"/>
      <c r="U202" s="31"/>
      <c r="W202" s="31"/>
      <c r="Y202" s="31"/>
      <c r="Z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6"/>
      <c r="R203" s="31"/>
      <c r="S203" s="31"/>
      <c r="T203" s="71"/>
      <c r="U203" s="31"/>
      <c r="W203" s="31"/>
      <c r="Y203" s="31"/>
      <c r="Z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6"/>
      <c r="R204" s="31"/>
      <c r="S204" s="31"/>
      <c r="T204" s="71"/>
      <c r="U204" s="31"/>
      <c r="W204" s="31"/>
      <c r="Y204" s="31"/>
      <c r="Z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6"/>
      <c r="R205" s="31"/>
      <c r="S205" s="31"/>
      <c r="T205" s="71"/>
      <c r="U205" s="31"/>
      <c r="W205" s="31"/>
      <c r="Y205" s="31"/>
      <c r="Z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6"/>
      <c r="R206" s="31"/>
      <c r="S206" s="31"/>
      <c r="T206" s="71"/>
      <c r="U206" s="31"/>
      <c r="W206" s="31"/>
      <c r="Y206" s="31"/>
      <c r="Z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6"/>
      <c r="R207" s="31"/>
      <c r="S207" s="31"/>
      <c r="T207" s="71"/>
      <c r="U207" s="31"/>
      <c r="W207" s="31"/>
      <c r="Y207" s="31"/>
      <c r="Z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6"/>
      <c r="R208" s="31"/>
      <c r="S208" s="31"/>
      <c r="T208" s="71"/>
      <c r="U208" s="31"/>
      <c r="W208" s="31"/>
      <c r="Y208" s="31"/>
      <c r="Z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6"/>
      <c r="R209" s="31"/>
      <c r="S209" s="31"/>
      <c r="T209" s="71"/>
      <c r="U209" s="31"/>
      <c r="W209" s="31"/>
      <c r="Y209" s="31"/>
      <c r="Z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6"/>
      <c r="R210" s="31"/>
      <c r="S210" s="31"/>
      <c r="T210" s="71"/>
      <c r="U210" s="31"/>
      <c r="W210" s="31"/>
      <c r="Y210" s="31"/>
      <c r="Z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6"/>
      <c r="R211" s="31"/>
      <c r="S211" s="31"/>
      <c r="T211" s="71"/>
      <c r="U211" s="31"/>
      <c r="W211" s="31"/>
      <c r="Y211" s="31"/>
      <c r="Z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6"/>
      <c r="R212" s="31"/>
      <c r="S212" s="31"/>
      <c r="T212" s="71"/>
      <c r="U212" s="31"/>
      <c r="W212" s="31"/>
      <c r="Y212" s="31"/>
      <c r="Z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6"/>
      <c r="R213" s="31"/>
      <c r="S213" s="31"/>
      <c r="T213" s="71"/>
      <c r="U213" s="31"/>
      <c r="W213" s="31"/>
      <c r="Y213" s="31"/>
      <c r="Z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6"/>
      <c r="R214" s="31"/>
      <c r="S214" s="31"/>
      <c r="T214" s="71"/>
      <c r="U214" s="31"/>
      <c r="W214" s="31"/>
      <c r="Y214" s="31"/>
      <c r="Z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6"/>
      <c r="R215" s="31"/>
      <c r="S215" s="31"/>
      <c r="T215" s="71"/>
      <c r="U215" s="31"/>
      <c r="W215" s="31"/>
      <c r="Y215" s="31"/>
      <c r="Z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6"/>
      <c r="R216" s="31"/>
      <c r="S216" s="31"/>
      <c r="T216" s="71"/>
      <c r="U216" s="31"/>
      <c r="W216" s="31"/>
      <c r="Y216" s="31"/>
      <c r="Z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6"/>
      <c r="R217" s="31"/>
      <c r="S217" s="31"/>
      <c r="T217" s="71"/>
      <c r="U217" s="31"/>
      <c r="W217" s="31"/>
      <c r="Y217" s="31"/>
      <c r="Z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6"/>
      <c r="R218" s="31"/>
      <c r="S218" s="31"/>
      <c r="T218" s="71"/>
      <c r="U218" s="31"/>
      <c r="W218" s="31"/>
      <c r="Y218" s="31"/>
      <c r="Z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6"/>
      <c r="R219" s="31"/>
      <c r="S219" s="31"/>
      <c r="T219" s="71"/>
      <c r="U219" s="31"/>
      <c r="W219" s="31"/>
      <c r="Y219" s="31"/>
      <c r="Z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6"/>
      <c r="R220" s="31"/>
      <c r="S220" s="31"/>
      <c r="T220" s="71"/>
      <c r="U220" s="31"/>
      <c r="W220" s="31"/>
      <c r="Y220" s="31"/>
      <c r="Z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6"/>
      <c r="R221" s="31"/>
      <c r="S221" s="31"/>
      <c r="T221" s="71"/>
      <c r="U221" s="31"/>
      <c r="W221" s="31"/>
      <c r="Y221" s="31"/>
      <c r="Z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6"/>
      <c r="R222" s="31"/>
      <c r="S222" s="31"/>
      <c r="T222" s="71"/>
      <c r="U222" s="31"/>
      <c r="W222" s="31"/>
      <c r="Y222" s="31"/>
      <c r="Z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6"/>
      <c r="R223" s="31"/>
      <c r="S223" s="31"/>
      <c r="T223" s="71"/>
      <c r="U223" s="31"/>
      <c r="W223" s="31"/>
      <c r="Y223" s="31"/>
      <c r="Z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6"/>
      <c r="R224" s="31"/>
      <c r="S224" s="31"/>
      <c r="T224" s="71"/>
      <c r="U224" s="31"/>
      <c r="W224" s="31"/>
      <c r="Y224" s="31"/>
      <c r="Z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6"/>
      <c r="R225" s="31"/>
      <c r="S225" s="31"/>
      <c r="T225" s="71"/>
      <c r="U225" s="31"/>
      <c r="W225" s="31"/>
      <c r="Y225" s="31"/>
      <c r="Z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6"/>
      <c r="R226" s="31"/>
      <c r="S226" s="31"/>
      <c r="T226" s="71"/>
      <c r="U226" s="31"/>
      <c r="W226" s="31"/>
      <c r="Y226" s="31"/>
      <c r="Z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6"/>
      <c r="R227" s="31"/>
      <c r="S227" s="31"/>
      <c r="T227" s="71"/>
      <c r="U227" s="31"/>
      <c r="W227" s="31"/>
      <c r="Y227" s="31"/>
      <c r="Z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6"/>
      <c r="R228" s="31"/>
      <c r="S228" s="31"/>
      <c r="T228" s="71"/>
      <c r="U228" s="31"/>
      <c r="W228" s="31"/>
      <c r="Y228" s="31"/>
      <c r="Z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6"/>
      <c r="R229" s="31"/>
      <c r="S229" s="31"/>
      <c r="T229" s="71"/>
      <c r="U229" s="31"/>
      <c r="W229" s="31"/>
      <c r="Y229" s="31"/>
      <c r="Z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6"/>
      <c r="R230" s="31"/>
      <c r="S230" s="31"/>
      <c r="T230" s="71"/>
      <c r="U230" s="31"/>
      <c r="W230" s="31"/>
      <c r="Y230" s="31"/>
      <c r="Z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6"/>
      <c r="R231" s="31"/>
      <c r="S231" s="31"/>
      <c r="T231" s="71"/>
      <c r="U231" s="31"/>
      <c r="W231" s="31"/>
      <c r="Y231" s="31"/>
      <c r="Z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6"/>
      <c r="R232" s="31"/>
      <c r="S232" s="31"/>
      <c r="T232" s="71"/>
      <c r="U232" s="31"/>
      <c r="W232" s="31"/>
      <c r="Y232" s="31"/>
      <c r="Z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6"/>
      <c r="R233" s="31"/>
      <c r="S233" s="31"/>
      <c r="T233" s="71"/>
      <c r="U233" s="31"/>
      <c r="W233" s="31"/>
      <c r="Y233" s="31"/>
      <c r="Z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6"/>
      <c r="R234" s="31"/>
      <c r="S234" s="31"/>
      <c r="T234" s="71"/>
      <c r="U234" s="31"/>
      <c r="W234" s="31"/>
      <c r="Y234" s="31"/>
      <c r="Z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6"/>
      <c r="R235" s="31"/>
      <c r="S235" s="31"/>
      <c r="T235" s="71"/>
      <c r="U235" s="31"/>
      <c r="W235" s="31"/>
      <c r="Y235" s="31"/>
      <c r="Z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6"/>
      <c r="R236" s="31"/>
      <c r="S236" s="31"/>
      <c r="T236" s="71"/>
      <c r="U236" s="31"/>
      <c r="W236" s="31"/>
      <c r="Y236" s="31"/>
      <c r="Z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6"/>
      <c r="R237" s="31"/>
      <c r="S237" s="31"/>
      <c r="T237" s="71"/>
      <c r="U237" s="31"/>
      <c r="W237" s="31"/>
      <c r="Y237" s="31"/>
      <c r="Z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6"/>
      <c r="R238" s="31"/>
      <c r="S238" s="31"/>
      <c r="T238" s="71"/>
      <c r="U238" s="31"/>
      <c r="W238" s="31"/>
      <c r="Y238" s="31"/>
      <c r="Z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6"/>
      <c r="R239" s="31"/>
      <c r="S239" s="31"/>
      <c r="T239" s="71"/>
      <c r="U239" s="31"/>
      <c r="W239" s="31"/>
      <c r="Y239" s="31"/>
      <c r="Z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6"/>
      <c r="R240" s="31"/>
      <c r="S240" s="31"/>
      <c r="T240" s="71"/>
      <c r="U240" s="31"/>
      <c r="W240" s="31"/>
      <c r="Y240" s="31"/>
      <c r="Z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6"/>
      <c r="R241" s="31"/>
      <c r="S241" s="31"/>
      <c r="T241" s="71"/>
      <c r="U241" s="31"/>
      <c r="W241" s="31"/>
      <c r="Y241" s="31"/>
      <c r="Z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6"/>
      <c r="R242" s="31"/>
      <c r="S242" s="31"/>
      <c r="T242" s="71"/>
      <c r="U242" s="31"/>
      <c r="W242" s="31"/>
      <c r="Y242" s="31"/>
      <c r="Z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6"/>
      <c r="R243" s="31"/>
      <c r="S243" s="31"/>
      <c r="T243" s="71"/>
      <c r="U243" s="31"/>
      <c r="W243" s="31"/>
      <c r="Y243" s="31"/>
      <c r="Z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6"/>
      <c r="R244" s="31"/>
      <c r="S244" s="31"/>
      <c r="T244" s="71"/>
      <c r="U244" s="31"/>
      <c r="W244" s="31"/>
      <c r="Y244" s="31"/>
      <c r="Z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6"/>
      <c r="R245" s="31"/>
      <c r="S245" s="31"/>
      <c r="T245" s="71"/>
      <c r="U245" s="31"/>
      <c r="W245" s="31"/>
      <c r="Y245" s="31"/>
      <c r="Z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6"/>
      <c r="R246" s="31"/>
      <c r="S246" s="31"/>
      <c r="T246" s="71"/>
      <c r="U246" s="31"/>
      <c r="W246" s="31"/>
      <c r="Y246" s="31"/>
      <c r="Z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6"/>
      <c r="R247" s="31"/>
      <c r="S247" s="31"/>
      <c r="T247" s="71"/>
      <c r="U247" s="31"/>
      <c r="W247" s="31"/>
      <c r="Y247" s="31"/>
      <c r="Z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6"/>
      <c r="R248" s="31"/>
      <c r="S248" s="31"/>
      <c r="T248" s="71"/>
      <c r="U248" s="31"/>
      <c r="W248" s="31"/>
      <c r="Y248" s="31"/>
      <c r="Z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6"/>
      <c r="R249" s="31"/>
      <c r="S249" s="31"/>
      <c r="T249" s="71"/>
      <c r="U249" s="31"/>
      <c r="W249" s="31"/>
      <c r="Y249" s="31"/>
      <c r="Z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6"/>
      <c r="R250" s="31"/>
      <c r="S250" s="31"/>
      <c r="T250" s="71"/>
      <c r="U250" s="31"/>
      <c r="W250" s="31"/>
      <c r="Y250" s="31"/>
      <c r="Z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6"/>
      <c r="R251" s="31"/>
      <c r="S251" s="31"/>
      <c r="T251" s="71"/>
      <c r="U251" s="31"/>
      <c r="W251" s="31"/>
      <c r="Y251" s="31"/>
      <c r="Z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6"/>
      <c r="R252" s="31"/>
      <c r="S252" s="31"/>
      <c r="T252" s="71"/>
      <c r="U252" s="31"/>
      <c r="W252" s="31"/>
      <c r="Y252" s="31"/>
      <c r="Z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6"/>
      <c r="R253" s="31"/>
      <c r="S253" s="31"/>
      <c r="T253" s="71"/>
      <c r="U253" s="31"/>
      <c r="W253" s="31"/>
      <c r="Y253" s="31"/>
      <c r="Z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6"/>
      <c r="R254" s="31"/>
      <c r="S254" s="31"/>
      <c r="T254" s="71"/>
      <c r="U254" s="31"/>
      <c r="W254" s="31"/>
      <c r="Y254" s="31"/>
      <c r="Z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6"/>
      <c r="R255" s="31"/>
      <c r="S255" s="31"/>
      <c r="T255" s="71"/>
      <c r="U255" s="31"/>
      <c r="W255" s="31"/>
      <c r="Y255" s="31"/>
      <c r="Z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6"/>
      <c r="R256" s="31"/>
      <c r="S256" s="31"/>
      <c r="T256" s="71"/>
      <c r="U256" s="31"/>
      <c r="W256" s="31"/>
      <c r="Y256" s="31"/>
      <c r="Z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6"/>
      <c r="R257" s="31"/>
      <c r="S257" s="31"/>
      <c r="T257" s="71"/>
      <c r="U257" s="31"/>
      <c r="W257" s="31"/>
      <c r="Y257" s="31"/>
      <c r="Z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6"/>
      <c r="R258" s="31"/>
      <c r="S258" s="31"/>
      <c r="T258" s="71"/>
      <c r="U258" s="31"/>
      <c r="W258" s="31"/>
      <c r="Y258" s="31"/>
      <c r="Z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6"/>
      <c r="R259" s="31"/>
      <c r="S259" s="31"/>
      <c r="T259" s="71"/>
      <c r="U259" s="31"/>
      <c r="W259" s="31"/>
      <c r="Y259" s="31"/>
      <c r="Z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6"/>
      <c r="R260" s="31"/>
      <c r="S260" s="31"/>
      <c r="T260" s="71"/>
      <c r="U260" s="31"/>
      <c r="W260" s="31"/>
      <c r="Y260" s="31"/>
      <c r="Z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6"/>
      <c r="R261" s="31"/>
      <c r="S261" s="31"/>
      <c r="T261" s="71"/>
      <c r="U261" s="31"/>
      <c r="W261" s="31"/>
      <c r="Y261" s="31"/>
      <c r="Z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6"/>
      <c r="R262" s="31"/>
      <c r="S262" s="31"/>
      <c r="T262" s="71"/>
      <c r="U262" s="31"/>
      <c r="W262" s="31"/>
      <c r="Y262" s="31"/>
      <c r="Z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6"/>
      <c r="R263" s="31"/>
      <c r="S263" s="31"/>
      <c r="T263" s="71"/>
      <c r="U263" s="31"/>
      <c r="W263" s="31"/>
      <c r="Y263" s="31"/>
      <c r="Z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6"/>
      <c r="R264" s="31"/>
      <c r="S264" s="31"/>
      <c r="T264" s="71"/>
      <c r="U264" s="31"/>
      <c r="W264" s="31"/>
      <c r="Y264" s="31"/>
      <c r="Z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6"/>
      <c r="R265" s="31"/>
      <c r="S265" s="31"/>
      <c r="T265" s="71"/>
      <c r="U265" s="31"/>
      <c r="W265" s="31"/>
      <c r="Y265" s="31"/>
      <c r="Z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6"/>
      <c r="R266" s="31"/>
      <c r="S266" s="31"/>
      <c r="T266" s="71"/>
      <c r="U266" s="31"/>
      <c r="W266" s="31"/>
      <c r="Y266" s="31"/>
      <c r="Z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6"/>
      <c r="R267" s="31"/>
      <c r="S267" s="31"/>
      <c r="T267" s="71"/>
      <c r="U267" s="31"/>
      <c r="W267" s="31"/>
      <c r="Y267" s="31"/>
      <c r="Z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6"/>
      <c r="R268" s="31"/>
      <c r="S268" s="31"/>
      <c r="T268" s="71"/>
      <c r="U268" s="31"/>
      <c r="W268" s="31"/>
      <c r="Y268" s="31"/>
      <c r="Z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6"/>
      <c r="R269" s="31"/>
      <c r="S269" s="31"/>
      <c r="T269" s="71"/>
      <c r="U269" s="31"/>
      <c r="W269" s="31"/>
      <c r="Y269" s="31"/>
      <c r="Z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6"/>
      <c r="R270" s="31"/>
      <c r="S270" s="31"/>
      <c r="T270" s="71"/>
      <c r="U270" s="31"/>
      <c r="W270" s="31"/>
      <c r="Y270" s="31"/>
      <c r="Z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6"/>
      <c r="R271" s="31"/>
      <c r="S271" s="31"/>
      <c r="T271" s="71"/>
      <c r="U271" s="31"/>
      <c r="W271" s="31"/>
      <c r="Y271" s="31"/>
      <c r="Z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6"/>
      <c r="R272" s="31"/>
      <c r="S272" s="31"/>
      <c r="T272" s="71"/>
      <c r="U272" s="31"/>
      <c r="W272" s="31"/>
      <c r="Y272" s="31"/>
      <c r="Z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6"/>
      <c r="R273" s="31"/>
      <c r="S273" s="31"/>
      <c r="T273" s="71"/>
      <c r="U273" s="31"/>
      <c r="W273" s="31"/>
      <c r="Y273" s="31"/>
      <c r="Z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6"/>
      <c r="R274" s="31"/>
      <c r="S274" s="31"/>
      <c r="T274" s="71"/>
      <c r="U274" s="31"/>
      <c r="W274" s="31"/>
      <c r="Y274" s="31"/>
      <c r="Z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6"/>
      <c r="R275" s="31"/>
      <c r="S275" s="31"/>
      <c r="T275" s="71"/>
      <c r="U275" s="31"/>
      <c r="W275" s="31"/>
      <c r="Y275" s="31"/>
      <c r="Z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6"/>
      <c r="R276" s="31"/>
      <c r="S276" s="31"/>
      <c r="T276" s="71"/>
      <c r="U276" s="31"/>
      <c r="W276" s="31"/>
      <c r="Y276" s="31"/>
      <c r="Z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6"/>
      <c r="R277" s="31"/>
      <c r="S277" s="31"/>
      <c r="T277" s="71"/>
      <c r="U277" s="31"/>
      <c r="W277" s="31"/>
      <c r="Y277" s="31"/>
      <c r="Z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6"/>
      <c r="R278" s="31"/>
      <c r="S278" s="31"/>
      <c r="T278" s="71"/>
      <c r="U278" s="31"/>
      <c r="W278" s="31"/>
      <c r="Y278" s="31"/>
      <c r="Z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6"/>
      <c r="R279" s="31"/>
      <c r="S279" s="31"/>
      <c r="T279" s="71"/>
      <c r="U279" s="31"/>
      <c r="W279" s="31"/>
      <c r="Y279" s="31"/>
      <c r="Z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6"/>
      <c r="R280" s="31"/>
      <c r="S280" s="31"/>
      <c r="T280" s="71"/>
      <c r="U280" s="31"/>
      <c r="W280" s="31"/>
      <c r="Y280" s="31"/>
      <c r="Z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6"/>
      <c r="R281" s="31"/>
      <c r="S281" s="31"/>
      <c r="T281" s="71"/>
      <c r="U281" s="31"/>
      <c r="W281" s="31"/>
      <c r="Y281" s="31"/>
      <c r="Z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6"/>
      <c r="R282" s="31"/>
      <c r="S282" s="31"/>
      <c r="T282" s="71"/>
      <c r="U282" s="31"/>
      <c r="W282" s="31"/>
      <c r="Y282" s="31"/>
      <c r="Z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6"/>
      <c r="R283" s="31"/>
      <c r="S283" s="31"/>
      <c r="T283" s="71"/>
      <c r="U283" s="31"/>
      <c r="W283" s="31"/>
      <c r="Y283" s="31"/>
      <c r="Z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6"/>
      <c r="R284" s="31"/>
      <c r="S284" s="31"/>
      <c r="T284" s="71"/>
      <c r="U284" s="31"/>
      <c r="W284" s="31"/>
      <c r="Y284" s="31"/>
      <c r="Z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6"/>
      <c r="R285" s="31"/>
      <c r="S285" s="31"/>
      <c r="T285" s="71"/>
      <c r="U285" s="31"/>
      <c r="W285" s="31"/>
      <c r="Y285" s="31"/>
      <c r="Z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6"/>
      <c r="R286" s="31"/>
      <c r="S286" s="31"/>
      <c r="T286" s="71"/>
      <c r="U286" s="31"/>
      <c r="W286" s="31"/>
      <c r="Y286" s="31"/>
      <c r="Z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6"/>
      <c r="R287" s="31"/>
      <c r="S287" s="31"/>
      <c r="T287" s="71"/>
      <c r="U287" s="31"/>
      <c r="W287" s="31"/>
      <c r="Y287" s="31"/>
      <c r="Z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6"/>
      <c r="R288" s="31"/>
      <c r="S288" s="31"/>
      <c r="T288" s="71"/>
      <c r="U288" s="31"/>
      <c r="W288" s="31"/>
      <c r="Y288" s="31"/>
      <c r="Z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6"/>
      <c r="R289" s="31"/>
      <c r="S289" s="31"/>
      <c r="T289" s="71"/>
      <c r="U289" s="31"/>
      <c r="W289" s="31"/>
      <c r="Y289" s="31"/>
      <c r="Z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6"/>
      <c r="R290" s="31"/>
      <c r="S290" s="31"/>
      <c r="T290" s="71"/>
      <c r="U290" s="31"/>
      <c r="W290" s="31"/>
      <c r="Y290" s="31"/>
      <c r="Z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6"/>
      <c r="R291" s="31"/>
      <c r="S291" s="31"/>
      <c r="T291" s="71"/>
      <c r="U291" s="31"/>
      <c r="W291" s="31"/>
      <c r="Y291" s="31"/>
      <c r="Z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6"/>
      <c r="R292" s="31"/>
      <c r="S292" s="31"/>
      <c r="T292" s="71"/>
      <c r="U292" s="31"/>
      <c r="W292" s="31"/>
      <c r="Y292" s="31"/>
      <c r="Z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6"/>
      <c r="R293" s="31"/>
      <c r="S293" s="31"/>
      <c r="T293" s="71"/>
      <c r="U293" s="31"/>
      <c r="W293" s="31"/>
      <c r="Y293" s="31"/>
      <c r="Z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6"/>
      <c r="R294" s="31"/>
      <c r="S294" s="31"/>
      <c r="T294" s="71"/>
      <c r="U294" s="31"/>
      <c r="W294" s="31"/>
      <c r="Y294" s="31"/>
      <c r="Z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6"/>
      <c r="R295" s="31"/>
      <c r="S295" s="31"/>
      <c r="T295" s="71"/>
      <c r="U295" s="31"/>
      <c r="W295" s="31"/>
      <c r="Y295" s="31"/>
      <c r="Z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6"/>
      <c r="R296" s="31"/>
      <c r="S296" s="31"/>
      <c r="T296" s="71"/>
      <c r="U296" s="31"/>
      <c r="W296" s="31"/>
      <c r="Y296" s="31"/>
      <c r="Z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6"/>
      <c r="R297" s="31"/>
      <c r="S297" s="31"/>
      <c r="T297" s="71"/>
      <c r="U297" s="31"/>
      <c r="W297" s="31"/>
      <c r="Y297" s="31"/>
      <c r="Z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6"/>
      <c r="R298" s="31"/>
      <c r="S298" s="31"/>
      <c r="T298" s="71"/>
      <c r="U298" s="31"/>
      <c r="W298" s="31"/>
      <c r="Y298" s="31"/>
      <c r="Z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6"/>
      <c r="R299" s="31"/>
      <c r="S299" s="31"/>
      <c r="T299" s="71"/>
      <c r="U299" s="31"/>
      <c r="W299" s="31"/>
      <c r="Y299" s="31"/>
      <c r="Z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6"/>
      <c r="R300" s="31"/>
      <c r="S300" s="31"/>
      <c r="T300" s="71"/>
      <c r="U300" s="31"/>
      <c r="W300" s="31"/>
      <c r="Y300" s="31"/>
      <c r="Z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6"/>
      <c r="R301" s="31"/>
      <c r="S301" s="31"/>
      <c r="T301" s="71"/>
      <c r="U301" s="31"/>
      <c r="W301" s="31"/>
      <c r="Y301" s="31"/>
      <c r="Z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6"/>
      <c r="R302" s="31"/>
      <c r="S302" s="31"/>
      <c r="T302" s="71"/>
      <c r="U302" s="31"/>
      <c r="W302" s="31"/>
      <c r="Y302" s="31"/>
      <c r="Z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6"/>
      <c r="R303" s="31"/>
      <c r="S303" s="31"/>
      <c r="T303" s="71"/>
      <c r="U303" s="31"/>
      <c r="W303" s="31"/>
      <c r="Y303" s="31"/>
      <c r="Z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6"/>
      <c r="R304" s="31"/>
      <c r="S304" s="31"/>
      <c r="T304" s="71"/>
      <c r="U304" s="31"/>
      <c r="W304" s="31"/>
      <c r="Y304" s="31"/>
      <c r="Z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6"/>
      <c r="R305" s="31"/>
      <c r="S305" s="31"/>
      <c r="T305" s="71"/>
      <c r="U305" s="31"/>
      <c r="W305" s="31"/>
      <c r="Y305" s="31"/>
      <c r="Z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6"/>
      <c r="R306" s="31"/>
      <c r="S306" s="31"/>
      <c r="T306" s="71"/>
      <c r="U306" s="31"/>
      <c r="W306" s="31"/>
      <c r="Y306" s="31"/>
      <c r="Z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6"/>
      <c r="R307" s="31"/>
      <c r="S307" s="31"/>
      <c r="T307" s="71"/>
      <c r="U307" s="31"/>
      <c r="W307" s="31"/>
      <c r="Y307" s="31"/>
      <c r="Z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6"/>
      <c r="R308" s="31"/>
      <c r="S308" s="31"/>
      <c r="T308" s="71"/>
      <c r="U308" s="31"/>
      <c r="W308" s="31"/>
      <c r="Y308" s="31"/>
      <c r="Z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6"/>
      <c r="R309" s="31"/>
      <c r="S309" s="31"/>
      <c r="T309" s="71"/>
      <c r="U309" s="31"/>
      <c r="W309" s="31"/>
      <c r="Y309" s="31"/>
      <c r="Z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6"/>
      <c r="R310" s="31"/>
      <c r="S310" s="31"/>
      <c r="T310" s="71"/>
      <c r="U310" s="31"/>
      <c r="W310" s="31"/>
      <c r="Y310" s="31"/>
      <c r="Z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6"/>
      <c r="R311" s="31"/>
      <c r="S311" s="31"/>
      <c r="T311" s="71"/>
      <c r="U311" s="31"/>
      <c r="W311" s="31"/>
      <c r="Y311" s="31"/>
      <c r="Z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6"/>
      <c r="R312" s="31"/>
      <c r="S312" s="31"/>
      <c r="T312" s="71"/>
      <c r="U312" s="31"/>
      <c r="W312" s="31"/>
      <c r="Y312" s="31"/>
      <c r="Z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6"/>
      <c r="R313" s="31"/>
      <c r="S313" s="31"/>
      <c r="T313" s="71"/>
      <c r="U313" s="31"/>
      <c r="W313" s="31"/>
      <c r="Y313" s="31"/>
      <c r="Z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6"/>
      <c r="R314" s="31"/>
      <c r="S314" s="31"/>
      <c r="T314" s="71"/>
      <c r="U314" s="31"/>
      <c r="W314" s="31"/>
      <c r="Y314" s="31"/>
      <c r="Z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6"/>
      <c r="R315" s="31"/>
      <c r="S315" s="31"/>
      <c r="T315" s="71"/>
      <c r="U315" s="31"/>
      <c r="W315" s="31"/>
      <c r="Y315" s="31"/>
      <c r="Z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6"/>
      <c r="R316" s="31"/>
      <c r="S316" s="31"/>
      <c r="T316" s="71"/>
      <c r="U316" s="31"/>
      <c r="W316" s="31"/>
      <c r="Y316" s="31"/>
      <c r="Z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6"/>
      <c r="R317" s="31"/>
      <c r="S317" s="31"/>
      <c r="T317" s="71"/>
      <c r="U317" s="31"/>
      <c r="W317" s="31"/>
      <c r="Y317" s="31"/>
      <c r="Z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6"/>
      <c r="R318" s="31"/>
      <c r="S318" s="31"/>
      <c r="T318" s="71"/>
      <c r="U318" s="31"/>
      <c r="W318" s="31"/>
      <c r="Y318" s="31"/>
      <c r="Z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6"/>
      <c r="R319" s="31"/>
      <c r="S319" s="31"/>
      <c r="T319" s="71"/>
      <c r="U319" s="31"/>
      <c r="W319" s="31"/>
      <c r="Y319" s="31"/>
      <c r="Z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6"/>
      <c r="R320" s="31"/>
      <c r="S320" s="31"/>
      <c r="T320" s="71"/>
      <c r="U320" s="31"/>
      <c r="W320" s="31"/>
      <c r="Y320" s="31"/>
      <c r="Z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6"/>
      <c r="R321" s="31"/>
      <c r="S321" s="31"/>
      <c r="T321" s="71"/>
      <c r="U321" s="31"/>
      <c r="W321" s="31"/>
      <c r="Y321" s="31"/>
      <c r="Z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6"/>
      <c r="R322" s="31"/>
      <c r="S322" s="31"/>
      <c r="T322" s="71"/>
      <c r="U322" s="31"/>
      <c r="W322" s="31"/>
      <c r="Y322" s="31"/>
      <c r="Z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6"/>
      <c r="R323" s="31"/>
      <c r="S323" s="31"/>
      <c r="T323" s="71"/>
      <c r="U323" s="31"/>
      <c r="W323" s="31"/>
      <c r="Y323" s="31"/>
      <c r="Z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6"/>
      <c r="R324" s="31"/>
      <c r="S324" s="31"/>
      <c r="T324" s="71"/>
      <c r="U324" s="31"/>
      <c r="W324" s="31"/>
      <c r="Y324" s="31"/>
      <c r="Z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6"/>
      <c r="R325" s="31"/>
      <c r="S325" s="31"/>
      <c r="T325" s="71"/>
      <c r="U325" s="31"/>
      <c r="W325" s="31"/>
      <c r="Y325" s="31"/>
      <c r="Z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6"/>
      <c r="R326" s="31"/>
      <c r="S326" s="31"/>
      <c r="T326" s="71"/>
      <c r="U326" s="31"/>
      <c r="W326" s="31"/>
      <c r="Y326" s="31"/>
      <c r="Z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6"/>
      <c r="R327" s="31"/>
      <c r="S327" s="31"/>
      <c r="T327" s="71"/>
      <c r="U327" s="31"/>
      <c r="W327" s="31"/>
      <c r="Y327" s="31"/>
      <c r="Z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6"/>
      <c r="R328" s="31"/>
      <c r="S328" s="31"/>
      <c r="T328" s="71"/>
      <c r="U328" s="31"/>
      <c r="W328" s="31"/>
      <c r="Y328" s="31"/>
      <c r="Z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6"/>
      <c r="R329" s="31"/>
      <c r="S329" s="31"/>
      <c r="T329" s="71"/>
      <c r="U329" s="31"/>
      <c r="W329" s="31"/>
      <c r="Y329" s="31"/>
      <c r="Z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6"/>
      <c r="R330" s="31"/>
      <c r="S330" s="31"/>
      <c r="T330" s="71"/>
      <c r="U330" s="31"/>
      <c r="W330" s="31"/>
      <c r="Y330" s="31"/>
      <c r="Z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6"/>
      <c r="R331" s="31"/>
      <c r="S331" s="31"/>
      <c r="T331" s="71"/>
      <c r="U331" s="31"/>
      <c r="W331" s="31"/>
      <c r="Y331" s="31"/>
      <c r="Z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6"/>
      <c r="R332" s="31"/>
      <c r="S332" s="31"/>
      <c r="T332" s="71"/>
      <c r="U332" s="31"/>
      <c r="W332" s="31"/>
      <c r="Y332" s="31"/>
      <c r="Z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6"/>
      <c r="R333" s="31"/>
      <c r="S333" s="31"/>
      <c r="T333" s="71"/>
      <c r="U333" s="31"/>
      <c r="W333" s="31"/>
      <c r="Y333" s="31"/>
      <c r="Z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6"/>
      <c r="R334" s="31"/>
      <c r="S334" s="31"/>
      <c r="T334" s="71"/>
      <c r="U334" s="31"/>
      <c r="W334" s="31"/>
      <c r="Y334" s="31"/>
      <c r="Z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6"/>
      <c r="R335" s="31"/>
      <c r="S335" s="31"/>
      <c r="T335" s="71"/>
      <c r="U335" s="31"/>
      <c r="W335" s="31"/>
      <c r="Y335" s="31"/>
      <c r="Z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6"/>
      <c r="R336" s="31"/>
      <c r="S336" s="31"/>
      <c r="T336" s="71"/>
      <c r="U336" s="31"/>
      <c r="W336" s="31"/>
      <c r="Y336" s="31"/>
      <c r="Z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6"/>
      <c r="R337" s="31"/>
      <c r="S337" s="31"/>
      <c r="T337" s="71"/>
      <c r="U337" s="31"/>
      <c r="W337" s="31"/>
      <c r="Y337" s="31"/>
      <c r="Z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6"/>
      <c r="R338" s="31"/>
      <c r="S338" s="31"/>
      <c r="T338" s="71"/>
      <c r="U338" s="31"/>
      <c r="W338" s="31"/>
      <c r="Y338" s="31"/>
      <c r="Z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6"/>
      <c r="R339" s="31"/>
      <c r="S339" s="31"/>
      <c r="T339" s="71"/>
      <c r="U339" s="31"/>
      <c r="W339" s="31"/>
      <c r="Y339" s="31"/>
      <c r="Z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6"/>
      <c r="R340" s="31"/>
      <c r="S340" s="31"/>
      <c r="T340" s="71"/>
      <c r="U340" s="31"/>
      <c r="W340" s="31"/>
      <c r="Y340" s="31"/>
      <c r="Z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6"/>
      <c r="R341" s="31"/>
      <c r="S341" s="31"/>
      <c r="T341" s="71"/>
      <c r="U341" s="31"/>
      <c r="W341" s="31"/>
      <c r="Y341" s="31"/>
      <c r="Z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6"/>
      <c r="R342" s="31"/>
      <c r="S342" s="31"/>
      <c r="T342" s="71"/>
      <c r="U342" s="31"/>
      <c r="W342" s="31"/>
      <c r="Y342" s="31"/>
      <c r="Z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6"/>
      <c r="R343" s="31"/>
      <c r="S343" s="31"/>
      <c r="T343" s="71"/>
      <c r="U343" s="31"/>
      <c r="W343" s="31"/>
      <c r="Y343" s="31"/>
      <c r="Z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6"/>
      <c r="R344" s="31"/>
      <c r="S344" s="31"/>
      <c r="T344" s="71"/>
      <c r="U344" s="31"/>
      <c r="W344" s="31"/>
      <c r="Y344" s="31"/>
      <c r="Z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6"/>
      <c r="R345" s="31"/>
      <c r="S345" s="31"/>
      <c r="T345" s="71"/>
      <c r="U345" s="31"/>
      <c r="W345" s="31"/>
      <c r="Y345" s="31"/>
      <c r="Z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6"/>
      <c r="R346" s="31"/>
      <c r="S346" s="31"/>
      <c r="T346" s="71"/>
      <c r="U346" s="31"/>
      <c r="W346" s="31"/>
      <c r="Y346" s="31"/>
      <c r="Z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6"/>
      <c r="R347" s="31"/>
      <c r="S347" s="31"/>
      <c r="T347" s="71"/>
      <c r="U347" s="31"/>
      <c r="W347" s="31"/>
      <c r="Y347" s="31"/>
      <c r="Z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6"/>
      <c r="R348" s="31"/>
      <c r="S348" s="31"/>
      <c r="T348" s="71"/>
      <c r="U348" s="31"/>
      <c r="W348" s="31"/>
      <c r="Y348" s="31"/>
      <c r="Z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6"/>
      <c r="R349" s="31"/>
      <c r="S349" s="31"/>
      <c r="T349" s="71"/>
      <c r="U349" s="31"/>
      <c r="W349" s="31"/>
      <c r="Y349" s="31"/>
      <c r="Z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6"/>
      <c r="R350" s="31"/>
      <c r="S350" s="31"/>
      <c r="T350" s="71"/>
      <c r="U350" s="31"/>
      <c r="W350" s="31"/>
      <c r="Y350" s="31"/>
      <c r="Z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6"/>
      <c r="R351" s="31"/>
      <c r="S351" s="31"/>
      <c r="T351" s="71"/>
      <c r="U351" s="31"/>
      <c r="W351" s="31"/>
      <c r="Y351" s="31"/>
      <c r="Z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6"/>
      <c r="R352" s="31"/>
      <c r="S352" s="31"/>
      <c r="T352" s="71"/>
      <c r="U352" s="31"/>
      <c r="W352" s="31"/>
      <c r="Y352" s="31"/>
      <c r="Z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6"/>
      <c r="R353" s="31"/>
      <c r="S353" s="31"/>
      <c r="T353" s="71"/>
      <c r="U353" s="31"/>
      <c r="W353" s="31"/>
      <c r="Y353" s="31"/>
      <c r="Z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6"/>
      <c r="R354" s="31"/>
      <c r="S354" s="31"/>
      <c r="T354" s="71"/>
      <c r="U354" s="31"/>
      <c r="W354" s="31"/>
      <c r="Y354" s="31"/>
      <c r="Z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6"/>
      <c r="R355" s="31"/>
      <c r="S355" s="31"/>
      <c r="T355" s="71"/>
      <c r="U355" s="31"/>
      <c r="W355" s="31"/>
      <c r="Y355" s="31"/>
      <c r="Z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6"/>
      <c r="R356" s="31"/>
      <c r="S356" s="31"/>
      <c r="T356" s="71"/>
      <c r="U356" s="31"/>
      <c r="W356" s="31"/>
      <c r="Y356" s="31"/>
      <c r="Z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6"/>
      <c r="R357" s="31"/>
      <c r="S357" s="31"/>
      <c r="T357" s="71"/>
      <c r="U357" s="31"/>
      <c r="W357" s="31"/>
      <c r="Y357" s="31"/>
      <c r="Z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6"/>
      <c r="R358" s="31"/>
      <c r="S358" s="31"/>
      <c r="T358" s="71"/>
      <c r="U358" s="31"/>
      <c r="W358" s="31"/>
      <c r="Y358" s="31"/>
      <c r="Z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6"/>
      <c r="R359" s="31"/>
      <c r="S359" s="31"/>
      <c r="T359" s="71"/>
      <c r="U359" s="31"/>
      <c r="W359" s="31"/>
      <c r="Y359" s="31"/>
      <c r="Z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6"/>
      <c r="R360" s="31"/>
      <c r="S360" s="31"/>
      <c r="T360" s="71"/>
      <c r="U360" s="31"/>
      <c r="W360" s="31"/>
      <c r="Y360" s="31"/>
      <c r="Z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6"/>
      <c r="R361" s="31"/>
      <c r="S361" s="31"/>
      <c r="T361" s="71"/>
      <c r="U361" s="31"/>
      <c r="W361" s="31"/>
      <c r="Y361" s="31"/>
      <c r="Z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6"/>
      <c r="R362" s="31"/>
      <c r="S362" s="31"/>
      <c r="T362" s="71"/>
      <c r="U362" s="31"/>
      <c r="W362" s="31"/>
      <c r="Y362" s="31"/>
      <c r="Z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6"/>
      <c r="R363" s="31"/>
      <c r="S363" s="31"/>
      <c r="T363" s="71"/>
      <c r="U363" s="31"/>
      <c r="W363" s="31"/>
      <c r="Y363" s="31"/>
      <c r="Z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6"/>
      <c r="R364" s="31"/>
      <c r="S364" s="31"/>
      <c r="T364" s="71"/>
      <c r="U364" s="31"/>
      <c r="W364" s="31"/>
      <c r="Y364" s="31"/>
      <c r="Z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6"/>
      <c r="R365" s="31"/>
      <c r="S365" s="31"/>
      <c r="T365" s="71"/>
      <c r="U365" s="31"/>
      <c r="W365" s="31"/>
      <c r="Y365" s="31"/>
      <c r="Z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6"/>
      <c r="R366" s="31"/>
      <c r="S366" s="31"/>
      <c r="T366" s="71"/>
      <c r="U366" s="31"/>
      <c r="W366" s="31"/>
      <c r="Y366" s="31"/>
      <c r="Z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6"/>
      <c r="R367" s="31"/>
      <c r="S367" s="31"/>
      <c r="T367" s="71"/>
      <c r="U367" s="31"/>
      <c r="W367" s="31"/>
      <c r="Y367" s="31"/>
      <c r="Z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6"/>
      <c r="R368" s="31"/>
      <c r="S368" s="31"/>
      <c r="T368" s="71"/>
      <c r="U368" s="31"/>
      <c r="W368" s="31"/>
      <c r="Y368" s="31"/>
      <c r="Z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6"/>
      <c r="R369" s="31"/>
      <c r="S369" s="31"/>
      <c r="T369" s="71"/>
      <c r="U369" s="31"/>
      <c r="W369" s="31"/>
      <c r="Y369" s="31"/>
      <c r="Z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6"/>
      <c r="R370" s="31"/>
      <c r="S370" s="31"/>
      <c r="T370" s="71"/>
      <c r="U370" s="31"/>
      <c r="W370" s="31"/>
      <c r="Y370" s="31"/>
      <c r="Z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6"/>
      <c r="R371" s="31"/>
      <c r="S371" s="31"/>
      <c r="T371" s="71"/>
      <c r="U371" s="31"/>
      <c r="W371" s="31"/>
      <c r="Y371" s="31"/>
      <c r="Z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6"/>
      <c r="R372" s="31"/>
      <c r="S372" s="31"/>
      <c r="T372" s="71"/>
      <c r="U372" s="31"/>
      <c r="W372" s="31"/>
      <c r="Y372" s="31"/>
      <c r="Z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6"/>
      <c r="R373" s="31"/>
      <c r="S373" s="31"/>
      <c r="T373" s="71"/>
      <c r="U373" s="31"/>
      <c r="W373" s="31"/>
      <c r="Y373" s="31"/>
      <c r="Z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6"/>
      <c r="R374" s="31"/>
      <c r="S374" s="31"/>
      <c r="T374" s="71"/>
      <c r="U374" s="31"/>
      <c r="W374" s="31"/>
      <c r="Y374" s="31"/>
      <c r="Z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6"/>
      <c r="R375" s="31"/>
      <c r="S375" s="31"/>
      <c r="T375" s="71"/>
      <c r="U375" s="31"/>
      <c r="W375" s="31"/>
      <c r="Y375" s="31"/>
      <c r="Z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6"/>
      <c r="R376" s="31"/>
      <c r="S376" s="31"/>
      <c r="T376" s="71"/>
      <c r="U376" s="31"/>
      <c r="W376" s="31"/>
      <c r="Y376" s="31"/>
      <c r="Z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6"/>
      <c r="R377" s="31"/>
      <c r="S377" s="31"/>
      <c r="T377" s="71"/>
      <c r="U377" s="31"/>
      <c r="W377" s="31"/>
      <c r="Y377" s="31"/>
      <c r="Z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6"/>
      <c r="R378" s="31"/>
      <c r="S378" s="31"/>
      <c r="T378" s="71"/>
      <c r="U378" s="31"/>
      <c r="W378" s="31"/>
      <c r="Y378" s="31"/>
      <c r="Z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6"/>
      <c r="R379" s="31"/>
      <c r="S379" s="31"/>
      <c r="T379" s="71"/>
      <c r="U379" s="31"/>
      <c r="W379" s="31"/>
      <c r="Y379" s="31"/>
      <c r="Z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6"/>
      <c r="R380" s="31"/>
      <c r="S380" s="31"/>
      <c r="T380" s="71"/>
      <c r="U380" s="31"/>
      <c r="W380" s="31"/>
      <c r="Y380" s="31"/>
      <c r="Z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6"/>
      <c r="R381" s="31"/>
      <c r="S381" s="31"/>
      <c r="T381" s="71"/>
      <c r="U381" s="31"/>
      <c r="W381" s="31"/>
      <c r="Y381" s="31"/>
      <c r="Z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6"/>
      <c r="R382" s="31"/>
      <c r="S382" s="31"/>
      <c r="T382" s="71"/>
      <c r="U382" s="31"/>
      <c r="W382" s="31"/>
      <c r="Y382" s="31"/>
      <c r="Z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6"/>
      <c r="R383" s="31"/>
      <c r="S383" s="31"/>
      <c r="T383" s="71"/>
      <c r="U383" s="31"/>
      <c r="W383" s="31"/>
      <c r="Y383" s="31"/>
      <c r="Z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6"/>
      <c r="R384" s="31"/>
      <c r="S384" s="31"/>
      <c r="T384" s="71"/>
      <c r="U384" s="31"/>
      <c r="W384" s="31"/>
      <c r="Y384" s="31"/>
      <c r="Z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6"/>
      <c r="R385" s="31"/>
      <c r="S385" s="31"/>
      <c r="T385" s="71"/>
      <c r="U385" s="31"/>
      <c r="W385" s="31"/>
      <c r="Y385" s="31"/>
      <c r="Z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6"/>
      <c r="R386" s="31"/>
      <c r="S386" s="31"/>
      <c r="T386" s="71"/>
      <c r="U386" s="31"/>
      <c r="W386" s="31"/>
      <c r="Y386" s="31"/>
      <c r="Z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6"/>
      <c r="R387" s="31"/>
      <c r="S387" s="31"/>
      <c r="T387" s="71"/>
      <c r="U387" s="31"/>
      <c r="W387" s="31"/>
      <c r="Y387" s="31"/>
      <c r="Z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6"/>
      <c r="R388" s="31"/>
      <c r="S388" s="31"/>
      <c r="T388" s="71"/>
      <c r="U388" s="31"/>
      <c r="W388" s="31"/>
      <c r="Y388" s="31"/>
      <c r="Z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6"/>
      <c r="R389" s="31"/>
      <c r="S389" s="31"/>
      <c r="T389" s="71"/>
      <c r="U389" s="31"/>
      <c r="W389" s="31"/>
      <c r="Y389" s="31"/>
      <c r="Z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6"/>
      <c r="R390" s="31"/>
      <c r="S390" s="31"/>
      <c r="T390" s="71"/>
      <c r="U390" s="31"/>
      <c r="W390" s="31"/>
      <c r="Y390" s="31"/>
      <c r="Z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6"/>
      <c r="R391" s="31"/>
      <c r="S391" s="31"/>
      <c r="T391" s="71"/>
      <c r="U391" s="31"/>
      <c r="W391" s="31"/>
      <c r="Y391" s="31"/>
      <c r="Z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6"/>
      <c r="R392" s="31"/>
      <c r="S392" s="31"/>
      <c r="T392" s="71"/>
      <c r="U392" s="31"/>
      <c r="W392" s="31"/>
      <c r="Y392" s="31"/>
      <c r="Z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6"/>
      <c r="R393" s="31"/>
      <c r="S393" s="31"/>
      <c r="T393" s="71"/>
      <c r="U393" s="31"/>
      <c r="W393" s="31"/>
      <c r="Y393" s="31"/>
      <c r="Z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6"/>
      <c r="R394" s="31"/>
      <c r="S394" s="31"/>
      <c r="T394" s="71"/>
      <c r="U394" s="31"/>
      <c r="W394" s="31"/>
      <c r="Y394" s="31"/>
      <c r="Z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6"/>
      <c r="R395" s="31"/>
      <c r="S395" s="31"/>
      <c r="T395" s="71"/>
      <c r="U395" s="31"/>
      <c r="W395" s="31"/>
      <c r="Y395" s="31"/>
      <c r="Z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6"/>
      <c r="R396" s="31"/>
      <c r="S396" s="31"/>
      <c r="T396" s="71"/>
      <c r="U396" s="31"/>
      <c r="W396" s="31"/>
      <c r="Y396" s="31"/>
      <c r="Z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6"/>
      <c r="R397" s="31"/>
      <c r="S397" s="31"/>
      <c r="T397" s="71"/>
      <c r="U397" s="31"/>
      <c r="W397" s="31"/>
      <c r="Y397" s="31"/>
      <c r="Z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6"/>
      <c r="R398" s="31"/>
      <c r="S398" s="31"/>
      <c r="T398" s="71"/>
      <c r="U398" s="31"/>
      <c r="W398" s="31"/>
      <c r="Y398" s="31"/>
      <c r="Z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6"/>
      <c r="R399" s="31"/>
      <c r="S399" s="31"/>
      <c r="T399" s="71"/>
      <c r="U399" s="31"/>
      <c r="W399" s="31"/>
      <c r="Y399" s="31"/>
      <c r="Z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6"/>
      <c r="R400" s="31"/>
      <c r="S400" s="31"/>
      <c r="T400" s="71"/>
      <c r="U400" s="31"/>
      <c r="W400" s="31"/>
      <c r="Y400" s="31"/>
      <c r="Z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6"/>
      <c r="R401" s="31"/>
      <c r="S401" s="31"/>
      <c r="T401" s="71"/>
      <c r="U401" s="31"/>
      <c r="W401" s="31"/>
      <c r="Y401" s="31"/>
      <c r="Z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6"/>
      <c r="R402" s="31"/>
      <c r="S402" s="31"/>
      <c r="T402" s="71"/>
      <c r="U402" s="31"/>
      <c r="W402" s="31"/>
      <c r="Y402" s="31"/>
      <c r="Z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6"/>
      <c r="R403" s="31"/>
      <c r="S403" s="31"/>
      <c r="T403" s="71"/>
      <c r="U403" s="31"/>
      <c r="W403" s="31"/>
      <c r="Y403" s="31"/>
      <c r="Z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6"/>
      <c r="R404" s="31"/>
      <c r="S404" s="31"/>
      <c r="T404" s="71"/>
      <c r="U404" s="31"/>
      <c r="W404" s="31"/>
      <c r="Y404" s="31"/>
      <c r="Z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6"/>
      <c r="R405" s="31"/>
      <c r="S405" s="31"/>
      <c r="T405" s="71"/>
      <c r="U405" s="31"/>
      <c r="W405" s="31"/>
      <c r="Y405" s="31"/>
      <c r="Z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6"/>
      <c r="R406" s="31"/>
      <c r="S406" s="31"/>
      <c r="T406" s="71"/>
      <c r="U406" s="31"/>
      <c r="W406" s="31"/>
      <c r="Y406" s="31"/>
      <c r="Z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6"/>
      <c r="R407" s="31"/>
      <c r="S407" s="31"/>
      <c r="T407" s="71"/>
      <c r="U407" s="31"/>
      <c r="W407" s="31"/>
      <c r="Y407" s="31"/>
      <c r="Z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6"/>
      <c r="R408" s="31"/>
      <c r="S408" s="31"/>
      <c r="T408" s="71"/>
      <c r="U408" s="31"/>
      <c r="W408" s="31"/>
      <c r="Y408" s="31"/>
      <c r="Z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6"/>
      <c r="R409" s="31"/>
      <c r="S409" s="31"/>
      <c r="T409" s="71"/>
      <c r="U409" s="31"/>
      <c r="W409" s="31"/>
      <c r="Y409" s="31"/>
      <c r="Z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6"/>
      <c r="R410" s="31"/>
      <c r="S410" s="31"/>
      <c r="T410" s="71"/>
      <c r="U410" s="31"/>
      <c r="W410" s="31"/>
      <c r="Y410" s="31"/>
      <c r="Z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6"/>
      <c r="R411" s="31"/>
      <c r="S411" s="31"/>
      <c r="T411" s="71"/>
      <c r="U411" s="31"/>
      <c r="W411" s="31"/>
      <c r="Y411" s="31"/>
      <c r="Z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6"/>
      <c r="R412" s="31"/>
      <c r="S412" s="31"/>
      <c r="T412" s="71"/>
      <c r="U412" s="31"/>
      <c r="W412" s="31"/>
      <c r="Y412" s="31"/>
      <c r="Z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6"/>
      <c r="R413" s="31"/>
      <c r="S413" s="31"/>
      <c r="T413" s="71"/>
      <c r="U413" s="31"/>
      <c r="W413" s="31"/>
      <c r="Y413" s="31"/>
      <c r="Z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6"/>
      <c r="R414" s="31"/>
      <c r="S414" s="31"/>
      <c r="T414" s="71"/>
      <c r="U414" s="31"/>
      <c r="W414" s="31"/>
      <c r="Y414" s="31"/>
      <c r="Z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6"/>
      <c r="R415" s="31"/>
      <c r="S415" s="31"/>
      <c r="T415" s="71"/>
      <c r="U415" s="31"/>
      <c r="W415" s="31"/>
      <c r="Y415" s="31"/>
      <c r="Z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6"/>
      <c r="R416" s="31"/>
      <c r="S416" s="31"/>
      <c r="T416" s="71"/>
      <c r="U416" s="31"/>
      <c r="W416" s="31"/>
      <c r="Y416" s="31"/>
      <c r="Z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6"/>
      <c r="R417" s="31"/>
      <c r="S417" s="31"/>
      <c r="T417" s="71"/>
      <c r="U417" s="31"/>
      <c r="W417" s="31"/>
      <c r="Y417" s="31"/>
      <c r="Z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6"/>
      <c r="R418" s="31"/>
      <c r="S418" s="31"/>
      <c r="T418" s="71"/>
      <c r="U418" s="31"/>
      <c r="W418" s="31"/>
      <c r="Y418" s="31"/>
      <c r="Z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6"/>
      <c r="R419" s="31"/>
      <c r="S419" s="31"/>
      <c r="T419" s="71"/>
      <c r="U419" s="31"/>
      <c r="W419" s="31"/>
      <c r="Y419" s="31"/>
      <c r="Z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6"/>
      <c r="R420" s="31"/>
      <c r="S420" s="31"/>
      <c r="T420" s="71"/>
      <c r="U420" s="31"/>
      <c r="W420" s="31"/>
      <c r="Y420" s="31"/>
      <c r="Z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6"/>
      <c r="R421" s="31"/>
      <c r="S421" s="31"/>
      <c r="T421" s="71"/>
      <c r="U421" s="31"/>
      <c r="W421" s="31"/>
      <c r="Y421" s="31"/>
      <c r="Z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6"/>
      <c r="R422" s="31"/>
      <c r="S422" s="31"/>
      <c r="T422" s="71"/>
      <c r="U422" s="31"/>
      <c r="W422" s="31"/>
      <c r="Y422" s="31"/>
      <c r="Z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6"/>
      <c r="R423" s="31"/>
      <c r="S423" s="31"/>
      <c r="T423" s="71"/>
      <c r="U423" s="31"/>
      <c r="W423" s="31"/>
      <c r="Y423" s="31"/>
      <c r="Z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6"/>
      <c r="R424" s="31"/>
      <c r="S424" s="31"/>
      <c r="T424" s="71"/>
      <c r="U424" s="31"/>
      <c r="W424" s="31"/>
      <c r="Y424" s="31"/>
      <c r="Z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6"/>
      <c r="R425" s="31"/>
      <c r="S425" s="31"/>
      <c r="T425" s="71"/>
      <c r="U425" s="31"/>
      <c r="W425" s="31"/>
      <c r="Y425" s="31"/>
      <c r="Z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6"/>
      <c r="R426" s="31"/>
      <c r="S426" s="31"/>
      <c r="T426" s="71"/>
      <c r="U426" s="31"/>
      <c r="W426" s="31"/>
      <c r="Y426" s="31"/>
      <c r="Z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6"/>
      <c r="R427" s="31"/>
      <c r="S427" s="31"/>
      <c r="T427" s="71"/>
      <c r="U427" s="31"/>
      <c r="W427" s="31"/>
      <c r="Y427" s="31"/>
      <c r="Z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6"/>
      <c r="R428" s="31"/>
      <c r="S428" s="31"/>
      <c r="T428" s="71"/>
      <c r="U428" s="31"/>
      <c r="W428" s="31"/>
      <c r="Y428" s="31"/>
      <c r="Z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6"/>
      <c r="R429" s="31"/>
      <c r="S429" s="31"/>
      <c r="T429" s="71"/>
      <c r="U429" s="31"/>
      <c r="W429" s="31"/>
      <c r="Y429" s="31"/>
      <c r="Z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6"/>
      <c r="R430" s="31"/>
      <c r="S430" s="31"/>
      <c r="T430" s="71"/>
      <c r="U430" s="31"/>
      <c r="W430" s="31"/>
      <c r="Y430" s="31"/>
      <c r="Z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6"/>
      <c r="R431" s="31"/>
      <c r="S431" s="31"/>
      <c r="T431" s="71"/>
      <c r="U431" s="31"/>
      <c r="W431" s="31"/>
      <c r="Y431" s="31"/>
      <c r="Z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6"/>
      <c r="R432" s="31"/>
      <c r="S432" s="31"/>
      <c r="T432" s="71"/>
      <c r="U432" s="31"/>
      <c r="W432" s="31"/>
      <c r="Y432" s="31"/>
      <c r="Z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6"/>
      <c r="R433" s="31"/>
      <c r="S433" s="31"/>
      <c r="T433" s="71"/>
      <c r="U433" s="31"/>
      <c r="W433" s="31"/>
      <c r="Y433" s="31"/>
      <c r="Z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6"/>
      <c r="R434" s="31"/>
      <c r="S434" s="31"/>
      <c r="T434" s="71"/>
      <c r="U434" s="31"/>
      <c r="W434" s="31"/>
      <c r="Y434" s="31"/>
      <c r="Z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6"/>
      <c r="R435" s="31"/>
      <c r="S435" s="31"/>
      <c r="T435" s="71"/>
      <c r="U435" s="31"/>
      <c r="W435" s="31"/>
      <c r="Y435" s="31"/>
      <c r="Z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6"/>
      <c r="R436" s="31"/>
      <c r="S436" s="31"/>
      <c r="T436" s="71"/>
      <c r="U436" s="31"/>
      <c r="W436" s="31"/>
      <c r="Y436" s="31"/>
      <c r="Z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6"/>
      <c r="R437" s="31"/>
      <c r="S437" s="31"/>
      <c r="T437" s="71"/>
      <c r="U437" s="31"/>
      <c r="W437" s="31"/>
      <c r="Y437" s="31"/>
      <c r="Z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6"/>
      <c r="R438" s="31"/>
      <c r="S438" s="31"/>
      <c r="T438" s="71"/>
      <c r="U438" s="31"/>
      <c r="W438" s="31"/>
      <c r="Y438" s="31"/>
      <c r="Z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6"/>
      <c r="R439" s="31"/>
      <c r="S439" s="31"/>
      <c r="T439" s="71"/>
      <c r="U439" s="31"/>
      <c r="W439" s="31"/>
      <c r="Y439" s="31"/>
      <c r="Z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6"/>
      <c r="R440" s="31"/>
      <c r="S440" s="31"/>
      <c r="T440" s="71"/>
      <c r="U440" s="31"/>
      <c r="W440" s="31"/>
      <c r="Y440" s="31"/>
      <c r="Z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6"/>
      <c r="R441" s="31"/>
      <c r="S441" s="31"/>
      <c r="T441" s="71"/>
      <c r="U441" s="31"/>
      <c r="W441" s="31"/>
      <c r="Y441" s="31"/>
      <c r="Z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6"/>
      <c r="R442" s="31"/>
      <c r="S442" s="31"/>
      <c r="T442" s="71"/>
      <c r="U442" s="31"/>
      <c r="W442" s="31"/>
      <c r="Y442" s="31"/>
      <c r="Z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6"/>
      <c r="R443" s="31"/>
      <c r="S443" s="31"/>
      <c r="T443" s="71"/>
      <c r="U443" s="31"/>
      <c r="W443" s="31"/>
      <c r="Y443" s="31"/>
      <c r="Z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6"/>
      <c r="R444" s="31"/>
      <c r="S444" s="31"/>
      <c r="T444" s="71"/>
      <c r="U444" s="31"/>
      <c r="W444" s="31"/>
      <c r="Y444" s="31"/>
      <c r="Z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6"/>
      <c r="R445" s="31"/>
      <c r="S445" s="31"/>
      <c r="T445" s="71"/>
      <c r="U445" s="31"/>
      <c r="W445" s="31"/>
      <c r="Y445" s="31"/>
      <c r="Z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6"/>
      <c r="R446" s="31"/>
      <c r="S446" s="31"/>
      <c r="T446" s="71"/>
      <c r="U446" s="31"/>
      <c r="W446" s="31"/>
      <c r="Y446" s="31"/>
      <c r="Z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6"/>
      <c r="R447" s="31"/>
      <c r="S447" s="31"/>
      <c r="T447" s="71"/>
      <c r="U447" s="31"/>
      <c r="W447" s="31"/>
      <c r="Y447" s="31"/>
      <c r="Z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6"/>
      <c r="R448" s="31"/>
      <c r="S448" s="31"/>
      <c r="T448" s="71"/>
      <c r="U448" s="31"/>
      <c r="W448" s="31"/>
      <c r="Y448" s="31"/>
      <c r="Z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6"/>
      <c r="R449" s="31"/>
      <c r="S449" s="31"/>
      <c r="T449" s="71"/>
      <c r="U449" s="31"/>
      <c r="W449" s="31"/>
      <c r="Y449" s="31"/>
      <c r="Z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6"/>
      <c r="R450" s="31"/>
      <c r="S450" s="31"/>
      <c r="T450" s="71"/>
      <c r="U450" s="31"/>
      <c r="W450" s="31"/>
      <c r="Y450" s="31"/>
      <c r="Z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6"/>
      <c r="R451" s="31"/>
      <c r="S451" s="31"/>
      <c r="T451" s="71"/>
      <c r="U451" s="31"/>
      <c r="W451" s="31"/>
      <c r="Y451" s="31"/>
      <c r="Z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6"/>
      <c r="R452" s="31"/>
      <c r="S452" s="31"/>
      <c r="T452" s="71"/>
      <c r="U452" s="31"/>
      <c r="W452" s="31"/>
      <c r="Y452" s="31"/>
      <c r="Z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6"/>
      <c r="R453" s="31"/>
      <c r="S453" s="31"/>
      <c r="T453" s="71"/>
      <c r="U453" s="31"/>
      <c r="W453" s="31"/>
      <c r="Y453" s="31"/>
      <c r="Z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6"/>
      <c r="R454" s="31"/>
      <c r="S454" s="31"/>
      <c r="T454" s="71"/>
      <c r="U454" s="31"/>
      <c r="W454" s="31"/>
      <c r="Y454" s="31"/>
      <c r="Z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6"/>
      <c r="R455" s="31"/>
      <c r="S455" s="31"/>
      <c r="T455" s="71"/>
      <c r="U455" s="31"/>
      <c r="W455" s="31"/>
      <c r="Y455" s="31"/>
      <c r="Z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6"/>
      <c r="R456" s="31"/>
      <c r="S456" s="31"/>
      <c r="T456" s="71"/>
      <c r="U456" s="31"/>
      <c r="W456" s="31"/>
      <c r="Y456" s="31"/>
      <c r="Z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6"/>
      <c r="R457" s="31"/>
      <c r="S457" s="31"/>
      <c r="T457" s="71"/>
      <c r="U457" s="31"/>
      <c r="W457" s="31"/>
      <c r="Y457" s="31"/>
      <c r="Z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6"/>
      <c r="R458" s="31"/>
      <c r="S458" s="31"/>
      <c r="T458" s="71"/>
      <c r="U458" s="31"/>
      <c r="W458" s="31"/>
      <c r="Y458" s="31"/>
      <c r="Z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6"/>
      <c r="R459" s="31"/>
      <c r="S459" s="31"/>
      <c r="T459" s="71"/>
      <c r="U459" s="31"/>
      <c r="W459" s="31"/>
      <c r="Y459" s="31"/>
      <c r="Z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6"/>
      <c r="R460" s="31"/>
      <c r="S460" s="31"/>
      <c r="T460" s="71"/>
      <c r="U460" s="31"/>
      <c r="W460" s="31"/>
      <c r="Y460" s="31"/>
      <c r="Z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6"/>
      <c r="R461" s="31"/>
      <c r="S461" s="31"/>
      <c r="T461" s="71"/>
      <c r="U461" s="31"/>
      <c r="W461" s="31"/>
      <c r="Y461" s="31"/>
      <c r="Z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6"/>
      <c r="R462" s="31"/>
      <c r="S462" s="31"/>
      <c r="T462" s="71"/>
      <c r="U462" s="31"/>
      <c r="W462" s="31"/>
      <c r="Y462" s="31"/>
      <c r="Z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6"/>
      <c r="R463" s="31"/>
      <c r="S463" s="31"/>
      <c r="T463" s="71"/>
      <c r="U463" s="31"/>
      <c r="W463" s="31"/>
      <c r="Y463" s="31"/>
      <c r="Z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6"/>
      <c r="R464" s="31"/>
      <c r="S464" s="31"/>
      <c r="T464" s="71"/>
      <c r="U464" s="31"/>
      <c r="W464" s="31"/>
      <c r="Y464" s="31"/>
      <c r="Z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6"/>
      <c r="R465" s="31"/>
      <c r="S465" s="31"/>
      <c r="T465" s="71"/>
      <c r="U465" s="31"/>
      <c r="W465" s="31"/>
      <c r="Y465" s="31"/>
      <c r="Z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6"/>
      <c r="R466" s="31"/>
      <c r="S466" s="31"/>
      <c r="T466" s="71"/>
      <c r="U466" s="31"/>
      <c r="W466" s="31"/>
      <c r="Y466" s="31"/>
      <c r="Z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6"/>
      <c r="R467" s="31"/>
      <c r="S467" s="31"/>
      <c r="T467" s="71"/>
      <c r="U467" s="31"/>
      <c r="W467" s="31"/>
      <c r="Y467" s="31"/>
      <c r="Z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6"/>
      <c r="R468" s="31"/>
      <c r="S468" s="31"/>
      <c r="T468" s="71"/>
      <c r="U468" s="31"/>
      <c r="W468" s="31"/>
      <c r="Y468" s="31"/>
      <c r="Z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6"/>
      <c r="R469" s="31"/>
      <c r="S469" s="31"/>
      <c r="T469" s="71"/>
      <c r="U469" s="31"/>
      <c r="W469" s="31"/>
      <c r="Y469" s="31"/>
      <c r="Z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6"/>
      <c r="R470" s="31"/>
      <c r="S470" s="31"/>
      <c r="T470" s="71"/>
      <c r="U470" s="31"/>
      <c r="W470" s="31"/>
      <c r="Y470" s="31"/>
      <c r="Z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6"/>
      <c r="R471" s="31"/>
      <c r="S471" s="31"/>
      <c r="T471" s="71"/>
      <c r="U471" s="31"/>
      <c r="W471" s="31"/>
      <c r="Y471" s="31"/>
      <c r="Z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6"/>
      <c r="R472" s="31"/>
      <c r="S472" s="31"/>
      <c r="T472" s="71"/>
      <c r="U472" s="31"/>
      <c r="W472" s="31"/>
      <c r="Y472" s="31"/>
      <c r="Z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6"/>
      <c r="R473" s="31"/>
      <c r="S473" s="31"/>
      <c r="T473" s="71"/>
      <c r="U473" s="31"/>
      <c r="W473" s="31"/>
      <c r="Y473" s="31"/>
      <c r="Z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6"/>
      <c r="R474" s="31"/>
      <c r="S474" s="31"/>
      <c r="T474" s="71"/>
      <c r="U474" s="31"/>
      <c r="W474" s="31"/>
      <c r="Y474" s="31"/>
      <c r="Z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6"/>
      <c r="R475" s="31"/>
      <c r="S475" s="31"/>
      <c r="T475" s="71"/>
      <c r="U475" s="31"/>
      <c r="W475" s="31"/>
      <c r="Y475" s="31"/>
      <c r="Z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6"/>
      <c r="R476" s="31"/>
      <c r="S476" s="31"/>
      <c r="T476" s="71"/>
      <c r="U476" s="31"/>
      <c r="W476" s="31"/>
      <c r="Y476" s="31"/>
      <c r="Z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6"/>
      <c r="R477" s="31"/>
      <c r="S477" s="31"/>
      <c r="T477" s="71"/>
      <c r="U477" s="31"/>
      <c r="W477" s="31"/>
      <c r="Y477" s="31"/>
      <c r="Z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6"/>
      <c r="R478" s="31"/>
      <c r="S478" s="31"/>
      <c r="T478" s="71"/>
      <c r="U478" s="31"/>
      <c r="W478" s="31"/>
      <c r="Y478" s="31"/>
      <c r="Z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6"/>
      <c r="R479" s="31"/>
      <c r="S479" s="31"/>
      <c r="T479" s="71"/>
      <c r="U479" s="31"/>
      <c r="W479" s="31"/>
      <c r="Y479" s="31"/>
      <c r="Z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6"/>
      <c r="R480" s="31"/>
      <c r="S480" s="31"/>
      <c r="T480" s="71"/>
      <c r="U480" s="31"/>
      <c r="W480" s="31"/>
      <c r="Y480" s="31"/>
      <c r="Z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6"/>
      <c r="R481" s="31"/>
      <c r="S481" s="31"/>
      <c r="T481" s="71"/>
      <c r="U481" s="31"/>
      <c r="W481" s="31"/>
      <c r="Y481" s="31"/>
      <c r="Z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6"/>
      <c r="R482" s="31"/>
      <c r="S482" s="31"/>
      <c r="T482" s="71"/>
      <c r="U482" s="31"/>
      <c r="W482" s="31"/>
      <c r="Y482" s="31"/>
      <c r="Z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6"/>
      <c r="R483" s="31"/>
      <c r="S483" s="31"/>
      <c r="T483" s="71"/>
      <c r="U483" s="31"/>
      <c r="W483" s="31"/>
      <c r="Y483" s="31"/>
      <c r="Z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6"/>
      <c r="R484" s="31"/>
      <c r="S484" s="31"/>
      <c r="T484" s="71"/>
      <c r="U484" s="31"/>
      <c r="W484" s="31"/>
      <c r="Y484" s="31"/>
      <c r="Z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6"/>
      <c r="R485" s="31"/>
      <c r="S485" s="31"/>
      <c r="T485" s="71"/>
      <c r="U485" s="31"/>
      <c r="W485" s="31"/>
      <c r="Y485" s="31"/>
      <c r="Z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6"/>
      <c r="R486" s="31"/>
      <c r="S486" s="31"/>
      <c r="T486" s="71"/>
      <c r="U486" s="31"/>
      <c r="W486" s="31"/>
      <c r="Y486" s="31"/>
      <c r="Z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6"/>
      <c r="R487" s="31"/>
      <c r="S487" s="31"/>
      <c r="T487" s="71"/>
      <c r="U487" s="31"/>
      <c r="W487" s="31"/>
      <c r="Y487" s="31"/>
      <c r="Z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6"/>
      <c r="R488" s="31"/>
      <c r="S488" s="31"/>
      <c r="T488" s="71"/>
      <c r="U488" s="31"/>
      <c r="W488" s="31"/>
      <c r="Y488" s="31"/>
      <c r="Z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6"/>
      <c r="R489" s="31"/>
      <c r="S489" s="31"/>
      <c r="T489" s="71"/>
      <c r="U489" s="31"/>
      <c r="W489" s="31"/>
      <c r="Y489" s="31"/>
      <c r="Z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6"/>
      <c r="R490" s="31"/>
      <c r="S490" s="31"/>
      <c r="T490" s="71"/>
      <c r="U490" s="31"/>
      <c r="W490" s="31"/>
      <c r="Y490" s="31"/>
      <c r="Z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6"/>
      <c r="R491" s="31"/>
      <c r="S491" s="31"/>
      <c r="T491" s="71"/>
      <c r="U491" s="31"/>
      <c r="W491" s="31"/>
      <c r="Y491" s="31"/>
      <c r="Z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6"/>
      <c r="R492" s="31"/>
      <c r="S492" s="31"/>
      <c r="T492" s="71"/>
      <c r="U492" s="31"/>
      <c r="W492" s="31"/>
      <c r="Y492" s="31"/>
      <c r="Z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6"/>
      <c r="R493" s="31"/>
      <c r="S493" s="31"/>
      <c r="T493" s="71"/>
      <c r="U493" s="31"/>
      <c r="W493" s="31"/>
      <c r="Y493" s="31"/>
      <c r="Z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6"/>
      <c r="R494" s="31"/>
      <c r="S494" s="31"/>
      <c r="T494" s="71"/>
      <c r="U494" s="31"/>
      <c r="W494" s="31"/>
      <c r="Y494" s="31"/>
      <c r="Z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6"/>
      <c r="R495" s="31"/>
      <c r="S495" s="31"/>
      <c r="T495" s="71"/>
      <c r="U495" s="31"/>
      <c r="W495" s="31"/>
      <c r="Y495" s="31"/>
      <c r="Z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6"/>
      <c r="R496" s="31"/>
      <c r="S496" s="31"/>
      <c r="T496" s="71"/>
      <c r="U496" s="31"/>
      <c r="W496" s="31"/>
      <c r="Y496" s="31"/>
      <c r="Z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6"/>
      <c r="R497" s="31"/>
      <c r="S497" s="31"/>
      <c r="T497" s="71"/>
      <c r="U497" s="31"/>
      <c r="W497" s="31"/>
      <c r="Y497" s="31"/>
      <c r="Z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6"/>
      <c r="R498" s="31"/>
      <c r="S498" s="31"/>
      <c r="T498" s="71"/>
      <c r="U498" s="31"/>
      <c r="W498" s="31"/>
      <c r="Y498" s="31"/>
      <c r="Z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6"/>
      <c r="R499" s="31"/>
      <c r="S499" s="31"/>
      <c r="T499" s="71"/>
      <c r="U499" s="31"/>
      <c r="W499" s="31"/>
      <c r="Y499" s="31"/>
      <c r="Z499" s="31"/>
      <c r="AA499" s="31"/>
      <c r="AB499" s="31"/>
      <c r="AC499" s="31"/>
      <c r="AD499" s="31"/>
      <c r="AE499" s="31"/>
      <c r="AG499" s="31"/>
    </row>
    <row r="500" spans="1:33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6"/>
      <c r="R500" s="31"/>
      <c r="S500" s="31"/>
      <c r="T500" s="71"/>
      <c r="U500" s="31"/>
      <c r="W500" s="31"/>
      <c r="Y500" s="31"/>
      <c r="Z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6"/>
      <c r="R501" s="31"/>
      <c r="S501" s="31"/>
      <c r="T501" s="71"/>
      <c r="U501" s="31"/>
      <c r="W501" s="31"/>
      <c r="Y501" s="31"/>
      <c r="Z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6"/>
      <c r="R502" s="31"/>
      <c r="S502" s="31"/>
      <c r="T502" s="71"/>
      <c r="U502" s="31"/>
      <c r="W502" s="31"/>
      <c r="Y502" s="31"/>
      <c r="Z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6"/>
      <c r="R503" s="31"/>
      <c r="S503" s="31"/>
      <c r="T503" s="71"/>
      <c r="U503" s="31"/>
      <c r="W503" s="31"/>
      <c r="Y503" s="31"/>
      <c r="Z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6"/>
      <c r="R504" s="31"/>
      <c r="S504" s="31"/>
      <c r="T504" s="71"/>
      <c r="U504" s="31"/>
      <c r="W504" s="31"/>
      <c r="Y504" s="31"/>
      <c r="Z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6"/>
      <c r="R505" s="31"/>
      <c r="S505" s="31"/>
      <c r="T505" s="71"/>
      <c r="U505" s="31"/>
      <c r="W505" s="31"/>
      <c r="Y505" s="31"/>
      <c r="Z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6"/>
      <c r="R506" s="31"/>
      <c r="S506" s="31"/>
      <c r="T506" s="71"/>
      <c r="U506" s="31"/>
      <c r="W506" s="31"/>
      <c r="Y506" s="31"/>
      <c r="Z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6"/>
      <c r="R507" s="31"/>
      <c r="S507" s="31"/>
      <c r="T507" s="71"/>
      <c r="U507" s="31"/>
      <c r="W507" s="31"/>
      <c r="Y507" s="31"/>
      <c r="Z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6"/>
      <c r="R508" s="31"/>
      <c r="S508" s="31"/>
      <c r="T508" s="71"/>
      <c r="U508" s="31"/>
      <c r="W508" s="31"/>
      <c r="Y508" s="31"/>
      <c r="Z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6"/>
      <c r="R509" s="31"/>
      <c r="S509" s="31"/>
      <c r="T509" s="71"/>
      <c r="U509" s="31"/>
      <c r="W509" s="31"/>
      <c r="Y509" s="31"/>
      <c r="Z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6"/>
      <c r="R510" s="31"/>
      <c r="S510" s="31"/>
      <c r="T510" s="71"/>
      <c r="U510" s="31"/>
      <c r="W510" s="31"/>
      <c r="Y510" s="31"/>
      <c r="Z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6"/>
      <c r="R511" s="31"/>
      <c r="S511" s="31"/>
      <c r="T511" s="71"/>
      <c r="U511" s="31"/>
      <c r="W511" s="31"/>
      <c r="Y511" s="31"/>
      <c r="Z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6"/>
      <c r="R512" s="31"/>
      <c r="S512" s="31"/>
      <c r="T512" s="71"/>
      <c r="U512" s="31"/>
      <c r="W512" s="31"/>
      <c r="Y512" s="31"/>
      <c r="Z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6"/>
      <c r="R513" s="31"/>
      <c r="S513" s="31"/>
      <c r="T513" s="71"/>
      <c r="U513" s="31"/>
      <c r="W513" s="31"/>
      <c r="Y513" s="31"/>
      <c r="Z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6"/>
      <c r="R514" s="31"/>
      <c r="S514" s="31"/>
      <c r="T514" s="71"/>
      <c r="U514" s="31"/>
      <c r="W514" s="31"/>
      <c r="Y514" s="31"/>
      <c r="Z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6"/>
      <c r="R515" s="31"/>
      <c r="S515" s="31"/>
      <c r="T515" s="71"/>
      <c r="U515" s="31"/>
      <c r="W515" s="31"/>
      <c r="Y515" s="31"/>
      <c r="Z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6"/>
      <c r="R516" s="31"/>
      <c r="S516" s="31"/>
      <c r="T516" s="71"/>
      <c r="U516" s="31"/>
      <c r="W516" s="31"/>
      <c r="Y516" s="31"/>
      <c r="Z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6"/>
      <c r="R517" s="31"/>
      <c r="S517" s="31"/>
      <c r="T517" s="71"/>
      <c r="U517" s="31"/>
      <c r="W517" s="31"/>
      <c r="Y517" s="31"/>
      <c r="Z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6"/>
      <c r="R518" s="31"/>
      <c r="S518" s="31"/>
      <c r="T518" s="71"/>
      <c r="U518" s="31"/>
      <c r="W518" s="31"/>
      <c r="Y518" s="31"/>
      <c r="Z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6"/>
      <c r="R519" s="31"/>
      <c r="S519" s="31"/>
      <c r="T519" s="71"/>
      <c r="U519" s="31"/>
      <c r="W519" s="31"/>
      <c r="Y519" s="31"/>
      <c r="Z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6"/>
      <c r="R520" s="31"/>
      <c r="S520" s="31"/>
      <c r="T520" s="71"/>
      <c r="U520" s="31"/>
      <c r="W520" s="31"/>
      <c r="Y520" s="31"/>
      <c r="Z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6"/>
      <c r="R521" s="31"/>
      <c r="S521" s="31"/>
      <c r="T521" s="71"/>
      <c r="U521" s="31"/>
      <c r="W521" s="31"/>
      <c r="Y521" s="31"/>
      <c r="Z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6"/>
      <c r="R522" s="31"/>
      <c r="S522" s="31"/>
      <c r="T522" s="71"/>
      <c r="U522" s="31"/>
      <c r="W522" s="31"/>
      <c r="Y522" s="31"/>
      <c r="Z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6"/>
      <c r="R523" s="31"/>
      <c r="S523" s="31"/>
      <c r="T523" s="71"/>
      <c r="U523" s="31"/>
      <c r="W523" s="31"/>
      <c r="Y523" s="31"/>
      <c r="Z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6"/>
      <c r="R524" s="31"/>
      <c r="S524" s="31"/>
      <c r="T524" s="71"/>
      <c r="U524" s="31"/>
      <c r="W524" s="31"/>
      <c r="Y524" s="31"/>
      <c r="Z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6"/>
      <c r="R525" s="31"/>
      <c r="S525" s="31"/>
      <c r="T525" s="71"/>
      <c r="U525" s="31"/>
      <c r="W525" s="31"/>
      <c r="Y525" s="31"/>
      <c r="Z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6"/>
      <c r="R526" s="31"/>
      <c r="S526" s="31"/>
      <c r="T526" s="71"/>
      <c r="U526" s="31"/>
      <c r="W526" s="31"/>
      <c r="Y526" s="31"/>
      <c r="Z526" s="31"/>
      <c r="AA526" s="31"/>
      <c r="AB526" s="31"/>
      <c r="AC526" s="31"/>
      <c r="AD526" s="31"/>
      <c r="AE526" s="31"/>
      <c r="AG526" s="31"/>
    </row>
    <row r="527" spans="1:33" ht="15" customHeight="1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6"/>
      <c r="R527" s="31"/>
      <c r="S527" s="31"/>
      <c r="T527" s="71"/>
      <c r="U527" s="31"/>
      <c r="W527" s="31"/>
      <c r="Y527" s="31"/>
      <c r="Z527" s="31"/>
      <c r="AA527" s="31"/>
      <c r="AB527" s="31"/>
      <c r="AC527" s="31"/>
      <c r="AD527" s="31"/>
      <c r="AE527" s="31"/>
      <c r="AG527" s="31"/>
    </row>
  </sheetData>
  <sheetProtection formatColumns="0" formatRows="0" sort="0" autoFilter="0"/>
  <phoneticPr fontId="19" type="noConversion"/>
  <conditionalFormatting sqref="A2:F115 N3:N44 G41:J42 AB3:AL3 G65:Q65 Z2:AL2 Z3 Z42:AK42 Z43:AL44 Z73:AH100 Z4:AL41 Z48:AL72 Z45:AK47 Z116:AC527 Z101:AE115 G2:V40 L41:V42 G43:V64 T65:V65 G66:V73 W2:Y527 A74:V527">
    <cfRule type="expression" dxfId="128" priority="48">
      <formula>AND($B2&lt;&gt;"",MOD(ROW(),2)=0)</formula>
    </cfRule>
  </conditionalFormatting>
  <conditionalFormatting sqref="D2:D527">
    <cfRule type="expression" dxfId="127" priority="32">
      <formula>ISNUMBER(SEARCH("Blocked",$D2))</formula>
    </cfRule>
    <cfRule type="expression" dxfId="126" priority="33">
      <formula>ISNUMBER(SEARCH("overdue",$D2))</formula>
    </cfRule>
    <cfRule type="expression" dxfId="125" priority="34">
      <formula>ISNUMBER(SEARCH("no target",$D2))</formula>
    </cfRule>
    <cfRule type="expression" dxfId="124" priority="35">
      <formula>ISNUMBER(SEARCH("Review",$D2))</formula>
    </cfRule>
    <cfRule type="expression" dxfId="123" priority="36">
      <formula>OR($D2="On track",$D2="Delivered")</formula>
    </cfRule>
  </conditionalFormatting>
  <conditionalFormatting sqref="J116:O192">
    <cfRule type="expression" dxfId="122" priority="15">
      <formula>$AH116="Yes – needs DB Dev to fix"</formula>
    </cfRule>
  </conditionalFormatting>
  <conditionalFormatting sqref="K73:L100">
    <cfRule type="expression" dxfId="121" priority="107">
      <formula>$AF73="Yes – needs DB Dev to fix"</formula>
    </cfRule>
  </conditionalFormatting>
  <conditionalFormatting sqref="M73">
    <cfRule type="expression" dxfId="120" priority="14">
      <formula>$AF73="Yes – needs DB Dev to fix"</formula>
    </cfRule>
  </conditionalFormatting>
  <conditionalFormatting sqref="M73:P100">
    <cfRule type="expression" dxfId="119" priority="292">
      <formula>$AD73="Yes – needs PBI Dev to fix"</formula>
    </cfRule>
  </conditionalFormatting>
  <conditionalFormatting sqref="O101:O113">
    <cfRule type="expression" dxfId="118" priority="13">
      <formula>$AD101="Yes – needs PBI Dev to fix"</formula>
    </cfRule>
  </conditionalFormatting>
  <conditionalFormatting sqref="Q73:Q100">
    <cfRule type="expression" dxfId="117" priority="111">
      <formula>$AF73="Yes – needs PBI Dev to fix"</formula>
    </cfRule>
  </conditionalFormatting>
  <conditionalFormatting sqref="J29 M29:P29 J32:J33 M32:P33 K40:K41 M40:P41 Q2:U64 T65:U65 Q65 Q66:U115 U10:V19 X10:X19 V101:V115 X101:X115">
    <cfRule type="expression" dxfId="116" priority="22">
      <formula>$AJ2="Yes – needs PBI Dev to fix"</formula>
    </cfRule>
  </conditionalFormatting>
  <conditionalFormatting sqref="R73:U100 T96:T101">
    <cfRule type="expression" dxfId="115" priority="113">
      <formula>$AF73="Yes – needs QA to fix"</formula>
    </cfRule>
  </conditionalFormatting>
  <conditionalFormatting sqref="U101:V527 X101:X527">
    <cfRule type="expression" dxfId="114" priority="40">
      <formula>$V101="Yes"</formula>
    </cfRule>
  </conditionalFormatting>
  <conditionalFormatting sqref="U73:Y100">
    <cfRule type="expression" dxfId="113" priority="115">
      <formula>$AF73="Yes – needs DPO Approval to fix"</formula>
    </cfRule>
  </conditionalFormatting>
  <conditionalFormatting sqref="AA2:AE2 AB3:AE3 AA4:AE100">
    <cfRule type="expression" dxfId="112" priority="89">
      <formula>$AJ2="Yes – needs DPO Approval to fix"</formula>
    </cfRule>
  </conditionalFormatting>
  <conditionalFormatting sqref="Z116:AA527">
    <cfRule type="expression" dxfId="111" priority="45">
      <formula>ISNUMBER(SEARCH("Open rework",$Z116))</formula>
    </cfRule>
    <cfRule type="expression" dxfId="110" priority="45">
      <formula>ISNUMBER(SEARCH("Move old",$Z116))</formula>
    </cfRule>
    <cfRule type="expression" dxfId="109" priority="45">
      <formula>ISNUMBER(SEARCH("log it",$Z116))</formula>
    </cfRule>
    <cfRule type="expression" dxfId="108" priority="46">
      <formula>ISNUMBER(SEARCH("Duplicate",$Z116))</formula>
    </cfRule>
    <cfRule type="expression" dxfId="107" priority="47">
      <formula>$Z116&lt;&gt;""</formula>
    </cfRule>
  </conditionalFormatting>
  <conditionalFormatting sqref="AF2:AF115">
    <cfRule type="expression" dxfId="106" priority="61">
      <formula>$AF2="Yes"</formula>
    </cfRule>
  </conditionalFormatting>
  <conditionalFormatting sqref="AF73:AF100">
    <cfRule type="expression" dxfId="105" priority="119">
      <formula>LEFT($AF73,3)="Yes"</formula>
    </cfRule>
  </conditionalFormatting>
  <conditionalFormatting sqref="AG73:AG100">
    <cfRule type="expression" dxfId="104" priority="125">
      <formula>ISNUMBER(SEARCH("Open rework",$AG73))</formula>
    </cfRule>
    <cfRule type="expression" dxfId="103" priority="126">
      <formula>ISNUMBER(SEARCH("Move old",$AG73))</formula>
    </cfRule>
    <cfRule type="expression" dxfId="102" priority="127">
      <formula>ISNUMBER(SEARCH("log it",$AG73))</formula>
    </cfRule>
    <cfRule type="expression" dxfId="101" priority="128">
      <formula>ISNUMBER(SEARCH("Duplicate",$AG73))</formula>
    </cfRule>
    <cfRule type="expression" dxfId="100" priority="129">
      <formula>$AG73&lt;&gt;""</formula>
    </cfRule>
  </conditionalFormatting>
  <conditionalFormatting sqref="AJ2:AJ115">
    <cfRule type="expression" dxfId="99" priority="63">
      <formula>LEFT($AJ2,3)="Yes"</formula>
    </cfRule>
  </conditionalFormatting>
  <conditionalFormatting sqref="AK2:AK115">
    <cfRule type="expression" dxfId="98" priority="69">
      <formula>ISNUMBER(SEARCH("log it",$AK2))</formula>
    </cfRule>
    <cfRule type="expression" dxfId="97" priority="70">
      <formula>ISNUMBER(SEARCH("Open rework",$AK2))</formula>
    </cfRule>
    <cfRule type="expression" dxfId="96" priority="71">
      <formula>ISNUMBER(SEARCH("Move old",$AK2))</formula>
    </cfRule>
    <cfRule type="expression" dxfId="95" priority="72">
      <formula>ISNUMBER(SEARCH("Duplicate",$AK2))</formula>
    </cfRule>
    <cfRule type="expression" dxfId="94" priority="73">
      <formula>$AK2&lt;&gt;""</formula>
    </cfRule>
  </conditionalFormatting>
  <conditionalFormatting sqref="AL45:AL46">
    <cfRule type="expression" dxfId="93" priority="12">
      <formula>AND($B49&lt;&gt;"",MOD(ROW(),2)=0)</formula>
    </cfRule>
  </conditionalFormatting>
  <conditionalFormatting sqref="AL47">
    <cfRule type="expression" dxfId="92" priority="305">
      <formula>AND($B51&lt;&gt;"",MOD(ROW(),2)=0)</formula>
    </cfRule>
  </conditionalFormatting>
  <conditionalFormatting sqref="R58">
    <cfRule type="expression" dxfId="91" priority="307">
      <formula>AND($B65&lt;&gt;"",MOD(ROW(),2)=0)</formula>
    </cfRule>
  </conditionalFormatting>
  <conditionalFormatting sqref="R58">
    <cfRule type="expression" dxfId="90" priority="309">
      <formula>$AJ65="Yes – needs PBI Dev to fix"</formula>
    </cfRule>
  </conditionalFormatting>
  <conditionalFormatting sqref="Q73:Q85 J2:O115">
    <cfRule type="expression" dxfId="89" priority="10">
      <formula>$AJ2="Yes – needs DB Dev to fix"</formula>
    </cfRule>
  </conditionalFormatting>
  <conditionalFormatting sqref="Q73:Q85">
    <cfRule type="expression" dxfId="88" priority="11">
      <formula>$AF73="Yes – needs DB Dev to fix"</formula>
    </cfRule>
  </conditionalFormatting>
  <conditionalFormatting sqref="Q86:Q100">
    <cfRule type="expression" dxfId="87" priority="8">
      <formula>$AJ86="Yes – needs DB Dev to fix"</formula>
    </cfRule>
  </conditionalFormatting>
  <conditionalFormatting sqref="Q86:Q100">
    <cfRule type="expression" dxfId="86" priority="9">
      <formula>$AF86="Yes – needs DB Dev to fix"</formula>
    </cfRule>
  </conditionalFormatting>
  <conditionalFormatting sqref="Q101:R115 V101:V115 X101:X115">
    <cfRule type="expression" dxfId="85" priority="7">
      <formula>$AA101="Yes – needs QA to fix"</formula>
    </cfRule>
  </conditionalFormatting>
  <conditionalFormatting sqref="AA101:AA115">
    <cfRule type="expression" dxfId="84" priority="4">
      <formula>$V101="Yes"</formula>
    </cfRule>
  </conditionalFormatting>
  <conditionalFormatting sqref="AA101:AA115 U2:Z115">
    <cfRule type="expression" dxfId="83" priority="5">
      <formula>$AJ2="Yes – needs QA to fix"</formula>
    </cfRule>
  </conditionalFormatting>
  <conditionalFormatting sqref="AA101:AA115">
    <cfRule type="expression" dxfId="82" priority="3">
      <formula>$AA101="Yes – needs QA to fix"</formula>
    </cfRule>
  </conditionalFormatting>
  <conditionalFormatting sqref="AA101:AA115">
    <cfRule type="expression" dxfId="81" priority="2">
      <formula>$AJ101="Yes – needs PBI Dev to fix"</formula>
    </cfRule>
  </conditionalFormatting>
  <conditionalFormatting sqref="K101:L115">
    <cfRule type="expression" dxfId="80" priority="337">
      <formula>$AA101="Yes – needs DB Dev to fix"</formula>
    </cfRule>
  </conditionalFormatting>
  <conditionalFormatting sqref="M101:P115">
    <cfRule type="expression" dxfId="79" priority="339">
      <formula>$AA101="Yes – needs PBI Dev to fix"</formula>
    </cfRule>
  </conditionalFormatting>
  <conditionalFormatting sqref="S101:U115">
    <cfRule type="expression" dxfId="78" priority="353">
      <formula>$AA101="Yes – needs DPO Approval to fix"</formula>
    </cfRule>
  </conditionalFormatting>
  <conditionalFormatting sqref="AA101:AA115">
    <cfRule type="expression" dxfId="77" priority="361">
      <formula>LEFT($AA101,3)="Yes"</formula>
    </cfRule>
  </conditionalFormatting>
  <conditionalFormatting sqref="AB101:AC115">
    <cfRule type="expression" dxfId="76" priority="369">
      <formula>ISNUMBER(SEARCH("Open rework",$AB101))</formula>
    </cfRule>
    <cfRule type="expression" dxfId="75" priority="370">
      <formula>ISNUMBER(SEARCH("Move old",$AB101))</formula>
    </cfRule>
    <cfRule type="expression" dxfId="74" priority="371">
      <formula>ISNUMBER(SEARCH("log it",$AB101))</formula>
    </cfRule>
    <cfRule type="expression" dxfId="73" priority="372">
      <formula>ISNUMBER(SEARCH("Duplicate",$AB101))</formula>
    </cfRule>
    <cfRule type="expression" dxfId="72" priority="373">
      <formula>$AB101&lt;&gt;""</formula>
    </cfRule>
  </conditionalFormatting>
  <conditionalFormatting sqref="X73:Z100">
    <cfRule type="expression" dxfId="71" priority="467">
      <formula>$Y73="Yes"</formula>
    </cfRule>
  </conditionalFormatting>
  <conditionalFormatting sqref="K116:L527">
    <cfRule type="expression" dxfId="70" priority="564">
      <formula>$X116="Yes – needs DB Dev to fix"</formula>
    </cfRule>
  </conditionalFormatting>
  <conditionalFormatting sqref="M116:P527">
    <cfRule type="expression" dxfId="69" priority="565">
      <formula>$X116="Yes – needs PBI Dev to fix"</formula>
    </cfRule>
  </conditionalFormatting>
  <conditionalFormatting sqref="Q116:R527">
    <cfRule type="expression" dxfId="68" priority="566">
      <formula>$X116="Yes – needs QA to fix"</formula>
    </cfRule>
  </conditionalFormatting>
  <conditionalFormatting sqref="S116:U527">
    <cfRule type="expression" dxfId="67" priority="567">
      <formula>$X116="Yes – needs DPO Approval to fix"</formula>
    </cfRule>
  </conditionalFormatting>
  <conditionalFormatting sqref="X116:X527">
    <cfRule type="expression" dxfId="66" priority="568">
      <formula>LEFT($X116,3)="Yes"</formula>
    </cfRule>
  </conditionalFormatting>
  <conditionalFormatting sqref="K41">
    <cfRule type="expression" dxfId="65" priority="591">
      <formula>AND($B41&lt;&gt;"",MOD(ROW(),2)=0)</formula>
    </cfRule>
    <cfRule type="expression" dxfId="64" priority="592">
      <formula>$AJ41="Yes – needs DB Dev to fix"</formula>
    </cfRule>
  </conditionalFormatting>
  <conditionalFormatting sqref="K42">
    <cfRule type="expression" dxfId="63" priority="593">
      <formula>AND($B41&lt;&gt;"",MOD(ROW(),2)=0)</formula>
    </cfRule>
    <cfRule type="expression" dxfId="62" priority="594">
      <formula>$AJ41="Yes – needs DB Dev to fix"</formula>
    </cfRule>
  </conditionalFormatting>
  <conditionalFormatting sqref="AA3">
    <cfRule type="expression" dxfId="61" priority="595">
      <formula>AND($B3&lt;&gt;"",MOD(ROW(),2)=0)</formula>
    </cfRule>
    <cfRule type="expression" dxfId="60" priority="596">
      <formula>$AJ3="Yes – needs DPO Approval to fix"</formula>
    </cfRule>
  </conditionalFormatting>
  <conditionalFormatting sqref="M79">
    <cfRule type="expression" dxfId="59" priority="1">
      <formula>$AF79="Yes – needs DB Dev to fix"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Y527 AG2:AG72 AB2:AB72 AC5:AC72 S2:S28 Q2:R64 V2:V115 AA2:AA115 AC2:AC3 S30:S64 Q65 Q66:S527 H2:H527 W2:W72 Y2:Y72 X2:X115 K2:M527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C4" xr:uid="{AB5B7243-367B-48A5-B4E6-E66C038D2D60}">
      <formula1>"Compliance, Regulatory, Ops "</formula1>
    </dataValidation>
    <dataValidation allowBlank="1" showInputMessage="1" showErrorMessage="1" sqref="AE1" xr:uid="{FECAB9FC-5D18-4A69-8AB2-F9B5CCD5292C}"/>
    <dataValidation type="list" allowBlank="1" showInputMessage="1" showErrorMessage="1" sqref="AC116:AC1048576 AE2:AE115" xr:uid="{DA68FF9D-BD58-4B66-BD0E-CEC5E83F324E}">
      <formula1>$T$2:$T$4</formula1>
    </dataValidation>
  </dataValidations>
  <hyperlinks>
    <hyperlink ref="AL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AF2:AF72 W73:Y100 X116:X527 U116:V527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AJ2:AJ115 AF73:AF100 X116:X527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U116:U527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N1:N1048576</xm:sqref>
        </x14:dataValidation>
        <x14:dataValidation type="list" allowBlank="1" showInputMessage="1" showErrorMessage="1" errorTitle="QA Tester" error="Pick a tester from the list. To add a new tester, add the name to the QA Tester list on the Data Validation tab." xr:uid="{8AA8E9FF-4D26-46D0-8785-CDE50C069E01}">
          <x14:formula1>
            <xm:f>'Data Validation'!$H$3:$H$7</xm:f>
          </x14:formula1>
          <xm:sqref>U2:U115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325</v>
      </c>
    </row>
    <row r="2" spans="1:5">
      <c r="A2" s="6" t="s">
        <v>326</v>
      </c>
    </row>
    <row r="4" spans="1:5" ht="21.95" customHeight="1">
      <c r="A4" s="5" t="s">
        <v>327</v>
      </c>
      <c r="B4" s="120"/>
      <c r="C4" s="121"/>
      <c r="D4" s="121"/>
      <c r="E4" s="121"/>
    </row>
    <row r="6" spans="1:5">
      <c r="A6" s="42" t="s">
        <v>0</v>
      </c>
      <c r="B6" s="118" t="str">
        <f>IF($B$4="","",IFERROR(INDEX('Combined Delivery Data'!$A:$A,MATCH($B$4,'Combined Delivery Data'!$B:$B,0)),""))</f>
        <v/>
      </c>
      <c r="C6" s="122"/>
      <c r="D6" s="122"/>
      <c r="E6" s="123"/>
    </row>
    <row r="7" spans="1:5">
      <c r="A7" s="42" t="s">
        <v>328</v>
      </c>
      <c r="B7" s="118" t="str">
        <f>IF($B$4="","",IFERROR(INDEX('Combined Delivery Data'!$C:$C,MATCH($B$4,'Combined Delivery Data'!$B:$B,0)),""))</f>
        <v/>
      </c>
      <c r="C7" s="122"/>
      <c r="D7" s="122"/>
      <c r="E7" s="123"/>
    </row>
    <row r="8" spans="1:5">
      <c r="A8" s="42" t="s">
        <v>3</v>
      </c>
      <c r="B8" s="118" t="str">
        <f>IF($B$4="","",IFERROR(INDEX('Combined Delivery Data'!$D:$D,MATCH($B$4,'Combined Delivery Data'!$B:$B,0)),""))</f>
        <v/>
      </c>
      <c r="C8" s="122"/>
      <c r="D8" s="122"/>
      <c r="E8" s="123"/>
    </row>
    <row r="9" spans="1:5">
      <c r="A9" s="42" t="s">
        <v>4</v>
      </c>
      <c r="B9" s="118" t="str">
        <f>IF($B$4="","",IFERROR(INDEX('Combined Delivery Data'!$E:$E,MATCH($B$4,'Combined Delivery Data'!$B:$B,0)),""))</f>
        <v/>
      </c>
      <c r="C9" s="122"/>
      <c r="D9" s="122"/>
      <c r="E9" s="123"/>
    </row>
    <row r="10" spans="1:5">
      <c r="A10" s="42" t="s">
        <v>5</v>
      </c>
      <c r="B10" s="118" t="str">
        <f>IF($B$4="","",IFERROR(INDEX('Combined Delivery Data'!$F:$F,MATCH($B$4,'Combined Delivery Data'!$B:$B,0)),""))</f>
        <v/>
      </c>
      <c r="C10" s="122"/>
      <c r="D10" s="122"/>
      <c r="E10" s="123"/>
    </row>
    <row r="11" spans="1:5">
      <c r="A11" s="42" t="s">
        <v>9</v>
      </c>
      <c r="B11" s="118" t="str">
        <f>IF($B$4="","",IFERROR(INDEX('Combined Delivery Data'!$J:$J,MATCH($B$4,'Combined Delivery Data'!$B:$B,0)),""))</f>
        <v/>
      </c>
      <c r="C11" s="122"/>
      <c r="D11" s="122"/>
      <c r="E11" s="123"/>
    </row>
    <row r="12" spans="1:5">
      <c r="A12" s="42" t="s">
        <v>15</v>
      </c>
      <c r="B12" s="118" t="str">
        <f>IF($B$4="","",IFERROR(INDEX('Combined Delivery Data'!$P:$P,MATCH($B$4,'Combined Delivery Data'!$B:$B,0)),""))</f>
        <v/>
      </c>
      <c r="C12" s="122"/>
      <c r="D12" s="122"/>
      <c r="E12" s="123"/>
    </row>
    <row r="13" spans="1:5">
      <c r="A13" s="42" t="s">
        <v>20</v>
      </c>
      <c r="B13" s="118" t="str">
        <f>IF($B$4="","",IFERROR(INDEX('Combined Delivery Data'!$U:$U,MATCH($B$4,'Combined Delivery Data'!$B:$B,0)),""))</f>
        <v/>
      </c>
      <c r="C13" s="122"/>
      <c r="D13" s="122"/>
      <c r="E13" s="123"/>
    </row>
    <row r="14" spans="1:5">
      <c r="A14" s="42" t="s">
        <v>329</v>
      </c>
      <c r="B14" s="117" t="str">
        <f>IF($B$4="","",IFERROR(INDEX('Combined Delivery Data'!$K:$K,MATCH($B$4,'Combined Delivery Data'!$B:$B,0)),""))</f>
        <v/>
      </c>
      <c r="C14" s="122"/>
      <c r="D14" s="122"/>
      <c r="E14" s="123"/>
    </row>
    <row r="15" spans="1:5">
      <c r="A15" s="42" t="s">
        <v>330</v>
      </c>
      <c r="B15" s="117" t="str">
        <f>IF($B$4="","",IFERROR(INDEX('Combined Delivery Data'!$L:$L,MATCH($B$4,'Combined Delivery Data'!$B:$B,0)),""))</f>
        <v/>
      </c>
      <c r="C15" s="122"/>
      <c r="D15" s="122"/>
      <c r="E15" s="123"/>
    </row>
    <row r="16" spans="1:5">
      <c r="A16" s="42" t="s">
        <v>331</v>
      </c>
      <c r="B16" s="117" t="str">
        <f>IF($B$4="","",IFERROR(INDEX('Combined Delivery Data'!$M:$M,MATCH($B$4,'Combined Delivery Data'!$B:$B,0)),""))</f>
        <v/>
      </c>
      <c r="C16" s="122"/>
      <c r="D16" s="122"/>
      <c r="E16" s="123"/>
    </row>
    <row r="17" spans="1:5">
      <c r="A17" s="42" t="s">
        <v>332</v>
      </c>
      <c r="B17" s="117" t="str">
        <f>IF($B$4="","",IFERROR(INDEX('Combined Delivery Data'!$O:$O,MATCH($B$4,'Combined Delivery Data'!$B:$B,0)),""))</f>
        <v/>
      </c>
      <c r="C17" s="122"/>
      <c r="D17" s="122"/>
      <c r="E17" s="123"/>
    </row>
    <row r="18" spans="1:5">
      <c r="A18" s="42" t="s">
        <v>333</v>
      </c>
      <c r="B18" s="117" t="str">
        <f>IF($B$4="","",IFERROR(INDEX('Combined Delivery Data'!$Q:$Q,MATCH($B$4,'Combined Delivery Data'!$B:$B,0)),""))</f>
        <v/>
      </c>
      <c r="C18" s="122"/>
      <c r="D18" s="122"/>
      <c r="E18" s="123"/>
    </row>
    <row r="19" spans="1:5">
      <c r="A19" s="42" t="s">
        <v>334</v>
      </c>
      <c r="B19" s="117" t="str">
        <f>IF($B$4="","",IFERROR(INDEX('Combined Delivery Data'!$R:$R,MATCH($B$4,'Combined Delivery Data'!$B:$B,0)),""))</f>
        <v/>
      </c>
      <c r="C19" s="122"/>
      <c r="D19" s="122"/>
      <c r="E19" s="123"/>
    </row>
    <row r="20" spans="1:5">
      <c r="A20" s="42" t="s">
        <v>335</v>
      </c>
      <c r="B20" s="117" t="str">
        <f>IF($B$4="","",IFERROR(INDEX('Combined Delivery Data'!$S:$S,MATCH($B$4,'Combined Delivery Data'!$B:$B,0)),""))</f>
        <v/>
      </c>
      <c r="C20" s="122"/>
      <c r="D20" s="122"/>
      <c r="E20" s="123"/>
    </row>
    <row r="21" spans="1:5">
      <c r="A21" s="42" t="s">
        <v>29</v>
      </c>
      <c r="B21" s="118" t="str">
        <f>IF($B$4="","",IFERROR(INDEX('Combined Delivery Data'!$T:$T,MATCH($B$4,'Combined Delivery Data'!$B:$B,0)),""))</f>
        <v/>
      </c>
      <c r="C21" s="122"/>
      <c r="D21" s="122"/>
      <c r="E21" s="123"/>
    </row>
    <row r="22" spans="1:5">
      <c r="A22" s="42" t="s">
        <v>31</v>
      </c>
      <c r="B22" s="118" t="str">
        <f>IF($B$4="","",IFERROR(INDEX('Combined Delivery Data'!$V:$V,MATCH($B$4,'Combined Delivery Data'!$B:$B,0)),""))</f>
        <v/>
      </c>
      <c r="C22" s="122"/>
      <c r="D22" s="122"/>
      <c r="E22" s="123"/>
    </row>
    <row r="23" spans="1:5">
      <c r="A23" s="42" t="s">
        <v>32</v>
      </c>
      <c r="B23" s="117" t="str">
        <f>IF($B$4="","",IFERROR(INDEX('Combined Delivery Data'!$W:$W,MATCH($B$4,'Combined Delivery Data'!$B:$B,0)),""))</f>
        <v/>
      </c>
      <c r="C23" s="122"/>
      <c r="D23" s="122"/>
      <c r="E23" s="123"/>
    </row>
    <row r="24" spans="1:5">
      <c r="A24" s="42" t="s">
        <v>35</v>
      </c>
      <c r="B24" s="118" t="str">
        <f>IF($B$4="","",IFERROR(INDEX('Combined Delivery Data'!$X:$X,MATCH($B$4,'Combined Delivery Data'!$B:$B,0)),""))</f>
        <v/>
      </c>
      <c r="C24" s="122"/>
      <c r="D24" s="122"/>
      <c r="E24" s="123"/>
    </row>
    <row r="25" spans="1:5">
      <c r="A25" s="42" t="s">
        <v>36</v>
      </c>
      <c r="B25" s="118" t="str">
        <f>IF($B$4="","",IFERROR(INDEX('Combined Delivery Data'!$Z:$Z,MATCH($B$4,'Combined Delivery Data'!$B:$B,0)),""))</f>
        <v/>
      </c>
      <c r="C25" s="122"/>
      <c r="D25" s="122"/>
      <c r="E25" s="123"/>
    </row>
    <row r="26" spans="1:5">
      <c r="A26" s="42" t="s">
        <v>336</v>
      </c>
      <c r="B26" s="118" t="str">
        <f>IF($B$4="","",IFERROR(INDEX('Rework Log'!$Q:$Q,MATCH($B$4,'Rework Log'!$P:$P,0)),""))</f>
        <v/>
      </c>
      <c r="C26" s="122"/>
      <c r="D26" s="122"/>
      <c r="E26" s="123"/>
    </row>
    <row r="27" spans="1:5">
      <c r="A27" s="42" t="s">
        <v>337</v>
      </c>
      <c r="B27" s="118" t="str">
        <f>IF($B$4="","",IFERROR(INDEX('Rework Log'!$R:$R,MATCH($B$4,'Rework Log'!$P:$P,0)),""))</f>
        <v/>
      </c>
      <c r="C27" s="122"/>
      <c r="D27" s="122"/>
      <c r="E27" s="123"/>
    </row>
    <row r="28" spans="1:5">
      <c r="A28" s="42" t="s">
        <v>338</v>
      </c>
      <c r="B28" s="118" t="str">
        <f>IF($B$4="","",IFERROR(INDEX('Rework Log'!$S:$S,MATCH($B$4,'Rework Log'!$P:$P,0)),""))</f>
        <v/>
      </c>
      <c r="C28" s="122"/>
      <c r="D28" s="122"/>
      <c r="E28" s="123"/>
    </row>
    <row r="29" spans="1:5">
      <c r="A29" s="42" t="s">
        <v>339</v>
      </c>
      <c r="B29" s="118" t="str">
        <f>IF($B$4="","",IFERROR(INDEX('Rework Log'!$T:$T,MATCH($B$4,'Rework Log'!$P:$P,0)),""))</f>
        <v/>
      </c>
      <c r="C29" s="122"/>
      <c r="D29" s="122"/>
      <c r="E29" s="123"/>
    </row>
    <row r="30" spans="1:5" ht="15.6" customHeight="1">
      <c r="A30" s="42"/>
      <c r="B30" s="118"/>
      <c r="C30" s="122"/>
      <c r="D30" s="122"/>
      <c r="E30" s="123"/>
    </row>
    <row r="31" spans="1:5" ht="15.6" customHeight="1">
      <c r="A31" s="5" t="s">
        <v>37</v>
      </c>
      <c r="B31" s="124" t="str">
        <f>IF($B$4="","",IFERROR(INDEX('Combined Delivery Data'!$AB:$AB,MATCH($B$4,'Combined Delivery Data'!$B:$B,0)),""))</f>
        <v/>
      </c>
      <c r="C31" s="121"/>
      <c r="D31" s="121"/>
      <c r="E31" s="121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workbookViewId="0">
      <pane ySplit="2" topLeftCell="A3" activePane="bottomLeft" state="frozen"/>
      <selection pane="bottomLeft" activeCell="F32" sqref="F32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19" t="s">
        <v>340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P1" s="125" t="s">
        <v>341</v>
      </c>
      <c r="Q1" s="125"/>
      <c r="R1" s="125"/>
      <c r="S1" s="125"/>
      <c r="T1" s="125"/>
    </row>
    <row r="2" spans="1:20" ht="30" customHeight="1">
      <c r="A2" s="17" t="s">
        <v>1</v>
      </c>
      <c r="B2" s="17" t="s">
        <v>342</v>
      </c>
      <c r="C2" s="17" t="s">
        <v>343</v>
      </c>
      <c r="D2" s="17" t="s">
        <v>344</v>
      </c>
      <c r="E2" s="17" t="s">
        <v>345</v>
      </c>
      <c r="F2" s="17" t="s">
        <v>346</v>
      </c>
      <c r="G2" s="17" t="s">
        <v>347</v>
      </c>
      <c r="H2" s="30" t="s">
        <v>348</v>
      </c>
      <c r="I2" s="30" t="s">
        <v>349</v>
      </c>
      <c r="J2" s="30" t="s">
        <v>350</v>
      </c>
      <c r="K2" s="30" t="s">
        <v>351</v>
      </c>
      <c r="L2" s="30" t="s">
        <v>352</v>
      </c>
      <c r="M2" s="21" t="s">
        <v>353</v>
      </c>
      <c r="N2" s="21" t="s">
        <v>354</v>
      </c>
      <c r="P2" s="13" t="s">
        <v>1</v>
      </c>
      <c r="Q2" s="13" t="s">
        <v>336</v>
      </c>
      <c r="R2" s="13" t="s">
        <v>337</v>
      </c>
      <c r="S2" s="13" t="s">
        <v>338</v>
      </c>
      <c r="T2" s="13" t="s">
        <v>339</v>
      </c>
    </row>
    <row r="3" spans="1:20">
      <c r="A3" s="33" t="s">
        <v>147</v>
      </c>
      <c r="B3" s="36">
        <v>46230</v>
      </c>
      <c r="C3" s="33" t="s">
        <v>141</v>
      </c>
      <c r="D3" s="33" t="s">
        <v>156</v>
      </c>
      <c r="E3" s="33" t="s">
        <v>148</v>
      </c>
      <c r="F3" s="33" t="s">
        <v>355</v>
      </c>
      <c r="G3" s="33" t="s">
        <v>50</v>
      </c>
      <c r="H3" s="36"/>
      <c r="I3" s="53"/>
      <c r="J3" s="53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37 d</v>
      </c>
      <c r="N3" t="s">
        <v>50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160</v>
      </c>
      <c r="B4" s="32">
        <v>46237</v>
      </c>
      <c r="C4" s="31" t="s">
        <v>141</v>
      </c>
      <c r="D4" s="31" t="s">
        <v>156</v>
      </c>
      <c r="E4" s="31" t="s">
        <v>148</v>
      </c>
      <c r="F4" s="31" t="s">
        <v>356</v>
      </c>
      <c r="G4" s="31" t="s">
        <v>50</v>
      </c>
      <c r="H4" s="32"/>
      <c r="I4" s="32"/>
      <c r="J4" s="32">
        <v>46247</v>
      </c>
      <c r="K4" s="31" t="s">
        <v>60</v>
      </c>
      <c r="L4" s="31" t="s">
        <v>357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50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4" t="s">
        <v>128</v>
      </c>
      <c r="B5" s="32">
        <v>46238</v>
      </c>
      <c r="C5" s="31" t="s">
        <v>141</v>
      </c>
      <c r="D5" s="31" t="s">
        <v>156</v>
      </c>
      <c r="E5" s="31" t="s">
        <v>130</v>
      </c>
      <c r="F5" s="31" t="s">
        <v>358</v>
      </c>
      <c r="G5" s="31" t="s">
        <v>50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50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4" t="s">
        <v>145</v>
      </c>
      <c r="B6" s="32">
        <v>46234</v>
      </c>
      <c r="C6" s="31" t="s">
        <v>141</v>
      </c>
      <c r="D6" s="31" t="s">
        <v>156</v>
      </c>
      <c r="E6" s="31" t="s">
        <v>130</v>
      </c>
      <c r="F6" s="31" t="s">
        <v>359</v>
      </c>
      <c r="G6" s="31" t="s">
        <v>50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50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4" t="s">
        <v>135</v>
      </c>
      <c r="B7" s="32">
        <v>46239</v>
      </c>
      <c r="C7" s="31" t="s">
        <v>141</v>
      </c>
      <c r="D7" s="31" t="s">
        <v>156</v>
      </c>
      <c r="E7" s="31" t="s">
        <v>130</v>
      </c>
      <c r="F7" s="31" t="s">
        <v>360</v>
      </c>
      <c r="G7" s="31" t="s">
        <v>50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50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4" t="s">
        <v>135</v>
      </c>
      <c r="B8" s="32">
        <v>46246</v>
      </c>
      <c r="C8" s="31" t="s">
        <v>141</v>
      </c>
      <c r="D8" s="31" t="s">
        <v>156</v>
      </c>
      <c r="E8" s="31" t="s">
        <v>130</v>
      </c>
      <c r="F8" s="31" t="s">
        <v>361</v>
      </c>
      <c r="G8" s="31" t="s">
        <v>50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362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160</v>
      </c>
      <c r="B9" s="32">
        <v>46251</v>
      </c>
      <c r="C9" s="31" t="s">
        <v>141</v>
      </c>
      <c r="D9" s="31" t="s">
        <v>156</v>
      </c>
      <c r="E9" s="31" t="s">
        <v>148</v>
      </c>
      <c r="F9" s="31" t="s">
        <v>363</v>
      </c>
      <c r="G9" s="31" t="s">
        <v>50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362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147</v>
      </c>
      <c r="B10" s="32">
        <v>46237</v>
      </c>
      <c r="C10" s="31" t="s">
        <v>141</v>
      </c>
      <c r="D10" s="31" t="s">
        <v>156</v>
      </c>
      <c r="E10" s="31" t="s">
        <v>148</v>
      </c>
      <c r="F10" s="31" t="s">
        <v>356</v>
      </c>
      <c r="G10" s="31" t="s">
        <v>50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362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4" t="s">
        <v>135</v>
      </c>
      <c r="B11" s="32">
        <v>46254</v>
      </c>
      <c r="C11" s="31" t="s">
        <v>141</v>
      </c>
      <c r="D11" s="31" t="s">
        <v>156</v>
      </c>
      <c r="E11" s="31" t="s">
        <v>130</v>
      </c>
      <c r="F11" s="31" t="s">
        <v>358</v>
      </c>
      <c r="G11" s="31" t="s">
        <v>50</v>
      </c>
      <c r="H11" s="32"/>
      <c r="I11" s="32"/>
      <c r="J11" s="32">
        <v>46255</v>
      </c>
      <c r="K11" s="31"/>
      <c r="L11" s="31"/>
      <c r="M11" s="76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50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4" t="s">
        <v>157</v>
      </c>
      <c r="B12" s="32">
        <v>46254</v>
      </c>
      <c r="C12" s="31" t="s">
        <v>141</v>
      </c>
      <c r="D12" s="31" t="s">
        <v>156</v>
      </c>
      <c r="E12" s="31" t="s">
        <v>148</v>
      </c>
      <c r="F12" s="31" t="s">
        <v>364</v>
      </c>
      <c r="G12" s="31" t="s">
        <v>50</v>
      </c>
      <c r="H12" s="32"/>
      <c r="I12" s="32"/>
      <c r="J12" s="32">
        <v>46255</v>
      </c>
      <c r="K12" s="31"/>
      <c r="L12" s="31"/>
      <c r="M12" s="76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365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4" t="s">
        <v>140</v>
      </c>
      <c r="B13" s="32">
        <v>46258</v>
      </c>
      <c r="C13" s="31" t="s">
        <v>141</v>
      </c>
      <c r="D13" s="31" t="s">
        <v>156</v>
      </c>
      <c r="E13" s="31" t="s">
        <v>130</v>
      </c>
      <c r="F13" s="31" t="s">
        <v>366</v>
      </c>
      <c r="G13" s="31" t="s">
        <v>50</v>
      </c>
      <c r="H13" s="32"/>
      <c r="I13" s="32"/>
      <c r="J13" s="32">
        <v>46258</v>
      </c>
      <c r="K13" s="31"/>
      <c r="L13" s="31"/>
      <c r="M13" s="76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50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150</v>
      </c>
      <c r="B14" s="32">
        <v>46258</v>
      </c>
      <c r="C14" s="31" t="s">
        <v>141</v>
      </c>
      <c r="D14" s="31" t="s">
        <v>151</v>
      </c>
      <c r="E14" s="31" t="s">
        <v>148</v>
      </c>
      <c r="F14" s="31" t="s">
        <v>367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50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163</v>
      </c>
      <c r="B15" s="32">
        <v>46258</v>
      </c>
      <c r="C15" s="31" t="s">
        <v>141</v>
      </c>
      <c r="D15" s="31" t="s">
        <v>151</v>
      </c>
      <c r="E15" s="31" t="s">
        <v>148</v>
      </c>
      <c r="F15" s="31" t="s">
        <v>368</v>
      </c>
      <c r="G15" s="31" t="s">
        <v>50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50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155</v>
      </c>
      <c r="B16" s="32">
        <v>46258</v>
      </c>
      <c r="C16" s="31" t="s">
        <v>141</v>
      </c>
      <c r="D16" s="31" t="s">
        <v>156</v>
      </c>
      <c r="E16" s="31" t="s">
        <v>148</v>
      </c>
      <c r="F16" s="31" t="s">
        <v>369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365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150</v>
      </c>
      <c r="B17" s="32">
        <v>46260</v>
      </c>
      <c r="C17" s="31" t="s">
        <v>141</v>
      </c>
      <c r="D17" s="31" t="s">
        <v>151</v>
      </c>
      <c r="E17" s="31" t="s">
        <v>148</v>
      </c>
      <c r="F17" s="31" t="s">
        <v>370</v>
      </c>
      <c r="G17" s="31" t="s">
        <v>50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188</v>
      </c>
      <c r="B18" s="32">
        <v>46261</v>
      </c>
      <c r="C18" s="31" t="s">
        <v>141</v>
      </c>
      <c r="D18" s="31" t="s">
        <v>156</v>
      </c>
      <c r="E18" s="31" t="s">
        <v>130</v>
      </c>
      <c r="F18" s="31" t="s">
        <v>371</v>
      </c>
      <c r="G18" s="31" t="s">
        <v>50</v>
      </c>
      <c r="H18" s="32"/>
      <c r="I18" s="32"/>
      <c r="J18" s="32">
        <v>46261</v>
      </c>
      <c r="K18" s="31" t="s">
        <v>162</v>
      </c>
      <c r="L18" s="31"/>
      <c r="M18" s="3" t="str">
        <f t="shared" ca="1" si="0"/>
        <v>Fixed</v>
      </c>
      <c r="N18" t="s">
        <v>50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150</v>
      </c>
      <c r="B19" s="32">
        <v>46262</v>
      </c>
      <c r="C19" s="31" t="s">
        <v>141</v>
      </c>
      <c r="D19" s="31" t="s">
        <v>151</v>
      </c>
      <c r="E19" s="31" t="s">
        <v>148</v>
      </c>
      <c r="F19" s="31" t="s">
        <v>372</v>
      </c>
      <c r="G19" s="31" t="s">
        <v>53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362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373</v>
      </c>
      <c r="B20" s="32">
        <v>46265</v>
      </c>
      <c r="C20" s="31" t="s">
        <v>141</v>
      </c>
      <c r="D20" s="31" t="s">
        <v>151</v>
      </c>
      <c r="E20" s="31" t="s">
        <v>47</v>
      </c>
      <c r="F20" s="31" t="s">
        <v>374</v>
      </c>
      <c r="G20" s="31" t="s">
        <v>50</v>
      </c>
      <c r="H20" s="32"/>
      <c r="I20" s="32">
        <v>46265</v>
      </c>
      <c r="J20" s="32">
        <v>46265</v>
      </c>
      <c r="K20" s="31" t="s">
        <v>77</v>
      </c>
      <c r="L20" s="31" t="s">
        <v>375</v>
      </c>
      <c r="M20" s="3" t="str">
        <f t="shared" ca="1" si="0"/>
        <v>Fixed</v>
      </c>
      <c r="N20" t="s">
        <v>365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182</v>
      </c>
      <c r="B21" s="32">
        <v>46265</v>
      </c>
      <c r="C21" s="31" t="s">
        <v>141</v>
      </c>
      <c r="D21" s="31" t="s">
        <v>156</v>
      </c>
      <c r="E21" s="31" t="s">
        <v>47</v>
      </c>
      <c r="F21" s="31" t="s">
        <v>376</v>
      </c>
      <c r="G21" s="31" t="s">
        <v>50</v>
      </c>
      <c r="H21" s="32"/>
      <c r="I21" s="32"/>
      <c r="J21" s="32"/>
      <c r="K21" s="31"/>
      <c r="L21" s="31"/>
      <c r="M21" s="3" t="str">
        <f t="shared" ca="1" si="0"/>
        <v>UNCLAIMED 2 d</v>
      </c>
      <c r="N21" t="s">
        <v>50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4" t="s">
        <v>140</v>
      </c>
      <c r="B22" s="32">
        <v>46265</v>
      </c>
      <c r="C22" s="31" t="s">
        <v>141</v>
      </c>
      <c r="D22" s="31" t="s">
        <v>156</v>
      </c>
      <c r="E22" s="31" t="s">
        <v>130</v>
      </c>
      <c r="F22" s="31" t="s">
        <v>377</v>
      </c>
      <c r="G22" s="31" t="s">
        <v>50</v>
      </c>
      <c r="H22" s="32"/>
      <c r="I22" s="32"/>
      <c r="J22" s="32">
        <v>46266</v>
      </c>
      <c r="K22" s="31"/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177</v>
      </c>
      <c r="B23" s="32">
        <v>46266</v>
      </c>
      <c r="C23" s="31" t="s">
        <v>141</v>
      </c>
      <c r="D23" s="31" t="s">
        <v>156</v>
      </c>
      <c r="E23" s="31" t="s">
        <v>47</v>
      </c>
      <c r="F23" s="31" t="s">
        <v>378</v>
      </c>
      <c r="G23" s="31" t="s">
        <v>53</v>
      </c>
      <c r="H23" s="32"/>
      <c r="I23" s="32"/>
      <c r="J23" s="32"/>
      <c r="K23" s="31"/>
      <c r="L23" s="31"/>
      <c r="M23" s="3" t="str">
        <f t="shared" ca="1" si="0"/>
        <v>UNCLAIMED 1 d</v>
      </c>
      <c r="N23" t="s">
        <v>50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177</v>
      </c>
      <c r="B24" s="32">
        <v>46266</v>
      </c>
      <c r="C24" s="31" t="s">
        <v>141</v>
      </c>
      <c r="D24" s="31" t="s">
        <v>156</v>
      </c>
      <c r="E24" s="31" t="s">
        <v>47</v>
      </c>
      <c r="F24" s="31" t="s">
        <v>379</v>
      </c>
      <c r="G24" s="31" t="s">
        <v>53</v>
      </c>
      <c r="H24" s="32"/>
      <c r="I24" s="32"/>
      <c r="J24" s="32"/>
      <c r="K24" s="31"/>
      <c r="L24" s="31"/>
      <c r="M24" s="3" t="str">
        <f t="shared" ca="1" si="0"/>
        <v>UNCLAIMED 1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>
      <c r="A25" s="31" t="s">
        <v>177</v>
      </c>
      <c r="B25" s="32">
        <v>46267</v>
      </c>
      <c r="C25" s="31" t="s">
        <v>141</v>
      </c>
      <c r="D25" s="31" t="s">
        <v>151</v>
      </c>
      <c r="E25" s="31" t="s">
        <v>47</v>
      </c>
      <c r="F25" s="78" t="s">
        <v>380</v>
      </c>
      <c r="G25" s="31" t="s">
        <v>53</v>
      </c>
      <c r="H25" s="32"/>
      <c r="I25" s="32"/>
      <c r="J25" s="32"/>
      <c r="K25" s="31"/>
      <c r="L25" s="31"/>
      <c r="M25" s="3" t="str">
        <f t="shared" ca="1" si="0"/>
        <v>UNCLAIMED 0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54" t="s">
        <v>192</v>
      </c>
      <c r="B26" s="32">
        <v>46267</v>
      </c>
      <c r="C26" s="31" t="s">
        <v>141</v>
      </c>
      <c r="D26" s="31" t="s">
        <v>151</v>
      </c>
      <c r="E26" s="31" t="s">
        <v>130</v>
      </c>
      <c r="F26" s="31" t="s">
        <v>381</v>
      </c>
      <c r="G26" s="31" t="s">
        <v>53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0 d</v>
      </c>
      <c r="N26" t="s">
        <v>50</v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54" t="s">
        <v>188</v>
      </c>
      <c r="B27" s="32">
        <v>46267</v>
      </c>
      <c r="C27" s="31" t="s">
        <v>141</v>
      </c>
      <c r="D27" s="31" t="s">
        <v>156</v>
      </c>
      <c r="E27" s="31" t="s">
        <v>130</v>
      </c>
      <c r="F27" s="31" t="s">
        <v>371</v>
      </c>
      <c r="G27" s="31" t="s">
        <v>50</v>
      </c>
      <c r="H27" s="32"/>
      <c r="I27" s="32"/>
      <c r="J27" s="32">
        <v>46267</v>
      </c>
      <c r="K27" s="31" t="s">
        <v>162</v>
      </c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Fixed</v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 t="s">
        <v>163</v>
      </c>
      <c r="B28" s="32">
        <v>46267</v>
      </c>
      <c r="C28" s="31" t="s">
        <v>141</v>
      </c>
      <c r="D28" s="31" t="s">
        <v>151</v>
      </c>
      <c r="E28" s="31" t="s">
        <v>148</v>
      </c>
      <c r="F28" s="31" t="s">
        <v>382</v>
      </c>
      <c r="G28" s="31" t="s">
        <v>50</v>
      </c>
      <c r="H28" s="32"/>
      <c r="I28" s="32"/>
      <c r="J28" s="32">
        <v>46267</v>
      </c>
      <c r="K28" s="31" t="s">
        <v>77</v>
      </c>
      <c r="L28" s="31" t="s">
        <v>383</v>
      </c>
      <c r="M28" s="3" t="str">
        <f t="shared" ca="1" si="0"/>
        <v>Fixed</v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 t="s">
        <v>138</v>
      </c>
      <c r="B29" s="32">
        <v>46267</v>
      </c>
      <c r="C29" s="31" t="s">
        <v>141</v>
      </c>
      <c r="D29" s="31" t="s">
        <v>151</v>
      </c>
      <c r="E29" s="31" t="s">
        <v>130</v>
      </c>
      <c r="F29" s="31" t="s">
        <v>382</v>
      </c>
      <c r="G29" s="31" t="s">
        <v>50</v>
      </c>
      <c r="H29" s="32"/>
      <c r="I29" s="32"/>
      <c r="J29" s="32">
        <v>46267</v>
      </c>
      <c r="K29" s="31" t="s">
        <v>77</v>
      </c>
      <c r="L29" s="116" t="s">
        <v>383</v>
      </c>
      <c r="M29" s="3" t="str">
        <f t="shared" ca="1" si="0"/>
        <v>Fixed</v>
      </c>
      <c r="N29" t="s">
        <v>50</v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 t="s">
        <v>164</v>
      </c>
      <c r="B30" s="32">
        <v>46267</v>
      </c>
      <c r="C30" s="31" t="s">
        <v>141</v>
      </c>
      <c r="D30" s="31" t="s">
        <v>151</v>
      </c>
      <c r="E30" s="31" t="s">
        <v>130</v>
      </c>
      <c r="F30" s="31" t="s">
        <v>382</v>
      </c>
      <c r="G30" s="31" t="s">
        <v>50</v>
      </c>
      <c r="H30" s="32"/>
      <c r="I30" s="32"/>
      <c r="J30" s="32">
        <v>46267</v>
      </c>
      <c r="K30" s="31" t="s">
        <v>77</v>
      </c>
      <c r="L30" s="116" t="s">
        <v>383</v>
      </c>
      <c r="M30" s="3" t="str">
        <f t="shared" ca="1" si="0"/>
        <v>Fixed</v>
      </c>
      <c r="N30" t="s">
        <v>50</v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54" t="s">
        <v>188</v>
      </c>
      <c r="B31" s="32">
        <v>46267</v>
      </c>
      <c r="C31" s="31" t="s">
        <v>141</v>
      </c>
      <c r="D31" s="31" t="s">
        <v>156</v>
      </c>
      <c r="E31" s="31" t="s">
        <v>130</v>
      </c>
      <c r="F31" s="31" t="s">
        <v>384</v>
      </c>
      <c r="G31" s="31" t="s">
        <v>53</v>
      </c>
      <c r="H31" s="32"/>
      <c r="I31" s="32"/>
      <c r="J31" s="32"/>
      <c r="K31" s="31"/>
      <c r="L31" s="31"/>
      <c r="M31" s="3" t="str">
        <f t="shared" ca="1" si="0"/>
        <v>UNCLAIMED 0 d</v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/>
      <c r="B32" s="32"/>
      <c r="C32" s="31" t="s">
        <v>141</v>
      </c>
      <c r="D32" s="31"/>
      <c r="E32" s="31"/>
      <c r="F32" s="31"/>
      <c r="G32" s="31" t="s">
        <v>53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Data'!B31</f>
        <v>RPT_02_Warning tag Printout</v>
      </c>
      <c r="Q32">
        <f>IF($P32="","",COUNTIF($A$3:$A$499,$P32))</f>
        <v>1</v>
      </c>
      <c r="R32">
        <f>IF($P32="","",SUMPRODUCT(($A$3:$A$499=$P32)*($G$3:$G$499&lt;&gt;"Yes")*($G$3:$G$499&lt;&gt;"Did not pass re-test")))</f>
        <v>0</v>
      </c>
      <c r="S32" s="28">
        <f>IF($P32="","",IF(SUMPRODUCT(MAX(($A$3:$A$499=$P32)*ROW($A$3:$A$499)))=0,"",INDEX($B:$B,SUMPRODUCT(MAX(($A$3:$A$499=$P32)*ROW($A$3:$A$499))))))</f>
        <v>46267</v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>QA -&gt; PBI Dev</v>
      </c>
    </row>
    <row r="33" spans="1:20">
      <c r="A33" s="31"/>
      <c r="B33" s="32"/>
      <c r="C33" s="31" t="s">
        <v>141</v>
      </c>
      <c r="D33" s="31"/>
      <c r="E33" s="31"/>
      <c r="F33" s="31"/>
      <c r="G33" s="31" t="s">
        <v>53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0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/>
      <c r="B34" s="32"/>
      <c r="C34" s="31" t="s">
        <v>141</v>
      </c>
      <c r="D34" s="31"/>
      <c r="E34" s="31"/>
      <c r="F34" s="31"/>
      <c r="G34" s="31" t="s">
        <v>53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141</v>
      </c>
      <c r="D35" s="31"/>
      <c r="E35" s="31"/>
      <c r="F35" s="31"/>
      <c r="G35" s="31" t="s">
        <v>53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141</v>
      </c>
      <c r="D36" s="31"/>
      <c r="E36" s="31"/>
      <c r="F36" s="31"/>
      <c r="G36" s="31" t="s">
        <v>53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1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141</v>
      </c>
      <c r="D37" s="31"/>
      <c r="E37" s="31"/>
      <c r="F37" s="31"/>
      <c r="G37" s="31" t="s">
        <v>53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141</v>
      </c>
      <c r="D38" s="31"/>
      <c r="E38" s="31"/>
      <c r="F38" s="31"/>
      <c r="G38" s="31" t="s">
        <v>53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141</v>
      </c>
      <c r="D39" s="31"/>
      <c r="E39" s="31"/>
      <c r="F39" s="31"/>
      <c r="G39" s="31" t="s">
        <v>53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141</v>
      </c>
      <c r="D40" s="31"/>
      <c r="E40" s="31"/>
      <c r="F40" s="31"/>
      <c r="G40" s="31" t="s">
        <v>53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2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46267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141</v>
      </c>
      <c r="D41" s="31"/>
      <c r="E41" s="31"/>
      <c r="F41" s="31"/>
      <c r="G41" s="31" t="s">
        <v>53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1</v>
      </c>
      <c r="R41">
        <f>IF($P41="","",SUMPRODUCT(($A$3:$A$499=$P41)*($G$3:$G$499&lt;&gt;"Yes")*($G$3:$G$499&lt;&gt;"Did not pass re-test")))</f>
        <v>0</v>
      </c>
      <c r="S41" s="28">
        <f>IF($P41="","",IF(SUMPRODUCT(MAX(($A$3:$A$499=$P41)*ROW($A$3:$A$499)))=0,"",INDEX($B:$B,SUMPRODUCT(MAX(($A$3:$A$499=$P41)*ROW($A$3:$A$499))))))</f>
        <v>46267</v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>QA -&gt; PBI Dev</v>
      </c>
    </row>
    <row r="42" spans="1:20">
      <c r="A42" s="31"/>
      <c r="B42" s="32"/>
      <c r="C42" s="31" t="s">
        <v>141</v>
      </c>
      <c r="D42" s="31"/>
      <c r="E42" s="31"/>
      <c r="F42" s="31"/>
      <c r="G42" s="31" t="s">
        <v>53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141</v>
      </c>
      <c r="D43" s="31"/>
      <c r="E43" s="31"/>
      <c r="F43" s="31"/>
      <c r="G43" s="31" t="s">
        <v>53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141</v>
      </c>
      <c r="D44" s="31"/>
      <c r="E44" s="31"/>
      <c r="F44" s="31"/>
      <c r="G44" s="31" t="s">
        <v>53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0</v>
      </c>
      <c r="R44">
        <f>IF($P44="","",SUMPRODUCT(($A$3:$A$499=$P44)*($G$3:$G$499&lt;&gt;"Yes")*($G$3:$G$499&lt;&gt;"Did not pass re-test")))</f>
        <v>0</v>
      </c>
      <c r="S44" s="28" t="str">
        <f>IF($P44="","",IF(SUMPRODUCT(MAX(($A$3:$A$499=$P44)*ROW($A$3:$A$499)))=0,"",INDEX($B:$B,SUMPRODUCT(MAX(($A$3:$A$499=$P44)*ROW($A$3:$A$499))))))</f>
        <v/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/>
      </c>
    </row>
    <row r="45" spans="1:20">
      <c r="A45" s="31"/>
      <c r="B45" s="32"/>
      <c r="C45" s="31" t="s">
        <v>141</v>
      </c>
      <c r="D45" s="31"/>
      <c r="E45" s="31"/>
      <c r="F45" s="31"/>
      <c r="G45" s="31" t="s">
        <v>53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3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>
      <c r="A46" s="31"/>
      <c r="B46" s="32"/>
      <c r="C46" s="31" t="s">
        <v>141</v>
      </c>
      <c r="D46" s="31"/>
      <c r="E46" s="31"/>
      <c r="F46" s="31"/>
      <c r="G46" s="31" t="s">
        <v>53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141</v>
      </c>
      <c r="D47" s="31"/>
      <c r="E47" s="31"/>
      <c r="F47" s="31"/>
      <c r="G47" s="31" t="s">
        <v>53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141</v>
      </c>
      <c r="D48" s="31"/>
      <c r="E48" s="31"/>
      <c r="F48" s="31"/>
      <c r="G48" s="31" t="s">
        <v>53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141</v>
      </c>
      <c r="D49" s="31"/>
      <c r="E49" s="31"/>
      <c r="F49" s="31"/>
      <c r="G49" s="31" t="s">
        <v>53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141</v>
      </c>
      <c r="D50" s="31"/>
      <c r="E50" s="31"/>
      <c r="F50" s="31"/>
      <c r="G50" s="31" t="s">
        <v>53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3</v>
      </c>
      <c r="R50">
        <f>IF($P50="","",SUMPRODUCT(($A$3:$A$499=$P50)*($G$3:$G$499&lt;&gt;"Yes")*($G$3:$G$499&lt;&gt;"Did not pass re-test")))</f>
        <v>1</v>
      </c>
      <c r="S50" s="28">
        <f>IF($P50="","",IF(SUMPRODUCT(MAX(($A$3:$A$499=$P50)*ROW($A$3:$A$499)))=0,"",INDEX($B:$B,SUMPRODUCT(MAX(($A$3:$A$499=$P50)*ROW($A$3:$A$499))))))</f>
        <v>46267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141</v>
      </c>
      <c r="D51" s="31"/>
      <c r="E51" s="31"/>
      <c r="F51" s="31"/>
      <c r="G51" s="31" t="s">
        <v>53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0</v>
      </c>
      <c r="R51">
        <f>IF($P51="","",SUMPRODUCT(($A$3:$A$499=$P51)*($G$3:$G$499&lt;&gt;"Yes")*($G$3:$G$499&lt;&gt;"Did not pass re-test")))</f>
        <v>0</v>
      </c>
      <c r="S51" s="28" t="str">
        <f>IF($P51="","",IF(SUMPRODUCT(MAX(($A$3:$A$499=$P51)*ROW($A$3:$A$499)))=0,"",INDEX($B:$B,SUMPRODUCT(MAX(($A$3:$A$499=$P51)*ROW($A$3:$A$499))))))</f>
        <v/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/>
      </c>
    </row>
    <row r="52" spans="1:20">
      <c r="A52" s="31"/>
      <c r="B52" s="32"/>
      <c r="C52" s="31" t="s">
        <v>141</v>
      </c>
      <c r="D52" s="31"/>
      <c r="E52" s="31"/>
      <c r="F52" s="31"/>
      <c r="G52" s="31" t="s">
        <v>53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141</v>
      </c>
      <c r="D53" s="31"/>
      <c r="E53" s="31"/>
      <c r="F53" s="31"/>
      <c r="G53" s="31" t="s">
        <v>53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1</v>
      </c>
      <c r="R53">
        <f>IF($P53="","",SUMPRODUCT(($A$3:$A$499=$P53)*($G$3:$G$499&lt;&gt;"Yes")*($G$3:$G$499&lt;&gt;"Did not pass re-test")))</f>
        <v>1</v>
      </c>
      <c r="S53" s="28">
        <f>IF($P53="","",IF(SUMPRODUCT(MAX(($A$3:$A$499=$P53)*ROW($A$3:$A$499)))=0,"",INDEX($B:$B,SUMPRODUCT(MAX(($A$3:$A$499=$P53)*ROW($A$3:$A$499))))))</f>
        <v>46267</v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>QA -&gt; PBI Dev</v>
      </c>
    </row>
    <row r="54" spans="1:20">
      <c r="A54" s="31"/>
      <c r="B54" s="32"/>
      <c r="C54" s="31" t="s">
        <v>141</v>
      </c>
      <c r="D54" s="31"/>
      <c r="E54" s="31"/>
      <c r="F54" s="31"/>
      <c r="G54" s="31" t="s">
        <v>53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141</v>
      </c>
      <c r="D55" s="31"/>
      <c r="E55" s="31"/>
      <c r="F55" s="31"/>
      <c r="G55" s="31" t="s">
        <v>53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141</v>
      </c>
      <c r="D56" s="31"/>
      <c r="E56" s="31"/>
      <c r="F56" s="31"/>
      <c r="G56" s="31" t="s">
        <v>53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141</v>
      </c>
      <c r="D57" s="31"/>
      <c r="E57" s="31"/>
      <c r="F57" s="31"/>
      <c r="G57" s="31" t="s">
        <v>53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141</v>
      </c>
      <c r="D58" s="31"/>
      <c r="E58" s="31"/>
      <c r="F58" s="31"/>
      <c r="G58" s="31" t="s">
        <v>53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141</v>
      </c>
      <c r="D59" s="31"/>
      <c r="E59" s="31"/>
      <c r="F59" s="31"/>
      <c r="G59" s="31" t="s">
        <v>53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141</v>
      </c>
      <c r="D60" s="31"/>
      <c r="E60" s="31"/>
      <c r="F60" s="31"/>
      <c r="G60" s="31" t="s">
        <v>53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141</v>
      </c>
      <c r="D61" s="31"/>
      <c r="E61" s="31"/>
      <c r="F61" s="31"/>
      <c r="G61" s="31" t="s">
        <v>53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141</v>
      </c>
      <c r="D62" s="31"/>
      <c r="E62" s="31"/>
      <c r="F62" s="31"/>
      <c r="G62" s="31" t="s">
        <v>53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141</v>
      </c>
      <c r="D63" s="31"/>
      <c r="E63" s="31"/>
      <c r="F63" s="31"/>
      <c r="G63" s="31" t="s">
        <v>53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141</v>
      </c>
      <c r="D64" s="31"/>
      <c r="E64" s="31"/>
      <c r="F64" s="31"/>
      <c r="G64" s="31" t="s">
        <v>53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141</v>
      </c>
      <c r="D65" s="31"/>
      <c r="E65" s="31"/>
      <c r="F65" s="31"/>
      <c r="G65" s="31" t="s">
        <v>53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141</v>
      </c>
      <c r="D66" s="31"/>
      <c r="E66" s="31"/>
      <c r="F66" s="31"/>
      <c r="G66" s="31" t="s">
        <v>53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141</v>
      </c>
      <c r="D67" s="31"/>
      <c r="E67" s="31"/>
      <c r="F67" s="31"/>
      <c r="G67" s="31" t="s">
        <v>53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141</v>
      </c>
      <c r="D68" s="31"/>
      <c r="E68" s="31"/>
      <c r="F68" s="31"/>
      <c r="G68" s="31" t="s">
        <v>53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141</v>
      </c>
      <c r="D69" s="31"/>
      <c r="E69" s="31"/>
      <c r="F69" s="31"/>
      <c r="G69" s="31" t="s">
        <v>53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141</v>
      </c>
      <c r="D70" s="31"/>
      <c r="E70" s="31"/>
      <c r="F70" s="31"/>
      <c r="G70" s="31" t="s">
        <v>53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141</v>
      </c>
      <c r="D71" s="31"/>
      <c r="E71" s="31"/>
      <c r="F71" s="31"/>
      <c r="G71" s="31" t="s">
        <v>53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141</v>
      </c>
      <c r="D72" s="31"/>
      <c r="E72" s="31"/>
      <c r="F72" s="31"/>
      <c r="G72" s="31" t="s">
        <v>53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141</v>
      </c>
      <c r="D73" s="31"/>
      <c r="E73" s="31"/>
      <c r="F73" s="31"/>
      <c r="G73" s="31" t="s">
        <v>53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141</v>
      </c>
      <c r="D74" s="31"/>
      <c r="E74" s="31"/>
      <c r="F74" s="31"/>
      <c r="G74" s="31" t="s">
        <v>53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141</v>
      </c>
      <c r="D75" s="31"/>
      <c r="E75" s="31"/>
      <c r="F75" s="31"/>
      <c r="G75" s="31" t="s">
        <v>53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141</v>
      </c>
      <c r="D76" s="31"/>
      <c r="E76" s="31"/>
      <c r="F76" s="31"/>
      <c r="G76" s="31" t="s">
        <v>53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141</v>
      </c>
      <c r="D77" s="31"/>
      <c r="E77" s="31"/>
      <c r="F77" s="31"/>
      <c r="G77" s="31" t="s">
        <v>53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141</v>
      </c>
      <c r="D78" s="31"/>
      <c r="E78" s="31"/>
      <c r="F78" s="31"/>
      <c r="G78" s="31" t="s">
        <v>53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141</v>
      </c>
      <c r="D79" s="31"/>
      <c r="E79" s="31"/>
      <c r="F79" s="31"/>
      <c r="G79" s="31" t="s">
        <v>53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141</v>
      </c>
      <c r="D80" s="31"/>
      <c r="E80" s="31"/>
      <c r="F80" s="31"/>
      <c r="G80" s="31" t="s">
        <v>53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141</v>
      </c>
      <c r="D81" s="31"/>
      <c r="E81" s="31"/>
      <c r="F81" s="31"/>
      <c r="G81" s="31" t="s">
        <v>53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141</v>
      </c>
      <c r="D82" s="31"/>
      <c r="E82" s="31"/>
      <c r="F82" s="31"/>
      <c r="G82" s="31" t="s">
        <v>53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141</v>
      </c>
      <c r="D83" s="31"/>
      <c r="E83" s="31"/>
      <c r="F83" s="31"/>
      <c r="G83" s="31" t="s">
        <v>53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141</v>
      </c>
      <c r="D84" s="31"/>
      <c r="E84" s="31"/>
      <c r="F84" s="31"/>
      <c r="G84" s="31" t="s">
        <v>53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141</v>
      </c>
      <c r="D85" s="31"/>
      <c r="E85" s="31"/>
      <c r="F85" s="31"/>
      <c r="G85" s="31" t="s">
        <v>53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141</v>
      </c>
      <c r="D86" s="31"/>
      <c r="E86" s="31"/>
      <c r="F86" s="31"/>
      <c r="G86" s="31" t="s">
        <v>53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141</v>
      </c>
      <c r="D87" s="31"/>
      <c r="E87" s="31"/>
      <c r="F87" s="31"/>
      <c r="G87" s="31" t="s">
        <v>53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141</v>
      </c>
      <c r="D88" s="31"/>
      <c r="E88" s="31"/>
      <c r="F88" s="31"/>
      <c r="G88" s="31" t="s">
        <v>53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141</v>
      </c>
      <c r="D89" s="31"/>
      <c r="E89" s="31"/>
      <c r="F89" s="31"/>
      <c r="G89" s="31" t="s">
        <v>53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141</v>
      </c>
      <c r="D90" s="31"/>
      <c r="E90" s="31"/>
      <c r="F90" s="31"/>
      <c r="G90" s="31" t="s">
        <v>53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468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141</v>
      </c>
      <c r="D91" s="31"/>
      <c r="E91" s="31"/>
      <c r="F91" s="31"/>
      <c r="G91" s="31" t="s">
        <v>53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468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141</v>
      </c>
      <c r="D92" s="31"/>
      <c r="E92" s="31"/>
      <c r="F92" s="31"/>
      <c r="G92" s="31" t="s">
        <v>53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468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141</v>
      </c>
      <c r="D93" s="31"/>
      <c r="E93" s="31"/>
      <c r="F93" s="31"/>
      <c r="G93" s="31" t="s">
        <v>53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468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141</v>
      </c>
      <c r="D94" s="31"/>
      <c r="E94" s="31"/>
      <c r="F94" s="31"/>
      <c r="G94" s="31" t="s">
        <v>53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468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141</v>
      </c>
      <c r="D95" s="31"/>
      <c r="E95" s="31"/>
      <c r="F95" s="31"/>
      <c r="G95" s="31" t="s">
        <v>53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468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141</v>
      </c>
      <c r="D96" s="31"/>
      <c r="E96" s="31"/>
      <c r="F96" s="31"/>
      <c r="G96" s="31" t="s">
        <v>53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468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141</v>
      </c>
      <c r="D97" s="31"/>
      <c r="E97" s="31"/>
      <c r="F97" s="31"/>
      <c r="G97" s="31" t="s">
        <v>53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468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141</v>
      </c>
      <c r="D98" s="31"/>
      <c r="E98" s="31"/>
      <c r="F98" s="31"/>
      <c r="G98" s="31" t="s">
        <v>53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468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141</v>
      </c>
      <c r="D99" s="31"/>
      <c r="E99" s="31"/>
      <c r="F99" s="31"/>
      <c r="G99" s="31" t="s">
        <v>53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468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141</v>
      </c>
      <c r="D100" s="31"/>
      <c r="E100" s="31"/>
      <c r="F100" s="31"/>
      <c r="G100" s="31" t="s">
        <v>53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468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141</v>
      </c>
      <c r="D101" s="31"/>
      <c r="E101" s="31"/>
      <c r="F101" s="31"/>
      <c r="G101" s="31" t="s">
        <v>53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468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141</v>
      </c>
      <c r="D102" s="31"/>
      <c r="E102" s="31"/>
      <c r="F102" s="31"/>
      <c r="G102" s="31" t="s">
        <v>53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468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141</v>
      </c>
      <c r="D103" s="31"/>
      <c r="E103" s="31"/>
      <c r="F103" s="31"/>
      <c r="G103" s="31" t="s">
        <v>53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468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141</v>
      </c>
      <c r="D104" s="31"/>
      <c r="E104" s="31"/>
      <c r="F104" s="31"/>
      <c r="G104" s="31" t="s">
        <v>53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468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141</v>
      </c>
      <c r="D105" s="31"/>
      <c r="E105" s="31"/>
      <c r="F105" s="31"/>
      <c r="G105" s="31" t="s">
        <v>53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468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141</v>
      </c>
      <c r="D106" s="31"/>
      <c r="E106" s="31"/>
      <c r="F106" s="31"/>
      <c r="G106" s="31" t="s">
        <v>53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Data'!B133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468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141</v>
      </c>
      <c r="D107" s="31"/>
      <c r="E107" s="31"/>
      <c r="F107" s="31"/>
      <c r="G107" s="31" t="s">
        <v>53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Data'!B134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468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141</v>
      </c>
      <c r="D108" s="31"/>
      <c r="E108" s="31"/>
      <c r="F108" s="31"/>
      <c r="G108" s="31" t="s">
        <v>53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Data'!B135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468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141</v>
      </c>
      <c r="D109" s="31"/>
      <c r="E109" s="31"/>
      <c r="F109" s="31"/>
      <c r="G109" s="31" t="s">
        <v>53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Data'!B136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468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141</v>
      </c>
      <c r="D110" s="31"/>
      <c r="E110" s="31"/>
      <c r="F110" s="31"/>
      <c r="G110" s="31" t="s">
        <v>53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Data'!B137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468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141</v>
      </c>
      <c r="D111" s="31"/>
      <c r="E111" s="31"/>
      <c r="F111" s="31"/>
      <c r="G111" s="31" t="s">
        <v>53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Data'!B138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468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141</v>
      </c>
      <c r="D112" s="31"/>
      <c r="E112" s="31"/>
      <c r="F112" s="31"/>
      <c r="G112" s="31" t="s">
        <v>53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Data'!B139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468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141</v>
      </c>
      <c r="D113" s="31"/>
      <c r="E113" s="31"/>
      <c r="F113" s="31"/>
      <c r="G113" s="31" t="s">
        <v>53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Data'!B140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468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141</v>
      </c>
      <c r="D114" s="31"/>
      <c r="E114" s="31"/>
      <c r="F114" s="31"/>
      <c r="G114" s="31" t="s">
        <v>53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Data'!B141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468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141</v>
      </c>
      <c r="D115" s="31"/>
      <c r="E115" s="31"/>
      <c r="F115" s="31"/>
      <c r="G115" s="31" t="s">
        <v>53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Data'!B142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468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141</v>
      </c>
      <c r="D116" s="31"/>
      <c r="E116" s="31"/>
      <c r="F116" s="31"/>
      <c r="G116" s="31" t="s">
        <v>53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Data'!B143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468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141</v>
      </c>
      <c r="D117" s="31"/>
      <c r="E117" s="31"/>
      <c r="F117" s="31"/>
      <c r="G117" s="31" t="s">
        <v>53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Data'!B144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468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141</v>
      </c>
      <c r="D118" s="31"/>
      <c r="E118" s="31"/>
      <c r="F118" s="31"/>
      <c r="G118" s="31" t="s">
        <v>53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Data'!B145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468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141</v>
      </c>
      <c r="D119" s="31"/>
      <c r="E119" s="31"/>
      <c r="F119" s="31"/>
      <c r="G119" s="31" t="s">
        <v>53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Data'!B146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468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141</v>
      </c>
      <c r="D120" s="31"/>
      <c r="E120" s="31"/>
      <c r="F120" s="31"/>
      <c r="G120" s="31" t="s">
        <v>53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Data'!B147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468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141</v>
      </c>
      <c r="D121" s="31"/>
      <c r="E121" s="31"/>
      <c r="F121" s="31"/>
      <c r="G121" s="31" t="s">
        <v>53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Data'!B148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468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141</v>
      </c>
      <c r="D122" s="31"/>
      <c r="E122" s="31"/>
      <c r="F122" s="31"/>
      <c r="G122" s="31" t="s">
        <v>53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Data'!B149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468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141</v>
      </c>
      <c r="D123" s="31"/>
      <c r="E123" s="31"/>
      <c r="F123" s="31"/>
      <c r="G123" s="31" t="s">
        <v>53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Data'!B150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468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141</v>
      </c>
      <c r="D124" s="31"/>
      <c r="E124" s="31"/>
      <c r="F124" s="31"/>
      <c r="G124" s="31" t="s">
        <v>53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Data'!B151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468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141</v>
      </c>
      <c r="D125" s="31"/>
      <c r="E125" s="31"/>
      <c r="F125" s="31"/>
      <c r="G125" s="31" t="s">
        <v>53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Data'!B152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468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141</v>
      </c>
      <c r="D126" s="31"/>
      <c r="E126" s="31"/>
      <c r="F126" s="31"/>
      <c r="G126" s="31" t="s">
        <v>53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Data'!B153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468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141</v>
      </c>
      <c r="D127" s="31"/>
      <c r="E127" s="31"/>
      <c r="F127" s="31"/>
      <c r="G127" s="31" t="s">
        <v>53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Data'!B154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468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141</v>
      </c>
      <c r="D128" s="31"/>
      <c r="E128" s="31"/>
      <c r="F128" s="31"/>
      <c r="G128" s="31" t="s">
        <v>53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Data'!B155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468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141</v>
      </c>
      <c r="D129" s="31"/>
      <c r="E129" s="31"/>
      <c r="F129" s="31"/>
      <c r="G129" s="31" t="s">
        <v>53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Data'!B156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468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141</v>
      </c>
      <c r="D130" s="31"/>
      <c r="E130" s="31"/>
      <c r="F130" s="31"/>
      <c r="G130" s="31" t="s">
        <v>53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468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141</v>
      </c>
      <c r="D131" s="31"/>
      <c r="E131" s="31"/>
      <c r="F131" s="31"/>
      <c r="G131" s="31" t="s">
        <v>53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Data'!B158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468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141</v>
      </c>
      <c r="D132" s="31"/>
      <c r="E132" s="31"/>
      <c r="F132" s="31"/>
      <c r="G132" s="31" t="s">
        <v>53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Data'!B159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468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141</v>
      </c>
      <c r="D133" s="31"/>
      <c r="E133" s="31"/>
      <c r="F133" s="31"/>
      <c r="G133" s="31" t="s">
        <v>53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Data'!B160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468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141</v>
      </c>
      <c r="D134" s="31"/>
      <c r="E134" s="31"/>
      <c r="F134" s="31"/>
      <c r="G134" s="31" t="s">
        <v>53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Data'!B161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468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141</v>
      </c>
      <c r="D135" s="31"/>
      <c r="E135" s="31"/>
      <c r="F135" s="31"/>
      <c r="G135" s="31" t="s">
        <v>53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Data'!B162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468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141</v>
      </c>
      <c r="D136" s="31"/>
      <c r="E136" s="31"/>
      <c r="F136" s="31"/>
      <c r="G136" s="31" t="s">
        <v>53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Data'!B163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468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141</v>
      </c>
      <c r="D137" s="31"/>
      <c r="E137" s="31"/>
      <c r="F137" s="31"/>
      <c r="G137" s="31" t="s">
        <v>53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Data'!B164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468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141</v>
      </c>
      <c r="D138" s="31"/>
      <c r="E138" s="31"/>
      <c r="F138" s="31"/>
      <c r="G138" s="31" t="s">
        <v>53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Data'!B165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468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141</v>
      </c>
      <c r="D139" s="31"/>
      <c r="E139" s="31"/>
      <c r="F139" s="31"/>
      <c r="G139" s="31" t="s">
        <v>53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Data'!B166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468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141</v>
      </c>
      <c r="D140" s="31"/>
      <c r="E140" s="31"/>
      <c r="F140" s="31"/>
      <c r="G140" s="31" t="s">
        <v>53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Data'!B167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468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141</v>
      </c>
      <c r="D141" s="31"/>
      <c r="E141" s="31"/>
      <c r="F141" s="31"/>
      <c r="G141" s="31" t="s">
        <v>53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Data'!B168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468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141</v>
      </c>
      <c r="D142" s="31"/>
      <c r="E142" s="31"/>
      <c r="F142" s="31"/>
      <c r="G142" s="31" t="s">
        <v>53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Data'!B169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468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141</v>
      </c>
      <c r="D143" s="31"/>
      <c r="E143" s="31"/>
      <c r="F143" s="31"/>
      <c r="G143" s="31" t="s">
        <v>53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Data'!B170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468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141</v>
      </c>
      <c r="D144" s="31"/>
      <c r="E144" s="31"/>
      <c r="F144" s="31"/>
      <c r="G144" s="31" t="s">
        <v>53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Data'!B171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468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141</v>
      </c>
      <c r="D145" s="31"/>
      <c r="E145" s="31"/>
      <c r="F145" s="31"/>
      <c r="G145" s="31" t="s">
        <v>53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Data'!B172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468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141</v>
      </c>
      <c r="D146" s="31"/>
      <c r="E146" s="31"/>
      <c r="F146" s="31"/>
      <c r="G146" s="31" t="s">
        <v>53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Data'!B173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468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141</v>
      </c>
      <c r="D147" s="31"/>
      <c r="E147" s="31"/>
      <c r="F147" s="31"/>
      <c r="G147" s="31" t="s">
        <v>53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Data'!B174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468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141</v>
      </c>
      <c r="D148" s="31"/>
      <c r="E148" s="31"/>
      <c r="F148" s="31"/>
      <c r="G148" s="31" t="s">
        <v>53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Data'!B175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468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141</v>
      </c>
      <c r="D149" s="31"/>
      <c r="E149" s="31"/>
      <c r="F149" s="31"/>
      <c r="G149" s="31" t="s">
        <v>53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Data'!B176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468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141</v>
      </c>
      <c r="D150" s="31"/>
      <c r="E150" s="31"/>
      <c r="F150" s="31"/>
      <c r="G150" s="31" t="s">
        <v>53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Data'!B177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468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141</v>
      </c>
      <c r="D151" s="31"/>
      <c r="E151" s="31"/>
      <c r="F151" s="31"/>
      <c r="G151" s="31" t="s">
        <v>53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Data'!B178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468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141</v>
      </c>
      <c r="D152" s="31"/>
      <c r="E152" s="31"/>
      <c r="F152" s="31"/>
      <c r="G152" s="31" t="s">
        <v>53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Data'!B179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468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141</v>
      </c>
      <c r="D153" s="31"/>
      <c r="E153" s="31"/>
      <c r="F153" s="31"/>
      <c r="G153" s="31" t="s">
        <v>53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Data'!B180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468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141</v>
      </c>
      <c r="D154" s="31"/>
      <c r="E154" s="31"/>
      <c r="F154" s="31"/>
      <c r="G154" s="31" t="s">
        <v>53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Data'!B181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468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141</v>
      </c>
      <c r="D155" s="31"/>
      <c r="E155" s="31"/>
      <c r="F155" s="31"/>
      <c r="G155" s="31" t="s">
        <v>53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Data'!B182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468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141</v>
      </c>
      <c r="D156" s="31"/>
      <c r="E156" s="31"/>
      <c r="F156" s="31"/>
      <c r="G156" s="31" t="s">
        <v>53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Data'!B183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468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141</v>
      </c>
      <c r="D157" s="31"/>
      <c r="E157" s="31"/>
      <c r="F157" s="31"/>
      <c r="G157" s="31" t="s">
        <v>53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Data'!B184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468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141</v>
      </c>
      <c r="D158" s="31"/>
      <c r="E158" s="31"/>
      <c r="F158" s="31"/>
      <c r="G158" s="31" t="s">
        <v>53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Data'!B185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468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141</v>
      </c>
      <c r="D159" s="31"/>
      <c r="E159" s="31"/>
      <c r="F159" s="31"/>
      <c r="G159" s="31" t="s">
        <v>53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Data'!B186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468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141</v>
      </c>
      <c r="D160" s="31"/>
      <c r="E160" s="31"/>
      <c r="F160" s="31"/>
      <c r="G160" s="31" t="s">
        <v>53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Data'!B187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468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141</v>
      </c>
      <c r="D161" s="31"/>
      <c r="E161" s="31"/>
      <c r="F161" s="31"/>
      <c r="G161" s="31" t="s">
        <v>53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Data'!B188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468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141</v>
      </c>
      <c r="D162" s="31"/>
      <c r="E162" s="31"/>
      <c r="F162" s="31"/>
      <c r="G162" s="31" t="s">
        <v>53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Data'!B189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468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141</v>
      </c>
      <c r="D163" s="31"/>
      <c r="E163" s="31"/>
      <c r="F163" s="31"/>
      <c r="G163" s="31" t="s">
        <v>53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Data'!B190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468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141</v>
      </c>
      <c r="D164" s="31"/>
      <c r="E164" s="31"/>
      <c r="F164" s="31"/>
      <c r="G164" s="31" t="s">
        <v>53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Data'!B191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468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141</v>
      </c>
      <c r="D165" s="31"/>
      <c r="E165" s="31"/>
      <c r="F165" s="31"/>
      <c r="G165" s="31" t="s">
        <v>53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Data'!B192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468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141</v>
      </c>
      <c r="D166" s="31"/>
      <c r="E166" s="31"/>
      <c r="F166" s="31"/>
      <c r="G166" s="31" t="s">
        <v>53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Data'!B193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468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141</v>
      </c>
      <c r="D167" s="31"/>
      <c r="E167" s="31"/>
      <c r="F167" s="31"/>
      <c r="G167" s="31" t="s">
        <v>53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Data'!B194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468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141</v>
      </c>
      <c r="D168" s="31"/>
      <c r="E168" s="31"/>
      <c r="F168" s="31"/>
      <c r="G168" s="31" t="s">
        <v>53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Data'!B195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468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141</v>
      </c>
      <c r="D169" s="31"/>
      <c r="E169" s="31"/>
      <c r="F169" s="31"/>
      <c r="G169" s="31" t="s">
        <v>53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Data'!B196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468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141</v>
      </c>
      <c r="D170" s="31"/>
      <c r="E170" s="31"/>
      <c r="F170" s="31"/>
      <c r="G170" s="31" t="s">
        <v>53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Data'!B197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468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141</v>
      </c>
      <c r="D171" s="31"/>
      <c r="E171" s="31"/>
      <c r="F171" s="31"/>
      <c r="G171" s="31" t="s">
        <v>53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Data'!B198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468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141</v>
      </c>
      <c r="D172" s="31"/>
      <c r="E172" s="31"/>
      <c r="F172" s="31"/>
      <c r="G172" s="31" t="s">
        <v>53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Data'!B199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468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141</v>
      </c>
      <c r="D173" s="31"/>
      <c r="E173" s="31"/>
      <c r="F173" s="31"/>
      <c r="G173" s="31" t="s">
        <v>53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Data'!B200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468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141</v>
      </c>
      <c r="D174" s="31"/>
      <c r="E174" s="31"/>
      <c r="F174" s="31"/>
      <c r="G174" s="31" t="s">
        <v>53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Data'!B201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468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141</v>
      </c>
      <c r="D175" s="31"/>
      <c r="E175" s="31"/>
      <c r="F175" s="31"/>
      <c r="G175" s="31" t="s">
        <v>53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Data'!B202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468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141</v>
      </c>
      <c r="D176" s="31"/>
      <c r="E176" s="31"/>
      <c r="F176" s="31"/>
      <c r="G176" s="31" t="s">
        <v>53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Data'!B203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468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141</v>
      </c>
      <c r="D177" s="31"/>
      <c r="E177" s="31"/>
      <c r="F177" s="31"/>
      <c r="G177" s="31" t="s">
        <v>53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Data'!B204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468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141</v>
      </c>
      <c r="D178" s="31"/>
      <c r="E178" s="31"/>
      <c r="F178" s="31"/>
      <c r="G178" s="31" t="s">
        <v>53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Data'!B205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468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141</v>
      </c>
      <c r="D179" s="31"/>
      <c r="E179" s="31"/>
      <c r="F179" s="31"/>
      <c r="G179" s="31" t="s">
        <v>53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Data'!B206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468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141</v>
      </c>
      <c r="D180" s="31"/>
      <c r="E180" s="31"/>
      <c r="F180" s="31"/>
      <c r="G180" s="31" t="s">
        <v>53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Data'!B207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468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141</v>
      </c>
      <c r="D181" s="31"/>
      <c r="E181" s="31"/>
      <c r="F181" s="31"/>
      <c r="G181" s="31" t="s">
        <v>53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Data'!B208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468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141</v>
      </c>
      <c r="D182" s="31"/>
      <c r="E182" s="31"/>
      <c r="F182" s="31"/>
      <c r="G182" s="31" t="s">
        <v>53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Data'!B209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468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141</v>
      </c>
      <c r="D183" s="31"/>
      <c r="E183" s="31"/>
      <c r="F183" s="31"/>
      <c r="G183" s="31" t="s">
        <v>53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Data'!B210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468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141</v>
      </c>
      <c r="D184" s="31"/>
      <c r="E184" s="31"/>
      <c r="F184" s="31"/>
      <c r="G184" s="31" t="s">
        <v>53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Data'!B211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468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141</v>
      </c>
      <c r="D185" s="31"/>
      <c r="E185" s="31"/>
      <c r="F185" s="31"/>
      <c r="G185" s="31" t="s">
        <v>53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Data'!B212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468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141</v>
      </c>
      <c r="D186" s="31"/>
      <c r="E186" s="31"/>
      <c r="F186" s="31"/>
      <c r="G186" s="31" t="s">
        <v>53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Data'!B213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468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141</v>
      </c>
      <c r="D187" s="31"/>
      <c r="E187" s="31"/>
      <c r="F187" s="31"/>
      <c r="G187" s="31" t="s">
        <v>53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Data'!B214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468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141</v>
      </c>
      <c r="D188" s="31"/>
      <c r="E188" s="31"/>
      <c r="F188" s="31"/>
      <c r="G188" s="31" t="s">
        <v>53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Data'!B215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468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141</v>
      </c>
      <c r="D189" s="31"/>
      <c r="E189" s="31"/>
      <c r="F189" s="31"/>
      <c r="G189" s="31" t="s">
        <v>53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Data'!B216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468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141</v>
      </c>
      <c r="D190" s="31"/>
      <c r="E190" s="31"/>
      <c r="F190" s="31"/>
      <c r="G190" s="31" t="s">
        <v>53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Data'!B217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468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141</v>
      </c>
      <c r="D191" s="31"/>
      <c r="E191" s="31"/>
      <c r="F191" s="31"/>
      <c r="G191" s="31" t="s">
        <v>53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Data'!B218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468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141</v>
      </c>
      <c r="D192" s="31"/>
      <c r="E192" s="31"/>
      <c r="F192" s="31"/>
      <c r="G192" s="31" t="s">
        <v>53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Data'!B219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468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141</v>
      </c>
      <c r="D193" s="31"/>
      <c r="E193" s="31"/>
      <c r="F193" s="31"/>
      <c r="G193" s="31" t="s">
        <v>53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Data'!B220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468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141</v>
      </c>
      <c r="D194" s="31"/>
      <c r="E194" s="31"/>
      <c r="F194" s="31"/>
      <c r="G194" s="31" t="s">
        <v>53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468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141</v>
      </c>
      <c r="D195" s="31"/>
      <c r="E195" s="31"/>
      <c r="F195" s="31"/>
      <c r="G195" s="31" t="s">
        <v>53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Data'!B222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468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141</v>
      </c>
      <c r="D196" s="31"/>
      <c r="E196" s="31"/>
      <c r="F196" s="31"/>
      <c r="G196" s="31" t="s">
        <v>53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Data'!B223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468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141</v>
      </c>
      <c r="D197" s="31"/>
      <c r="E197" s="31"/>
      <c r="F197" s="31"/>
      <c r="G197" s="31" t="s">
        <v>53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Data'!B224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468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141</v>
      </c>
      <c r="D198" s="31"/>
      <c r="E198" s="31"/>
      <c r="F198" s="31"/>
      <c r="G198" s="31" t="s">
        <v>53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Data'!B225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468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141</v>
      </c>
      <c r="D199" s="31"/>
      <c r="E199" s="31"/>
      <c r="F199" s="31"/>
      <c r="G199" s="31" t="s">
        <v>53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Data'!B226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468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Data'!B227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468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Data'!B228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468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Data'!B229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468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Data'!B230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468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Data'!B231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468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Data'!B232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468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Data'!B233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468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Data'!B234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468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Data'!B235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468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Data'!B236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468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Data'!B237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468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Data'!B238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468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Data'!B239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468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Data'!B240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468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Data'!B241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468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Data'!B242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468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Data'!B243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468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Data'!B244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468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Data'!B245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468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Data'!B246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468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Data'!B247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468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Data'!B248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468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Data'!B249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468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Data'!B250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468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Data'!B251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468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Data'!B252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468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Data'!B253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468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Data'!B254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468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Data'!B255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468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Data'!B256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468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Data'!B257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468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Data'!B258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468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Data'!B259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468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Data'!B260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468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Data'!B261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468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Data'!B262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468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Data'!B263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468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Data'!B264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468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Data'!B265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468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Data'!B266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468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Data'!B267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468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Data'!B268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468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Data'!B269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468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Data'!B270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468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Data'!B271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468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Data'!B272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468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Data'!B273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468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Data'!B274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468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Data'!B275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468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Data'!B276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468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Data'!B277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468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Data'!B278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468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Data'!B279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468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Data'!B280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468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Data'!B281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468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Data'!B282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468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Data'!B283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468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Data'!B284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468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468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Data'!B286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468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Data'!B287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468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Data'!B288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468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Data'!B289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468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Data'!B290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468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Data'!B291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468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Data'!B292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468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Data'!B293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468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Data'!B294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468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Data'!B295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468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Data'!B296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468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Data'!B297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468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Data'!B298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468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Data'!B299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468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Data'!B300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468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Data'!B301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468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Data'!B302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468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Data'!B303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468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Data'!B304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468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Data'!B305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468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Data'!B306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468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Data'!B307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468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Data'!B308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468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Data'!B309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468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Data'!B310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468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Data'!B311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468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Data'!B312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468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Data'!B313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468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Data'!B314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468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Data'!B315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468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Data'!B316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468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Data'!B317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468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Data'!B318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468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Data'!B319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468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Data'!B320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468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Data'!B321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468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Data'!B322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468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Data'!B323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468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Data'!B324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468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Data'!B325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468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Data'!B326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468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Data'!B327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468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Data'!B328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468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Data'!B329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468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Data'!B330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468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Data'!B331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468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Data'!B332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468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Data'!B333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468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Data'!B334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468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Data'!B335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468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Data'!B336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468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Data'!B337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468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Data'!B338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468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Data'!B339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468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Data'!B340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468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Data'!B341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468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Data'!B342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468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Data'!B343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468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Data'!B344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468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Data'!B345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468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Data'!B346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468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Data'!B347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468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Data'!B348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468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468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Data'!B350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468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Data'!B351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468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Data'!B352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468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Data'!B353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468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Data'!B354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468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Data'!B355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468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Data'!B356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468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Data'!B357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468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Data'!B358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468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Data'!B359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468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Data'!B360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468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Data'!B361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468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Data'!B362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468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Data'!B363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468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Data'!B364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468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Data'!B365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468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Data'!B366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468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Data'!B367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468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Data'!B368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468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Data'!B369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468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Data'!B370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468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Data'!B371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468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Data'!B372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468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Data'!B373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468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Data'!B374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468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Data'!B375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468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Data'!B376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468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Data'!B377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468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Data'!B378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468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Data'!B379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468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Data'!B380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468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Data'!B381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468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Data'!B382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468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Data'!B383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468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Data'!B384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468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Data'!B385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468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Data'!B386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468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Data'!B387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468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Data'!B388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468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Data'!B389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468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Data'!B390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468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Data'!B391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468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Data'!B392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468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Data'!B393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468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Data'!B394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468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Data'!B395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468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Data'!B396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468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Data'!B397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468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Data'!B398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468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Data'!B399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468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Data'!B400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468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Data'!B401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468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Data'!B402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468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Data'!B403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468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Data'!B404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468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Data'!B405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468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Data'!B406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468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Data'!B407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468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Data'!B408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468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Data'!B409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468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Data'!B410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468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Data'!B411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468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Data'!B412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468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468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Data'!B414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468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Data'!B415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468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Data'!B416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468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Data'!B417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468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Data'!B418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468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Data'!B419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468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Data'!B420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468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Data'!B421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468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Data'!B422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468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Data'!B423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468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Data'!B424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468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Data'!B425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468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Data'!B426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468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Data'!B427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468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Data'!B428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468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Data'!B429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468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Data'!B430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468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Data'!B431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468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Data'!B432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468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Data'!B433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468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Data'!B434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468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Data'!B435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468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Data'!B436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468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Data'!B437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468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Data'!B438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468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Data'!B439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468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Data'!B440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468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Data'!B441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468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Data'!B442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468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Data'!B443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468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Data'!B444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468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Data'!B445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468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Data'!B446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468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Data'!B447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468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Data'!B448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468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Data'!B449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468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Data'!B450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468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Data'!B451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468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Data'!B452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468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Data'!B453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468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Data'!B454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468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Data'!B455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468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Data'!B456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468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Data'!B457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468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Data'!B458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468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Data'!B459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468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Data'!B460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468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Data'!B461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468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Data'!B462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468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Data'!B463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468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Data'!B464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468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Data'!B465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468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Data'!B466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468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Data'!B467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468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Data'!B468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468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Data'!B469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468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Data'!B470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468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Data'!B471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468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Data'!B472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468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Data'!B473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468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Data'!B474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468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Data'!B475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468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Data'!B476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468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468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Data'!B478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468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Data'!B479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468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Data'!B480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468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Data'!B481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468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Data'!B482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468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Data'!B483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468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Data'!B484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468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Data'!B485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468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Data'!B486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468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Data'!B487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468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Data'!B488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468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Data'!B489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468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Data'!B490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468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Data'!B491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468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Data'!B492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468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Data'!B493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468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Data'!B494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468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Data'!B495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468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Data'!B496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468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Data'!B497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468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Data'!B498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468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Data'!B499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468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Data'!B500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468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Data'!B501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468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Data'!B502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468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Data'!B503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468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Data'!B504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468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Data'!B505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468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Data'!B506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468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Data'!B507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468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Data'!B508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468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Data'!B509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468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Data'!B510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468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Data'!B511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468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Data'!B512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468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Data'!B513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468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Data'!B514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468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Data'!B515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468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Data'!B516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468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Data'!B517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468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Data'!B518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468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Data'!B519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468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Data'!B520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468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Data'!B521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468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Data'!B522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468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Data'!B523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468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Data'!B524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468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Data'!B525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468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Data'!B526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468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7" priority="10">
      <formula>AND($B5&lt;&gt;"",MOD(ROW(),2)=0)</formula>
    </cfRule>
  </conditionalFormatting>
  <conditionalFormatting sqref="A11:A13">
    <cfRule type="expression" dxfId="16" priority="7">
      <formula>AND($B11&lt;&gt;"",MOD(ROW(),2)=0)</formula>
    </cfRule>
  </conditionalFormatting>
  <conditionalFormatting sqref="A3:H3 K3:M3 A4:M4 M4:M11 B5:M8 A9:M10 B11:M13 A14:M17 A19:M21 B18:M18 B22:M22 A23:M25 B26:M27 A28:M28 A32:M499 B31:M31 A29:K30 M29:M30">
    <cfRule type="expression" dxfId="15" priority="20">
      <formula>AND($A3&lt;&gt;"",$G3="Yes")</formula>
    </cfRule>
    <cfRule type="expression" dxfId="14" priority="21">
      <formula>AND($A3&lt;&gt;"",$J3&lt;&gt;"")</formula>
    </cfRule>
    <cfRule type="expression" dxfId="13" priority="22">
      <formula>$A3&lt;&gt;""</formula>
    </cfRule>
  </conditionalFormatting>
  <conditionalFormatting sqref="C3:C199 G3:G199">
    <cfRule type="expression" dxfId="12" priority="23">
      <formula>$A3=""</formula>
    </cfRule>
  </conditionalFormatting>
  <conditionalFormatting sqref="K3:M3 A4:M4 M4:M11 B5:M8 A9:M10 B11:M13 A14:M17 A3:H3 A19:M21 B18:M18 B22:M22 A23:M25 B26:M27 A28:M28 A32:M499 B31:M31 A29:K30 M29:M30">
    <cfRule type="expression" dxfId="11" priority="19">
      <formula>AND($A3&lt;&gt;"",$G3="Did not pass re-test")</formula>
    </cfRule>
  </conditionalFormatting>
  <conditionalFormatting sqref="M3:M499">
    <cfRule type="expression" dxfId="10" priority="13">
      <formula>ISNUMBER(SEARCH("Sent back again",$M3))</formula>
    </cfRule>
    <cfRule type="expression" dxfId="9" priority="14">
      <formula>ISNUMBER(SEARCH("LATE",$M3))</formula>
    </cfRule>
    <cfRule type="expression" dxfId="8" priority="15">
      <formula>ISNUMBER(SEARCH("UNCLAIMED",$M3))</formula>
    </cfRule>
    <cfRule type="expression" dxfId="7" priority="16">
      <formula>ISNUMBER(SEARCH("Missing",$M3))</formula>
    </cfRule>
    <cfRule type="expression" dxfId="6" priority="17">
      <formula>ISNUMBER(SEARCH("Fixed in",$M3))</formula>
    </cfRule>
    <cfRule type="expression" dxfId="5" priority="18">
      <formula>ISNUMBER(SEARCH("Open",$M3))</formula>
    </cfRule>
  </conditionalFormatting>
  <conditionalFormatting sqref="A18">
    <cfRule type="expression" dxfId="4" priority="6">
      <formula>AND($B18&lt;&gt;"",MOD(ROW(),2)=0)</formula>
    </cfRule>
  </conditionalFormatting>
  <conditionalFormatting sqref="A22">
    <cfRule type="expression" dxfId="3" priority="4">
      <formula>AND($B22&lt;&gt;"",MOD(ROW(),2)=0)</formula>
    </cfRule>
  </conditionalFormatting>
  <conditionalFormatting sqref="A26">
    <cfRule type="expression" dxfId="2" priority="3">
      <formula>AND($B26&lt;&gt;"",MOD(ROW(),2)=0)</formula>
    </cfRule>
  </conditionalFormatting>
  <conditionalFormatting sqref="A27">
    <cfRule type="expression" dxfId="1" priority="2">
      <formula>AND($B27&lt;&gt;"",MOD(ROW(),2)=0)</formula>
    </cfRule>
  </conditionalFormatting>
  <conditionalFormatting sqref="A31">
    <cfRule type="expression" dxfId="0" priority="1">
      <formula>AND($B31&lt;&gt;"",MOD(ROW(),2)=0)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A28:A30 A32:A499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26" t="s">
        <v>385</v>
      </c>
      <c r="B1" s="121"/>
      <c r="C1" s="121"/>
      <c r="D1" s="121"/>
      <c r="E1" s="121"/>
      <c r="F1" s="121"/>
      <c r="G1" s="121"/>
      <c r="H1" s="121"/>
      <c r="I1" s="121"/>
      <c r="J1" s="121"/>
    </row>
    <row r="2" spans="1:10" ht="27" customHeight="1">
      <c r="A2" s="8" t="s">
        <v>0</v>
      </c>
      <c r="B2" s="8" t="s">
        <v>386</v>
      </c>
      <c r="C2" s="8" t="s">
        <v>1</v>
      </c>
      <c r="D2" s="8" t="s">
        <v>387</v>
      </c>
      <c r="E2" s="8" t="s">
        <v>388</v>
      </c>
      <c r="F2" s="8" t="s">
        <v>6</v>
      </c>
      <c r="G2" s="8" t="s">
        <v>5</v>
      </c>
      <c r="H2" s="8" t="s">
        <v>389</v>
      </c>
      <c r="I2" s="8" t="s">
        <v>390</v>
      </c>
      <c r="J2" s="8" t="s">
        <v>391</v>
      </c>
    </row>
    <row r="3" spans="1:10" ht="14.25" customHeight="1">
      <c r="A3" s="9" t="s">
        <v>40</v>
      </c>
      <c r="B3" s="9" t="s">
        <v>156</v>
      </c>
      <c r="C3" s="9" t="s">
        <v>41</v>
      </c>
      <c r="D3" s="9" t="s">
        <v>44</v>
      </c>
      <c r="E3" s="9" t="s">
        <v>46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40</v>
      </c>
      <c r="B4" s="9" t="s">
        <v>151</v>
      </c>
      <c r="C4" s="9" t="s">
        <v>41</v>
      </c>
      <c r="D4" s="9" t="s">
        <v>44</v>
      </c>
      <c r="E4" s="9" t="s">
        <v>46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40</v>
      </c>
      <c r="B5" s="9" t="s">
        <v>141</v>
      </c>
      <c r="C5" s="9" t="s">
        <v>41</v>
      </c>
      <c r="D5" s="9" t="s">
        <v>44</v>
      </c>
      <c r="E5" s="9" t="s">
        <v>46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40</v>
      </c>
      <c r="B6" s="9" t="s">
        <v>129</v>
      </c>
      <c r="C6" s="9" t="s">
        <v>41</v>
      </c>
      <c r="D6" s="9" t="s">
        <v>44</v>
      </c>
      <c r="E6" s="9" t="s">
        <v>46</v>
      </c>
      <c r="F6" s="9"/>
      <c r="G6" s="9"/>
      <c r="H6" s="10">
        <v>46122</v>
      </c>
      <c r="I6" s="10"/>
      <c r="J6" s="10"/>
    </row>
    <row r="7" spans="1:10" ht="14.25" customHeight="1">
      <c r="A7" s="9" t="s">
        <v>40</v>
      </c>
      <c r="B7" s="9" t="s">
        <v>42</v>
      </c>
      <c r="C7" s="9" t="s">
        <v>41</v>
      </c>
      <c r="D7" s="9" t="s">
        <v>44</v>
      </c>
      <c r="E7" s="9" t="s">
        <v>46</v>
      </c>
      <c r="F7" s="9"/>
      <c r="G7" s="9"/>
      <c r="H7" s="9"/>
      <c r="I7" s="10"/>
      <c r="J7" s="10"/>
    </row>
    <row r="8" spans="1:10" ht="14.25" customHeight="1">
      <c r="A8" s="9" t="s">
        <v>40</v>
      </c>
      <c r="B8" s="9" t="s">
        <v>156</v>
      </c>
      <c r="C8" s="9" t="s">
        <v>55</v>
      </c>
      <c r="D8" s="9" t="s">
        <v>44</v>
      </c>
      <c r="E8" s="9" t="s">
        <v>46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40</v>
      </c>
      <c r="B9" s="9" t="s">
        <v>151</v>
      </c>
      <c r="C9" s="9" t="s">
        <v>55</v>
      </c>
      <c r="D9" s="9" t="s">
        <v>44</v>
      </c>
      <c r="E9" s="9" t="s">
        <v>46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40</v>
      </c>
      <c r="B10" s="9" t="s">
        <v>141</v>
      </c>
      <c r="C10" s="9" t="s">
        <v>55</v>
      </c>
      <c r="D10" s="9" t="s">
        <v>44</v>
      </c>
      <c r="E10" s="9" t="s">
        <v>46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40</v>
      </c>
      <c r="B11" s="9" t="s">
        <v>129</v>
      </c>
      <c r="C11" s="9" t="s">
        <v>55</v>
      </c>
      <c r="D11" s="9" t="s">
        <v>44</v>
      </c>
      <c r="E11" s="9" t="s">
        <v>46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40</v>
      </c>
      <c r="B12" s="9" t="s">
        <v>42</v>
      </c>
      <c r="C12" s="9" t="s">
        <v>55</v>
      </c>
      <c r="D12" s="9" t="s">
        <v>44</v>
      </c>
      <c r="E12" s="9" t="s">
        <v>46</v>
      </c>
      <c r="F12" s="9"/>
      <c r="G12" s="9"/>
      <c r="H12" s="10"/>
      <c r="I12" s="10"/>
      <c r="J12" s="10"/>
    </row>
    <row r="13" spans="1:10" ht="14.25" customHeight="1">
      <c r="A13" s="9" t="s">
        <v>40</v>
      </c>
      <c r="B13" s="9" t="s">
        <v>156</v>
      </c>
      <c r="C13" s="9" t="s">
        <v>392</v>
      </c>
      <c r="D13" s="9" t="s">
        <v>65</v>
      </c>
      <c r="E13" s="9" t="s">
        <v>46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40</v>
      </c>
      <c r="B14" s="9" t="s">
        <v>151</v>
      </c>
      <c r="C14" s="9" t="s">
        <v>392</v>
      </c>
      <c r="D14" s="9" t="s">
        <v>65</v>
      </c>
      <c r="E14" s="9" t="s">
        <v>46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40</v>
      </c>
      <c r="B15" s="9" t="s">
        <v>141</v>
      </c>
      <c r="C15" s="9" t="s">
        <v>392</v>
      </c>
      <c r="D15" s="9" t="s">
        <v>65</v>
      </c>
      <c r="E15" s="9" t="s">
        <v>46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40</v>
      </c>
      <c r="B16" s="9" t="s">
        <v>129</v>
      </c>
      <c r="C16" s="9" t="s">
        <v>392</v>
      </c>
      <c r="D16" s="9" t="s">
        <v>65</v>
      </c>
      <c r="E16" s="9" t="s">
        <v>46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40</v>
      </c>
      <c r="B17" s="9" t="s">
        <v>42</v>
      </c>
      <c r="C17" s="9" t="s">
        <v>392</v>
      </c>
      <c r="D17" s="9" t="s">
        <v>65</v>
      </c>
      <c r="E17" s="9" t="s">
        <v>46</v>
      </c>
      <c r="F17" s="9"/>
      <c r="G17" s="9"/>
      <c r="H17" s="10"/>
      <c r="I17" s="10"/>
      <c r="J17" s="10"/>
    </row>
    <row r="18" spans="1:10" ht="14.25" customHeight="1">
      <c r="A18" s="9" t="s">
        <v>40</v>
      </c>
      <c r="B18" s="9" t="s">
        <v>156</v>
      </c>
      <c r="C18" s="9" t="s">
        <v>58</v>
      </c>
      <c r="D18" s="9" t="s">
        <v>59</v>
      </c>
      <c r="E18" s="9" t="s">
        <v>60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40</v>
      </c>
      <c r="B19" s="9" t="s">
        <v>151</v>
      </c>
      <c r="C19" s="9" t="s">
        <v>58</v>
      </c>
      <c r="D19" s="9" t="s">
        <v>59</v>
      </c>
      <c r="E19" s="9" t="s">
        <v>60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40</v>
      </c>
      <c r="B20" s="9" t="s">
        <v>141</v>
      </c>
      <c r="C20" s="9" t="s">
        <v>58</v>
      </c>
      <c r="D20" s="9" t="s">
        <v>59</v>
      </c>
      <c r="E20" s="9" t="s">
        <v>60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40</v>
      </c>
      <c r="B21" s="9" t="s">
        <v>129</v>
      </c>
      <c r="C21" s="9" t="s">
        <v>58</v>
      </c>
      <c r="D21" s="9" t="s">
        <v>59</v>
      </c>
      <c r="E21" s="9" t="s">
        <v>60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40</v>
      </c>
      <c r="B22" s="9" t="s">
        <v>42</v>
      </c>
      <c r="C22" s="9" t="s">
        <v>58</v>
      </c>
      <c r="D22" s="9" t="s">
        <v>59</v>
      </c>
      <c r="E22" s="9" t="s">
        <v>60</v>
      </c>
      <c r="F22" s="9"/>
      <c r="G22" s="9"/>
      <c r="H22" s="9"/>
      <c r="I22" s="10"/>
      <c r="J22" s="10"/>
    </row>
    <row r="23" spans="1:10" ht="14.25" customHeight="1">
      <c r="A23" s="9" t="s">
        <v>40</v>
      </c>
      <c r="B23" s="9" t="s">
        <v>156</v>
      </c>
      <c r="C23" s="9" t="s">
        <v>64</v>
      </c>
      <c r="D23" s="9" t="s">
        <v>65</v>
      </c>
      <c r="E23" s="9" t="s">
        <v>46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40</v>
      </c>
      <c r="B24" s="9" t="s">
        <v>151</v>
      </c>
      <c r="C24" s="9" t="s">
        <v>64</v>
      </c>
      <c r="D24" s="9" t="s">
        <v>65</v>
      </c>
      <c r="E24" s="9" t="s">
        <v>46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40</v>
      </c>
      <c r="B25" s="9" t="s">
        <v>141</v>
      </c>
      <c r="C25" s="9" t="s">
        <v>64</v>
      </c>
      <c r="D25" s="9" t="s">
        <v>65</v>
      </c>
      <c r="E25" s="9" t="s">
        <v>46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40</v>
      </c>
      <c r="B26" s="9" t="s">
        <v>129</v>
      </c>
      <c r="C26" s="9" t="s">
        <v>64</v>
      </c>
      <c r="D26" s="9" t="s">
        <v>65</v>
      </c>
      <c r="E26" s="9" t="s">
        <v>46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40</v>
      </c>
      <c r="B27" s="9" t="s">
        <v>42</v>
      </c>
      <c r="C27" s="9" t="s">
        <v>64</v>
      </c>
      <c r="D27" s="9" t="s">
        <v>65</v>
      </c>
      <c r="E27" s="9" t="s">
        <v>46</v>
      </c>
      <c r="F27" s="9"/>
      <c r="G27" s="9"/>
      <c r="H27" s="10"/>
      <c r="I27" s="10"/>
      <c r="J27" s="10"/>
    </row>
    <row r="28" spans="1:10" ht="14.25" customHeight="1">
      <c r="A28" s="9" t="s">
        <v>40</v>
      </c>
      <c r="B28" s="9" t="s">
        <v>156</v>
      </c>
      <c r="C28" s="9" t="s">
        <v>69</v>
      </c>
      <c r="D28" s="9" t="s">
        <v>76</v>
      </c>
      <c r="E28" s="9" t="s">
        <v>60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40</v>
      </c>
      <c r="B29" s="9" t="s">
        <v>151</v>
      </c>
      <c r="C29" s="9" t="s">
        <v>69</v>
      </c>
      <c r="D29" s="9" t="s">
        <v>76</v>
      </c>
      <c r="E29" s="9" t="s">
        <v>60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40</v>
      </c>
      <c r="B30" s="9" t="s">
        <v>141</v>
      </c>
      <c r="C30" s="9" t="s">
        <v>69</v>
      </c>
      <c r="D30" s="9" t="s">
        <v>76</v>
      </c>
      <c r="E30" s="9" t="s">
        <v>60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40</v>
      </c>
      <c r="B31" s="9" t="s">
        <v>129</v>
      </c>
      <c r="C31" s="9" t="s">
        <v>69</v>
      </c>
      <c r="D31" s="9" t="s">
        <v>76</v>
      </c>
      <c r="E31" s="9" t="s">
        <v>60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40</v>
      </c>
      <c r="B32" s="9" t="s">
        <v>42</v>
      </c>
      <c r="C32" s="9" t="s">
        <v>69</v>
      </c>
      <c r="D32" s="9" t="s">
        <v>76</v>
      </c>
      <c r="E32" s="9" t="s">
        <v>60</v>
      </c>
      <c r="F32" s="9"/>
      <c r="G32" s="9"/>
      <c r="H32" s="10"/>
      <c r="I32" s="10"/>
      <c r="J32" s="10"/>
    </row>
    <row r="33" spans="1:10" ht="14.25" customHeight="1">
      <c r="A33" s="9" t="s">
        <v>40</v>
      </c>
      <c r="B33" s="9" t="s">
        <v>156</v>
      </c>
      <c r="C33" s="9" t="s">
        <v>70</v>
      </c>
      <c r="D33" s="9" t="s">
        <v>65</v>
      </c>
      <c r="E33" s="9" t="s">
        <v>60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40</v>
      </c>
      <c r="B34" s="9" t="s">
        <v>151</v>
      </c>
      <c r="C34" s="9" t="s">
        <v>70</v>
      </c>
      <c r="D34" s="9" t="s">
        <v>65</v>
      </c>
      <c r="E34" s="9" t="s">
        <v>60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40</v>
      </c>
      <c r="B35" s="9" t="s">
        <v>141</v>
      </c>
      <c r="C35" s="9" t="s">
        <v>70</v>
      </c>
      <c r="D35" s="9" t="s">
        <v>65</v>
      </c>
      <c r="E35" s="9" t="s">
        <v>60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40</v>
      </c>
      <c r="B36" s="9" t="s">
        <v>129</v>
      </c>
      <c r="C36" s="9" t="s">
        <v>70</v>
      </c>
      <c r="D36" s="9" t="s">
        <v>65</v>
      </c>
      <c r="E36" s="9" t="s">
        <v>60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40</v>
      </c>
      <c r="B37" s="9" t="s">
        <v>42</v>
      </c>
      <c r="C37" s="9" t="s">
        <v>70</v>
      </c>
      <c r="D37" s="9" t="s">
        <v>65</v>
      </c>
      <c r="E37" s="9" t="s">
        <v>60</v>
      </c>
      <c r="F37" s="9"/>
      <c r="G37" s="9"/>
      <c r="H37" s="10"/>
      <c r="I37" s="10"/>
      <c r="J37" s="10"/>
    </row>
    <row r="38" spans="1:10" ht="14.25" customHeight="1">
      <c r="A38" s="9" t="s">
        <v>40</v>
      </c>
      <c r="B38" s="9" t="s">
        <v>156</v>
      </c>
      <c r="C38" s="9" t="s">
        <v>71</v>
      </c>
      <c r="D38" s="9" t="s">
        <v>84</v>
      </c>
      <c r="E38" s="9" t="s">
        <v>60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40</v>
      </c>
      <c r="B39" s="9" t="s">
        <v>151</v>
      </c>
      <c r="C39" s="9" t="s">
        <v>71</v>
      </c>
      <c r="D39" s="9" t="s">
        <v>84</v>
      </c>
      <c r="E39" s="9" t="s">
        <v>60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40</v>
      </c>
      <c r="B40" s="9" t="s">
        <v>141</v>
      </c>
      <c r="C40" s="9" t="s">
        <v>71</v>
      </c>
      <c r="D40" s="9" t="s">
        <v>84</v>
      </c>
      <c r="E40" s="9" t="s">
        <v>60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40</v>
      </c>
      <c r="B41" s="9" t="s">
        <v>129</v>
      </c>
      <c r="C41" s="9" t="s">
        <v>71</v>
      </c>
      <c r="D41" s="9" t="s">
        <v>84</v>
      </c>
      <c r="E41" s="9" t="s">
        <v>60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40</v>
      </c>
      <c r="B42" s="9" t="s">
        <v>42</v>
      </c>
      <c r="C42" s="9" t="s">
        <v>71</v>
      </c>
      <c r="D42" s="9" t="s">
        <v>84</v>
      </c>
      <c r="E42" s="9" t="s">
        <v>60</v>
      </c>
      <c r="F42" s="9"/>
      <c r="G42" s="9"/>
      <c r="H42" s="9"/>
      <c r="I42" s="10"/>
      <c r="J42" s="10"/>
    </row>
    <row r="43" spans="1:10" ht="14.25" customHeight="1">
      <c r="A43" s="9" t="s">
        <v>40</v>
      </c>
      <c r="B43" s="9" t="s">
        <v>156</v>
      </c>
      <c r="C43" s="9" t="s">
        <v>73</v>
      </c>
      <c r="D43" s="9" t="s">
        <v>59</v>
      </c>
      <c r="E43" s="9" t="s">
        <v>60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40</v>
      </c>
      <c r="B44" s="9" t="s">
        <v>151</v>
      </c>
      <c r="C44" s="9" t="s">
        <v>73</v>
      </c>
      <c r="D44" s="9" t="s">
        <v>59</v>
      </c>
      <c r="E44" s="9" t="s">
        <v>60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40</v>
      </c>
      <c r="B45" s="9" t="s">
        <v>141</v>
      </c>
      <c r="C45" s="9" t="s">
        <v>73</v>
      </c>
      <c r="D45" s="9" t="s">
        <v>59</v>
      </c>
      <c r="E45" s="9" t="s">
        <v>60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40</v>
      </c>
      <c r="B46" s="9" t="s">
        <v>129</v>
      </c>
      <c r="C46" s="9" t="s">
        <v>73</v>
      </c>
      <c r="D46" s="9" t="s">
        <v>59</v>
      </c>
      <c r="E46" s="9" t="s">
        <v>60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40</v>
      </c>
      <c r="B47" s="9" t="s">
        <v>42</v>
      </c>
      <c r="C47" s="9" t="s">
        <v>73</v>
      </c>
      <c r="D47" s="9" t="s">
        <v>59</v>
      </c>
      <c r="E47" s="9" t="s">
        <v>60</v>
      </c>
      <c r="F47" s="9"/>
      <c r="G47" s="9"/>
      <c r="H47" s="10"/>
      <c r="I47" s="10"/>
      <c r="J47" s="10"/>
    </row>
    <row r="48" spans="1:10" ht="14.25" customHeight="1">
      <c r="A48" s="9" t="s">
        <v>40</v>
      </c>
      <c r="B48" s="9" t="s">
        <v>156</v>
      </c>
      <c r="C48" s="9" t="s">
        <v>97</v>
      </c>
      <c r="D48" s="9" t="s">
        <v>65</v>
      </c>
      <c r="E48" s="9" t="s">
        <v>60</v>
      </c>
      <c r="F48" s="9"/>
      <c r="G48" s="9"/>
      <c r="H48" s="10"/>
      <c r="I48" s="10"/>
      <c r="J48" s="10"/>
    </row>
    <row r="49" spans="1:10" ht="14.25" customHeight="1">
      <c r="A49" s="9" t="s">
        <v>40</v>
      </c>
      <c r="B49" s="9" t="s">
        <v>151</v>
      </c>
      <c r="C49" s="9" t="s">
        <v>97</v>
      </c>
      <c r="D49" s="9" t="s">
        <v>65</v>
      </c>
      <c r="E49" s="9" t="s">
        <v>60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40</v>
      </c>
      <c r="B50" s="9" t="s">
        <v>141</v>
      </c>
      <c r="C50" s="9" t="s">
        <v>97</v>
      </c>
      <c r="D50" s="9" t="s">
        <v>65</v>
      </c>
      <c r="E50" s="9" t="s">
        <v>60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40</v>
      </c>
      <c r="B51" s="9" t="s">
        <v>129</v>
      </c>
      <c r="C51" s="9" t="s">
        <v>97</v>
      </c>
      <c r="D51" s="9" t="s">
        <v>65</v>
      </c>
      <c r="E51" s="9" t="s">
        <v>60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40</v>
      </c>
      <c r="B52" s="9" t="s">
        <v>42</v>
      </c>
      <c r="C52" s="9" t="s">
        <v>97</v>
      </c>
      <c r="D52" s="9" t="s">
        <v>65</v>
      </c>
      <c r="E52" s="9" t="s">
        <v>60</v>
      </c>
      <c r="F52" s="9"/>
      <c r="G52" s="9"/>
      <c r="H52" s="10"/>
      <c r="I52" s="10"/>
      <c r="J52" s="10"/>
    </row>
    <row r="53" spans="1:10" ht="14.25" customHeight="1">
      <c r="A53" s="9" t="s">
        <v>40</v>
      </c>
      <c r="B53" s="9" t="s">
        <v>156</v>
      </c>
      <c r="C53" s="9" t="s">
        <v>98</v>
      </c>
      <c r="D53" s="9" t="s">
        <v>65</v>
      </c>
      <c r="E53" s="9" t="s">
        <v>60</v>
      </c>
      <c r="F53" s="9"/>
      <c r="G53" s="9"/>
      <c r="H53" s="10"/>
      <c r="I53" s="10"/>
      <c r="J53" s="10"/>
    </row>
    <row r="54" spans="1:10" ht="14.25" customHeight="1">
      <c r="A54" s="9" t="s">
        <v>40</v>
      </c>
      <c r="B54" s="9" t="s">
        <v>151</v>
      </c>
      <c r="C54" s="9" t="s">
        <v>98</v>
      </c>
      <c r="D54" s="9" t="s">
        <v>65</v>
      </c>
      <c r="E54" s="9" t="s">
        <v>60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40</v>
      </c>
      <c r="B55" s="9" t="s">
        <v>141</v>
      </c>
      <c r="C55" s="9" t="s">
        <v>98</v>
      </c>
      <c r="D55" s="9" t="s">
        <v>65</v>
      </c>
      <c r="E55" s="9" t="s">
        <v>60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40</v>
      </c>
      <c r="B56" s="9" t="s">
        <v>129</v>
      </c>
      <c r="C56" s="9" t="s">
        <v>98</v>
      </c>
      <c r="D56" s="9" t="s">
        <v>65</v>
      </c>
      <c r="E56" s="9" t="s">
        <v>60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40</v>
      </c>
      <c r="B57" s="9" t="s">
        <v>42</v>
      </c>
      <c r="C57" s="9" t="s">
        <v>98</v>
      </c>
      <c r="D57" s="9" t="s">
        <v>65</v>
      </c>
      <c r="E57" s="9" t="s">
        <v>60</v>
      </c>
      <c r="F57" s="9"/>
      <c r="G57" s="9"/>
      <c r="H57" s="10"/>
      <c r="I57" s="10"/>
      <c r="J57" s="10"/>
    </row>
    <row r="58" spans="1:10" ht="14.25" customHeight="1">
      <c r="A58" s="9" t="s">
        <v>40</v>
      </c>
      <c r="B58" s="9" t="s">
        <v>156</v>
      </c>
      <c r="C58" s="9" t="s">
        <v>99</v>
      </c>
      <c r="D58" s="9" t="s">
        <v>65</v>
      </c>
      <c r="E58" s="9" t="s">
        <v>46</v>
      </c>
      <c r="F58" s="9"/>
      <c r="G58" s="9"/>
      <c r="H58" s="9"/>
      <c r="I58" s="10"/>
      <c r="J58" s="10"/>
    </row>
    <row r="59" spans="1:10" ht="14.25" customHeight="1">
      <c r="A59" s="9" t="s">
        <v>40</v>
      </c>
      <c r="B59" s="9" t="s">
        <v>151</v>
      </c>
      <c r="C59" s="9" t="s">
        <v>99</v>
      </c>
      <c r="D59" s="9" t="s">
        <v>65</v>
      </c>
      <c r="E59" s="9" t="s">
        <v>46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40</v>
      </c>
      <c r="B60" s="9" t="s">
        <v>141</v>
      </c>
      <c r="C60" s="9" t="s">
        <v>99</v>
      </c>
      <c r="D60" s="9" t="s">
        <v>65</v>
      </c>
      <c r="E60" s="9" t="s">
        <v>46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40</v>
      </c>
      <c r="B61" s="9" t="s">
        <v>129</v>
      </c>
      <c r="C61" s="9" t="s">
        <v>99</v>
      </c>
      <c r="D61" s="9" t="s">
        <v>65</v>
      </c>
      <c r="E61" s="9" t="s">
        <v>46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40</v>
      </c>
      <c r="B62" s="9" t="s">
        <v>42</v>
      </c>
      <c r="C62" s="9" t="s">
        <v>99</v>
      </c>
      <c r="D62" s="9" t="s">
        <v>65</v>
      </c>
      <c r="E62" s="9" t="s">
        <v>46</v>
      </c>
      <c r="F62" s="9"/>
      <c r="G62" s="9"/>
      <c r="H62" s="9"/>
      <c r="I62" s="10"/>
      <c r="J62" s="10"/>
    </row>
    <row r="63" spans="1:10" ht="14.25" customHeight="1">
      <c r="A63" s="9" t="s">
        <v>40</v>
      </c>
      <c r="B63" s="9" t="s">
        <v>156</v>
      </c>
      <c r="C63" s="9" t="s">
        <v>100</v>
      </c>
      <c r="D63" s="9" t="s">
        <v>103</v>
      </c>
      <c r="E63" s="9" t="s">
        <v>46</v>
      </c>
      <c r="F63" s="9"/>
      <c r="G63" s="9"/>
      <c r="H63" s="10"/>
      <c r="I63" s="10"/>
      <c r="J63" s="10"/>
    </row>
    <row r="64" spans="1:10" ht="14.25" customHeight="1">
      <c r="A64" s="9" t="s">
        <v>40</v>
      </c>
      <c r="B64" s="9" t="s">
        <v>151</v>
      </c>
      <c r="C64" s="9" t="s">
        <v>100</v>
      </c>
      <c r="D64" s="9" t="s">
        <v>103</v>
      </c>
      <c r="E64" s="9" t="s">
        <v>46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40</v>
      </c>
      <c r="B65" s="9" t="s">
        <v>141</v>
      </c>
      <c r="C65" s="9" t="s">
        <v>100</v>
      </c>
      <c r="D65" s="9" t="s">
        <v>103</v>
      </c>
      <c r="E65" s="9" t="s">
        <v>46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40</v>
      </c>
      <c r="B66" s="9" t="s">
        <v>129</v>
      </c>
      <c r="C66" s="9" t="s">
        <v>100</v>
      </c>
      <c r="D66" s="9" t="s">
        <v>103</v>
      </c>
      <c r="E66" s="9" t="s">
        <v>46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40</v>
      </c>
      <c r="B67" s="9" t="s">
        <v>42</v>
      </c>
      <c r="C67" s="9" t="s">
        <v>100</v>
      </c>
      <c r="D67" s="9" t="s">
        <v>103</v>
      </c>
      <c r="E67" s="9" t="s">
        <v>46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40</v>
      </c>
      <c r="B68" s="9" t="s">
        <v>156</v>
      </c>
      <c r="C68" s="9" t="s">
        <v>74</v>
      </c>
      <c r="D68" s="9" t="s">
        <v>76</v>
      </c>
      <c r="E68" s="9" t="s">
        <v>77</v>
      </c>
      <c r="F68" s="9"/>
      <c r="G68" s="9"/>
      <c r="H68" s="10"/>
      <c r="I68" s="10"/>
      <c r="J68" s="9"/>
    </row>
    <row r="69" spans="1:10" ht="14.25" customHeight="1">
      <c r="A69" s="9" t="s">
        <v>40</v>
      </c>
      <c r="B69" s="9" t="s">
        <v>151</v>
      </c>
      <c r="C69" s="9" t="s">
        <v>74</v>
      </c>
      <c r="D69" s="9" t="s">
        <v>76</v>
      </c>
      <c r="E69" s="9" t="s">
        <v>77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40</v>
      </c>
      <c r="B70" s="9" t="s">
        <v>141</v>
      </c>
      <c r="C70" s="9" t="s">
        <v>74</v>
      </c>
      <c r="D70" s="9" t="s">
        <v>76</v>
      </c>
      <c r="E70" s="9" t="s">
        <v>77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40</v>
      </c>
      <c r="B71" s="9" t="s">
        <v>129</v>
      </c>
      <c r="C71" s="9" t="s">
        <v>74</v>
      </c>
      <c r="D71" s="9" t="s">
        <v>76</v>
      </c>
      <c r="E71" s="9" t="s">
        <v>77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40</v>
      </c>
      <c r="B72" s="9" t="s">
        <v>42</v>
      </c>
      <c r="C72" s="9" t="s">
        <v>74</v>
      </c>
      <c r="D72" s="9" t="s">
        <v>76</v>
      </c>
      <c r="E72" s="9" t="s">
        <v>77</v>
      </c>
      <c r="F72" s="9"/>
      <c r="G72" s="9"/>
      <c r="H72" s="10"/>
      <c r="I72" s="10"/>
      <c r="J72" s="10"/>
    </row>
    <row r="73" spans="1:10" ht="14.25" customHeight="1">
      <c r="A73" s="9" t="s">
        <v>40</v>
      </c>
      <c r="B73" s="9" t="s">
        <v>156</v>
      </c>
      <c r="C73" s="9" t="s">
        <v>80</v>
      </c>
      <c r="D73" s="9" t="s">
        <v>59</v>
      </c>
      <c r="E73" s="9" t="s">
        <v>77</v>
      </c>
      <c r="F73" s="9"/>
      <c r="G73" s="9"/>
      <c r="H73" s="9"/>
      <c r="I73" s="10"/>
      <c r="J73" s="10"/>
    </row>
    <row r="74" spans="1:10" ht="14.25" customHeight="1">
      <c r="A74" s="9" t="s">
        <v>40</v>
      </c>
      <c r="B74" s="9" t="s">
        <v>151</v>
      </c>
      <c r="C74" s="9" t="s">
        <v>80</v>
      </c>
      <c r="D74" s="9" t="s">
        <v>59</v>
      </c>
      <c r="E74" s="9" t="s">
        <v>77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40</v>
      </c>
      <c r="B75" s="9" t="s">
        <v>141</v>
      </c>
      <c r="C75" s="9" t="s">
        <v>80</v>
      </c>
      <c r="D75" s="9" t="s">
        <v>59</v>
      </c>
      <c r="E75" s="9" t="s">
        <v>77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40</v>
      </c>
      <c r="B76" s="9" t="s">
        <v>129</v>
      </c>
      <c r="C76" s="9" t="s">
        <v>80</v>
      </c>
      <c r="D76" s="9" t="s">
        <v>59</v>
      </c>
      <c r="E76" s="9" t="s">
        <v>77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40</v>
      </c>
      <c r="B77" s="9" t="s">
        <v>42</v>
      </c>
      <c r="C77" s="9" t="s">
        <v>80</v>
      </c>
      <c r="D77" s="9" t="s">
        <v>59</v>
      </c>
      <c r="E77" s="9" t="s">
        <v>77</v>
      </c>
      <c r="F77" s="9"/>
      <c r="G77" s="9"/>
      <c r="H77" s="9"/>
      <c r="I77" s="10"/>
      <c r="J77" s="10"/>
    </row>
    <row r="78" spans="1:10" ht="14.25" customHeight="1">
      <c r="A78" s="9" t="s">
        <v>40</v>
      </c>
      <c r="B78" s="9" t="s">
        <v>156</v>
      </c>
      <c r="C78" s="9" t="s">
        <v>83</v>
      </c>
      <c r="D78" s="9" t="s">
        <v>84</v>
      </c>
      <c r="E78" s="9" t="s">
        <v>60</v>
      </c>
      <c r="F78" s="9"/>
      <c r="G78" s="9"/>
      <c r="H78" s="10"/>
      <c r="I78" s="10"/>
      <c r="J78" s="9"/>
    </row>
    <row r="79" spans="1:10" ht="14.25" customHeight="1">
      <c r="A79" s="9" t="s">
        <v>40</v>
      </c>
      <c r="B79" s="9" t="s">
        <v>151</v>
      </c>
      <c r="C79" s="9" t="s">
        <v>83</v>
      </c>
      <c r="D79" s="9" t="s">
        <v>84</v>
      </c>
      <c r="E79" s="9" t="s">
        <v>60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40</v>
      </c>
      <c r="B80" s="9" t="s">
        <v>141</v>
      </c>
      <c r="C80" s="9" t="s">
        <v>83</v>
      </c>
      <c r="D80" s="9" t="s">
        <v>84</v>
      </c>
      <c r="E80" s="9" t="s">
        <v>60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40</v>
      </c>
      <c r="B81" s="9" t="s">
        <v>129</v>
      </c>
      <c r="C81" s="9" t="s">
        <v>83</v>
      </c>
      <c r="D81" s="9" t="s">
        <v>84</v>
      </c>
      <c r="E81" s="9" t="s">
        <v>60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40</v>
      </c>
      <c r="B82" s="9" t="s">
        <v>42</v>
      </c>
      <c r="C82" s="9" t="s">
        <v>83</v>
      </c>
      <c r="D82" s="9" t="s">
        <v>84</v>
      </c>
      <c r="E82" s="9" t="s">
        <v>60</v>
      </c>
      <c r="F82" s="9"/>
      <c r="G82" s="9"/>
      <c r="H82" s="10"/>
      <c r="I82" s="10"/>
      <c r="J82" s="9"/>
    </row>
    <row r="83" spans="1:10" ht="14.25" customHeight="1">
      <c r="A83" s="9" t="s">
        <v>40</v>
      </c>
      <c r="B83" s="9" t="s">
        <v>156</v>
      </c>
      <c r="C83" s="9" t="s">
        <v>87</v>
      </c>
      <c r="D83" s="9" t="s">
        <v>84</v>
      </c>
      <c r="E83" s="9" t="s">
        <v>46</v>
      </c>
      <c r="F83" s="9"/>
      <c r="G83" s="9"/>
      <c r="H83" s="9"/>
      <c r="I83" s="10"/>
      <c r="J83" s="10"/>
    </row>
    <row r="84" spans="1:10" ht="14.25" customHeight="1">
      <c r="A84" s="9" t="s">
        <v>40</v>
      </c>
      <c r="B84" s="9" t="s">
        <v>151</v>
      </c>
      <c r="C84" s="9" t="s">
        <v>87</v>
      </c>
      <c r="D84" s="9" t="s">
        <v>84</v>
      </c>
      <c r="E84" s="9" t="s">
        <v>46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40</v>
      </c>
      <c r="B85" s="9" t="s">
        <v>141</v>
      </c>
      <c r="C85" s="9" t="s">
        <v>87</v>
      </c>
      <c r="D85" s="9" t="s">
        <v>84</v>
      </c>
      <c r="E85" s="9" t="s">
        <v>46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40</v>
      </c>
      <c r="B86" s="9" t="s">
        <v>129</v>
      </c>
      <c r="C86" s="9" t="s">
        <v>87</v>
      </c>
      <c r="D86" s="9" t="s">
        <v>84</v>
      </c>
      <c r="E86" s="9" t="s">
        <v>46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40</v>
      </c>
      <c r="B87" s="9" t="s">
        <v>42</v>
      </c>
      <c r="C87" s="9" t="s">
        <v>87</v>
      </c>
      <c r="D87" s="9" t="s">
        <v>84</v>
      </c>
      <c r="E87" s="9" t="s">
        <v>46</v>
      </c>
      <c r="F87" s="9"/>
      <c r="G87" s="9"/>
      <c r="H87" s="9"/>
      <c r="I87" s="10"/>
      <c r="J87" s="10"/>
    </row>
    <row r="88" spans="1:10" ht="14.25" customHeight="1">
      <c r="A88" s="9" t="s">
        <v>40</v>
      </c>
      <c r="B88" s="9" t="s">
        <v>156</v>
      </c>
      <c r="C88" s="9" t="s">
        <v>90</v>
      </c>
      <c r="D88" s="9" t="s">
        <v>44</v>
      </c>
      <c r="E88" s="9" t="s">
        <v>60</v>
      </c>
      <c r="F88" s="9"/>
      <c r="G88" s="9"/>
      <c r="H88" s="10"/>
      <c r="I88" s="10"/>
      <c r="J88" s="9"/>
    </row>
    <row r="89" spans="1:10" ht="14.25" customHeight="1">
      <c r="A89" s="9" t="s">
        <v>40</v>
      </c>
      <c r="B89" s="9" t="s">
        <v>151</v>
      </c>
      <c r="C89" s="9" t="s">
        <v>90</v>
      </c>
      <c r="D89" s="9" t="s">
        <v>44</v>
      </c>
      <c r="E89" s="9" t="s">
        <v>60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40</v>
      </c>
      <c r="B90" s="9" t="s">
        <v>141</v>
      </c>
      <c r="C90" s="9" t="s">
        <v>90</v>
      </c>
      <c r="D90" s="9" t="s">
        <v>44</v>
      </c>
      <c r="E90" s="9" t="s">
        <v>60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40</v>
      </c>
      <c r="B91" s="9" t="s">
        <v>129</v>
      </c>
      <c r="C91" s="9" t="s">
        <v>90</v>
      </c>
      <c r="D91" s="9" t="s">
        <v>44</v>
      </c>
      <c r="E91" s="9" t="s">
        <v>60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40</v>
      </c>
      <c r="B92" s="9" t="s">
        <v>42</v>
      </c>
      <c r="C92" s="9" t="s">
        <v>90</v>
      </c>
      <c r="D92" s="9" t="s">
        <v>44</v>
      </c>
      <c r="E92" s="9" t="s">
        <v>60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40</v>
      </c>
      <c r="B93" s="9" t="s">
        <v>156</v>
      </c>
      <c r="C93" s="9" t="s">
        <v>93</v>
      </c>
      <c r="D93" s="9" t="s">
        <v>44</v>
      </c>
      <c r="E93" s="9" t="s">
        <v>77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40</v>
      </c>
      <c r="B94" s="9" t="s">
        <v>151</v>
      </c>
      <c r="C94" s="9" t="s">
        <v>93</v>
      </c>
      <c r="D94" s="9" t="s">
        <v>44</v>
      </c>
      <c r="E94" s="9" t="s">
        <v>77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40</v>
      </c>
      <c r="B95" s="9" t="s">
        <v>141</v>
      </c>
      <c r="C95" s="9" t="s">
        <v>93</v>
      </c>
      <c r="D95" s="9" t="s">
        <v>44</v>
      </c>
      <c r="E95" s="9" t="s">
        <v>77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40</v>
      </c>
      <c r="B96" s="9" t="s">
        <v>129</v>
      </c>
      <c r="C96" s="9" t="s">
        <v>93</v>
      </c>
      <c r="D96" s="9" t="s">
        <v>44</v>
      </c>
      <c r="E96" s="9" t="s">
        <v>77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40</v>
      </c>
      <c r="B97" s="9" t="s">
        <v>42</v>
      </c>
      <c r="C97" s="9" t="s">
        <v>93</v>
      </c>
      <c r="D97" s="9" t="s">
        <v>44</v>
      </c>
      <c r="E97" s="9" t="s">
        <v>77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40</v>
      </c>
      <c r="B98" s="9" t="s">
        <v>156</v>
      </c>
      <c r="C98" s="9" t="s">
        <v>101</v>
      </c>
      <c r="D98" s="9" t="s">
        <v>103</v>
      </c>
      <c r="E98" s="9" t="s">
        <v>60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40</v>
      </c>
      <c r="B99" s="9" t="s">
        <v>151</v>
      </c>
      <c r="C99" s="9" t="s">
        <v>101</v>
      </c>
      <c r="D99" s="9" t="s">
        <v>103</v>
      </c>
      <c r="E99" s="9" t="s">
        <v>60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40</v>
      </c>
      <c r="B100" s="9" t="s">
        <v>141</v>
      </c>
      <c r="C100" s="9" t="s">
        <v>101</v>
      </c>
      <c r="D100" s="9" t="s">
        <v>103</v>
      </c>
      <c r="E100" s="9" t="s">
        <v>60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40</v>
      </c>
      <c r="B101" s="9" t="s">
        <v>129</v>
      </c>
      <c r="C101" s="9" t="s">
        <v>101</v>
      </c>
      <c r="D101" s="9" t="s">
        <v>103</v>
      </c>
      <c r="E101" s="9" t="s">
        <v>60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40</v>
      </c>
      <c r="B102" s="9" t="s">
        <v>42</v>
      </c>
      <c r="C102" s="9" t="s">
        <v>101</v>
      </c>
      <c r="D102" s="9" t="s">
        <v>103</v>
      </c>
      <c r="E102" s="9" t="s">
        <v>60</v>
      </c>
      <c r="F102" s="9"/>
      <c r="G102" s="9"/>
      <c r="H102" s="10"/>
      <c r="I102" s="10"/>
      <c r="J102" s="9"/>
    </row>
    <row r="103" spans="1:10" ht="14.25" customHeight="1">
      <c r="A103" s="9" t="s">
        <v>40</v>
      </c>
      <c r="B103" s="9" t="s">
        <v>156</v>
      </c>
      <c r="C103" s="9" t="s">
        <v>105</v>
      </c>
      <c r="D103" s="9" t="s">
        <v>103</v>
      </c>
      <c r="E103" s="9" t="s">
        <v>77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40</v>
      </c>
      <c r="B104" s="9" t="s">
        <v>151</v>
      </c>
      <c r="C104" s="9" t="s">
        <v>105</v>
      </c>
      <c r="D104" s="9" t="s">
        <v>103</v>
      </c>
      <c r="E104" s="9" t="s">
        <v>77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40</v>
      </c>
      <c r="B105" s="9" t="s">
        <v>141</v>
      </c>
      <c r="C105" s="9" t="s">
        <v>105</v>
      </c>
      <c r="D105" s="9" t="s">
        <v>103</v>
      </c>
      <c r="E105" s="9" t="s">
        <v>77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40</v>
      </c>
      <c r="B106" s="9" t="s">
        <v>129</v>
      </c>
      <c r="C106" s="9" t="s">
        <v>105</v>
      </c>
      <c r="D106" s="9" t="s">
        <v>103</v>
      </c>
      <c r="E106" s="9" t="s">
        <v>77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40</v>
      </c>
      <c r="B107" s="9" t="s">
        <v>42</v>
      </c>
      <c r="C107" s="9" t="s">
        <v>105</v>
      </c>
      <c r="D107" s="9" t="s">
        <v>103</v>
      </c>
      <c r="E107" s="9" t="s">
        <v>77</v>
      </c>
      <c r="F107" s="9"/>
      <c r="G107" s="9"/>
      <c r="H107" s="9"/>
      <c r="I107" s="10"/>
      <c r="J107" s="10"/>
    </row>
    <row r="108" spans="1:10" ht="14.25" customHeight="1">
      <c r="A108" s="9" t="s">
        <v>40</v>
      </c>
      <c r="B108" s="9" t="s">
        <v>156</v>
      </c>
      <c r="C108" s="9" t="s">
        <v>108</v>
      </c>
      <c r="D108" s="9" t="s">
        <v>44</v>
      </c>
      <c r="E108" s="9" t="s">
        <v>60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40</v>
      </c>
      <c r="B109" s="9" t="s">
        <v>151</v>
      </c>
      <c r="C109" s="9" t="s">
        <v>108</v>
      </c>
      <c r="D109" s="9" t="s">
        <v>44</v>
      </c>
      <c r="E109" s="9" t="s">
        <v>60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40</v>
      </c>
      <c r="B110" s="9" t="s">
        <v>141</v>
      </c>
      <c r="C110" s="9" t="s">
        <v>108</v>
      </c>
      <c r="D110" s="9" t="s">
        <v>44</v>
      </c>
      <c r="E110" s="9" t="s">
        <v>60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40</v>
      </c>
      <c r="B111" s="9" t="s">
        <v>129</v>
      </c>
      <c r="C111" s="9" t="s">
        <v>108</v>
      </c>
      <c r="D111" s="9" t="s">
        <v>44</v>
      </c>
      <c r="E111" s="9" t="s">
        <v>60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40</v>
      </c>
      <c r="B112" s="9" t="s">
        <v>42</v>
      </c>
      <c r="C112" s="9" t="s">
        <v>108</v>
      </c>
      <c r="D112" s="9" t="s">
        <v>44</v>
      </c>
      <c r="E112" s="9" t="s">
        <v>60</v>
      </c>
      <c r="F112" s="9"/>
      <c r="G112" s="9"/>
      <c r="H112" s="10"/>
      <c r="I112" s="10"/>
      <c r="J112" s="9"/>
    </row>
    <row r="113" spans="1:10" ht="14.25" customHeight="1">
      <c r="A113" s="9" t="s">
        <v>40</v>
      </c>
      <c r="B113" s="9" t="s">
        <v>156</v>
      </c>
      <c r="C113" s="9" t="s">
        <v>109</v>
      </c>
      <c r="D113" s="9" t="s">
        <v>44</v>
      </c>
      <c r="E113" s="9" t="s">
        <v>60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40</v>
      </c>
      <c r="B114" s="9" t="s">
        <v>151</v>
      </c>
      <c r="C114" s="9" t="s">
        <v>109</v>
      </c>
      <c r="D114" s="9" t="s">
        <v>44</v>
      </c>
      <c r="E114" s="9" t="s">
        <v>60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40</v>
      </c>
      <c r="B115" s="9" t="s">
        <v>141</v>
      </c>
      <c r="C115" s="9" t="s">
        <v>109</v>
      </c>
      <c r="D115" s="9" t="s">
        <v>44</v>
      </c>
      <c r="E115" s="9" t="s">
        <v>60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40</v>
      </c>
      <c r="B116" s="9" t="s">
        <v>129</v>
      </c>
      <c r="C116" s="9" t="s">
        <v>109</v>
      </c>
      <c r="D116" s="9" t="s">
        <v>44</v>
      </c>
      <c r="E116" s="9" t="s">
        <v>60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40</v>
      </c>
      <c r="B117" s="9" t="s">
        <v>42</v>
      </c>
      <c r="C117" s="9" t="s">
        <v>109</v>
      </c>
      <c r="D117" s="9" t="s">
        <v>44</v>
      </c>
      <c r="E117" s="9" t="s">
        <v>60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40</v>
      </c>
      <c r="B118" s="9" t="s">
        <v>156</v>
      </c>
      <c r="C118" s="9" t="s">
        <v>113</v>
      </c>
      <c r="D118" s="9" t="s">
        <v>59</v>
      </c>
      <c r="E118" s="9" t="s">
        <v>46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40</v>
      </c>
      <c r="B119" s="9" t="s">
        <v>151</v>
      </c>
      <c r="C119" s="9" t="s">
        <v>113</v>
      </c>
      <c r="D119" s="9" t="s">
        <v>59</v>
      </c>
      <c r="E119" s="9" t="s">
        <v>46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40</v>
      </c>
      <c r="B120" s="9" t="s">
        <v>141</v>
      </c>
      <c r="C120" s="9" t="s">
        <v>113</v>
      </c>
      <c r="D120" s="9" t="s">
        <v>59</v>
      </c>
      <c r="E120" s="9" t="s">
        <v>46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40</v>
      </c>
      <c r="B121" s="9" t="s">
        <v>156</v>
      </c>
      <c r="C121" s="9" t="s">
        <v>116</v>
      </c>
      <c r="D121" s="9" t="s">
        <v>59</v>
      </c>
      <c r="E121" s="9" t="s">
        <v>77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40</v>
      </c>
      <c r="B122" s="9" t="s">
        <v>151</v>
      </c>
      <c r="C122" s="9" t="s">
        <v>116</v>
      </c>
      <c r="D122" s="9" t="s">
        <v>59</v>
      </c>
      <c r="E122" s="9" t="s">
        <v>77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40</v>
      </c>
      <c r="B123" s="9" t="s">
        <v>141</v>
      </c>
      <c r="C123" s="9" t="s">
        <v>116</v>
      </c>
      <c r="D123" s="9" t="s">
        <v>59</v>
      </c>
      <c r="E123" s="9" t="s">
        <v>77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40</v>
      </c>
      <c r="B124" s="9" t="s">
        <v>129</v>
      </c>
      <c r="C124" s="9" t="s">
        <v>116</v>
      </c>
      <c r="D124" s="9" t="s">
        <v>59</v>
      </c>
      <c r="E124" s="9" t="s">
        <v>77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40</v>
      </c>
      <c r="B125" s="9" t="s">
        <v>42</v>
      </c>
      <c r="C125" s="9" t="s">
        <v>116</v>
      </c>
      <c r="D125" s="9" t="s">
        <v>59</v>
      </c>
      <c r="E125" s="9" t="s">
        <v>77</v>
      </c>
      <c r="F125" s="9"/>
      <c r="G125" s="9"/>
      <c r="H125" s="9"/>
      <c r="I125" s="10"/>
      <c r="J125" s="10"/>
    </row>
    <row r="126" spans="1:10" ht="14.25" customHeight="1">
      <c r="A126" s="9" t="s">
        <v>40</v>
      </c>
      <c r="B126" s="9" t="s">
        <v>156</v>
      </c>
      <c r="C126" s="9" t="s">
        <v>117</v>
      </c>
      <c r="D126" s="9" t="s">
        <v>118</v>
      </c>
      <c r="E126" s="9" t="s">
        <v>60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40</v>
      </c>
      <c r="B127" s="9" t="s">
        <v>151</v>
      </c>
      <c r="C127" s="9" t="s">
        <v>117</v>
      </c>
      <c r="D127" s="9" t="s">
        <v>118</v>
      </c>
      <c r="E127" s="9" t="s">
        <v>60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40</v>
      </c>
      <c r="B128" s="9" t="s">
        <v>141</v>
      </c>
      <c r="C128" s="9" t="s">
        <v>117</v>
      </c>
      <c r="D128" s="9" t="s">
        <v>118</v>
      </c>
      <c r="E128" s="9" t="s">
        <v>60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40</v>
      </c>
      <c r="B129" s="9" t="s">
        <v>129</v>
      </c>
      <c r="C129" s="9" t="s">
        <v>117</v>
      </c>
      <c r="D129" s="9" t="s">
        <v>118</v>
      </c>
      <c r="E129" s="9" t="s">
        <v>60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40</v>
      </c>
      <c r="B130" s="9" t="s">
        <v>42</v>
      </c>
      <c r="C130" s="9" t="s">
        <v>117</v>
      </c>
      <c r="D130" s="9" t="s">
        <v>118</v>
      </c>
      <c r="E130" s="9" t="s">
        <v>60</v>
      </c>
      <c r="F130" s="9"/>
      <c r="G130" s="9"/>
      <c r="H130" s="9"/>
      <c r="I130" s="10"/>
      <c r="J130" s="9"/>
    </row>
    <row r="131" spans="1:10" ht="14.25" customHeight="1">
      <c r="A131" s="9" t="s">
        <v>40</v>
      </c>
      <c r="B131" s="9" t="s">
        <v>156</v>
      </c>
      <c r="C131" s="9" t="s">
        <v>122</v>
      </c>
      <c r="D131" s="9" t="s">
        <v>103</v>
      </c>
      <c r="E131" s="9" t="s">
        <v>77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40</v>
      </c>
      <c r="B132" s="9" t="s">
        <v>151</v>
      </c>
      <c r="C132" s="9" t="s">
        <v>122</v>
      </c>
      <c r="D132" s="9" t="s">
        <v>103</v>
      </c>
      <c r="E132" s="9" t="s">
        <v>77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40</v>
      </c>
      <c r="B133" s="9" t="s">
        <v>141</v>
      </c>
      <c r="C133" s="9" t="s">
        <v>122</v>
      </c>
      <c r="D133" s="9" t="s">
        <v>103</v>
      </c>
      <c r="E133" s="9" t="s">
        <v>77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40</v>
      </c>
      <c r="B134" s="9" t="s">
        <v>129</v>
      </c>
      <c r="C134" s="9" t="s">
        <v>122</v>
      </c>
      <c r="D134" s="9" t="s">
        <v>103</v>
      </c>
      <c r="E134" s="9" t="s">
        <v>77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40</v>
      </c>
      <c r="B135" s="9" t="s">
        <v>42</v>
      </c>
      <c r="C135" s="9" t="s">
        <v>122</v>
      </c>
      <c r="D135" s="9" t="s">
        <v>103</v>
      </c>
      <c r="E135" s="9" t="s">
        <v>77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40</v>
      </c>
      <c r="B136" s="9" t="s">
        <v>156</v>
      </c>
      <c r="C136" s="9" t="s">
        <v>124</v>
      </c>
      <c r="D136" s="9" t="s">
        <v>84</v>
      </c>
      <c r="E136" s="9" t="s">
        <v>77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40</v>
      </c>
      <c r="B137" s="9" t="s">
        <v>151</v>
      </c>
      <c r="C137" s="9" t="s">
        <v>124</v>
      </c>
      <c r="D137" s="9" t="s">
        <v>84</v>
      </c>
      <c r="E137" s="9" t="s">
        <v>77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40</v>
      </c>
      <c r="B138" s="9" t="s">
        <v>141</v>
      </c>
      <c r="C138" s="9" t="s">
        <v>124</v>
      </c>
      <c r="D138" s="9" t="s">
        <v>84</v>
      </c>
      <c r="E138" s="9" t="s">
        <v>77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40</v>
      </c>
      <c r="B139" s="9" t="s">
        <v>129</v>
      </c>
      <c r="C139" s="9" t="s">
        <v>124</v>
      </c>
      <c r="D139" s="9" t="s">
        <v>84</v>
      </c>
      <c r="E139" s="9" t="s">
        <v>77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40</v>
      </c>
      <c r="B140" s="9" t="s">
        <v>42</v>
      </c>
      <c r="C140" s="9" t="s">
        <v>124</v>
      </c>
      <c r="D140" s="9" t="s">
        <v>84</v>
      </c>
      <c r="E140" s="9" t="s">
        <v>77</v>
      </c>
      <c r="F140" s="9"/>
      <c r="G140" s="9"/>
      <c r="H140" s="9"/>
      <c r="I140" s="9"/>
      <c r="J140" s="9"/>
    </row>
    <row r="141" spans="1:10" ht="14.25" customHeight="1">
      <c r="A141" s="9" t="s">
        <v>127</v>
      </c>
      <c r="B141" s="9" t="s">
        <v>156</v>
      </c>
      <c r="C141" s="9" t="s">
        <v>128</v>
      </c>
      <c r="D141" s="9" t="s">
        <v>76</v>
      </c>
      <c r="E141" s="9" t="s">
        <v>60</v>
      </c>
      <c r="F141" s="9"/>
      <c r="G141" s="9" t="s">
        <v>130</v>
      </c>
      <c r="H141" s="9"/>
      <c r="I141" s="9"/>
      <c r="J141" s="9"/>
    </row>
    <row r="142" spans="1:10" ht="14.25" customHeight="1">
      <c r="A142" s="9" t="s">
        <v>127</v>
      </c>
      <c r="B142" s="9" t="s">
        <v>151</v>
      </c>
      <c r="C142" s="9" t="s">
        <v>128</v>
      </c>
      <c r="D142" s="9" t="s">
        <v>76</v>
      </c>
      <c r="E142" s="9" t="s">
        <v>60</v>
      </c>
      <c r="F142" s="9"/>
      <c r="G142" s="9" t="s">
        <v>130</v>
      </c>
      <c r="H142" s="9"/>
      <c r="I142" s="10">
        <v>46213</v>
      </c>
      <c r="J142" s="10">
        <v>46213</v>
      </c>
    </row>
    <row r="143" spans="1:10" ht="14.25" customHeight="1">
      <c r="A143" s="9" t="s">
        <v>127</v>
      </c>
      <c r="B143" s="9" t="s">
        <v>141</v>
      </c>
      <c r="C143" s="9" t="s">
        <v>128</v>
      </c>
      <c r="D143" s="9" t="s">
        <v>76</v>
      </c>
      <c r="E143" s="9" t="s">
        <v>60</v>
      </c>
      <c r="F143" s="9"/>
      <c r="G143" s="9" t="s">
        <v>130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127</v>
      </c>
      <c r="B144" s="9" t="s">
        <v>156</v>
      </c>
      <c r="C144" s="9" t="s">
        <v>135</v>
      </c>
      <c r="D144" s="9" t="s">
        <v>118</v>
      </c>
      <c r="E144" s="9" t="s">
        <v>77</v>
      </c>
      <c r="F144" s="9"/>
      <c r="G144" s="9" t="s">
        <v>130</v>
      </c>
      <c r="H144" s="9"/>
      <c r="I144" s="9"/>
      <c r="J144" s="9"/>
    </row>
    <row r="145" spans="1:10" ht="14.25" customHeight="1">
      <c r="A145" s="9" t="s">
        <v>127</v>
      </c>
      <c r="B145" s="9" t="s">
        <v>151</v>
      </c>
      <c r="C145" s="9" t="s">
        <v>135</v>
      </c>
      <c r="D145" s="9" t="s">
        <v>118</v>
      </c>
      <c r="E145" s="9" t="s">
        <v>77</v>
      </c>
      <c r="F145" s="9"/>
      <c r="G145" s="9" t="s">
        <v>130</v>
      </c>
      <c r="H145" s="9"/>
      <c r="I145" s="10">
        <v>46218</v>
      </c>
      <c r="J145" s="10">
        <v>46218</v>
      </c>
    </row>
    <row r="146" spans="1:10" ht="14.25" customHeight="1">
      <c r="A146" s="9" t="s">
        <v>127</v>
      </c>
      <c r="B146" s="9" t="s">
        <v>141</v>
      </c>
      <c r="C146" s="9" t="s">
        <v>135</v>
      </c>
      <c r="D146" s="9" t="s">
        <v>118</v>
      </c>
      <c r="E146" s="9" t="s">
        <v>77</v>
      </c>
      <c r="F146" s="9"/>
      <c r="G146" s="9" t="s">
        <v>130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127</v>
      </c>
      <c r="B147" s="9" t="s">
        <v>156</v>
      </c>
      <c r="C147" s="9" t="s">
        <v>138</v>
      </c>
      <c r="D147" s="9" t="s">
        <v>118</v>
      </c>
      <c r="E147" s="9" t="s">
        <v>77</v>
      </c>
      <c r="F147" s="9"/>
      <c r="G147" s="9" t="s">
        <v>130</v>
      </c>
      <c r="H147" s="9"/>
      <c r="I147" s="9"/>
      <c r="J147" s="9"/>
    </row>
    <row r="148" spans="1:10" ht="14.25" customHeight="1">
      <c r="A148" s="9" t="s">
        <v>127</v>
      </c>
      <c r="B148" s="9" t="s">
        <v>151</v>
      </c>
      <c r="C148" s="9" t="s">
        <v>138</v>
      </c>
      <c r="D148" s="9" t="s">
        <v>118</v>
      </c>
      <c r="E148" s="9" t="s">
        <v>77</v>
      </c>
      <c r="F148" s="9"/>
      <c r="G148" s="9" t="s">
        <v>130</v>
      </c>
      <c r="H148" s="9"/>
      <c r="I148" s="10">
        <v>46225</v>
      </c>
      <c r="J148" s="10">
        <v>46225</v>
      </c>
    </row>
    <row r="149" spans="1:10" ht="14.25" customHeight="1">
      <c r="A149" s="9" t="s">
        <v>127</v>
      </c>
      <c r="B149" s="9" t="s">
        <v>141</v>
      </c>
      <c r="C149" s="9" t="s">
        <v>138</v>
      </c>
      <c r="D149" s="9" t="s">
        <v>118</v>
      </c>
      <c r="E149" s="9" t="s">
        <v>77</v>
      </c>
      <c r="F149" s="9"/>
      <c r="G149" s="9" t="s">
        <v>130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127</v>
      </c>
      <c r="B150" s="9" t="s">
        <v>156</v>
      </c>
      <c r="C150" s="9" t="s">
        <v>140</v>
      </c>
      <c r="D150" s="9" t="s">
        <v>59</v>
      </c>
      <c r="E150" s="9" t="s">
        <v>46</v>
      </c>
      <c r="F150" s="9"/>
      <c r="G150" s="9" t="s">
        <v>130</v>
      </c>
      <c r="H150" s="9"/>
      <c r="I150" s="9"/>
      <c r="J150" s="9"/>
    </row>
    <row r="151" spans="1:10" ht="14.25" customHeight="1">
      <c r="A151" s="9" t="s">
        <v>127</v>
      </c>
      <c r="B151" s="9" t="s">
        <v>151</v>
      </c>
      <c r="C151" s="9" t="s">
        <v>140</v>
      </c>
      <c r="D151" s="9" t="s">
        <v>59</v>
      </c>
      <c r="E151" s="9" t="s">
        <v>46</v>
      </c>
      <c r="F151" s="9"/>
      <c r="G151" s="9" t="s">
        <v>130</v>
      </c>
      <c r="H151" s="9"/>
      <c r="I151" s="10">
        <v>46227</v>
      </c>
      <c r="J151" s="10">
        <v>46227</v>
      </c>
    </row>
    <row r="152" spans="1:10" ht="14.25" customHeight="1">
      <c r="A152" s="9" t="s">
        <v>127</v>
      </c>
      <c r="B152" s="9" t="s">
        <v>141</v>
      </c>
      <c r="C152" s="9" t="s">
        <v>140</v>
      </c>
      <c r="D152" s="9" t="s">
        <v>59</v>
      </c>
      <c r="E152" s="9" t="s">
        <v>46</v>
      </c>
      <c r="F152" s="9"/>
      <c r="G152" s="9" t="s">
        <v>130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127</v>
      </c>
      <c r="B153" s="9" t="s">
        <v>156</v>
      </c>
      <c r="C153" s="9" t="s">
        <v>145</v>
      </c>
      <c r="D153" s="9" t="s">
        <v>103</v>
      </c>
      <c r="E153" s="9" t="s">
        <v>77</v>
      </c>
      <c r="F153" s="9"/>
      <c r="G153" s="9" t="s">
        <v>130</v>
      </c>
      <c r="H153" s="9"/>
      <c r="I153" s="9"/>
      <c r="J153" s="9"/>
    </row>
    <row r="154" spans="1:10" ht="14.25" customHeight="1">
      <c r="A154" s="9" t="s">
        <v>127</v>
      </c>
      <c r="B154" s="9" t="s">
        <v>151</v>
      </c>
      <c r="C154" s="9" t="s">
        <v>145</v>
      </c>
      <c r="D154" s="9" t="s">
        <v>103</v>
      </c>
      <c r="E154" s="9" t="s">
        <v>77</v>
      </c>
      <c r="F154" s="9"/>
      <c r="G154" s="9" t="s">
        <v>130</v>
      </c>
      <c r="H154" s="9"/>
      <c r="I154" s="10">
        <v>46216</v>
      </c>
      <c r="J154" s="10">
        <v>46216</v>
      </c>
    </row>
    <row r="155" spans="1:10" ht="14.25" customHeight="1">
      <c r="A155" s="9" t="s">
        <v>127</v>
      </c>
      <c r="B155" s="9" t="s">
        <v>141</v>
      </c>
      <c r="C155" s="9" t="s">
        <v>145</v>
      </c>
      <c r="D155" s="9" t="s">
        <v>103</v>
      </c>
      <c r="E155" s="9" t="s">
        <v>77</v>
      </c>
      <c r="F155" s="9"/>
      <c r="G155" s="9" t="s">
        <v>130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127</v>
      </c>
      <c r="B156" s="9" t="s">
        <v>156</v>
      </c>
      <c r="C156" s="9" t="s">
        <v>147</v>
      </c>
      <c r="D156" s="9" t="s">
        <v>84</v>
      </c>
      <c r="E156" s="9" t="s">
        <v>60</v>
      </c>
      <c r="F156" s="9"/>
      <c r="G156" s="9" t="s">
        <v>148</v>
      </c>
      <c r="H156" s="9"/>
      <c r="I156" s="9"/>
      <c r="J156" s="9"/>
    </row>
    <row r="157" spans="1:10">
      <c r="A157" s="3" t="s">
        <v>127</v>
      </c>
      <c r="B157" s="3" t="s">
        <v>156</v>
      </c>
      <c r="C157" s="3" t="s">
        <v>150</v>
      </c>
      <c r="D157" s="3" t="s">
        <v>118</v>
      </c>
      <c r="E157" s="3" t="s">
        <v>46</v>
      </c>
      <c r="F157" s="3"/>
      <c r="G157" s="3" t="s">
        <v>148</v>
      </c>
      <c r="H157" s="3"/>
      <c r="I157" s="3"/>
      <c r="J157" s="3"/>
    </row>
    <row r="158" spans="1:10">
      <c r="A158" s="3" t="s">
        <v>127</v>
      </c>
      <c r="B158" s="3" t="s">
        <v>156</v>
      </c>
      <c r="C158" s="3" t="s">
        <v>155</v>
      </c>
      <c r="D158" s="3" t="s">
        <v>118</v>
      </c>
      <c r="E158" s="3" t="s">
        <v>46</v>
      </c>
      <c r="F158" s="3"/>
      <c r="G158" s="3" t="s">
        <v>148</v>
      </c>
      <c r="H158" s="3"/>
      <c r="I158" s="3"/>
      <c r="J158" s="3"/>
    </row>
    <row r="159" spans="1:10">
      <c r="A159" s="3" t="s">
        <v>127</v>
      </c>
      <c r="B159" s="3" t="s">
        <v>151</v>
      </c>
      <c r="C159" s="3" t="s">
        <v>155</v>
      </c>
      <c r="D159" s="3" t="s">
        <v>118</v>
      </c>
      <c r="E159" s="3" t="s">
        <v>46</v>
      </c>
      <c r="F159" s="3"/>
      <c r="G159" s="3" t="s">
        <v>148</v>
      </c>
      <c r="H159" s="3"/>
      <c r="I159" s="4">
        <v>46221</v>
      </c>
      <c r="J159" s="4">
        <v>46221</v>
      </c>
    </row>
    <row r="160" spans="1:10">
      <c r="A160" s="3" t="s">
        <v>127</v>
      </c>
      <c r="B160" s="3" t="s">
        <v>141</v>
      </c>
      <c r="C160" s="3" t="s">
        <v>155</v>
      </c>
      <c r="D160" s="3" t="s">
        <v>118</v>
      </c>
      <c r="E160" s="3" t="s">
        <v>46</v>
      </c>
      <c r="F160" s="3"/>
      <c r="G160" s="3" t="s">
        <v>148</v>
      </c>
      <c r="H160" s="4">
        <v>46221</v>
      </c>
      <c r="I160" s="4">
        <v>46223</v>
      </c>
      <c r="J160" s="4">
        <v>46223</v>
      </c>
    </row>
    <row r="161" spans="1:10">
      <c r="A161" s="3" t="s">
        <v>127</v>
      </c>
      <c r="B161" s="3" t="s">
        <v>156</v>
      </c>
      <c r="C161" s="3" t="s">
        <v>157</v>
      </c>
      <c r="D161" s="3" t="s">
        <v>84</v>
      </c>
      <c r="E161" s="3" t="s">
        <v>60</v>
      </c>
      <c r="F161" s="3"/>
      <c r="G161" s="3" t="s">
        <v>148</v>
      </c>
      <c r="H161" s="3"/>
      <c r="I161" s="3"/>
      <c r="J161" s="3"/>
    </row>
    <row r="162" spans="1:10">
      <c r="A162" s="3" t="s">
        <v>127</v>
      </c>
      <c r="B162" s="3" t="s">
        <v>151</v>
      </c>
      <c r="C162" s="3" t="s">
        <v>157</v>
      </c>
      <c r="D162" s="3" t="s">
        <v>84</v>
      </c>
      <c r="E162" s="3" t="s">
        <v>60</v>
      </c>
      <c r="F162" s="3"/>
      <c r="G162" s="3" t="s">
        <v>148</v>
      </c>
      <c r="H162" s="3"/>
      <c r="I162" s="4">
        <v>46220</v>
      </c>
      <c r="J162" s="4">
        <v>46220</v>
      </c>
    </row>
    <row r="163" spans="1:10">
      <c r="A163" s="3" t="s">
        <v>127</v>
      </c>
      <c r="B163" s="3" t="s">
        <v>141</v>
      </c>
      <c r="C163" s="3" t="s">
        <v>157</v>
      </c>
      <c r="D163" s="3" t="s">
        <v>84</v>
      </c>
      <c r="E163" s="3" t="s">
        <v>60</v>
      </c>
      <c r="F163" s="3"/>
      <c r="G163" s="3" t="s">
        <v>148</v>
      </c>
      <c r="H163" s="4">
        <v>46220</v>
      </c>
      <c r="I163" s="4">
        <v>46223</v>
      </c>
      <c r="J163" s="4">
        <v>46223</v>
      </c>
    </row>
    <row r="164" spans="1:10">
      <c r="A164" s="3" t="s">
        <v>127</v>
      </c>
      <c r="B164" s="3" t="s">
        <v>156</v>
      </c>
      <c r="C164" s="3" t="s">
        <v>160</v>
      </c>
      <c r="D164" s="3" t="s">
        <v>162</v>
      </c>
      <c r="E164" s="3" t="s">
        <v>60</v>
      </c>
      <c r="F164" s="3"/>
      <c r="G164" s="3" t="s">
        <v>148</v>
      </c>
      <c r="H164" s="3"/>
      <c r="I164" s="3"/>
      <c r="J164" s="3"/>
    </row>
    <row r="165" spans="1:10">
      <c r="A165" s="3" t="s">
        <v>127</v>
      </c>
      <c r="B165" s="3" t="s">
        <v>151</v>
      </c>
      <c r="C165" s="3" t="s">
        <v>160</v>
      </c>
      <c r="D165" s="3" t="s">
        <v>162</v>
      </c>
      <c r="E165" s="3" t="s">
        <v>60</v>
      </c>
      <c r="F165" s="3"/>
      <c r="G165" s="3" t="s">
        <v>148</v>
      </c>
      <c r="H165" s="3"/>
      <c r="I165" s="4">
        <v>46224</v>
      </c>
      <c r="J165" s="4">
        <v>46224</v>
      </c>
    </row>
    <row r="166" spans="1:10">
      <c r="A166" s="3" t="s">
        <v>127</v>
      </c>
      <c r="B166" s="3" t="s">
        <v>141</v>
      </c>
      <c r="C166" s="3" t="s">
        <v>160</v>
      </c>
      <c r="D166" s="3" t="s">
        <v>162</v>
      </c>
      <c r="E166" s="3" t="s">
        <v>60</v>
      </c>
      <c r="F166" s="3"/>
      <c r="G166" s="3" t="s">
        <v>148</v>
      </c>
      <c r="H166" s="4">
        <v>46224</v>
      </c>
      <c r="I166" s="4">
        <v>46223</v>
      </c>
      <c r="J166" s="4">
        <v>46223</v>
      </c>
    </row>
    <row r="167" spans="1:10">
      <c r="A167" s="3" t="s">
        <v>127</v>
      </c>
      <c r="B167" s="3" t="s">
        <v>156</v>
      </c>
      <c r="C167" s="3" t="s">
        <v>163</v>
      </c>
      <c r="D167" s="3" t="s">
        <v>162</v>
      </c>
      <c r="E167" s="3" t="s">
        <v>77</v>
      </c>
      <c r="F167" s="3"/>
      <c r="G167" s="3" t="s">
        <v>148</v>
      </c>
      <c r="H167" s="3"/>
      <c r="I167" s="3"/>
      <c r="J167" s="3"/>
    </row>
    <row r="168" spans="1:10">
      <c r="A168" s="3" t="s">
        <v>127</v>
      </c>
      <c r="B168" s="3" t="s">
        <v>151</v>
      </c>
      <c r="C168" s="3" t="s">
        <v>163</v>
      </c>
      <c r="D168" s="3" t="s">
        <v>162</v>
      </c>
      <c r="E168" s="3" t="s">
        <v>77</v>
      </c>
      <c r="F168" s="3"/>
      <c r="G168" s="3" t="s">
        <v>148</v>
      </c>
      <c r="H168" s="3"/>
      <c r="I168" s="4">
        <v>46225</v>
      </c>
      <c r="J168" s="4">
        <v>46225</v>
      </c>
    </row>
    <row r="169" spans="1:10">
      <c r="A169" s="3" t="s">
        <v>127</v>
      </c>
      <c r="B169" s="3" t="s">
        <v>141</v>
      </c>
      <c r="C169" s="3" t="s">
        <v>163</v>
      </c>
      <c r="D169" s="3" t="s">
        <v>162</v>
      </c>
      <c r="E169" s="3" t="s">
        <v>77</v>
      </c>
      <c r="F169" s="3"/>
      <c r="G169" s="3" t="s">
        <v>148</v>
      </c>
      <c r="H169" s="4">
        <v>46225</v>
      </c>
      <c r="I169" s="4">
        <v>46223</v>
      </c>
      <c r="J169" s="4">
        <v>46223</v>
      </c>
    </row>
    <row r="170" spans="1:10">
      <c r="A170" s="3" t="s">
        <v>127</v>
      </c>
      <c r="B170" s="3" t="s">
        <v>156</v>
      </c>
      <c r="C170" s="3" t="s">
        <v>164</v>
      </c>
      <c r="D170" s="3" t="s">
        <v>76</v>
      </c>
      <c r="E170" s="3" t="s">
        <v>46</v>
      </c>
      <c r="F170" s="3"/>
      <c r="G170" s="3" t="s">
        <v>130</v>
      </c>
      <c r="H170" s="3"/>
      <c r="I170" s="3"/>
      <c r="J170" s="3"/>
    </row>
    <row r="171" spans="1:10">
      <c r="A171" s="3" t="s">
        <v>127</v>
      </c>
      <c r="B171" s="3" t="s">
        <v>151</v>
      </c>
      <c r="C171" s="3" t="s">
        <v>164</v>
      </c>
      <c r="D171" s="3" t="s">
        <v>76</v>
      </c>
      <c r="E171" s="3" t="s">
        <v>46</v>
      </c>
      <c r="F171" s="3"/>
      <c r="G171" s="3" t="s">
        <v>130</v>
      </c>
      <c r="H171" s="3"/>
      <c r="I171" s="4">
        <v>46226</v>
      </c>
      <c r="J171" s="4">
        <v>46226</v>
      </c>
    </row>
    <row r="172" spans="1:10">
      <c r="A172" s="3" t="s">
        <v>127</v>
      </c>
      <c r="B172" s="3" t="s">
        <v>141</v>
      </c>
      <c r="C172" s="3" t="s">
        <v>164</v>
      </c>
      <c r="D172" s="3" t="s">
        <v>76</v>
      </c>
      <c r="E172" s="3" t="s">
        <v>46</v>
      </c>
      <c r="F172" s="3"/>
      <c r="G172" s="3" t="s">
        <v>130</v>
      </c>
      <c r="H172" s="4">
        <v>46226</v>
      </c>
      <c r="I172" s="4">
        <v>46223</v>
      </c>
      <c r="J172" s="4">
        <v>46223</v>
      </c>
    </row>
    <row r="173" spans="1:10">
      <c r="A173" s="3" t="s">
        <v>127</v>
      </c>
      <c r="B173" s="3" t="s">
        <v>156</v>
      </c>
      <c r="C173" s="3" t="s">
        <v>166</v>
      </c>
      <c r="D173" s="3" t="s">
        <v>59</v>
      </c>
      <c r="E173" s="3" t="s">
        <v>60</v>
      </c>
      <c r="F173" s="3"/>
      <c r="G173" s="3" t="s">
        <v>130</v>
      </c>
      <c r="H173" s="3"/>
      <c r="I173" s="3"/>
      <c r="J173" s="3"/>
    </row>
    <row r="174" spans="1:10">
      <c r="A174" s="3" t="s">
        <v>127</v>
      </c>
      <c r="B174" s="3" t="s">
        <v>151</v>
      </c>
      <c r="C174" s="3" t="s">
        <v>166</v>
      </c>
      <c r="D174" s="3" t="s">
        <v>59</v>
      </c>
      <c r="E174" s="3" t="s">
        <v>60</v>
      </c>
      <c r="F174" s="3"/>
      <c r="G174" s="3" t="s">
        <v>130</v>
      </c>
      <c r="H174" s="3"/>
      <c r="I174" s="4">
        <v>46225</v>
      </c>
      <c r="J174" s="4">
        <v>46225</v>
      </c>
    </row>
    <row r="175" spans="1:10">
      <c r="A175" s="3" t="s">
        <v>127</v>
      </c>
      <c r="B175" s="3" t="s">
        <v>141</v>
      </c>
      <c r="C175" s="3" t="s">
        <v>166</v>
      </c>
      <c r="D175" s="3" t="s">
        <v>59</v>
      </c>
      <c r="E175" s="3" t="s">
        <v>60</v>
      </c>
      <c r="F175" s="3"/>
      <c r="G175" s="3" t="s">
        <v>130</v>
      </c>
      <c r="H175" s="4">
        <v>46225</v>
      </c>
      <c r="I175" s="4">
        <v>46223</v>
      </c>
      <c r="J175" s="4">
        <v>46223</v>
      </c>
    </row>
    <row r="176" spans="1:10">
      <c r="A176" s="3" t="s">
        <v>127</v>
      </c>
      <c r="B176" s="3" t="s">
        <v>156</v>
      </c>
      <c r="C176" s="3" t="s">
        <v>168</v>
      </c>
      <c r="D176" s="3" t="s">
        <v>76</v>
      </c>
      <c r="E176" s="3" t="s">
        <v>77</v>
      </c>
      <c r="F176" s="3"/>
      <c r="G176" s="3" t="s">
        <v>148</v>
      </c>
      <c r="H176" s="3"/>
      <c r="I176" s="3"/>
      <c r="J176" s="3"/>
    </row>
    <row r="177" spans="1:10">
      <c r="A177" s="3" t="s">
        <v>127</v>
      </c>
      <c r="B177" s="3" t="s">
        <v>151</v>
      </c>
      <c r="C177" s="3" t="s">
        <v>168</v>
      </c>
      <c r="D177" s="3" t="s">
        <v>76</v>
      </c>
      <c r="E177" s="3" t="s">
        <v>77</v>
      </c>
      <c r="F177" s="3"/>
      <c r="G177" s="3" t="s">
        <v>148</v>
      </c>
      <c r="H177" s="3"/>
      <c r="I177" s="4">
        <v>46225</v>
      </c>
      <c r="J177" s="4">
        <v>46225</v>
      </c>
    </row>
    <row r="178" spans="1:10">
      <c r="A178" s="3" t="s">
        <v>127</v>
      </c>
      <c r="B178" s="3" t="s">
        <v>141</v>
      </c>
      <c r="C178" s="3" t="s">
        <v>168</v>
      </c>
      <c r="D178" s="3" t="s">
        <v>76</v>
      </c>
      <c r="E178" s="3" t="s">
        <v>77</v>
      </c>
      <c r="F178" s="3"/>
      <c r="G178" s="3" t="s">
        <v>148</v>
      </c>
      <c r="H178" s="4">
        <v>46225</v>
      </c>
      <c r="I178" s="4">
        <v>46230</v>
      </c>
      <c r="J178" s="4">
        <v>46230</v>
      </c>
    </row>
    <row r="179" spans="1:10">
      <c r="A179" s="3" t="s">
        <v>127</v>
      </c>
      <c r="B179" s="3" t="s">
        <v>156</v>
      </c>
      <c r="C179" s="3" t="s">
        <v>171</v>
      </c>
      <c r="D179" s="3" t="s">
        <v>103</v>
      </c>
      <c r="E179" s="3"/>
      <c r="F179" s="3"/>
      <c r="G179" s="3"/>
      <c r="H179" s="3"/>
      <c r="I179" s="3"/>
      <c r="J179" s="3"/>
    </row>
    <row r="180" spans="1:10">
      <c r="A180" s="3" t="s">
        <v>127</v>
      </c>
      <c r="B180" s="3" t="s">
        <v>151</v>
      </c>
      <c r="C180" s="3" t="s">
        <v>171</v>
      </c>
      <c r="D180" s="3" t="s">
        <v>103</v>
      </c>
      <c r="E180" s="3"/>
      <c r="F180" s="3"/>
      <c r="G180" s="3"/>
      <c r="H180" s="3"/>
      <c r="I180" s="3"/>
      <c r="J180" s="3"/>
    </row>
    <row r="181" spans="1:10">
      <c r="A181" s="3" t="s">
        <v>127</v>
      </c>
      <c r="B181" s="3" t="s">
        <v>141</v>
      </c>
      <c r="C181" s="3" t="s">
        <v>171</v>
      </c>
      <c r="D181" s="3" t="s">
        <v>103</v>
      </c>
      <c r="E181" s="3"/>
      <c r="F181" s="3"/>
      <c r="G181" s="3"/>
      <c r="H181" s="3"/>
      <c r="I181" s="3"/>
      <c r="J181" s="3"/>
    </row>
    <row r="182" spans="1:10">
      <c r="A182" s="3" t="s">
        <v>127</v>
      </c>
      <c r="B182" s="3" t="s">
        <v>156</v>
      </c>
      <c r="C182" s="3" t="s">
        <v>182</v>
      </c>
      <c r="D182" s="3" t="s">
        <v>84</v>
      </c>
      <c r="E182" s="3"/>
      <c r="F182" s="3"/>
      <c r="G182" s="3"/>
      <c r="H182" s="3"/>
      <c r="I182" s="3"/>
      <c r="J182" s="3"/>
    </row>
    <row r="183" spans="1:10">
      <c r="A183" s="3" t="s">
        <v>127</v>
      </c>
      <c r="B183" s="3" t="s">
        <v>151</v>
      </c>
      <c r="C183" s="3" t="s">
        <v>182</v>
      </c>
      <c r="D183" s="3" t="s">
        <v>84</v>
      </c>
      <c r="E183" s="3"/>
      <c r="F183" s="3"/>
      <c r="G183" s="3"/>
      <c r="H183" s="3"/>
      <c r="I183" s="3"/>
      <c r="J183" s="3"/>
    </row>
    <row r="184" spans="1:10">
      <c r="A184" s="3" t="s">
        <v>127</v>
      </c>
      <c r="B184" s="3" t="s">
        <v>141</v>
      </c>
      <c r="C184" s="3" t="s">
        <v>182</v>
      </c>
      <c r="D184" s="3" t="s">
        <v>84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27" t="s">
        <v>393</v>
      </c>
      <c r="B1" s="121"/>
      <c r="C1" s="121"/>
    </row>
    <row r="2" spans="1:3" ht="14.25" customHeight="1">
      <c r="A2" s="8" t="s">
        <v>0</v>
      </c>
      <c r="B2" s="8" t="s">
        <v>394</v>
      </c>
      <c r="C2" s="8" t="s">
        <v>390</v>
      </c>
    </row>
    <row r="3" spans="1:3" ht="14.25" customHeight="1">
      <c r="A3" s="11" t="s">
        <v>40</v>
      </c>
      <c r="B3" s="11">
        <v>8</v>
      </c>
      <c r="C3" s="12">
        <v>46142</v>
      </c>
    </row>
    <row r="4" spans="1:3" ht="14.25" customHeight="1">
      <c r="A4" s="11" t="s">
        <v>40</v>
      </c>
      <c r="B4" s="11">
        <v>10</v>
      </c>
      <c r="C4" s="12">
        <v>46172</v>
      </c>
    </row>
    <row r="5" spans="1:3" ht="14.25" customHeight="1">
      <c r="A5" s="11" t="s">
        <v>40</v>
      </c>
      <c r="B5" s="11">
        <v>9</v>
      </c>
      <c r="C5" s="12">
        <v>46203</v>
      </c>
    </row>
    <row r="6" spans="1:3" ht="14.25" customHeight="1">
      <c r="A6" s="11" t="s">
        <v>127</v>
      </c>
      <c r="B6" s="11">
        <v>15</v>
      </c>
      <c r="C6" s="12">
        <v>46233</v>
      </c>
    </row>
    <row r="7" spans="1:3" ht="14.25" customHeight="1">
      <c r="A7" s="11" t="s">
        <v>127</v>
      </c>
      <c r="B7" s="11">
        <v>15</v>
      </c>
      <c r="C7" s="12">
        <v>46264</v>
      </c>
    </row>
    <row r="8" spans="1:3" ht="14.25" customHeight="1">
      <c r="A8" s="11" t="s">
        <v>127</v>
      </c>
      <c r="B8" s="11">
        <v>17</v>
      </c>
      <c r="C8" s="12">
        <v>46295</v>
      </c>
    </row>
    <row r="9" spans="1:3" ht="14.25" customHeight="1">
      <c r="A9" s="11" t="s">
        <v>127</v>
      </c>
      <c r="B9" s="11">
        <v>20</v>
      </c>
      <c r="C9" s="12">
        <v>46325</v>
      </c>
    </row>
    <row r="10" spans="1:3" ht="14.25" customHeight="1">
      <c r="A10" s="11" t="s">
        <v>127</v>
      </c>
      <c r="B10" s="11">
        <v>20</v>
      </c>
      <c r="C10" s="12">
        <v>46356</v>
      </c>
    </row>
    <row r="11" spans="1:3" ht="14.25" customHeight="1">
      <c r="A11" s="11" t="s">
        <v>395</v>
      </c>
      <c r="B11" s="11">
        <v>18</v>
      </c>
      <c r="C11" s="12">
        <v>46386</v>
      </c>
    </row>
    <row r="12" spans="1:3" ht="14.25" customHeight="1">
      <c r="A12" s="11" t="s">
        <v>395</v>
      </c>
      <c r="B12" s="11">
        <v>18</v>
      </c>
      <c r="C12" s="12">
        <v>46417</v>
      </c>
    </row>
    <row r="13" spans="1:3" ht="14.25" customHeight="1">
      <c r="A13" s="11" t="s">
        <v>395</v>
      </c>
      <c r="B13" s="11">
        <v>19</v>
      </c>
      <c r="C13" s="12">
        <v>46446</v>
      </c>
    </row>
    <row r="14" spans="1:3" ht="14.25" customHeight="1">
      <c r="A14" s="11" t="s">
        <v>301</v>
      </c>
      <c r="B14" s="11">
        <v>9</v>
      </c>
      <c r="C14" s="12">
        <v>46476</v>
      </c>
    </row>
    <row r="15" spans="1:3" ht="14.25" customHeight="1">
      <c r="A15" s="11" t="s">
        <v>291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4257812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396</v>
      </c>
      <c r="F1" s="1" t="s">
        <v>328</v>
      </c>
      <c r="G1" s="5" t="s">
        <v>397</v>
      </c>
      <c r="H1" s="5" t="s">
        <v>20</v>
      </c>
      <c r="I1" t="s">
        <v>35</v>
      </c>
      <c r="J1" s="5" t="s">
        <v>398</v>
      </c>
      <c r="K1" s="5" t="s">
        <v>129</v>
      </c>
      <c r="L1" s="5" t="s">
        <v>347</v>
      </c>
      <c r="M1" s="1" t="s">
        <v>399</v>
      </c>
      <c r="N1" s="1" t="s">
        <v>400</v>
      </c>
      <c r="R1" t="s">
        <v>13</v>
      </c>
      <c r="T1" t="s">
        <v>401</v>
      </c>
    </row>
    <row r="2" spans="1:20" ht="13.5" customHeight="1">
      <c r="A2" s="2" t="s">
        <v>402</v>
      </c>
      <c r="B2" s="2" t="s">
        <v>403</v>
      </c>
      <c r="C2" s="2" t="s">
        <v>404</v>
      </c>
      <c r="D2" s="2" t="s">
        <v>405</v>
      </c>
      <c r="E2" s="2" t="s">
        <v>406</v>
      </c>
      <c r="F2" s="2" t="s">
        <v>407</v>
      </c>
      <c r="G2" t="s">
        <v>408</v>
      </c>
      <c r="H2" t="s">
        <v>409</v>
      </c>
      <c r="I2" t="s">
        <v>410</v>
      </c>
      <c r="J2" s="29" t="s">
        <v>411</v>
      </c>
      <c r="K2" s="29" t="s">
        <v>412</v>
      </c>
      <c r="L2" s="29" t="s">
        <v>413</v>
      </c>
      <c r="M2" t="s">
        <v>148</v>
      </c>
      <c r="N2" s="45" t="s">
        <v>414</v>
      </c>
      <c r="R2" t="s">
        <v>248</v>
      </c>
      <c r="T2" t="s">
        <v>49</v>
      </c>
    </row>
    <row r="3" spans="1:20" ht="15" customHeight="1">
      <c r="A3" t="s">
        <v>40</v>
      </c>
      <c r="B3" t="s">
        <v>44</v>
      </c>
      <c r="C3" t="s">
        <v>60</v>
      </c>
      <c r="D3" t="s">
        <v>130</v>
      </c>
      <c r="E3" t="s">
        <v>50</v>
      </c>
      <c r="F3" t="s">
        <v>208</v>
      </c>
      <c r="G3" t="s">
        <v>44</v>
      </c>
      <c r="H3" t="s">
        <v>47</v>
      </c>
      <c r="I3" t="s">
        <v>53</v>
      </c>
      <c r="J3" t="s">
        <v>156</v>
      </c>
      <c r="K3" t="s">
        <v>48</v>
      </c>
      <c r="L3" t="s">
        <v>53</v>
      </c>
      <c r="M3" t="s">
        <v>44</v>
      </c>
      <c r="N3" s="45" t="s">
        <v>415</v>
      </c>
      <c r="R3" t="s">
        <v>45</v>
      </c>
      <c r="T3" t="s">
        <v>94</v>
      </c>
    </row>
    <row r="4" spans="1:20" ht="15" customHeight="1">
      <c r="A4" t="s">
        <v>127</v>
      </c>
      <c r="B4" t="s">
        <v>59</v>
      </c>
      <c r="C4" t="s">
        <v>46</v>
      </c>
      <c r="D4" t="s">
        <v>148</v>
      </c>
      <c r="E4" t="s">
        <v>53</v>
      </c>
      <c r="F4" t="s">
        <v>156</v>
      </c>
      <c r="G4" t="s">
        <v>59</v>
      </c>
      <c r="H4" t="s">
        <v>88</v>
      </c>
      <c r="I4" t="s">
        <v>416</v>
      </c>
      <c r="J4" t="s">
        <v>151</v>
      </c>
      <c r="L4" t="s">
        <v>50</v>
      </c>
      <c r="M4" t="s">
        <v>103</v>
      </c>
      <c r="N4" s="45" t="s">
        <v>415</v>
      </c>
      <c r="R4" t="s">
        <v>174</v>
      </c>
      <c r="T4" t="s">
        <v>72</v>
      </c>
    </row>
    <row r="5" spans="1:20" ht="15" customHeight="1">
      <c r="A5" t="s">
        <v>395</v>
      </c>
      <c r="B5" t="s">
        <v>65</v>
      </c>
      <c r="C5" t="s">
        <v>77</v>
      </c>
      <c r="F5" t="s">
        <v>151</v>
      </c>
      <c r="G5" t="s">
        <v>65</v>
      </c>
      <c r="H5" t="s">
        <v>130</v>
      </c>
      <c r="I5" t="s">
        <v>143</v>
      </c>
      <c r="J5" t="s">
        <v>141</v>
      </c>
      <c r="L5" t="s">
        <v>417</v>
      </c>
      <c r="M5" t="s">
        <v>88</v>
      </c>
      <c r="N5" s="45" t="s">
        <v>415</v>
      </c>
    </row>
    <row r="6" spans="1:20" ht="15" customHeight="1">
      <c r="A6" t="s">
        <v>301</v>
      </c>
      <c r="B6" t="s">
        <v>84</v>
      </c>
      <c r="F6" t="s">
        <v>141</v>
      </c>
      <c r="G6" t="s">
        <v>84</v>
      </c>
      <c r="H6" t="s">
        <v>148</v>
      </c>
      <c r="I6" t="s">
        <v>153</v>
      </c>
      <c r="J6" t="s">
        <v>129</v>
      </c>
      <c r="M6" t="s">
        <v>48</v>
      </c>
      <c r="N6" s="45" t="s">
        <v>415</v>
      </c>
    </row>
    <row r="7" spans="1:20" ht="15" customHeight="1">
      <c r="A7" t="s">
        <v>291</v>
      </c>
      <c r="B7" t="s">
        <v>118</v>
      </c>
      <c r="F7" t="s">
        <v>129</v>
      </c>
      <c r="G7" t="s">
        <v>118</v>
      </c>
      <c r="H7" t="s">
        <v>418</v>
      </c>
      <c r="I7" t="s">
        <v>419</v>
      </c>
      <c r="M7" t="s">
        <v>130</v>
      </c>
      <c r="N7" s="45" t="s">
        <v>415</v>
      </c>
    </row>
    <row r="8" spans="1:20" ht="15" customHeight="1">
      <c r="B8" t="s">
        <v>76</v>
      </c>
      <c r="F8" t="s">
        <v>42</v>
      </c>
      <c r="G8" t="s">
        <v>76</v>
      </c>
      <c r="I8" t="s">
        <v>420</v>
      </c>
      <c r="M8" t="s">
        <v>60</v>
      </c>
      <c r="N8" s="45" t="s">
        <v>415</v>
      </c>
    </row>
    <row r="9" spans="1:20" ht="15" customHeight="1">
      <c r="B9" t="s">
        <v>103</v>
      </c>
      <c r="G9" t="s">
        <v>103</v>
      </c>
      <c r="I9" t="s">
        <v>421</v>
      </c>
      <c r="M9" t="s">
        <v>162</v>
      </c>
      <c r="N9" s="45" t="s">
        <v>415</v>
      </c>
    </row>
    <row r="10" spans="1:20" ht="15" customHeight="1">
      <c r="B10" t="s">
        <v>162</v>
      </c>
      <c r="G10" t="s">
        <v>162</v>
      </c>
      <c r="M10" t="s">
        <v>47</v>
      </c>
      <c r="N10" s="45" t="s">
        <v>415</v>
      </c>
    </row>
    <row r="11" spans="1:20">
      <c r="B11" t="s">
        <v>422</v>
      </c>
      <c r="G11" t="s">
        <v>60</v>
      </c>
      <c r="M11" t="s">
        <v>76</v>
      </c>
      <c r="N11" s="45" t="s">
        <v>415</v>
      </c>
    </row>
    <row r="12" spans="1:20">
      <c r="B12" t="s">
        <v>423</v>
      </c>
      <c r="G12" t="s">
        <v>46</v>
      </c>
      <c r="M12" t="s">
        <v>46</v>
      </c>
      <c r="N12" s="45" t="s">
        <v>415</v>
      </c>
    </row>
    <row r="13" spans="1:20">
      <c r="G13" t="s">
        <v>77</v>
      </c>
      <c r="M13" t="s">
        <v>77</v>
      </c>
      <c r="N13" s="45" t="s">
        <v>415</v>
      </c>
    </row>
    <row r="14" spans="1:20">
      <c r="M14" t="s">
        <v>84</v>
      </c>
      <c r="N14" s="45" t="s">
        <v>424</v>
      </c>
    </row>
    <row r="15" spans="1:20">
      <c r="M15" t="s">
        <v>59</v>
      </c>
      <c r="N15" s="45" t="s">
        <v>415</v>
      </c>
    </row>
    <row r="16" spans="1:20">
      <c r="M16" t="s">
        <v>118</v>
      </c>
      <c r="N16" s="45" t="s">
        <v>415</v>
      </c>
    </row>
    <row r="17" spans="13:14">
      <c r="M17" t="s">
        <v>65</v>
      </c>
      <c r="N17" s="45" t="s">
        <v>415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2026-09-02T20:35:41Z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