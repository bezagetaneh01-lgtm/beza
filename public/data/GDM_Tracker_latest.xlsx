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79" documentId="13_ncr:1_{52745E9B-3AA1-4770-AAD3-E6166BFC13AE}" xr6:coauthVersionLast="47" xr6:coauthVersionMax="47" xr10:uidLastSave="{B5251BFC-4A19-47AD-B415-FACEC0DAAAD0}"/>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<sst xmlns="http://schemas.openxmlformats.org/spreadsheetml/2006/main" count="3222" uniqueCount="471">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</sst>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57" sqref="B5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46281</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c r="X60" s="36"/>
      <c r="Y60" s="36"/>
      <c r="Z60" s="36"/>
      <c r="AA60" s="51">
        <v>46290</v>
      </c>
      <c r="AB60" s="36"/>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216</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217</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222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c r="S78" s="149"/>
      <c r="T78" s="151" t="s">
        <v>241</v>
      </c>
      <c r="U78" s="152"/>
      <c r="V78" s="153">
        <v>46316</v>
      </c>
      <c r="W78" s="148"/>
      <c r="X78" s="144"/>
      <c r="Y78" s="144"/>
      <c r="Z78" s="154"/>
      <c r="AA78" s="153">
        <v>46325</v>
      </c>
      <c r="AB78" s="148"/>
      <c r="AC78" s="148"/>
      <c r="AD78" s="144" t="s">
        <v>186</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249</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250</v>
      </c>
      <c r="O79" s="44" t="s">
        <v>193</v>
      </c>
      <c r="P79" s="74" t="s">
        <v>46</v>
      </c>
      <c r="Q79" s="43">
        <v>46313</v>
      </c>
      <c r="R79" s="43"/>
      <c r="S79" s="44"/>
      <c r="T79" s="69" t="s">
        <v>241</v>
      </c>
      <c r="U79" s="46"/>
      <c r="V79" s="28">
        <v>46316</v>
      </c>
      <c r="W79" s="43"/>
      <c r="X79" s="31"/>
      <c r="Y79" s="31"/>
      <c r="Z79" s="36"/>
      <c r="AA79" s="28">
        <v>46325</v>
      </c>
      <c r="AB79" s="43"/>
      <c r="AC79" s="43"/>
      <c r="AD79" s="31" t="s">
        <v>251</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252</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253</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250</v>
      </c>
      <c r="O81" s="149" t="s">
        <v>248</v>
      </c>
      <c r="P81" s="150" t="s">
        <v>60</v>
      </c>
      <c r="Q81" s="148">
        <v>46313</v>
      </c>
      <c r="R81" s="148"/>
      <c r="S81" s="149"/>
      <c r="T81" s="167" t="s">
        <v>254</v>
      </c>
      <c r="U81" s="152"/>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255</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254</v>
      </c>
      <c r="U82" s="46"/>
      <c r="V82" s="28">
        <v>46316</v>
      </c>
      <c r="W82" s="43"/>
      <c r="X82" s="31"/>
      <c r="Y82" s="31"/>
      <c r="Z82" s="36"/>
      <c r="AA82" s="28">
        <v>46325</v>
      </c>
      <c r="AB82" s="43"/>
      <c r="AC82" s="43"/>
      <c r="AD82" s="31" t="s">
        <v>256</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257</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250</v>
      </c>
      <c r="O83" s="44" t="s">
        <v>248</v>
      </c>
      <c r="P83" s="74" t="s">
        <v>77</v>
      </c>
      <c r="Q83" s="43">
        <v>46313</v>
      </c>
      <c r="R83" s="43"/>
      <c r="S83" s="44"/>
      <c r="T83" s="68" t="s">
        <v>254</v>
      </c>
      <c r="U83" s="46"/>
      <c r="V83" s="28">
        <v>46316</v>
      </c>
      <c r="W83" s="43"/>
      <c r="X83" s="31"/>
      <c r="Y83" s="31"/>
      <c r="Z83" s="36"/>
      <c r="AA83" s="28">
        <v>46325</v>
      </c>
      <c r="AB83" s="43"/>
      <c r="AC83" s="43"/>
      <c r="AD83" s="31" t="s">
        <v>258</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259</v>
      </c>
      <c r="C84" s="31" t="s">
        <v>222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250</v>
      </c>
      <c r="O84" s="44" t="s">
        <v>248</v>
      </c>
      <c r="P84" s="74" t="s">
        <v>46</v>
      </c>
      <c r="Q84" s="43">
        <v>46313</v>
      </c>
      <c r="R84" s="43"/>
      <c r="S84" s="44"/>
      <c r="T84" s="68" t="s">
        <v>254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260</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261</v>
      </c>
      <c r="F85" s="34" t="s">
        <v>208</v>
      </c>
      <c r="G85" s="31"/>
      <c r="H85" s="49">
        <v>46325</v>
      </c>
      <c r="I85" s="55" t="s">
        <v>240</v>
      </c>
      <c r="J85" s="53" t="s">
        <v>44</v>
      </c>
      <c r="K85" s="43">
        <v>46304</v>
      </c>
      <c r="L85" s="43">
        <v>46276</v>
      </c>
      <c r="M85" s="44"/>
      <c r="N85" s="44"/>
      <c r="O85" s="44" t="s">
        <v>248</v>
      </c>
      <c r="P85" s="74" t="s">
        <v>60</v>
      </c>
      <c r="Q85" s="43">
        <v>46313</v>
      </c>
      <c r="R85" s="43"/>
      <c r="S85" s="44"/>
      <c r="T85" s="68" t="s">
        <v>254</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262</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263</v>
      </c>
      <c r="J86" s="53" t="s">
        <v>84</v>
      </c>
      <c r="K86" s="49">
        <v>46332</v>
      </c>
      <c r="L86" s="43"/>
      <c r="M86" s="44"/>
      <c r="N86" s="44"/>
      <c r="O86" s="44" t="s">
        <v>248</v>
      </c>
      <c r="P86" s="74"/>
      <c r="Q86" s="49">
        <v>46339</v>
      </c>
      <c r="R86" s="43"/>
      <c r="S86" s="44"/>
      <c r="T86" s="68" t="s">
        <v>254</v>
      </c>
      <c r="U86" s="46"/>
      <c r="V86" s="28">
        <v>46344</v>
      </c>
      <c r="W86" s="43"/>
      <c r="X86" s="31"/>
      <c r="Y86" s="31"/>
      <c r="Z86" s="36"/>
      <c r="AA86" s="28">
        <v>46356</v>
      </c>
      <c r="AB86" s="43"/>
      <c r="AC86" s="43"/>
      <c r="AD86" s="31" t="s">
        <v>264</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265</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263</v>
      </c>
      <c r="J87" s="53" t="s">
        <v>59</v>
      </c>
      <c r="K87" s="49">
        <v>46332</v>
      </c>
      <c r="L87" s="43"/>
      <c r="M87" s="44"/>
      <c r="N87" s="44"/>
      <c r="O87" s="44" t="s">
        <v>248</v>
      </c>
      <c r="P87" s="74"/>
      <c r="Q87" s="49">
        <v>46339</v>
      </c>
      <c r="R87" s="43"/>
      <c r="S87" s="44"/>
      <c r="T87" s="68" t="s">
        <v>254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266</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263</v>
      </c>
      <c r="J88" s="53" t="s">
        <v>59</v>
      </c>
      <c r="K88" s="49">
        <v>46332</v>
      </c>
      <c r="L88" s="43"/>
      <c r="M88" s="44"/>
      <c r="N88" s="44"/>
      <c r="O88" s="44" t="s">
        <v>248</v>
      </c>
      <c r="P88" s="74"/>
      <c r="Q88" s="49">
        <v>46339</v>
      </c>
      <c r="R88" s="43"/>
      <c r="S88" s="44"/>
      <c r="T88" s="68" t="s">
        <v>267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268</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263</v>
      </c>
      <c r="J89" s="53" t="s">
        <v>226</v>
      </c>
      <c r="K89" s="49">
        <v>46332</v>
      </c>
      <c r="L89" s="43">
        <v>46282</v>
      </c>
      <c r="M89" s="44">
        <v>46282</v>
      </c>
      <c r="N89" s="44"/>
      <c r="O89" s="44" t="s">
        <v>248</v>
      </c>
      <c r="P89" s="74"/>
      <c r="Q89" s="49">
        <v>46339</v>
      </c>
      <c r="R89" s="43"/>
      <c r="S89" s="44"/>
      <c r="T89" s="68" t="s">
        <v>267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269</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263</v>
      </c>
      <c r="J90" s="53" t="s">
        <v>226</v>
      </c>
      <c r="K90" s="49">
        <v>46332</v>
      </c>
      <c r="L90" s="43"/>
      <c r="M90" s="44"/>
      <c r="N90" s="44"/>
      <c r="O90" s="36" t="s">
        <v>270</v>
      </c>
      <c r="P90" s="74"/>
      <c r="Q90" s="49">
        <v>46339</v>
      </c>
      <c r="R90" s="43"/>
      <c r="S90" s="44"/>
      <c r="T90" s="68" t="s">
        <v>267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271</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263</v>
      </c>
      <c r="J91" s="53" t="s">
        <v>65</v>
      </c>
      <c r="K91" s="49">
        <v>46332</v>
      </c>
      <c r="L91" s="43">
        <v>46273</v>
      </c>
      <c r="M91" s="46">
        <v>46273</v>
      </c>
      <c r="N91" s="46" t="s">
        <v>146</v>
      </c>
      <c r="O91" s="44" t="s">
        <v>248</v>
      </c>
      <c r="P91" s="74"/>
      <c r="Q91" s="49">
        <v>46339</v>
      </c>
      <c r="R91" s="43"/>
      <c r="S91" s="44"/>
      <c r="T91" s="68" t="s">
        <v>267</v>
      </c>
      <c r="U91" s="46"/>
      <c r="V91" s="28">
        <v>46344</v>
      </c>
      <c r="W91" s="43"/>
      <c r="X91" s="31"/>
      <c r="Y91" s="31"/>
      <c r="Z91" s="36"/>
      <c r="AA91" s="28">
        <v>46356</v>
      </c>
      <c r="AB91" s="43"/>
      <c r="AC91" s="43"/>
      <c r="AD91" s="31" t="s">
        <v>272</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273</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274</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263</v>
      </c>
      <c r="J92" s="53" t="s">
        <v>84</v>
      </c>
      <c r="K92" s="49">
        <v>46332</v>
      </c>
      <c r="L92" s="43">
        <v>46332</v>
      </c>
      <c r="M92" s="44">
        <v>46275</v>
      </c>
      <c r="N92" s="44"/>
      <c r="O92" s="44" t="s">
        <v>248</v>
      </c>
      <c r="P92" s="74"/>
      <c r="Q92" s="49">
        <v>46339</v>
      </c>
      <c r="R92" s="43"/>
      <c r="S92" s="44"/>
      <c r="T92" s="68" t="s">
        <v>267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275</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276</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263</v>
      </c>
      <c r="J93" s="53" t="s">
        <v>154</v>
      </c>
      <c r="K93" s="49">
        <v>46332</v>
      </c>
      <c r="L93" s="43"/>
      <c r="M93" s="44"/>
      <c r="N93" s="44"/>
      <c r="O93" s="36" t="s">
        <v>270</v>
      </c>
      <c r="P93" s="74"/>
      <c r="Q93" s="49">
        <v>46339</v>
      </c>
      <c r="R93" s="43"/>
      <c r="S93" s="44"/>
      <c r="T93" s="68" t="s">
        <v>267</v>
      </c>
      <c r="U93" s="46"/>
      <c r="V93" s="28">
        <v>46344</v>
      </c>
      <c r="W93" s="43"/>
      <c r="X93" s="31"/>
      <c r="Y93" s="31"/>
      <c r="Z93" s="36"/>
      <c r="AA93" s="28">
        <v>46356</v>
      </c>
      <c r="AB93" s="43"/>
      <c r="AC93" s="43"/>
      <c r="AD93" s="31" t="s">
        <v>277</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278</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263</v>
      </c>
      <c r="J94" s="53" t="s">
        <v>154</v>
      </c>
      <c r="K94" s="49">
        <v>46332</v>
      </c>
      <c r="L94" s="43"/>
      <c r="M94" s="44"/>
      <c r="N94" s="44"/>
      <c r="O94" s="36" t="s">
        <v>270</v>
      </c>
      <c r="P94" s="74"/>
      <c r="Q94" s="49">
        <v>46339</v>
      </c>
      <c r="R94" s="43"/>
      <c r="S94" s="44"/>
      <c r="T94" s="68" t="s">
        <v>267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279</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263</v>
      </c>
      <c r="J95" s="53" t="s">
        <v>76</v>
      </c>
      <c r="K95" s="49">
        <v>46332</v>
      </c>
      <c r="L95" s="43"/>
      <c r="M95" s="44"/>
      <c r="N95" s="44"/>
      <c r="O95" s="36" t="s">
        <v>270</v>
      </c>
      <c r="P95" s="74"/>
      <c r="Q95" s="49">
        <v>46339</v>
      </c>
      <c r="R95" s="43"/>
      <c r="S95" s="44"/>
      <c r="T95" s="68" t="s">
        <v>280</v>
      </c>
      <c r="U95" s="46"/>
      <c r="V95" s="28">
        <v>46344</v>
      </c>
      <c r="W95" s="43"/>
      <c r="X95" s="31"/>
      <c r="Y95" s="31"/>
      <c r="Z95" s="36"/>
      <c r="AA95" s="28">
        <v>46356</v>
      </c>
      <c r="AB95" s="43"/>
      <c r="AC95" s="43"/>
      <c r="AD95" s="31" t="s">
        <v>281</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282</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263</v>
      </c>
      <c r="J96" s="53" t="s">
        <v>76</v>
      </c>
      <c r="K96" s="49">
        <v>46332</v>
      </c>
      <c r="L96" s="43"/>
      <c r="M96" s="44"/>
      <c r="N96" s="44"/>
      <c r="O96" s="36" t="s">
        <v>270</v>
      </c>
      <c r="P96" s="74"/>
      <c r="Q96" s="49">
        <v>46339</v>
      </c>
      <c r="R96" s="43"/>
      <c r="S96" s="44"/>
      <c r="T96" s="68" t="s">
        <v>280</v>
      </c>
      <c r="U96" s="46"/>
      <c r="V96" s="28">
        <v>46344</v>
      </c>
      <c r="W96" s="43"/>
      <c r="X96" s="31"/>
      <c r="Y96" s="31"/>
      <c r="Z96" s="36"/>
      <c r="AA96" s="28">
        <v>46356</v>
      </c>
      <c r="AB96" s="43"/>
      <c r="AC96" s="43"/>
      <c r="AD96" s="31" t="s">
        <v>283</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284</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263</v>
      </c>
      <c r="J97" s="53"/>
      <c r="K97" s="49">
        <v>46332</v>
      </c>
      <c r="L97" s="43"/>
      <c r="M97" s="44"/>
      <c r="N97" s="44"/>
      <c r="O97" s="36" t="s">
        <v>285</v>
      </c>
      <c r="P97" s="74"/>
      <c r="Q97" s="49">
        <v>46339</v>
      </c>
      <c r="R97" s="43"/>
      <c r="S97" s="44"/>
      <c r="T97" s="68" t="s">
        <v>280</v>
      </c>
      <c r="U97" s="46"/>
      <c r="V97" s="28">
        <v>46344</v>
      </c>
      <c r="W97" s="43"/>
      <c r="X97" s="31"/>
      <c r="Y97" s="31"/>
      <c r="Z97" s="36"/>
      <c r="AA97" s="28">
        <v>46356</v>
      </c>
      <c r="AB97" s="43"/>
      <c r="AC97" s="43"/>
      <c r="AD97" s="31" t="s">
        <v>286</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287</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263</v>
      </c>
      <c r="J98" s="53"/>
      <c r="K98" s="49">
        <v>46332</v>
      </c>
      <c r="L98" s="43"/>
      <c r="M98" s="44"/>
      <c r="N98" s="44"/>
      <c r="O98" s="36" t="s">
        <v>285</v>
      </c>
      <c r="P98" s="74"/>
      <c r="Q98" s="49">
        <v>46339</v>
      </c>
      <c r="R98" s="43"/>
      <c r="S98" s="44"/>
      <c r="T98" s="68" t="s">
        <v>280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288</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289</v>
      </c>
      <c r="F99" s="31" t="s">
        <v>129</v>
      </c>
      <c r="G99" s="31"/>
      <c r="H99" s="49">
        <v>46356</v>
      </c>
      <c r="I99" s="55" t="s">
        <v>263</v>
      </c>
      <c r="J99" s="53" t="s">
        <v>65</v>
      </c>
      <c r="K99" s="49">
        <v>46332</v>
      </c>
      <c r="L99" s="43"/>
      <c r="M99" s="44"/>
      <c r="N99" s="44"/>
      <c r="O99" s="44" t="s">
        <v>248</v>
      </c>
      <c r="P99" s="74"/>
      <c r="Q99" s="49">
        <v>46339</v>
      </c>
      <c r="R99" s="43"/>
      <c r="S99" s="44"/>
      <c r="T99" s="68" t="s">
        <v>280</v>
      </c>
      <c r="U99" s="46"/>
      <c r="V99" s="28">
        <v>46344</v>
      </c>
      <c r="W99" s="43"/>
      <c r="X99" s="31"/>
      <c r="Y99" s="31"/>
      <c r="Z99" s="36"/>
      <c r="AA99" s="28">
        <v>46356</v>
      </c>
      <c r="AB99" s="43"/>
      <c r="AC99" s="43"/>
      <c r="AD99" s="31" t="s">
        <v>290</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291</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263</v>
      </c>
      <c r="J100" s="53"/>
      <c r="K100" s="49">
        <v>46332</v>
      </c>
      <c r="L100" s="43"/>
      <c r="M100" s="44"/>
      <c r="N100" s="44"/>
      <c r="O100" s="36" t="s">
        <v>285</v>
      </c>
      <c r="P100" s="74"/>
      <c r="Q100" s="49">
        <v>46339</v>
      </c>
      <c r="R100" s="43"/>
      <c r="S100" s="44"/>
      <c r="T100" s="68" t="s">
        <v>280</v>
      </c>
      <c r="U100" s="46"/>
      <c r="V100" s="28">
        <v>46344</v>
      </c>
      <c r="W100" s="43"/>
      <c r="X100" s="31"/>
      <c r="Y100" s="31"/>
      <c r="Z100" s="36"/>
      <c r="AA100" s="28">
        <v>46356</v>
      </c>
      <c r="AB100" s="43"/>
      <c r="AC100" s="43"/>
      <c r="AD100" s="31" t="s">
        <v>292</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293</v>
      </c>
      <c r="B101" s="31" t="s">
        <v>294</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295</v>
      </c>
      <c r="J101" s="53"/>
      <c r="K101" s="28">
        <v>46363</v>
      </c>
      <c r="L101" s="43"/>
      <c r="M101" s="31"/>
      <c r="N101" s="31"/>
      <c r="O101" s="36" t="s">
        <v>296</v>
      </c>
      <c r="P101" s="74"/>
      <c r="Q101" s="28">
        <v>46370</v>
      </c>
      <c r="R101" s="43"/>
      <c r="S101" s="31"/>
      <c r="T101" s="68" t="s">
        <v>280</v>
      </c>
      <c r="U101" s="46"/>
      <c r="V101" s="28">
        <v>46373</v>
      </c>
      <c r="W101" s="43"/>
      <c r="X101" s="31"/>
      <c r="Y101" s="31"/>
      <c r="Z101" s="36"/>
      <c r="AA101" s="28">
        <v>46386</v>
      </c>
      <c r="AB101" s="43"/>
      <c r="AC101" s="43"/>
      <c r="AD101" s="31" t="s">
        <v>297</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293</v>
      </c>
      <c r="B102" s="31" t="s">
        <v>298</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295</v>
      </c>
      <c r="J102" s="53"/>
      <c r="K102" s="28">
        <v>46363</v>
      </c>
      <c r="L102" s="43"/>
      <c r="M102" s="31"/>
      <c r="N102" s="31"/>
      <c r="O102" s="36" t="s">
        <v>296</v>
      </c>
      <c r="P102" s="74"/>
      <c r="Q102" s="28">
        <v>46370</v>
      </c>
      <c r="R102" s="43"/>
      <c r="S102" s="31"/>
      <c r="T102" s="68" t="s">
        <v>299</v>
      </c>
      <c r="U102" s="46"/>
      <c r="V102" s="28">
        <v>46373</v>
      </c>
      <c r="W102" s="43"/>
      <c r="X102" s="31"/>
      <c r="Y102" s="31"/>
      <c r="Z102" s="36"/>
      <c r="AA102" s="28">
        <v>46386</v>
      </c>
      <c r="AB102" s="43"/>
      <c r="AC102" s="43"/>
      <c r="AD102" s="31" t="s">
        <v>300</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293</v>
      </c>
      <c r="B103" s="31" t="s">
        <v>301</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295</v>
      </c>
      <c r="J103" s="53"/>
      <c r="K103" s="28">
        <v>46363</v>
      </c>
      <c r="L103" s="43"/>
      <c r="M103" s="31"/>
      <c r="N103" s="31"/>
      <c r="O103" s="36" t="s">
        <v>296</v>
      </c>
      <c r="P103" s="74"/>
      <c r="Q103" s="28">
        <v>46370</v>
      </c>
      <c r="R103" s="43"/>
      <c r="S103" s="31"/>
      <c r="T103" s="68" t="s">
        <v>299</v>
      </c>
      <c r="U103" s="46"/>
      <c r="V103" s="28">
        <v>46373</v>
      </c>
      <c r="W103" s="43"/>
      <c r="X103" s="31"/>
      <c r="Y103" s="31"/>
      <c r="Z103" s="36"/>
      <c r="AA103" s="28">
        <v>46386</v>
      </c>
      <c r="AB103" s="43"/>
      <c r="AC103" s="43"/>
      <c r="AD103" s="31" t="s">
        <v>302</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303</v>
      </c>
      <c r="B104" s="31" t="s">
        <v>304</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295</v>
      </c>
      <c r="J104" s="53"/>
      <c r="K104" s="28">
        <v>46363</v>
      </c>
      <c r="L104" s="43"/>
      <c r="M104" s="31"/>
      <c r="N104" s="31"/>
      <c r="O104" s="36" t="s">
        <v>296</v>
      </c>
      <c r="P104" s="74"/>
      <c r="Q104" s="28">
        <v>46370</v>
      </c>
      <c r="R104" s="43"/>
      <c r="S104" s="31"/>
      <c r="T104" s="68" t="s">
        <v>299</v>
      </c>
      <c r="U104" s="46"/>
      <c r="V104" s="28">
        <v>46373</v>
      </c>
      <c r="W104" s="43"/>
      <c r="X104" s="31"/>
      <c r="Y104" s="31"/>
      <c r="Z104" s="36"/>
      <c r="AA104" s="28">
        <v>46386</v>
      </c>
      <c r="AB104" s="43"/>
      <c r="AC104" s="43"/>
      <c r="AD104" s="31" t="s">
        <v>305</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293</v>
      </c>
      <c r="B105" s="31" t="s">
        <v>306</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295</v>
      </c>
      <c r="J105" s="53"/>
      <c r="K105" s="28">
        <v>46363</v>
      </c>
      <c r="L105" s="43"/>
      <c r="M105" s="31"/>
      <c r="N105" s="31"/>
      <c r="O105" s="36" t="s">
        <v>296</v>
      </c>
      <c r="P105" s="74"/>
      <c r="Q105" s="28">
        <v>46370</v>
      </c>
      <c r="R105" s="43"/>
      <c r="S105" s="31"/>
      <c r="T105" s="68" t="s">
        <v>299</v>
      </c>
      <c r="U105" s="46"/>
      <c r="V105" s="28">
        <v>46373</v>
      </c>
      <c r="W105" s="43"/>
      <c r="X105" s="31"/>
      <c r="Y105" s="31"/>
      <c r="Z105" s="36"/>
      <c r="AA105" s="28">
        <v>46386</v>
      </c>
      <c r="AB105" s="43"/>
      <c r="AC105" s="43"/>
      <c r="AD105" s="31" t="s">
        <v>307</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293</v>
      </c>
      <c r="B106" s="31" t="s">
        <v>308</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295</v>
      </c>
      <c r="J106" s="53"/>
      <c r="K106" s="28">
        <v>46363</v>
      </c>
      <c r="L106" s="43"/>
      <c r="M106" s="31"/>
      <c r="N106" s="31"/>
      <c r="O106" s="36" t="s">
        <v>296</v>
      </c>
      <c r="P106" s="74"/>
      <c r="Q106" s="28">
        <v>46370</v>
      </c>
      <c r="R106" s="43"/>
      <c r="S106" s="31"/>
      <c r="T106" s="68" t="s">
        <v>299</v>
      </c>
      <c r="U106" s="46"/>
      <c r="V106" s="28">
        <v>46373</v>
      </c>
      <c r="W106" s="43"/>
      <c r="X106" s="31"/>
      <c r="Y106" s="31"/>
      <c r="Z106" s="36"/>
      <c r="AA106" s="28">
        <v>46386</v>
      </c>
      <c r="AB106" s="43"/>
      <c r="AC106" s="43"/>
      <c r="AD106" s="31" t="s">
        <v>309</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293</v>
      </c>
      <c r="B107" s="31" t="s">
        <v>310</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295</v>
      </c>
      <c r="J107" s="53"/>
      <c r="K107" s="28">
        <v>46363</v>
      </c>
      <c r="L107" s="43"/>
      <c r="M107" s="31"/>
      <c r="N107" s="31"/>
      <c r="O107" s="36" t="s">
        <v>296</v>
      </c>
      <c r="P107" s="74"/>
      <c r="Q107" s="28">
        <v>46370</v>
      </c>
      <c r="R107" s="43"/>
      <c r="S107" s="31"/>
      <c r="T107" s="68" t="s">
        <v>299</v>
      </c>
      <c r="U107" s="46"/>
      <c r="V107" s="28">
        <v>46373</v>
      </c>
      <c r="W107" s="43"/>
      <c r="X107" s="31"/>
      <c r="Y107" s="31"/>
      <c r="Z107" s="36"/>
      <c r="AA107" s="28">
        <v>46386</v>
      </c>
      <c r="AB107" s="43"/>
      <c r="AC107" s="43"/>
      <c r="AD107" s="31" t="s">
        <v>311</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293</v>
      </c>
      <c r="B108" s="31" t="s">
        <v>312</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295</v>
      </c>
      <c r="J108" s="53"/>
      <c r="K108" s="28">
        <v>46363</v>
      </c>
      <c r="L108" s="43"/>
      <c r="M108" s="31"/>
      <c r="N108" s="31"/>
      <c r="O108" s="36" t="s">
        <v>313</v>
      </c>
      <c r="P108" s="74"/>
      <c r="Q108" s="28">
        <v>46370</v>
      </c>
      <c r="R108" s="43"/>
      <c r="S108" s="31"/>
      <c r="T108" s="68" t="s">
        <v>299</v>
      </c>
      <c r="U108" s="46"/>
      <c r="V108" s="28">
        <v>46373</v>
      </c>
      <c r="W108" s="43"/>
      <c r="X108" s="31"/>
      <c r="Y108" s="31"/>
      <c r="Z108" s="36"/>
      <c r="AA108" s="28">
        <v>46386</v>
      </c>
      <c r="AB108" s="43"/>
      <c r="AC108" s="43"/>
      <c r="AD108" s="31" t="s">
        <v>314</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303</v>
      </c>
      <c r="B109" s="31" t="s">
        <v>315</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295</v>
      </c>
      <c r="J109" s="53"/>
      <c r="K109" s="28">
        <v>46363</v>
      </c>
      <c r="L109" s="43"/>
      <c r="M109" s="31"/>
      <c r="N109" s="31"/>
      <c r="O109" s="36" t="s">
        <v>313</v>
      </c>
      <c r="P109" s="74"/>
      <c r="Q109" s="28">
        <v>46370</v>
      </c>
      <c r="R109" s="43"/>
      <c r="S109" s="31"/>
      <c r="T109" s="68" t="s">
        <v>316</v>
      </c>
      <c r="U109" s="46"/>
      <c r="V109" s="28">
        <v>46373</v>
      </c>
      <c r="W109" s="43"/>
      <c r="X109" s="31"/>
      <c r="Y109" s="31"/>
      <c r="Z109" s="36"/>
      <c r="AA109" s="28">
        <v>46386</v>
      </c>
      <c r="AB109" s="43"/>
      <c r="AC109" s="43"/>
      <c r="AD109" s="31" t="s">
        <v>317</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293</v>
      </c>
      <c r="B110" s="31" t="s">
        <v>318</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295</v>
      </c>
      <c r="J110" s="53"/>
      <c r="K110" s="28">
        <v>46363</v>
      </c>
      <c r="L110" s="43"/>
      <c r="M110" s="31"/>
      <c r="N110" s="31"/>
      <c r="O110" s="36" t="s">
        <v>313</v>
      </c>
      <c r="P110" s="74"/>
      <c r="Q110" s="28">
        <v>46370</v>
      </c>
      <c r="R110" s="43"/>
      <c r="S110" s="31"/>
      <c r="T110" s="68" t="s">
        <v>316</v>
      </c>
      <c r="U110" s="46"/>
      <c r="V110" s="28">
        <v>46373</v>
      </c>
      <c r="W110" s="43"/>
      <c r="X110" s="31"/>
      <c r="Y110" s="31"/>
      <c r="Z110" s="36"/>
      <c r="AA110" s="28">
        <v>46386</v>
      </c>
      <c r="AB110" s="43"/>
      <c r="AC110" s="43"/>
      <c r="AD110" s="31" t="s">
        <v>319</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303</v>
      </c>
      <c r="B111" s="31" t="s">
        <v>320</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295</v>
      </c>
      <c r="J111" s="53"/>
      <c r="K111" s="28">
        <v>46363</v>
      </c>
      <c r="L111" s="43"/>
      <c r="M111" s="31"/>
      <c r="N111" s="31"/>
      <c r="O111" s="36" t="s">
        <v>313</v>
      </c>
      <c r="P111" s="74"/>
      <c r="Q111" s="28">
        <v>46370</v>
      </c>
      <c r="R111" s="43"/>
      <c r="S111" s="31"/>
      <c r="T111" s="68" t="s">
        <v>316</v>
      </c>
      <c r="U111" s="46"/>
      <c r="V111" s="28">
        <v>46373</v>
      </c>
      <c r="W111" s="43"/>
      <c r="X111" s="31"/>
      <c r="Y111" s="31"/>
      <c r="Z111" s="36"/>
      <c r="AA111" s="28">
        <v>46386</v>
      </c>
      <c r="AB111" s="43"/>
      <c r="AC111" s="43"/>
      <c r="AD111" s="31" t="s">
        <v>321</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303</v>
      </c>
      <c r="B112" s="31" t="s">
        <v>322</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295</v>
      </c>
      <c r="J112" s="53"/>
      <c r="K112" s="28">
        <v>46363</v>
      </c>
      <c r="L112" s="43"/>
      <c r="M112" s="31"/>
      <c r="N112" s="31"/>
      <c r="O112" s="36" t="s">
        <v>313</v>
      </c>
      <c r="P112" s="74"/>
      <c r="Q112" s="28">
        <v>46370</v>
      </c>
      <c r="R112" s="43"/>
      <c r="S112" s="31"/>
      <c r="T112" s="68" t="s">
        <v>316</v>
      </c>
      <c r="U112" s="46"/>
      <c r="V112" s="28">
        <v>46373</v>
      </c>
      <c r="W112" s="43"/>
      <c r="X112" s="31"/>
      <c r="Y112" s="31"/>
      <c r="Z112" s="36"/>
      <c r="AA112" s="28">
        <v>46386</v>
      </c>
      <c r="AB112" s="43"/>
      <c r="AC112" s="43"/>
      <c r="AD112" s="31" t="s">
        <v>317</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303</v>
      </c>
      <c r="B113" s="31" t="s">
        <v>323</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295</v>
      </c>
      <c r="J113" s="53"/>
      <c r="K113" s="28">
        <v>46363</v>
      </c>
      <c r="L113" s="43"/>
      <c r="M113" s="31"/>
      <c r="N113" s="31"/>
      <c r="O113" s="36" t="s">
        <v>313</v>
      </c>
      <c r="P113" s="74"/>
      <c r="Q113" s="28">
        <v>46370</v>
      </c>
      <c r="R113" s="43"/>
      <c r="S113" s="31"/>
      <c r="T113" s="68" t="s">
        <v>316</v>
      </c>
      <c r="U113" s="46"/>
      <c r="V113" s="28">
        <v>46373</v>
      </c>
      <c r="W113" s="43"/>
      <c r="X113" s="31"/>
      <c r="Y113" s="31"/>
      <c r="Z113" s="36"/>
      <c r="AA113" s="28">
        <v>46386</v>
      </c>
      <c r="AB113" s="43"/>
      <c r="AC113" s="43"/>
      <c r="AD113" s="31" t="s">
        <v>317</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303</v>
      </c>
      <c r="B114" s="31" t="s">
        <v>324</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295</v>
      </c>
      <c r="J114" s="53"/>
      <c r="K114" s="28">
        <v>46363</v>
      </c>
      <c r="L114" s="43"/>
      <c r="M114" s="31"/>
      <c r="N114" s="31"/>
      <c r="O114" s="36" t="s">
        <v>325</v>
      </c>
      <c r="P114" s="74"/>
      <c r="Q114" s="28">
        <v>46370</v>
      </c>
      <c r="R114" s="43"/>
      <c r="S114" s="31"/>
      <c r="T114" s="68" t="s">
        <v>316</v>
      </c>
      <c r="U114" s="46"/>
      <c r="V114" s="28">
        <v>46373</v>
      </c>
      <c r="W114" s="43"/>
      <c r="X114" s="31"/>
      <c r="Y114" s="31"/>
      <c r="Z114" s="36"/>
      <c r="AA114" s="28">
        <v>46386</v>
      </c>
      <c r="AB114" s="43"/>
      <c r="AC114" s="43"/>
      <c r="AD114" s="31" t="s">
        <v>321</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303</v>
      </c>
      <c r="B115" s="31" t="s">
        <v>326</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295</v>
      </c>
      <c r="J115" s="53"/>
      <c r="K115" s="28">
        <v>46363</v>
      </c>
      <c r="L115" s="43"/>
      <c r="M115" s="31"/>
      <c r="N115" s="31"/>
      <c r="O115" s="36" t="s">
        <v>325</v>
      </c>
      <c r="P115" s="74"/>
      <c r="Q115" s="28">
        <v>46370</v>
      </c>
      <c r="R115" s="43"/>
      <c r="S115" s="31"/>
      <c r="T115" s="68" t="s">
        <v>316</v>
      </c>
      <c r="U115" s="46"/>
      <c r="V115" s="28">
        <v>46373</v>
      </c>
      <c r="W115" s="43"/>
      <c r="X115" s="31"/>
      <c r="Y115" s="31"/>
      <c r="Z115" s="36"/>
      <c r="AA115" s="28">
        <v>46386</v>
      </c>
      <c r="AB115" s="43"/>
      <c r="AC115" s="43"/>
      <c r="AD115" s="31" t="s">
        <v>264</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327</v>
      </c>
    </row>
    <row r="2" spans="1:5">
      <c r="A2" s="6" t="s">
        <v>328</v>
      </c>
    </row>
    <row r="4" spans="1:5" ht="21.95" customHeight="1">
      <c r="A4" s="5" t="s">
        <v>329</v>
      </c>
      <c r="B4" s="174"/>
      <c r="C4" s="175"/>
      <c r="D4" s="175"/>
      <c r="E4" s="175"/>
    </row>
    <row r="6" spans="1:5">
      <c r="A6" s="42" t="s">
        <v>0</v>
      </c>
      <c r="B6" s="173" t="str">
        <f>IF($B$4="","",IFERROR(INDEX('Combined Delivery Data'!$A:$A,MATCH($B$4,'Combined Delivery Data'!$B:$B,0)),""))</f>
        <v/>
      </c>
      <c r="C6" s="176"/>
      <c r="D6" s="176"/>
      <c r="E6" s="177"/>
    </row>
    <row r="7" spans="1:5">
      <c r="A7" s="42" t="s">
        <v>330</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331</v>
      </c>
      <c r="B14" s="172" t="str">
        <f>IF($B$4="","",IFERROR(INDEX('Combined Delivery Data'!$K:$K,MATCH($B$4,'Combined Delivery Data'!$B:$B,0)),""))</f>
        <v/>
      </c>
      <c r="C14" s="176"/>
      <c r="D14" s="176"/>
      <c r="E14" s="177"/>
    </row>
    <row r="15" spans="1:5">
      <c r="A15" s="42" t="s">
        <v>332</v>
      </c>
      <c r="B15" s="172" t="str">
        <f>IF($B$4="","",IFERROR(INDEX('Combined Delivery Data'!$L:$L,MATCH($B$4,'Combined Delivery Data'!$B:$B,0)),""))</f>
        <v/>
      </c>
      <c r="C15" s="176"/>
      <c r="D15" s="176"/>
      <c r="E15" s="177"/>
    </row>
    <row r="16" spans="1:5">
      <c r="A16" s="42" t="s">
        <v>333</v>
      </c>
      <c r="B16" s="172" t="str">
        <f>IF($B$4="","",IFERROR(INDEX('Combined Delivery Data'!$M:$M,MATCH($B$4,'Combined Delivery Data'!$B:$B,0)),""))</f>
        <v/>
      </c>
      <c r="C16" s="176"/>
      <c r="D16" s="176"/>
      <c r="E16" s="177"/>
    </row>
    <row r="17" spans="1:5">
      <c r="A17" s="42" t="s">
        <v>334</v>
      </c>
      <c r="B17" s="172" t="str">
        <f>IF($B$4="","",IFERROR(INDEX('Combined Delivery Data'!$O:$O,MATCH($B$4,'Combined Delivery Data'!$B:$B,0)),""))</f>
        <v/>
      </c>
      <c r="C17" s="176"/>
      <c r="D17" s="176"/>
      <c r="E17" s="177"/>
    </row>
    <row r="18" spans="1:5">
      <c r="A18" s="42" t="s">
        <v>335</v>
      </c>
      <c r="B18" s="172" t="str">
        <f>IF($B$4="","",IFERROR(INDEX('Combined Delivery Data'!$Q:$Q,MATCH($B$4,'Combined Delivery Data'!$B:$B,0)),""))</f>
        <v/>
      </c>
      <c r="C18" s="176"/>
      <c r="D18" s="176"/>
      <c r="E18" s="177"/>
    </row>
    <row r="19" spans="1:5">
      <c r="A19" s="42" t="s">
        <v>336</v>
      </c>
      <c r="B19" s="172" t="str">
        <f>IF($B$4="","",IFERROR(INDEX('Combined Delivery Data'!$R:$R,MATCH($B$4,'Combined Delivery Data'!$B:$B,0)),""))</f>
        <v/>
      </c>
      <c r="C19" s="176"/>
      <c r="D19" s="176"/>
      <c r="E19" s="177"/>
    </row>
    <row r="20" spans="1:5">
      <c r="A20" s="42" t="s">
        <v>337</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338</v>
      </c>
      <c r="B26" s="173" t="str">
        <f>IF($B$4="","",IFERROR(INDEX('Rework Log'!$Q:$Q,MATCH($B$4,'Rework Log'!$P:$P,0)),""))</f>
        <v/>
      </c>
      <c r="C26" s="176"/>
      <c r="D26" s="176"/>
      <c r="E26" s="177"/>
    </row>
    <row r="27" spans="1:5">
      <c r="A27" s="42" t="s">
        <v>339</v>
      </c>
      <c r="B27" s="173" t="str">
        <f>IF($B$4="","",IFERROR(INDEX('Rework Log'!$R:$R,MATCH($B$4,'Rework Log'!$P:$P,0)),""))</f>
        <v/>
      </c>
      <c r="C27" s="176"/>
      <c r="D27" s="176"/>
      <c r="E27" s="177"/>
    </row>
    <row r="28" spans="1:5">
      <c r="A28" s="42" t="s">
        <v>340</v>
      </c>
      <c r="B28" s="173" t="str">
        <f>IF($B$4="","",IFERROR(INDEX('Rework Log'!$S:$S,MATCH($B$4,'Rework Log'!$P:$P,0)),""))</f>
        <v/>
      </c>
      <c r="C28" s="176"/>
      <c r="D28" s="176"/>
      <c r="E28" s="177"/>
    </row>
    <row r="29" spans="1:5">
      <c r="A29" s="42" t="s">
        <v>341</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7" activePane="bottomLeft" state="frozen"/>
      <selection pane="bottomLeft" activeCell="A47" sqref="A4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342</v>
      </c>
      <c r="B1" s="171"/>
      <c r="C1" s="171"/>
      <c r="D1" s="171"/>
      <c r="E1" s="171"/>
      <c r="F1" s="171"/>
      <c r="G1" s="171"/>
      <c r="H1" s="171"/>
      <c r="I1" s="171"/>
      <c r="J1" s="171"/>
      <c r="K1" s="171"/>
      <c r="L1" s="171"/>
      <c r="M1" s="171"/>
      <c r="P1" s="179" t="s">
        <v>343</v>
      </c>
      <c r="Q1" s="179"/>
      <c r="R1" s="179"/>
      <c r="S1" s="179"/>
      <c r="T1" s="179"/>
    </row>
    <row r="2" spans="1:20" ht="30" customHeight="1">
      <c r="A2" s="17" t="s">
        <v>1</v>
      </c>
      <c r="B2" s="17" t="s">
        <v>344</v>
      </c>
      <c r="C2" s="17" t="s">
        <v>345</v>
      </c>
      <c r="D2" s="17" t="s">
        <v>346</v>
      </c>
      <c r="E2" s="17" t="s">
        <v>347</v>
      </c>
      <c r="F2" s="17" t="s">
        <v>348</v>
      </c>
      <c r="G2" s="17" t="s">
        <v>349</v>
      </c>
      <c r="H2" s="56" t="s">
        <v>350</v>
      </c>
      <c r="I2" s="30" t="s">
        <v>351</v>
      </c>
      <c r="J2" s="30" t="s">
        <v>352</v>
      </c>
      <c r="K2" s="30" t="s">
        <v>353</v>
      </c>
      <c r="L2" s="30" t="s">
        <v>354</v>
      </c>
      <c r="M2" s="21" t="s">
        <v>355</v>
      </c>
      <c r="N2" s="21" t="s">
        <v>356</v>
      </c>
      <c r="P2" s="13" t="s">
        <v>1</v>
      </c>
      <c r="Q2" s="13" t="s">
        <v>338</v>
      </c>
      <c r="R2" s="13" t="s">
        <v>339</v>
      </c>
      <c r="S2" s="13" t="s">
        <v>340</v>
      </c>
      <c r="T2" s="13" t="s">
        <v>341</v>
      </c>
    </row>
    <row r="3" spans="1:20">
      <c r="A3" s="33" t="s">
        <v>142</v>
      </c>
      <c r="B3" s="36">
        <v>46230</v>
      </c>
      <c r="C3" s="33" t="s">
        <v>185</v>
      </c>
      <c r="D3" s="33" t="s">
        <v>222</v>
      </c>
      <c r="E3" s="33" t="s">
        <v>143</v>
      </c>
      <c r="F3" s="33" t="s">
        <v>357</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222</v>
      </c>
      <c r="E4" s="31" t="s">
        <v>143</v>
      </c>
      <c r="F4" s="31" t="s">
        <v>358</v>
      </c>
      <c r="G4" s="31" t="s">
        <v>50</v>
      </c>
      <c r="H4" s="32" t="s">
        <v>154</v>
      </c>
      <c r="I4" s="32"/>
      <c r="J4" s="32">
        <v>46247</v>
      </c>
      <c r="K4" s="31" t="s">
        <v>60</v>
      </c>
      <c r="L4" s="31" t="s">
        <v>359</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222</v>
      </c>
      <c r="E5" s="31" t="s">
        <v>129</v>
      </c>
      <c r="F5" s="31" t="s">
        <v>360</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222</v>
      </c>
      <c r="E6" s="31" t="s">
        <v>129</v>
      </c>
      <c r="F6" s="31" t="s">
        <v>361</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222</v>
      </c>
      <c r="E7" s="31" t="s">
        <v>129</v>
      </c>
      <c r="F7" s="31" t="s">
        <v>362</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222</v>
      </c>
      <c r="E8" s="31" t="s">
        <v>129</v>
      </c>
      <c r="F8" s="31" t="s">
        <v>363</v>
      </c>
      <c r="G8" s="31" t="s">
        <v>50</v>
      </c>
      <c r="H8" s="32" t="s">
        <v>65</v>
      </c>
      <c r="I8" s="32"/>
      <c r="J8" s="32">
        <v>46251</v>
      </c>
      <c r="K8" s="31"/>
      <c r="L8" s="31"/>
      <c r="M8" s="3" t="str">
        <f t="shared" ca="1" si="4"/>
        <v>Fixed</v>
      </c>
      <c r="N8" t="s">
        <v>364</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222</v>
      </c>
      <c r="E9" s="31" t="s">
        <v>143</v>
      </c>
      <c r="F9" s="31" t="s">
        <v>365</v>
      </c>
      <c r="G9" s="31" t="s">
        <v>50</v>
      </c>
      <c r="H9" s="32" t="s">
        <v>154</v>
      </c>
      <c r="I9" s="32"/>
      <c r="J9" s="32">
        <v>46254</v>
      </c>
      <c r="K9" s="31"/>
      <c r="L9" s="31"/>
      <c r="M9" s="3" t="str">
        <f t="shared" ca="1" si="4"/>
        <v>Fixed</v>
      </c>
      <c r="N9" t="s">
        <v>364</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222</v>
      </c>
      <c r="E10" s="31" t="s">
        <v>143</v>
      </c>
      <c r="F10" s="31" t="s">
        <v>358</v>
      </c>
      <c r="G10" s="31" t="s">
        <v>50</v>
      </c>
      <c r="H10" s="32" t="s">
        <v>84</v>
      </c>
      <c r="I10" s="32"/>
      <c r="J10" s="32">
        <v>46252</v>
      </c>
      <c r="K10" s="31"/>
      <c r="L10" s="31"/>
      <c r="M10" s="3" t="str">
        <f t="shared" ca="1" si="4"/>
        <v>Fixed</v>
      </c>
      <c r="N10" t="s">
        <v>364</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222</v>
      </c>
      <c r="E11" s="31" t="s">
        <v>129</v>
      </c>
      <c r="F11" s="31" t="s">
        <v>360</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222</v>
      </c>
      <c r="E12" s="31" t="s">
        <v>143</v>
      </c>
      <c r="F12" s="31" t="s">
        <v>366</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367</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222</v>
      </c>
      <c r="E13" s="31" t="s">
        <v>129</v>
      </c>
      <c r="F13" s="31" t="s">
        <v>368</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369</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370</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222</v>
      </c>
      <c r="E16" s="31" t="s">
        <v>143</v>
      </c>
      <c r="F16" s="31" t="s">
        <v>371</v>
      </c>
      <c r="G16" s="31" t="s">
        <v>50</v>
      </c>
      <c r="H16" s="32" t="s">
        <v>65</v>
      </c>
      <c r="I16" s="32"/>
      <c r="J16" s="32">
        <v>46258</v>
      </c>
      <c r="K16" s="31"/>
      <c r="L16" s="31"/>
      <c r="M16" s="3" t="str">
        <f t="shared" ca="1" si="4"/>
        <v>Fixed</v>
      </c>
      <c r="N16" t="s">
        <v>367</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372</v>
      </c>
      <c r="G17" s="31" t="s">
        <v>50</v>
      </c>
      <c r="H17" s="32" t="s">
        <v>46</v>
      </c>
      <c r="I17" s="32"/>
      <c r="J17" s="32"/>
      <c r="K17" s="31"/>
      <c r="L17" s="31"/>
      <c r="M17" s="3"/>
      <c r="S17" s="28"/>
    </row>
    <row r="18" spans="1:20">
      <c r="A18" s="33" t="s">
        <v>180</v>
      </c>
      <c r="B18" s="32">
        <v>46261</v>
      </c>
      <c r="C18" s="31" t="s">
        <v>185</v>
      </c>
      <c r="D18" s="31" t="s">
        <v>222</v>
      </c>
      <c r="E18" s="31" t="s">
        <v>129</v>
      </c>
      <c r="F18" s="31" t="s">
        <v>373</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374</v>
      </c>
      <c r="G19" s="31" t="s">
        <v>50</v>
      </c>
      <c r="H19" s="32" t="s">
        <v>46</v>
      </c>
      <c r="I19" s="32"/>
      <c r="J19" s="32">
        <v>46266</v>
      </c>
      <c r="K19" s="31"/>
      <c r="L19" s="31"/>
      <c r="M19" s="3" t="str">
        <f t="shared" ca="1" si="4"/>
        <v>Fixed</v>
      </c>
      <c r="N19" t="s">
        <v>364</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375</v>
      </c>
      <c r="G20" s="31" t="s">
        <v>50</v>
      </c>
      <c r="H20" s="32" t="s">
        <v>77</v>
      </c>
      <c r="I20" s="32">
        <v>46265</v>
      </c>
      <c r="J20" s="32">
        <v>46265</v>
      </c>
      <c r="K20" s="31" t="s">
        <v>77</v>
      </c>
      <c r="L20" s="31" t="s">
        <v>376</v>
      </c>
      <c r="M20" s="3" t="str">
        <f t="shared" ca="1" si="4"/>
        <v>Fixed</v>
      </c>
      <c r="N20" t="s">
        <v>367</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222</v>
      </c>
      <c r="E21" s="31" t="s">
        <v>47</v>
      </c>
      <c r="F21" s="31" t="s">
        <v>377</v>
      </c>
      <c r="G21" s="31" t="s">
        <v>50</v>
      </c>
      <c r="H21" s="32" t="s">
        <v>84</v>
      </c>
      <c r="I21" s="32">
        <v>46266</v>
      </c>
      <c r="J21" s="32">
        <v>46266</v>
      </c>
      <c r="K21" s="31"/>
      <c r="L21" s="31" t="s">
        <v>378</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222</v>
      </c>
      <c r="E22" s="31" t="s">
        <v>129</v>
      </c>
      <c r="F22" s="31" t="s">
        <v>379</v>
      </c>
      <c r="G22" s="31" t="s">
        <v>50</v>
      </c>
      <c r="H22" s="32" t="s">
        <v>59</v>
      </c>
      <c r="I22" s="32"/>
      <c r="J22" s="32">
        <v>46266</v>
      </c>
      <c r="K22" s="31" t="s">
        <v>59</v>
      </c>
      <c r="L22" s="31"/>
      <c r="M22" s="3" t="str">
        <f t="shared" ca="1" si="4"/>
        <v>Fixed</v>
      </c>
      <c r="N22" t="s">
        <v>367</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380</v>
      </c>
      <c r="G23" s="31" t="s">
        <v>50</v>
      </c>
      <c r="H23" s="32" t="s">
        <v>46</v>
      </c>
      <c r="I23" s="32">
        <v>46267</v>
      </c>
      <c r="J23" s="32">
        <v>46268</v>
      </c>
      <c r="K23" s="31" t="s">
        <v>46</v>
      </c>
      <c r="L23" s="31" t="s">
        <v>378</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381</v>
      </c>
      <c r="G24" s="31" t="s">
        <v>50</v>
      </c>
      <c r="H24" s="32" t="s">
        <v>46</v>
      </c>
      <c r="I24" s="168">
        <v>46267</v>
      </c>
      <c r="J24" s="32">
        <v>46268</v>
      </c>
      <c r="K24" s="31" t="s">
        <v>46</v>
      </c>
      <c r="L24" s="31" t="s">
        <v>378</v>
      </c>
      <c r="M24" s="3" t="str">
        <f t="shared" ca="1" si="4"/>
        <v>Fixed</v>
      </c>
      <c r="N24" t="s">
        <v>367</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382</v>
      </c>
      <c r="G25" s="31" t="s">
        <v>50</v>
      </c>
      <c r="H25" s="32" t="s">
        <v>46</v>
      </c>
      <c r="I25" s="32">
        <v>46267</v>
      </c>
      <c r="J25" s="32">
        <v>46268</v>
      </c>
      <c r="K25" s="31" t="s">
        <v>46</v>
      </c>
      <c r="L25" s="31" t="s">
        <v>378</v>
      </c>
      <c r="M25" s="3" t="str">
        <f t="shared" ca="1" si="4"/>
        <v>Fixed</v>
      </c>
      <c r="N25" s="33" t="s">
        <v>367</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383</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222</v>
      </c>
      <c r="E27" s="31" t="s">
        <v>129</v>
      </c>
      <c r="F27" s="31" t="s">
        <v>373</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367</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384</v>
      </c>
      <c r="G28" s="31" t="s">
        <v>50</v>
      </c>
      <c r="H28" s="32" t="s">
        <v>77</v>
      </c>
      <c r="I28" s="32"/>
      <c r="J28" s="32">
        <v>46267</v>
      </c>
      <c r="K28" s="31" t="s">
        <v>77</v>
      </c>
      <c r="L28" s="31" t="s">
        <v>385</v>
      </c>
      <c r="M28" s="3" t="str">
        <f t="shared" ca="1" si="4"/>
        <v>Fixed</v>
      </c>
      <c r="N28" t="s">
        <v>367</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384</v>
      </c>
      <c r="G29" s="31" t="s">
        <v>50</v>
      </c>
      <c r="H29" s="32" t="s">
        <v>77</v>
      </c>
      <c r="I29" s="32"/>
      <c r="J29" s="32">
        <v>46267</v>
      </c>
      <c r="K29" s="31" t="s">
        <v>77</v>
      </c>
      <c r="L29" s="113" t="s">
        <v>385</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384</v>
      </c>
      <c r="G30" s="31" t="s">
        <v>50</v>
      </c>
      <c r="H30" s="32" t="s">
        <v>77</v>
      </c>
      <c r="I30" s="32"/>
      <c r="J30" s="32">
        <v>46267</v>
      </c>
      <c r="K30" s="31" t="s">
        <v>77</v>
      </c>
      <c r="L30" s="113" t="s">
        <v>385</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222</v>
      </c>
      <c r="E31" s="31" t="s">
        <v>129</v>
      </c>
      <c r="F31" s="31" t="s">
        <v>386</v>
      </c>
      <c r="G31" s="31" t="s">
        <v>50</v>
      </c>
      <c r="H31" s="32" t="s">
        <v>154</v>
      </c>
      <c r="I31" s="32"/>
      <c r="J31" s="32">
        <v>46267</v>
      </c>
      <c r="K31" s="31" t="s">
        <v>154</v>
      </c>
      <c r="L31" s="31"/>
      <c r="M31" s="3" t="str">
        <f t="shared" ca="1" si="4"/>
        <v>Fixed</v>
      </c>
      <c r="N31" t="s">
        <v>367</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222</v>
      </c>
      <c r="E32" s="31" t="s">
        <v>47</v>
      </c>
      <c r="F32" s="31" t="s">
        <v>387</v>
      </c>
      <c r="G32" s="31" t="s">
        <v>50</v>
      </c>
      <c r="H32" s="32" t="s">
        <v>103</v>
      </c>
      <c r="I32" s="32">
        <v>46269</v>
      </c>
      <c r="J32" s="32">
        <v>46269</v>
      </c>
      <c r="K32" s="31"/>
      <c r="L32" s="31" t="s">
        <v>378</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222</v>
      </c>
      <c r="E33" s="31" t="s">
        <v>198</v>
      </c>
      <c r="F33" s="31" t="s">
        <v>388</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222</v>
      </c>
      <c r="E34" s="31" t="s">
        <v>47</v>
      </c>
      <c r="F34" s="31" t="s">
        <v>389</v>
      </c>
      <c r="G34" s="31" t="s">
        <v>50</v>
      </c>
      <c r="H34" s="32" t="s">
        <v>103</v>
      </c>
      <c r="I34" s="32">
        <v>46274</v>
      </c>
      <c r="J34" s="32">
        <v>46274</v>
      </c>
      <c r="K34" s="31"/>
      <c r="L34" s="31" t="s">
        <v>378</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390</v>
      </c>
      <c r="G35" s="31" t="s">
        <v>50</v>
      </c>
      <c r="H35" s="32" t="s">
        <v>77</v>
      </c>
      <c r="I35" s="32">
        <v>46275</v>
      </c>
      <c r="J35" s="32">
        <v>46275</v>
      </c>
      <c r="K35" s="31" t="s">
        <v>77</v>
      </c>
      <c r="L35" s="31" t="s">
        <v>391</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222</v>
      </c>
      <c r="E36" s="31" t="s">
        <v>129</v>
      </c>
      <c r="F36" s="31" t="s">
        <v>392</v>
      </c>
      <c r="G36" s="31" t="s">
        <v>50</v>
      </c>
      <c r="H36" s="32" t="s">
        <v>154</v>
      </c>
      <c r="I36" s="32"/>
      <c r="J36" s="32">
        <v>46276</v>
      </c>
      <c r="K36" s="31" t="s">
        <v>154</v>
      </c>
      <c r="L36" s="31"/>
      <c r="M36" s="3" t="str">
        <f t="shared" ca="1" si="4"/>
        <v>Fixed</v>
      </c>
      <c r="N36" t="s">
        <v>367</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222</v>
      </c>
      <c r="E37" s="31" t="s">
        <v>129</v>
      </c>
      <c r="F37" s="31" t="s">
        <v>393</v>
      </c>
      <c r="G37" s="31" t="s">
        <v>53</v>
      </c>
      <c r="H37" s="32" t="s">
        <v>65</v>
      </c>
      <c r="I37" s="32"/>
      <c r="J37" s="32">
        <v>46288</v>
      </c>
      <c r="K37" s="31"/>
      <c r="L37" s="31"/>
      <c r="M37" s="3" t="str">
        <f t="shared" ca="1" si="4"/>
        <v>Fixed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222</v>
      </c>
      <c r="E38" s="31" t="s">
        <v>129</v>
      </c>
      <c r="F38" s="31" t="s">
        <v>394</v>
      </c>
      <c r="G38" s="31" t="s">
        <v>50</v>
      </c>
      <c r="H38" s="32" t="s">
        <v>154</v>
      </c>
      <c r="I38" s="32">
        <v>46282</v>
      </c>
      <c r="J38" s="32">
        <v>46282</v>
      </c>
      <c r="K38" s="31" t="s">
        <v>154</v>
      </c>
      <c r="L38" s="31" t="s">
        <v>395</v>
      </c>
      <c r="M38" s="3" t="str">
        <f t="shared" ca="1" si="4"/>
        <v>Fixed</v>
      </c>
      <c r="N38" t="s">
        <v>367</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222</v>
      </c>
      <c r="E40" s="31" t="s">
        <v>47</v>
      </c>
      <c r="F40" s="31" t="s">
        <v>398</v>
      </c>
      <c r="G40" s="31" t="s">
        <v>50</v>
      </c>
      <c r="H40" s="32" t="s">
        <v>44</v>
      </c>
      <c r="I40" s="32">
        <v>46283</v>
      </c>
      <c r="J40" s="32">
        <v>46283</v>
      </c>
      <c r="K40" s="31"/>
      <c r="L40" s="31" t="s">
        <v>399</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400</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222</v>
      </c>
      <c r="E42" s="31" t="s">
        <v>47</v>
      </c>
      <c r="F42" s="31" t="s">
        <v>401</v>
      </c>
      <c r="G42" s="31" t="s">
        <v>50</v>
      </c>
      <c r="H42" s="32" t="s">
        <v>154</v>
      </c>
      <c r="I42" s="32">
        <v>46282</v>
      </c>
      <c r="J42" s="32">
        <v>46282</v>
      </c>
      <c r="K42" s="31"/>
      <c r="L42" s="31" t="s">
        <v>402</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401</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303</v>
      </c>
      <c r="B14" s="11">
        <v>9</v>
      </c>
      <c r="C14" s="12">
        <v>46387</v>
      </c>
    </row>
    <row r="15" spans="1:8" ht="14.25" customHeight="1">
      <c r="A15" s="11" t="s">
        <v>293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426</v>
      </c>
      <c r="D13" s="9" t="s">
        <v>427</v>
      </c>
      <c r="E13" s="9" t="s">
        <v>46</v>
      </c>
      <c r="F13" s="9"/>
      <c r="G13" s="9"/>
      <c r="H13" s="10"/>
      <c r="I13" s="10">
        <v>46115</v>
      </c>
      <c r="J13" s="10">
        <v>46115</v>
      </c>
    </row>
    <row r="14" spans="1:10" ht="14.25" customHeight="1">
      <c r="A14" s="9" t="s">
        <v>40</v>
      </c>
      <c r="B14" s="9" t="s">
        <v>204</v>
      </c>
      <c r="C14" s="9" t="s">
        <v>426</v>
      </c>
      <c r="D14" s="9" t="s">
        <v>427</v>
      </c>
      <c r="E14" s="9" t="s">
        <v>46</v>
      </c>
      <c r="F14" s="9"/>
      <c r="G14" s="9"/>
      <c r="H14" s="10">
        <v>46115</v>
      </c>
      <c r="I14" s="10">
        <v>46120</v>
      </c>
      <c r="J14" s="10">
        <v>46120</v>
      </c>
    </row>
    <row r="15" spans="1:10" ht="14.25" customHeight="1">
      <c r="A15" s="9" t="s">
        <v>40</v>
      </c>
      <c r="B15" s="9" t="s">
        <v>185</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427</v>
      </c>
      <c r="E23" s="9" t="s">
        <v>46</v>
      </c>
      <c r="F23" s="9"/>
      <c r="G23" s="9"/>
      <c r="H23" s="10"/>
      <c r="I23" s="10">
        <v>46115</v>
      </c>
      <c r="J23" s="10">
        <v>46115</v>
      </c>
    </row>
    <row r="24" spans="1:10" ht="14.25" customHeight="1">
      <c r="A24" s="9" t="s">
        <v>40</v>
      </c>
      <c r="B24" s="9" t="s">
        <v>204</v>
      </c>
      <c r="C24" s="9" t="s">
        <v>64</v>
      </c>
      <c r="D24" s="9" t="s">
        <v>427</v>
      </c>
      <c r="E24" s="9" t="s">
        <v>46</v>
      </c>
      <c r="F24" s="9"/>
      <c r="G24" s="9"/>
      <c r="H24" s="10">
        <v>46115</v>
      </c>
      <c r="I24" s="10">
        <v>46120</v>
      </c>
      <c r="J24" s="10">
        <v>46120</v>
      </c>
    </row>
    <row r="25" spans="1:10" ht="14.25" customHeight="1">
      <c r="A25" s="9" t="s">
        <v>40</v>
      </c>
      <c r="B25" s="9" t="s">
        <v>185</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427</v>
      </c>
      <c r="E33" s="9" t="s">
        <v>60</v>
      </c>
      <c r="F33" s="9"/>
      <c r="G33" s="9"/>
      <c r="H33" s="10"/>
      <c r="I33" s="10">
        <v>46122</v>
      </c>
      <c r="J33" s="10">
        <v>46122</v>
      </c>
    </row>
    <row r="34" spans="1:10" ht="14.25" customHeight="1">
      <c r="A34" s="9" t="s">
        <v>40</v>
      </c>
      <c r="B34" s="9" t="s">
        <v>204</v>
      </c>
      <c r="C34" s="9" t="s">
        <v>70</v>
      </c>
      <c r="D34" s="9" t="s">
        <v>427</v>
      </c>
      <c r="E34" s="9" t="s">
        <v>60</v>
      </c>
      <c r="F34" s="9"/>
      <c r="G34" s="9"/>
      <c r="H34" s="10">
        <v>46122</v>
      </c>
      <c r="I34" s="10">
        <v>46126</v>
      </c>
      <c r="J34" s="10">
        <v>46126</v>
      </c>
    </row>
    <row r="35" spans="1:10" ht="14.25" customHeight="1">
      <c r="A35" s="9" t="s">
        <v>40</v>
      </c>
      <c r="B35" s="9" t="s">
        <v>185</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427</v>
      </c>
      <c r="E48" s="9" t="s">
        <v>60</v>
      </c>
      <c r="F48" s="9"/>
      <c r="G48" s="9"/>
      <c r="H48" s="10"/>
      <c r="I48" s="10"/>
      <c r="J48" s="10"/>
    </row>
    <row r="49" spans="1:10" ht="14.25" customHeight="1">
      <c r="A49" s="9" t="s">
        <v>40</v>
      </c>
      <c r="B49" s="9" t="s">
        <v>204</v>
      </c>
      <c r="C49" s="9" t="s">
        <v>97</v>
      </c>
      <c r="D49" s="9" t="s">
        <v>427</v>
      </c>
      <c r="E49" s="9" t="s">
        <v>60</v>
      </c>
      <c r="F49" s="9"/>
      <c r="G49" s="9"/>
      <c r="H49" s="10"/>
      <c r="I49" s="10">
        <v>46139</v>
      </c>
      <c r="J49" s="10">
        <v>46139</v>
      </c>
    </row>
    <row r="50" spans="1:10" ht="14.25" customHeight="1">
      <c r="A50" s="9" t="s">
        <v>40</v>
      </c>
      <c r="B50" s="9" t="s">
        <v>185</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222</v>
      </c>
      <c r="C53" s="9" t="s">
        <v>98</v>
      </c>
      <c r="D53" s="9" t="s">
        <v>427</v>
      </c>
      <c r="E53" s="9" t="s">
        <v>60</v>
      </c>
      <c r="F53" s="9"/>
      <c r="G53" s="9"/>
      <c r="H53" s="10"/>
      <c r="I53" s="10"/>
      <c r="J53" s="10"/>
    </row>
    <row r="54" spans="1:10" ht="14.25" customHeight="1">
      <c r="A54" s="9" t="s">
        <v>40</v>
      </c>
      <c r="B54" s="9" t="s">
        <v>204</v>
      </c>
      <c r="C54" s="9" t="s">
        <v>98</v>
      </c>
      <c r="D54" s="9" t="s">
        <v>427</v>
      </c>
      <c r="E54" s="9" t="s">
        <v>60</v>
      </c>
      <c r="F54" s="9"/>
      <c r="G54" s="9"/>
      <c r="H54" s="9"/>
      <c r="I54" s="10">
        <v>46141</v>
      </c>
      <c r="J54" s="10">
        <v>46141</v>
      </c>
    </row>
    <row r="55" spans="1:10" ht="14.25" customHeight="1">
      <c r="A55" s="9" t="s">
        <v>40</v>
      </c>
      <c r="B55" s="9" t="s">
        <v>185</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222</v>
      </c>
      <c r="C58" s="9" t="s">
        <v>99</v>
      </c>
      <c r="D58" s="9" t="s">
        <v>427</v>
      </c>
      <c r="E58" s="9" t="s">
        <v>46</v>
      </c>
      <c r="F58" s="9"/>
      <c r="G58" s="9"/>
      <c r="H58" s="9"/>
      <c r="I58" s="10"/>
      <c r="J58" s="10"/>
    </row>
    <row r="59" spans="1:10" ht="14.25" customHeight="1">
      <c r="A59" s="9" t="s">
        <v>40</v>
      </c>
      <c r="B59" s="9" t="s">
        <v>204</v>
      </c>
      <c r="C59" s="9" t="s">
        <v>99</v>
      </c>
      <c r="D59" s="9" t="s">
        <v>427</v>
      </c>
      <c r="E59" s="9" t="s">
        <v>46</v>
      </c>
      <c r="F59" s="9"/>
      <c r="G59" s="9"/>
      <c r="H59" s="10"/>
      <c r="I59" s="10">
        <v>46161</v>
      </c>
      <c r="J59" s="10">
        <v>46161</v>
      </c>
    </row>
    <row r="60" spans="1:10" ht="14.25" customHeight="1">
      <c r="A60" s="9" t="s">
        <v>40</v>
      </c>
      <c r="B60" s="9" t="s">
        <v>185</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222</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330</v>
      </c>
      <c r="G1" s="5" t="s">
        <v>429</v>
      </c>
      <c r="H1" s="5" t="s">
        <v>20</v>
      </c>
      <c r="I1" t="s">
        <v>35</v>
      </c>
      <c r="J1" s="5" t="s">
        <v>430</v>
      </c>
      <c r="K1" s="5" t="s">
        <v>164</v>
      </c>
      <c r="L1" s="5" t="s">
        <v>349</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250</v>
      </c>
      <c r="T2" t="s">
        <v>49</v>
      </c>
    </row>
    <row r="3" spans="1:20" ht="15" customHeight="1">
      <c r="A3" t="s">
        <v>40</v>
      </c>
      <c r="B3" t="s">
        <v>44</v>
      </c>
      <c r="C3" t="s">
        <v>60</v>
      </c>
      <c r="D3" t="s">
        <v>129</v>
      </c>
      <c r="E3" t="s">
        <v>50</v>
      </c>
      <c r="F3" t="s">
        <v>231</v>
      </c>
      <c r="G3" t="s">
        <v>44</v>
      </c>
      <c r="H3" t="s">
        <v>47</v>
      </c>
      <c r="I3" t="s">
        <v>53</v>
      </c>
      <c r="J3" t="s">
        <v>222</v>
      </c>
      <c r="K3" t="s">
        <v>48</v>
      </c>
      <c r="L3" t="s">
        <v>53</v>
      </c>
      <c r="M3" t="s">
        <v>44</v>
      </c>
      <c r="N3" t="s">
        <v>447</v>
      </c>
      <c r="R3" t="s">
        <v>45</v>
      </c>
      <c r="T3" t="s">
        <v>94</v>
      </c>
    </row>
    <row r="4" spans="1:20" ht="15" customHeight="1">
      <c r="A4" t="s">
        <v>126</v>
      </c>
      <c r="B4" t="s">
        <v>59</v>
      </c>
      <c r="C4" t="s">
        <v>46</v>
      </c>
      <c r="D4" t="s">
        <v>143</v>
      </c>
      <c r="E4" t="s">
        <v>53</v>
      </c>
      <c r="F4" t="s">
        <v>222</v>
      </c>
      <c r="G4" t="s">
        <v>59</v>
      </c>
      <c r="H4" t="s">
        <v>88</v>
      </c>
      <c r="I4" t="s">
        <v>205</v>
      </c>
      <c r="J4" t="s">
        <v>204</v>
      </c>
      <c r="L4" t="s">
        <v>50</v>
      </c>
      <c r="M4" t="s">
        <v>103</v>
      </c>
      <c r="N4" t="s">
        <v>448</v>
      </c>
      <c r="R4" t="s">
        <v>449</v>
      </c>
      <c r="T4" t="s">
        <v>72</v>
      </c>
    </row>
    <row r="5" spans="1:20" ht="15" customHeight="1">
      <c r="A5" t="s">
        <v>418</v>
      </c>
      <c r="B5" t="s">
        <v>427</v>
      </c>
      <c r="C5" t="s">
        <v>77</v>
      </c>
      <c r="F5" t="s">
        <v>204</v>
      </c>
      <c r="G5" t="s">
        <v>427</v>
      </c>
      <c r="H5" t="s">
        <v>129</v>
      </c>
      <c r="I5" t="s">
        <v>450</v>
      </c>
      <c r="J5" t="s">
        <v>185</v>
      </c>
      <c r="L5" t="s">
        <v>451</v>
      </c>
      <c r="M5" t="s">
        <v>88</v>
      </c>
      <c r="N5" t="s">
        <v>452</v>
      </c>
    </row>
    <row r="6" spans="1:20" ht="15" customHeight="1">
      <c r="A6" t="s">
        <v>303</v>
      </c>
      <c r="B6" t="s">
        <v>84</v>
      </c>
      <c r="F6" t="s">
        <v>185</v>
      </c>
      <c r="G6" t="s">
        <v>84</v>
      </c>
      <c r="H6" t="s">
        <v>143</v>
      </c>
      <c r="I6" t="s">
        <v>453</v>
      </c>
      <c r="J6" t="s">
        <v>164</v>
      </c>
      <c r="M6" t="s">
        <v>48</v>
      </c>
      <c r="N6" t="s">
        <v>452</v>
      </c>
    </row>
    <row r="7" spans="1:20" ht="15" customHeight="1">
      <c r="A7" t="s">
        <v>293</v>
      </c>
      <c r="B7" t="s">
        <v>65</v>
      </c>
      <c r="F7" t="s">
        <v>164</v>
      </c>
      <c r="G7" t="s">
        <v>65</v>
      </c>
      <c r="H7" t="s">
        <v>198</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427</v>
      </c>
      <c r="N17" t="s">
        <v>468</v>
      </c>
    </row>
    <row r="18" spans="13:14">
      <c r="M18" t="s">
        <v>226</v>
      </c>
      <c r="N18" t="s">
        <v>469</v>
      </c>
    </row>
    <row r="19" spans="13:14">
      <c r="M19" t="s">
        <v>198</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Sreevarsha Potluri</cp:lastModifiedBy>
  <cp:revision>0</cp:revision>
  <dcterms:created xsi:type="dcterms:W3CDTF">2026-07-21T14:32:59Z</dcterms:created>
  <dcterms:modified xsi:type="dcterms:W3CDTF">2026-09-23T14:37:24Z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