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109" documentId="13_ncr:1_{52745E9B-3AA1-4770-AAD3-E6166BFC13AE}" xr6:coauthVersionLast="47" xr6:coauthVersionMax="47" xr10:uidLastSave="{93E79317-75A8-4DD9-B484-971A3894876E}"/>
  <bookViews>
    <workbookView xWindow="-28920" yWindow="-105" windowWidth="29040" windowHeight="15720" tabRatio="500" firstSheet="3"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3" i="2" a="1"/>
  <c r="D63" i="2" s="1"/>
  <c r="D62" i="2" a="1"/>
  <c r="D62"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D64" i="2" s="1" a="1"/>
  <c r="D64" i="2" s="1"/>
  <c r="AM63" i="2" a="1"/>
  <c r="AM63" i="2" s="1"/>
  <c r="AM62" i="2" a="1"/>
  <c r="AM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<sst xmlns="http://schemas.openxmlformats.org/spreadsheetml/2006/main" count="3134" uniqueCount="453">
  <si>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</si>
  <si>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</si>
  <si>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</si>
  <si>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</si>
  <si>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</si>
  <si>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</si>
  <si>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</si>
  <si>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</si>
  <si>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</si>
  <si>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</si>
  <si>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</si>
  <si>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</si>
  <si>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</si>
  <si>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</si>
  <si>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</si>
  <si>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</si>
  <si>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</si>
  <si>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</si>
  <si>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</si>
  <si>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</si>
  <si>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</si>
  <si>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</si>
  <si>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</si>
  <si>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</si>
  <si>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</si>
  <si>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</si>
  <si>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</si>
  <si>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</si>
  <si>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</si>
  <si>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</si>
  <si>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</si>
  <si>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</si>
  <si>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</si>
  <si>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</si>
  <si>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</si>
  <si>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</si>
  <si>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</si>
  <si>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</si>
  <si>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</si>
  <si>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</si>
  <si>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</si>
  <si>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</si>
  <si>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</si>
  <si>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</si>
  <si>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</si>
  <si>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</si>
  <si>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</si>
  <si>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</si>
  <si>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</si>
  <si>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</si>
  <si>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</si>
  <si>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</si>
  <si>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</si>
  <si>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</si>
  <si>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</si>
  <si>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</si>
  <si>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</si>
  <si>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</si>
  <si>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</si>
  <si>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</si>
  <si>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</si>
  <si>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</si>
  <si>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</si>
  <si>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</si>
  <si>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</si>
  <si>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</si>
  <si>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</si>
  <si>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</si>
  <si>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</si>
  <si>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</si>
  <si>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</si>
  <si>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</si>
  <si>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</si>
  <si>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</si>
  <si>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</si>
  <si>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</si>
  <si>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</si>
  <si>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</si>
  <si>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</si>
  <si>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</si>
  <si>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</si>
  <si>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</si>
  <si>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</si>
  <si>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</si>
  <si>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</si>
  <si>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</si>
  <si>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</si>
  <si>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</si>
  <si>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</si>
  <si>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</si>
  <si>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</si>
  <si>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</si>
  <si>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</si>
  <si>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</si>
  <si>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</si>
  <si>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</si>
  <si>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</si>
  <si>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</si>
  <si>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</si>
  <si>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</si>
  <si>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</si>
  <si>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</si>
  <si>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</si>
  <si>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</si>
  <si>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</si>
  <si>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</si>
  <si>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</si>
  <si>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</si>
  <si>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</si>
  <si>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</si>
  <si>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</si>
  <si>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</si>
  <si>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</si>
  <si>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</si>
  <si>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</si>
  <si>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</si>
  <si>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</si>
  <si>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</si>
  <si>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</si>
  <si>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</si>
  <si>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</si>
  <si>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</si>
  <si>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</si>
  <si>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</si>
  <si>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</si>
  <si>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</si>
  <si>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</si>
  <si>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</si>
  <si>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</si>
  <si>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</si>
  <si>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</si>
  <si>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</si>
  <si>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</si>
  <si>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</si>
  <si>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</si>
  <si>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</si>
  <si>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</si>
  <si>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</si>
  <si>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</si>
  <si>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</si>
  <si>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</si>
  <si>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</si>
  <si>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</si>
  <si>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</si>
  <si>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</si>
  <si>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</si>
  <si>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</si>
  <si>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</si>
  <si>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</si>
  <si>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</si>
  <si>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</si>
  <si>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</si>
  <si>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</si>
  <si>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</si>
  <si>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</si>
  <si>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</si>
  <si>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</si>
  <si>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</si>
  <si>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</si>
  <si>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</si>
  <si>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</si>
  <si>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</si>
  <si>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</si>
  <si>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</si>
  <si>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</si>
  <si>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</si>
  <si>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</si>
  <si>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</si>
  <si>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</si>
  <si>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</si>
  <si>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</si>
  <si>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</si>
  <si>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</si>
  <si>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</si>
  <si>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</si>
  <si>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</si>
  <si>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</si>
  <si>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</si>
  <si>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</si>
  <si>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</si>
  <si>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</si>
  <si>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</si>
  <si>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</si>
  <si>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</si>
  <si>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</si>
  <si>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</si>
  <si>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</si>
  <si>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</si>
  <si>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</si>
  <si>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</si>
  <si>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</si>
  <si>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</si>
  <si>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</si>
  <si>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</si>
  <si>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</si>
  <si>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</si>
  <si>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</si>
  <si>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</si>
  <si>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</si>
  <si>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</si>
  <si>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</si>
  <si>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</si>
  <si>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</si>
  <si>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</si>
  <si>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</si>
  <si>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</si>
  <si>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</si>
  <si>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</si>
  <si>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</si>
  <si>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</si>
  <si>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</si>
  <si>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</si>
  <si>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</si>
  <si>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</si>
  <si>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</si>
  <si>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</si>
  <si>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</si>
  <si>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</si>
  <si>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</si>
  <si>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</si>
  <si>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</si>
  <si>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</si>
  <si>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</si>
  <si>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</si>
  <si>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</si>
  <si>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</si>
  <si>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</si>
  <si>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</si>
  <si>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</si>
  <si>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</si>
  <si>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</si>
  <si>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</si>
  <si>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</si>
  <si>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</si>
  <si>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</si>
  <si>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</si>
  <si>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</si>
  <si>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</si>
  <si>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</si>
  <si>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</si>
  <si>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</si>
  <si>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</si>
  <si>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</si>
  <si>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</si>
  <si>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</si>
  <si>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</si>
  <si>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</si>
  <si>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</si>
  <si>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</si>
  <si>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</si>
  <si>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</si>
  <si>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</si>
  <si>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</si>
  <si>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</si>
  <si>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</si>
  <si>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</si>
  <si>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</si>
  <si>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</si>
  <si>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</si>
  <si>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</si>
  <si>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</si>
  <si>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</si>
  <si>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</si>
  <si>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</si>
  <si>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</si>
  <si>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</si>
  <si>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</si>
  <si>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</si>
  <si>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</si>
  <si>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</si>
  <si>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</si>
  <si>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</si>
  <si>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</si>
  <si>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</si>
  <si>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</si>
  <si>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</si>
  <si>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</si>
  <si>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</si>
  <si>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</si>
  <si>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</si>
  <si>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</si>
  <si>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</si>
  <si>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</si>
  <si>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</si>
  <si>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</si>
  <si>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</si>
  <si>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</si>
  <si>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</si>
  <si>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</si>
  <si>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</si>
  <si>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</si>
  <si>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</si>
  <si>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</si>
  <si>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</si>
  <si>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</si>
  <si>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</si>
  <si>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</si>
  <si>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</si>
  <si>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</si>
  <si>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</si>
  <si>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</si>
  <si>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</si>
  <si>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</si>
  <si>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</si>
  <si>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</si>
  <si>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</si>
  <si>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</si>
  <si>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</si>
  <si>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</si>
  <si>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</si>
  <si>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</si>
  <si>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</si>
  <si>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</si>
  <si>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</si>
  <si>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</si>
  <si>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</si>
  <si>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</si>
  <si>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</si>
  <si>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</si>
  <si>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</si>
  <si>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</si>
  <si>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</si>
  <si>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</si>
  <si>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</si>
  <si>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</si>
  <si>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</si>
  <si>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</si>
  <si>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</si>
  <si>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</si>
  <si>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</si>
  <si>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</si>
  <si>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</si>
  <si>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</si>
  <si>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</si>
  <si>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</si>
  <si>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</si>
  <si>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</si>
  <si>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</si>
  <si>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</si>
  <si>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</si>
  <si>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</si>
  <si>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</si>
  <si>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</si>
  <si>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</si>
  <si>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</si>
  <si>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</si>
  <si>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</si>
  <si>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</si>
  <si>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</si>
  <si>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</si>
  <si>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</si>
  <si>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</si>
  <si>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</si>
  <si>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</si>
  <si>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</si>
  <si>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</si>
  <si>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</si>
  <si>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</si>
  <si>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</si>
  <si>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</si>
  <si>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</si>
  <si>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</si>
  <si>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</si>
  <si>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</si>
  <si>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</si>
  <si>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</si>
  <si>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</si>
  <si>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</si>
  <si>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</si>
  <si>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</si>
  <si>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</si>
  <si>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</si>
  <si>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</si>
  <si>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</si>
  <si>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</si>
  <si>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</si>
  <si>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</si>
  <si>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</si>
  <si>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</si>
  <si>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</si>
  <si>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</si>
  <si>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</si>
  <si>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</si>
  <si>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</si>
  <si>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</si>
  <si>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</si>
  <si>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</si>
  <si>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</si>
  <si>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</si>
  <si>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</si>
  <si>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</si>
  <si>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</si>
  <si>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</si>
  <si>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</si>
  <si>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</si>
  <si>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</si>
  <si>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</si>
  <si>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</si>
  <si>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</si>
  <si>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</si>
  <si>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 xml:space="preserve">Performance issue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</si>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</sst>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4.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N1" activePane="topRight" state="frozen"/>
      <selection pane="topRight" activeCell="O118" sqref="O118"/>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46279</v>
      </c>
      <c r="X43" s="36">
        <v>46274</v>
      </c>
      <c r="Y43" s="36">
        <v>46276</v>
      </c>
      <c r="Z43" s="36"/>
      <c r="AA43" s="52">
        <v>46260</v>
      </c>
      <c r="AB43" s="36">
        <v>46288</v>
      </c>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166</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46274</v>
      </c>
      <c r="X44" s="36">
        <v>46268</v>
      </c>
      <c r="Y44" s="36">
        <v>46273</v>
      </c>
      <c r="Z44" s="36"/>
      <c r="AA44" s="52">
        <v>46260</v>
      </c>
      <c r="AB44" s="36">
        <v>46283</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174</v>
      </c>
      <c r="C45" s="33" t="s">
        <v>166</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46283</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176</v>
      </c>
      <c r="C46" s="33" t="s">
        <v>166</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46269</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178</v>
      </c>
      <c r="C47" s="33" t="s">
        <v>166</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180</v>
      </c>
      <c r="C48" s="33" t="s">
        <v>166</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46283</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182</v>
      </c>
      <c r="C49" s="33" t="s">
        <v>183</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46281</v>
      </c>
      <c r="X49" s="36"/>
      <c r="Y49" s="36"/>
      <c r="Z49" s="36"/>
      <c r="AA49" s="52">
        <v>46260</v>
      </c>
      <c r="AB49" s="36">
        <v>46295</v>
      </c>
      <c r="AC49" s="36"/>
      <c r="AD49" s="33" t="s">
        <v>152</v>
      </c>
      <c r="AE49" s="33" t="s">
        <v>72</v>
      </c>
      <c r="AF49" s="38"/>
      <c r="AG49" s="36"/>
      <c r="AH49" s="39"/>
      <c r="AI49" s="33"/>
      <c r="AJ49" s="40" t="s">
        <v>184</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185</v>
      </c>
      <c r="C50" s="33" t="s">
        <v>166</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46274</v>
      </c>
      <c r="X50" s="36"/>
      <c r="Y50" s="36">
        <v>46273</v>
      </c>
      <c r="Z50" s="36"/>
      <c r="AA50" s="52">
        <v>46260</v>
      </c>
      <c r="AB50" s="36">
        <v>46283</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187</v>
      </c>
      <c r="C51" s="33" t="s">
        <v>166</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v>46276</v>
      </c>
      <c r="Z51" s="36"/>
      <c r="AA51" s="52">
        <v>46260</v>
      </c>
      <c r="AB51" s="36">
        <v>46283</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189</v>
      </c>
      <c r="C52" s="33" t="s">
        <v>190</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v>46295</v>
      </c>
      <c r="AC52" s="36"/>
      <c r="AD52" s="33" t="s">
        <v>191</v>
      </c>
      <c r="AE52" s="33" t="s">
        <v>72</v>
      </c>
      <c r="AF52" s="38"/>
      <c r="AG52" s="36"/>
      <c r="AH52" s="39"/>
      <c r="AI52" s="33"/>
      <c r="AJ52" s="40" t="s">
        <v>192</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193</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194</v>
      </c>
      <c r="C53" s="33" t="s">
        <v>190</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47</v>
      </c>
      <c r="V53" s="59">
        <v>46255</v>
      </c>
      <c r="W53" s="36"/>
      <c r="X53" s="36"/>
      <c r="Y53" s="36"/>
      <c r="Z53" s="36"/>
      <c r="AA53" s="52">
        <v>46260</v>
      </c>
      <c r="AB53" s="47">
        <v>46295</v>
      </c>
      <c r="AC53" s="36"/>
      <c r="AD53" s="33" t="s">
        <v>124</v>
      </c>
      <c r="AE53" s="33" t="s">
        <v>72</v>
      </c>
      <c r="AF53" s="38"/>
      <c r="AG53" s="36"/>
      <c r="AH53" s="39"/>
      <c r="AI53" s="33"/>
      <c r="AJ53" s="40" t="s">
        <v>192</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195</v>
      </c>
      <c r="C54" s="33" t="s">
        <v>166</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196</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197</v>
      </c>
      <c r="C55" s="33" t="s">
        <v>198</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199</v>
      </c>
      <c r="J55" s="33" t="s">
        <v>76</v>
      </c>
      <c r="K55" s="4">
        <v>46262</v>
      </c>
      <c r="L55" s="36">
        <v>46253</v>
      </c>
      <c r="M55" s="36">
        <v>46253</v>
      </c>
      <c r="N55" s="36"/>
      <c r="O55" s="36" t="s">
        <v>200</v>
      </c>
      <c r="P55" s="63" t="s">
        <v>77</v>
      </c>
      <c r="Q55" s="4">
        <v>46269</v>
      </c>
      <c r="R55" s="36">
        <v>46267</v>
      </c>
      <c r="S55" s="36">
        <v>46267</v>
      </c>
      <c r="T55" s="69" t="s">
        <v>201</v>
      </c>
      <c r="U55" s="33" t="s">
        <v>47</v>
      </c>
      <c r="V55" s="59">
        <v>46276</v>
      </c>
      <c r="W55" s="59">
        <v>46276</v>
      </c>
      <c r="X55" s="59">
        <v>46276</v>
      </c>
      <c r="Y55" s="59"/>
      <c r="Z55" s="36"/>
      <c r="AA55" s="52">
        <v>46290</v>
      </c>
      <c r="AB55" s="36"/>
      <c r="AC55" s="36"/>
      <c r="AD55" s="33" t="s">
        <v>202</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203</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204</v>
      </c>
      <c r="C56" s="33" t="s">
        <v>198</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199</v>
      </c>
      <c r="J56" s="33" t="s">
        <v>76</v>
      </c>
      <c r="K56" s="4">
        <v>46262</v>
      </c>
      <c r="L56" s="36">
        <v>46253</v>
      </c>
      <c r="M56" s="36">
        <v>46253</v>
      </c>
      <c r="N56" s="36" t="s">
        <v>186</v>
      </c>
      <c r="O56" s="36" t="s">
        <v>200</v>
      </c>
      <c r="P56" s="63" t="s">
        <v>60</v>
      </c>
      <c r="Q56" s="4">
        <v>46269</v>
      </c>
      <c r="R56" s="36">
        <v>46266</v>
      </c>
      <c r="S56" s="36">
        <v>46266</v>
      </c>
      <c r="T56" s="69" t="s">
        <v>201</v>
      </c>
      <c r="U56" s="33" t="s">
        <v>205</v>
      </c>
      <c r="V56" s="59">
        <v>46276</v>
      </c>
      <c r="W56" s="36">
        <v>46285</v>
      </c>
      <c r="X56" s="36">
        <v>46274</v>
      </c>
      <c r="Y56" s="36"/>
      <c r="Z56" s="36"/>
      <c r="AA56" s="52">
        <v>46290</v>
      </c>
      <c r="AB56" s="36"/>
      <c r="AC56" s="36"/>
      <c r="AD56" s="33" t="s">
        <v>206</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207</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208</v>
      </c>
      <c r="C57" s="33" t="s">
        <v>190</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v>
      </c>
      <c r="E57" s="33">
        <v>33</v>
      </c>
      <c r="F57" s="34" t="s">
        <v>145</v>
      </c>
      <c r="G57" s="33"/>
      <c r="H57" s="50">
        <v>46295</v>
      </c>
      <c r="I57" s="55" t="s">
        <v>199</v>
      </c>
      <c r="J57" s="33" t="s">
        <v>65</v>
      </c>
      <c r="K57" s="4">
        <v>46262</v>
      </c>
      <c r="L57" s="36">
        <v>46254</v>
      </c>
      <c r="M57" s="36"/>
      <c r="N57" s="47" t="s">
        <v>148</v>
      </c>
      <c r="O57" s="36" t="s">
        <v>200</v>
      </c>
      <c r="P57" s="63" t="s">
        <v>46</v>
      </c>
      <c r="Q57" s="4">
        <v>46269</v>
      </c>
      <c r="R57" s="36">
        <v>46268</v>
      </c>
      <c r="S57" s="36">
        <v>46268</v>
      </c>
      <c r="T57" s="69" t="s">
        <v>201</v>
      </c>
      <c r="U57" s="33" t="s">
        <v>47</v>
      </c>
      <c r="V57" s="59">
        <v>46276</v>
      </c>
      <c r="W57" s="36">
        <v>46275</v>
      </c>
      <c r="X57" s="36">
        <v>46275</v>
      </c>
      <c r="Y57" s="36"/>
      <c r="Z57" s="36"/>
      <c r="AA57" s="52">
        <v>46290</v>
      </c>
      <c r="AB57" s="36"/>
      <c r="AC57" s="36"/>
      <c r="AD57" s="33" t="s">
        <v>124</v>
      </c>
      <c r="AE57" s="33" t="s">
        <v>49</v>
      </c>
      <c r="AF57" s="38"/>
      <c r="AG57" s="36"/>
      <c r="AH57" s="39"/>
      <c r="AI57" s="33"/>
      <c r="AJ57" s="40" t="s">
        <v>192</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209</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210</v>
      </c>
      <c r="C58" s="33" t="s">
        <v>190</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199</v>
      </c>
      <c r="J58" s="33" t="s">
        <v>65</v>
      </c>
      <c r="K58" s="4">
        <v>46262</v>
      </c>
      <c r="L58" s="36">
        <v>46254</v>
      </c>
      <c r="M58" s="36"/>
      <c r="N58" s="47" t="s">
        <v>148</v>
      </c>
      <c r="O58" s="36" t="s">
        <v>200</v>
      </c>
      <c r="P58" s="63" t="s">
        <v>77</v>
      </c>
      <c r="Q58" s="4">
        <v>46269</v>
      </c>
      <c r="R58" s="36">
        <v>46272</v>
      </c>
      <c r="S58" s="36"/>
      <c r="T58" s="69" t="s">
        <v>201</v>
      </c>
      <c r="U58" s="33"/>
      <c r="V58" s="59">
        <v>46276</v>
      </c>
      <c r="W58" s="36"/>
      <c r="X58" s="36"/>
      <c r="Y58" s="36"/>
      <c r="Z58" s="36"/>
      <c r="AA58" s="52">
        <v>46290</v>
      </c>
      <c r="AB58" s="36"/>
      <c r="AC58" s="36"/>
      <c r="AD58" s="33" t="s">
        <v>132</v>
      </c>
      <c r="AE58" s="33" t="s">
        <v>49</v>
      </c>
      <c r="AF58" s="38"/>
      <c r="AG58" s="36"/>
      <c r="AH58" s="39"/>
      <c r="AI58" s="33"/>
      <c r="AJ58" s="40" t="s">
        <v>184</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211</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212</v>
      </c>
      <c r="C59" s="33" t="s">
        <v>183</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145</v>
      </c>
      <c r="G59" s="33"/>
      <c r="H59" s="50">
        <v>46295</v>
      </c>
      <c r="I59" s="55" t="s">
        <v>199</v>
      </c>
      <c r="J59" s="33" t="s">
        <v>44</v>
      </c>
      <c r="K59" s="4">
        <v>46262</v>
      </c>
      <c r="L59" s="36">
        <v>46253</v>
      </c>
      <c r="M59" s="36">
        <v>46253</v>
      </c>
      <c r="N59" s="36"/>
      <c r="O59" s="36" t="s">
        <v>200</v>
      </c>
      <c r="P59" s="63" t="s">
        <v>60</v>
      </c>
      <c r="Q59" s="4">
        <v>46269</v>
      </c>
      <c r="R59" s="36">
        <v>46266</v>
      </c>
      <c r="S59" s="36">
        <v>46266</v>
      </c>
      <c r="T59" s="69" t="s">
        <v>201</v>
      </c>
      <c r="U59" s="33" t="s">
        <v>47</v>
      </c>
      <c r="V59" s="59">
        <v>46276</v>
      </c>
      <c r="W59" s="36"/>
      <c r="X59" s="36"/>
      <c r="Y59" s="36"/>
      <c r="Z59" s="36"/>
      <c r="AA59" s="52">
        <v>46290</v>
      </c>
      <c r="AB59" s="36"/>
      <c r="AC59" s="36"/>
      <c r="AD59" s="33" t="s">
        <v>124</v>
      </c>
      <c r="AE59" s="33" t="s">
        <v>49</v>
      </c>
      <c r="AF59" s="38"/>
      <c r="AG59" s="36"/>
      <c r="AH59" s="39"/>
      <c r="AI59" s="33"/>
      <c r="AJ59" s="40" t="s">
        <v>213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214</v>
      </c>
      <c r="C60" s="33" t="s">
        <v>198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145</v>
      </c>
      <c r="G60" s="33"/>
      <c r="H60" s="50">
        <v>46295</v>
      </c>
      <c r="I60" s="55" t="s">
        <v>199</v>
      </c>
      <c r="J60" s="33" t="s">
        <v>156</v>
      </c>
      <c r="K60" s="4">
        <v>46262</v>
      </c>
      <c r="L60" s="36">
        <v>46255</v>
      </c>
      <c r="M60" s="36">
        <v>46255</v>
      </c>
      <c r="N60" s="36" t="s">
        <v>186</v>
      </c>
      <c r="O60" s="36" t="s">
        <v>200</v>
      </c>
      <c r="P60" s="63" t="s">
        <v>46</v>
      </c>
      <c r="Q60" s="4">
        <v>46269</v>
      </c>
      <c r="R60" s="36">
        <v>46273</v>
      </c>
      <c r="S60" s="36">
        <v>46273</v>
      </c>
      <c r="T60" s="69" t="s">
        <v>201</v>
      </c>
      <c r="U60" s="33" t="s">
        <v>47</v>
      </c>
      <c r="V60" s="59">
        <v>46276</v>
      </c>
      <c r="W60" s="36"/>
      <c r="X60" s="36"/>
      <c r="Y60" s="36"/>
      <c r="Z60" s="36"/>
      <c r="AA60" s="52">
        <v>46290</v>
      </c>
      <c r="AB60" s="36"/>
      <c r="AC60" s="36"/>
      <c r="AD60" s="33" t="s">
        <v>215</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216</v>
      </c>
      <c r="C61" s="33" t="s">
        <v>198</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199</v>
      </c>
      <c r="J61" s="33" t="s">
        <v>44</v>
      </c>
      <c r="K61" s="4">
        <v>46262</v>
      </c>
      <c r="L61" s="36">
        <v>46255</v>
      </c>
      <c r="M61" s="36"/>
      <c r="N61" s="36"/>
      <c r="O61" s="36" t="s">
        <v>200</v>
      </c>
      <c r="P61" s="63" t="s">
        <v>60</v>
      </c>
      <c r="Q61" s="4">
        <v>46269</v>
      </c>
      <c r="R61" s="36">
        <v>46268</v>
      </c>
      <c r="S61" s="36">
        <v>46268</v>
      </c>
      <c r="T61" s="69" t="s">
        <v>201</v>
      </c>
      <c r="U61" s="33" t="s">
        <v>47</v>
      </c>
      <c r="V61" s="59">
        <v>46276</v>
      </c>
      <c r="W61" s="36">
        <v>46283</v>
      </c>
      <c r="X61" s="36"/>
      <c r="Y61" s="36"/>
      <c r="Z61" s="36"/>
      <c r="AA61" s="52">
        <v>46290</v>
      </c>
      <c r="AB61" s="36"/>
      <c r="AC61" s="36"/>
      <c r="AD61" s="33" t="s">
        <v>217</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218</v>
      </c>
      <c r="C62" s="33" t="s">
        <v>190</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199</v>
      </c>
      <c r="J62" s="33" t="s">
        <v>84</v>
      </c>
      <c r="K62" s="4">
        <v>46262</v>
      </c>
      <c r="L62" s="36">
        <v>46260</v>
      </c>
      <c r="M62" s="36">
        <v>46259</v>
      </c>
      <c r="N62" s="36"/>
      <c r="O62" s="36" t="s">
        <v>200</v>
      </c>
      <c r="P62" s="63" t="s">
        <v>77</v>
      </c>
      <c r="Q62" s="4">
        <v>46269</v>
      </c>
      <c r="R62" s="36">
        <v>46280</v>
      </c>
      <c r="S62" s="36"/>
      <c r="T62" s="69" t="s">
        <v>201</v>
      </c>
      <c r="U62" s="33"/>
      <c r="V62" s="59">
        <v>46276</v>
      </c>
      <c r="W62" s="36"/>
      <c r="X62" s="36"/>
      <c r="Y62" s="36"/>
      <c r="Z62" s="36"/>
      <c r="AA62" s="52">
        <v>46290</v>
      </c>
      <c r="AB62" s="36"/>
      <c r="AC62" s="36"/>
      <c r="AD62" s="33" t="s">
        <v>219</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220</v>
      </c>
      <c r="C63" s="33" t="s">
        <v>221</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199</v>
      </c>
      <c r="J63" s="33" t="s">
        <v>84</v>
      </c>
      <c r="K63" s="4">
        <v>46276</v>
      </c>
      <c r="L63" s="36">
        <v>46276</v>
      </c>
      <c r="M63" s="36">
        <v>46266</v>
      </c>
      <c r="N63" s="36"/>
      <c r="O63" s="36" t="s">
        <v>200</v>
      </c>
      <c r="P63" s="63" t="s">
        <v>46</v>
      </c>
      <c r="Q63" s="4">
        <v>46286</v>
      </c>
      <c r="R63" s="4">
        <v>46275</v>
      </c>
      <c r="S63" s="4">
        <v>46275</v>
      </c>
      <c r="T63" s="69" t="s">
        <v>201</v>
      </c>
      <c r="U63" s="33"/>
      <c r="V63" s="59">
        <v>46290</v>
      </c>
      <c r="W63" s="36"/>
      <c r="X63" s="36"/>
      <c r="Y63" s="36"/>
      <c r="Z63" s="36"/>
      <c r="AA63" s="52">
        <v>46295</v>
      </c>
      <c r="AB63" s="36"/>
      <c r="AC63" s="36"/>
      <c r="AD63" s="33" t="s">
        <v>222</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223</v>
      </c>
      <c r="C64" s="119" t="s">
        <v>198</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199</v>
      </c>
      <c r="J64" s="119" t="s">
        <v>103</v>
      </c>
      <c r="K64" s="124">
        <v>46276</v>
      </c>
      <c r="L64" s="125">
        <v>46265</v>
      </c>
      <c r="M64" s="125">
        <v>46266</v>
      </c>
      <c r="N64" s="125" t="s">
        <v>186</v>
      </c>
      <c r="O64" s="125" t="s">
        <v>200</v>
      </c>
      <c r="P64" s="126" t="s">
        <v>60</v>
      </c>
      <c r="Q64" s="124">
        <v>46286</v>
      </c>
      <c r="R64" s="125">
        <v>46269</v>
      </c>
      <c r="S64" s="125">
        <v>46269</v>
      </c>
      <c r="T64" s="127" t="s">
        <v>201</v>
      </c>
      <c r="U64" s="119"/>
      <c r="V64" s="128">
        <v>46290</v>
      </c>
      <c r="W64" s="125"/>
      <c r="X64" s="125"/>
      <c r="Y64" s="125"/>
      <c r="Z64" s="125"/>
      <c r="AA64" s="129">
        <v>46295</v>
      </c>
      <c r="AB64" s="125"/>
      <c r="AC64" s="125"/>
      <c r="AD64" s="119" t="s">
        <v>224</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225</v>
      </c>
      <c r="C65" s="33" t="s">
        <v>198</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199</v>
      </c>
      <c r="J65" s="33" t="s">
        <v>156</v>
      </c>
      <c r="K65" s="4">
        <v>46276</v>
      </c>
      <c r="L65" s="4">
        <v>46262</v>
      </c>
      <c r="M65" s="36">
        <v>46265</v>
      </c>
      <c r="N65" s="36" t="s">
        <v>45</v>
      </c>
      <c r="O65" s="36" t="s">
        <v>200</v>
      </c>
      <c r="P65" s="63" t="s">
        <v>77</v>
      </c>
      <c r="Q65" s="4">
        <v>46286</v>
      </c>
      <c r="R65" s="43">
        <v>46273</v>
      </c>
      <c r="S65" s="32">
        <v>46273</v>
      </c>
      <c r="T65" s="69" t="s">
        <v>201</v>
      </c>
      <c r="U65" s="33" t="s">
        <v>205</v>
      </c>
      <c r="V65" s="59">
        <v>46290</v>
      </c>
      <c r="W65" s="36"/>
      <c r="X65" s="36">
        <v>46280</v>
      </c>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226</v>
      </c>
      <c r="C66" s="158" t="s">
        <v>221</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199</v>
      </c>
      <c r="J66" s="158" t="s">
        <v>44</v>
      </c>
      <c r="K66" s="161">
        <v>46276</v>
      </c>
      <c r="L66" s="146"/>
      <c r="M66" s="146"/>
      <c r="N66" s="146"/>
      <c r="O66" s="146" t="s">
        <v>200</v>
      </c>
      <c r="P66" s="162" t="s">
        <v>46</v>
      </c>
      <c r="Q66" s="161">
        <v>46286</v>
      </c>
      <c r="R66" s="146">
        <v>46273</v>
      </c>
      <c r="S66" s="146"/>
      <c r="T66" s="163" t="s">
        <v>201</v>
      </c>
      <c r="U66" s="158"/>
      <c r="V66" s="145">
        <v>46290</v>
      </c>
      <c r="W66" s="146"/>
      <c r="X66" s="146"/>
      <c r="Y66" s="146"/>
      <c r="Z66" s="146"/>
      <c r="AA66" s="164">
        <v>46295</v>
      </c>
      <c r="AB66" s="146"/>
      <c r="AC66" s="146"/>
      <c r="AD66" s="158" t="s">
        <v>224</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227</v>
      </c>
      <c r="C67" s="33" t="s">
        <v>221</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199</v>
      </c>
      <c r="J67" s="33" t="s">
        <v>44</v>
      </c>
      <c r="K67" s="4">
        <v>46276</v>
      </c>
      <c r="L67" s="36">
        <v>46254</v>
      </c>
      <c r="M67" s="36">
        <v>46254</v>
      </c>
      <c r="N67" s="36"/>
      <c r="O67" s="36" t="s">
        <v>200</v>
      </c>
      <c r="P67" s="63" t="s">
        <v>60</v>
      </c>
      <c r="Q67" s="4">
        <v>46286</v>
      </c>
      <c r="R67" s="36">
        <v>46254</v>
      </c>
      <c r="S67" s="36">
        <v>46254</v>
      </c>
      <c r="T67" s="69" t="s">
        <v>201</v>
      </c>
      <c r="U67" s="33"/>
      <c r="V67" s="59">
        <v>46290</v>
      </c>
      <c r="W67" s="36">
        <v>46259</v>
      </c>
      <c r="X67" s="36"/>
      <c r="Y67" s="36"/>
      <c r="Z67" s="36"/>
      <c r="AA67" s="52">
        <v>46295</v>
      </c>
      <c r="AB67" s="36">
        <v>46268</v>
      </c>
      <c r="AC67" s="36"/>
      <c r="AD67" s="33" t="s">
        <v>228</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229</v>
      </c>
      <c r="C68" s="81" t="s">
        <v>190</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199</v>
      </c>
      <c r="J68" s="81" t="s">
        <v>230</v>
      </c>
      <c r="K68" s="86">
        <v>46276</v>
      </c>
      <c r="L68" s="87">
        <v>46258</v>
      </c>
      <c r="M68" s="87">
        <v>46258</v>
      </c>
      <c r="N68" s="87"/>
      <c r="O68" s="87" t="s">
        <v>200</v>
      </c>
      <c r="P68" s="88" t="s">
        <v>77</v>
      </c>
      <c r="Q68" s="86">
        <v>46286</v>
      </c>
      <c r="R68" s="87"/>
      <c r="S68" s="87"/>
      <c r="T68" s="89" t="s">
        <v>231</v>
      </c>
      <c r="U68" s="81"/>
      <c r="V68" s="90">
        <v>46290</v>
      </c>
      <c r="W68" s="87"/>
      <c r="X68" s="87"/>
      <c r="Y68" s="87"/>
      <c r="Z68" s="87"/>
      <c r="AA68" s="91">
        <v>46295</v>
      </c>
      <c r="AB68" s="87"/>
      <c r="AC68" s="87"/>
      <c r="AD68" s="78" t="s">
        <v>232</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233</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234</v>
      </c>
      <c r="C69" s="98" t="s">
        <v>221</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199</v>
      </c>
      <c r="J69" s="98" t="s">
        <v>59</v>
      </c>
      <c r="K69" s="103">
        <v>46276</v>
      </c>
      <c r="L69" s="104"/>
      <c r="M69" s="104"/>
      <c r="N69" s="104"/>
      <c r="O69" s="104" t="s">
        <v>200</v>
      </c>
      <c r="P69" s="105" t="s">
        <v>46</v>
      </c>
      <c r="Q69" s="103">
        <v>46286</v>
      </c>
      <c r="R69" s="104"/>
      <c r="S69" s="104"/>
      <c r="T69" s="106" t="s">
        <v>231</v>
      </c>
      <c r="U69" s="98"/>
      <c r="V69" s="107">
        <v>46290</v>
      </c>
      <c r="W69" s="104"/>
      <c r="X69" s="104"/>
      <c r="Y69" s="104"/>
      <c r="Z69" s="104"/>
      <c r="AA69" s="108">
        <v>46295</v>
      </c>
      <c r="AB69" s="104"/>
      <c r="AC69" s="104"/>
      <c r="AD69" s="79" t="s">
        <v>235</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236</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237</v>
      </c>
      <c r="C70" s="33" t="s">
        <v>221</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199</v>
      </c>
      <c r="J70" s="33" t="s">
        <v>65</v>
      </c>
      <c r="K70" s="4">
        <v>46276</v>
      </c>
      <c r="L70" s="36">
        <v>46262</v>
      </c>
      <c r="M70" s="36">
        <v>46276</v>
      </c>
      <c r="N70" s="47" t="s">
        <v>148</v>
      </c>
      <c r="O70" s="36" t="s">
        <v>200</v>
      </c>
      <c r="P70" s="63" t="s">
        <v>46</v>
      </c>
      <c r="Q70" s="4">
        <v>46286</v>
      </c>
      <c r="R70" s="36"/>
      <c r="S70" s="36"/>
      <c r="T70" s="69" t="s">
        <v>231</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238</v>
      </c>
      <c r="C71" s="33" t="s">
        <v>183</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199</v>
      </c>
      <c r="J71" s="33" t="s">
        <v>44</v>
      </c>
      <c r="K71" s="4">
        <v>46276</v>
      </c>
      <c r="L71" s="36">
        <v>46259</v>
      </c>
      <c r="M71" s="36">
        <v>46259</v>
      </c>
      <c r="N71" s="36"/>
      <c r="O71" s="36" t="s">
        <v>200</v>
      </c>
      <c r="P71" s="63" t="s">
        <v>60</v>
      </c>
      <c r="Q71" s="4">
        <v>46286</v>
      </c>
      <c r="R71" s="36">
        <v>46281</v>
      </c>
      <c r="S71" s="36"/>
      <c r="T71" s="69" t="s">
        <v>231</v>
      </c>
      <c r="U71" s="33" t="s">
        <v>47</v>
      </c>
      <c r="V71" s="59">
        <v>46290</v>
      </c>
      <c r="W71" s="36"/>
      <c r="X71" s="36"/>
      <c r="Y71" s="36"/>
      <c r="Z71" s="36"/>
      <c r="AA71" s="52">
        <v>46295</v>
      </c>
      <c r="AB71" s="36"/>
      <c r="AC71" s="36"/>
      <c r="AD71" s="33" t="s">
        <v>239</v>
      </c>
      <c r="AE71" s="33" t="s">
        <v>94</v>
      </c>
      <c r="AF71" s="38"/>
      <c r="AG71" s="36"/>
      <c r="AH71" s="39"/>
      <c r="AI71" s="33"/>
      <c r="AJ71" s="40" t="s">
        <v>213</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199</v>
      </c>
      <c r="J72" s="33" t="s">
        <v>76</v>
      </c>
      <c r="K72" s="4">
        <v>46276</v>
      </c>
      <c r="L72" s="36">
        <v>46258</v>
      </c>
      <c r="M72" s="36">
        <v>46258</v>
      </c>
      <c r="N72" s="36" t="s">
        <v>45</v>
      </c>
      <c r="O72" s="36" t="s">
        <v>200</v>
      </c>
      <c r="P72" s="63" t="s">
        <v>77</v>
      </c>
      <c r="Q72" s="4">
        <v>46286</v>
      </c>
      <c r="R72" s="36">
        <v>46276</v>
      </c>
      <c r="S72" s="36">
        <v>46276</v>
      </c>
      <c r="T72" s="69" t="s">
        <v>231</v>
      </c>
      <c r="U72" s="33" t="s">
        <v>47</v>
      </c>
      <c r="V72" s="59">
        <v>46290</v>
      </c>
      <c r="W72" s="36">
        <v>46280</v>
      </c>
      <c r="X72" s="36">
        <v>46280</v>
      </c>
      <c r="Y72" s="36">
        <v>46280</v>
      </c>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190</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200</v>
      </c>
      <c r="P73" s="66"/>
      <c r="Q73" s="43">
        <v>46313</v>
      </c>
      <c r="R73" s="43"/>
      <c r="S73" s="44"/>
      <c r="T73" s="70" t="s">
        <v>244</v>
      </c>
      <c r="U73" s="31"/>
      <c r="V73" s="28">
        <v>46316</v>
      </c>
      <c r="W73" s="43"/>
      <c r="X73" s="31"/>
      <c r="Y73" s="31"/>
      <c r="Z73" s="31"/>
      <c r="AA73" s="28">
        <v>46325</v>
      </c>
      <c r="AB73" s="43"/>
      <c r="AC73" s="43"/>
      <c r="AD73" s="31" t="s">
        <v>202</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221</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230</v>
      </c>
      <c r="K74" s="43">
        <v>46304</v>
      </c>
      <c r="L74" s="43">
        <v>46269</v>
      </c>
      <c r="M74" s="44">
        <v>46269</v>
      </c>
      <c r="N74" s="44"/>
      <c r="O74" s="44" t="s">
        <v>200</v>
      </c>
      <c r="P74" s="75"/>
      <c r="Q74" s="43">
        <v>46313</v>
      </c>
      <c r="R74" s="43"/>
      <c r="S74" s="44"/>
      <c r="T74" s="70" t="s">
        <v>244</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221</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200</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221</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200</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221</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200</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221</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191</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190</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200</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7">
        <v>46280</v>
      </c>
      <c r="N80" s="44" t="s">
        <v>45</v>
      </c>
      <c r="O80" s="44" t="s">
        <v>251</v>
      </c>
      <c r="P80" s="75"/>
      <c r="Q80" s="43">
        <v>46313</v>
      </c>
      <c r="R80" s="43"/>
      <c r="S80" s="44"/>
      <c r="T80" s="70" t="s">
        <v>244</v>
      </c>
      <c r="U80" s="47"/>
      <c r="V80" s="28">
        <v>46316</v>
      </c>
      <c r="W80" s="43"/>
      <c r="X80" s="31"/>
      <c r="Y80" s="31"/>
      <c r="Z80" s="36"/>
      <c r="AA80" s="28">
        <v>46325</v>
      </c>
      <c r="AB80" s="43"/>
      <c r="AC80" s="43"/>
      <c r="AD80" s="31" t="s">
        <v>215</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221</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224</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221</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221</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221</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191</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230</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172</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221</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221</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221</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221</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221</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221</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221</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221</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0">
      <formula>ISNUMBER(SEARCH("Blocked",$D2))</formula>
    </cfRule>
    <cfRule type="expression" dxfId="139" priority="41">
      <formula>ISNUMBER(SEARCH("overdue",$D2))</formula>
    </cfRule>
    <cfRule type="expression" dxfId="138" priority="42">
      <formula>ISNUMBER(SEARCH("no target",$D2))</formula>
    </cfRule>
    <cfRule type="expression" dxfId="137" priority="43">
      <formula>ISNUMBER(SEARCH("Review",$D2))</formula>
    </cfRule>
    <cfRule type="expression" dxfId="136" priority="44">
      <formula>OR($D2="On track",$D2="Delivered")</formula>
    </cfRule>
  </conditionalFormatting>
  <conditionalFormatting sqref="J2:O115">
    <cfRule type="expression" dxfId="135" priority="18">
      <formula>$AJ2="Yes – needs DB Dev to fix"</formula>
    </cfRule>
  </conditionalFormatting>
  <conditionalFormatting sqref="J116:O192">
    <cfRule type="expression" dxfId="134" priority="23">
      <formula>$AH116="Yes – needs DB Dev to fix"</formula>
    </cfRule>
  </conditionalFormatting>
  <conditionalFormatting sqref="K41">
    <cfRule type="expression" dxfId="133" priority="599">
      <formula>AND($B41&lt;&gt;"",MOD(ROW(),2)=0)</formula>
    </cfRule>
    <cfRule type="expression" dxfId="132" priority="600">
      <formula>$AJ41="Yes – needs DB Dev to fix"</formula>
    </cfRule>
  </conditionalFormatting>
  <conditionalFormatting sqref="K42">
    <cfRule type="expression" dxfId="131" priority="601">
      <formula>AND($B41&lt;&gt;"",MOD(ROW(),2)=0)</formula>
    </cfRule>
    <cfRule type="expression" dxfId="130" priority="602">
      <formula>$AJ41="Yes – needs DB Dev to fix"</formula>
    </cfRule>
  </conditionalFormatting>
  <conditionalFormatting sqref="K73:L100">
    <cfRule type="expression" dxfId="129" priority="115">
      <formula>$AF73="Yes – needs DB Dev to fix"</formula>
    </cfRule>
  </conditionalFormatting>
  <conditionalFormatting sqref="K101:L115">
    <cfRule type="expression" dxfId="128" priority="345">
      <formula>$AA101="Yes – needs DB Dev to fix"</formula>
    </cfRule>
  </conditionalFormatting>
  <conditionalFormatting sqref="K116:L527">
    <cfRule type="expression" dxfId="127" priority="572">
      <formula>$X116="Yes – needs DB Dev to fix"</formula>
    </cfRule>
  </conditionalFormatting>
  <conditionalFormatting sqref="M73">
    <cfRule type="expression" dxfId="126" priority="22">
      <formula>$AF73="Yes – needs DB Dev to fix"</formula>
    </cfRule>
  </conditionalFormatting>
  <conditionalFormatting sqref="M79">
    <cfRule type="expression" dxfId="125" priority="9">
      <formula>$AF79="Yes – needs DB Dev to fix"</formula>
    </cfRule>
  </conditionalFormatting>
  <conditionalFormatting sqref="M73:P100">
    <cfRule type="expression" dxfId="124" priority="300">
      <formula>$AD73="Yes – needs PBI Dev to fix"</formula>
    </cfRule>
  </conditionalFormatting>
  <conditionalFormatting sqref="M101:P115">
    <cfRule type="expression" dxfId="123" priority="347">
      <formula>$AA101="Yes – needs PBI Dev to fix"</formula>
    </cfRule>
  </conditionalFormatting>
  <conditionalFormatting sqref="M116:P527">
    <cfRule type="expression" dxfId="122" priority="573">
      <formula>$X116="Yes – needs PBI Dev to fix"</formula>
    </cfRule>
  </conditionalFormatting>
  <conditionalFormatting sqref="O101:O113">
    <cfRule type="expression" dxfId="121" priority="21">
      <formula>$AD101="Yes – needs PBI Dev to fix"</formula>
    </cfRule>
  </conditionalFormatting>
  <conditionalFormatting sqref="Q73:Q100">
    <cfRule type="expression" dxfId="120" priority="16">
      <formula>$AJ73="Yes – needs DB Dev to fix"</formula>
    </cfRule>
    <cfRule type="expression" dxfId="119" priority="17">
      <formula>$AF73="Yes – needs DB Dev to fix"</formula>
    </cfRule>
    <cfRule type="expression" dxfId="118" priority="119">
      <formula>$AF73="Yes – needs PBI Dev to fix"</formula>
    </cfRule>
  </conditionalFormatting>
  <conditionalFormatting sqref="Q101:R115 V101:V115 X101:X115">
    <cfRule type="expression" dxfId="117" priority="15">
      <formula>$AA101="Yes – needs QA to fix"</formula>
    </cfRule>
  </conditionalFormatting>
  <conditionalFormatting sqref="Q116:R527">
    <cfRule type="expression" dxfId="116" priority="574">
      <formula>$X116="Yes – needs QA to fix"</formula>
    </cfRule>
  </conditionalFormatting>
  <conditionalFormatting sqref="U10:V19 X10:X19 J29 M29:P29 J32:J33 M32:P33 K40:K41 M40:P41 Q65 T65:U65 V101:V115 X101:X115 Q66:U115 Q2:U64">
    <cfRule type="expression" dxfId="115" priority="30">
      <formula>$AJ2="Yes – needs PBI Dev to fix"</formula>
    </cfRule>
  </conditionalFormatting>
  <conditionalFormatting sqref="R58">
    <cfRule type="expression" dxfId="114" priority="315">
      <formula>AND($B65&lt;&gt;"",MOD(ROW(),2)=0)</formula>
    </cfRule>
    <cfRule type="expression" dxfId="113" priority="317">
      <formula>$AJ65="Yes – needs PBI Dev to fix"</formula>
    </cfRule>
  </conditionalFormatting>
  <conditionalFormatting sqref="R73:U100 T96:T101">
    <cfRule type="expression" dxfId="112" priority="121">
      <formula>$AF73="Yes – needs QA to fix"</formula>
    </cfRule>
  </conditionalFormatting>
  <conditionalFormatting sqref="S101:U115">
    <cfRule type="expression" dxfId="111" priority="361">
      <formula>$AA101="Yes – needs DPO Approval to fix"</formula>
    </cfRule>
  </conditionalFormatting>
  <conditionalFormatting sqref="S116:U527">
    <cfRule type="expression" dxfId="110" priority="575">
      <formula>$X116="Yes – needs DPO Approval to fix"</formula>
    </cfRule>
  </conditionalFormatting>
  <conditionalFormatting sqref="U101:V527 X101:X527">
    <cfRule type="expression" dxfId="109" priority="48">
      <formula>$V101="Yes"</formula>
    </cfRule>
  </conditionalFormatting>
  <conditionalFormatting sqref="U73:Y100">
    <cfRule type="expression" dxfId="108" priority="123">
      <formula>$AF73="Yes – needs DPO Approval to fix"</formula>
    </cfRule>
  </conditionalFormatting>
  <conditionalFormatting sqref="X116:X527">
    <cfRule type="expression" dxfId="107" priority="576">
      <formula>LEFT($X116,3)="Yes"</formula>
    </cfRule>
  </conditionalFormatting>
  <conditionalFormatting sqref="X73:Z100">
    <cfRule type="expression" dxfId="106" priority="475">
      <formula>$Y73="Yes"</formula>
    </cfRule>
  </conditionalFormatting>
  <conditionalFormatting sqref="Z116:AA527">
    <cfRule type="expression" dxfId="105" priority="53">
      <formula>ISNUMBER(SEARCH("Move old",$Z116))</formula>
    </cfRule>
    <cfRule type="expression" dxfId="104" priority="53">
      <formula>ISNUMBER(SEARCH("log it",$Z116))</formula>
    </cfRule>
    <cfRule type="expression" dxfId="103" priority="53">
      <formula>ISNUMBER(SEARCH("Open rework",$Z116))</formula>
    </cfRule>
    <cfRule type="expression" dxfId="102" priority="54">
      <formula>ISNUMBER(SEARCH("Duplicate",$Z116))</formula>
    </cfRule>
    <cfRule type="expression" dxfId="101" priority="55">
      <formula>$Z116&lt;&gt;""</formula>
    </cfRule>
  </conditionalFormatting>
  <conditionalFormatting sqref="Z116:AC527 G2:V40 N3:N44 L41:V42 T65:V65 G41:J42 Z2:AL2 Z3 Z4:AL41 Z42:AK42 Z43:AL44 Z45:AK47 Z101:AE115 AB3:AL3 A2:F87 G65:Q65 G66:V73 Z48:AL72 Z73:AH100 G43:V64 W2:Y527 A74:V527">
    <cfRule type="expression" dxfId="100" priority="56">
      <formula>AND($B2&lt;&gt;"",MOD(ROW(),2)=0)</formula>
    </cfRule>
  </conditionalFormatting>
  <conditionalFormatting sqref="AA3">
    <cfRule type="expression" dxfId="99" priority="603">
      <formula>AND($B3&lt;&gt;"",MOD(ROW(),2)=0)</formula>
    </cfRule>
    <cfRule type="expression" dxfId="98" priority="604">
      <formula>$AJ3="Yes – needs DPO Approval to fix"</formula>
    </cfRule>
  </conditionalFormatting>
  <conditionalFormatting sqref="AA101:AA115 U2:Z115">
    <cfRule type="expression" dxfId="97" priority="13">
      <formula>$AJ2="Yes – needs QA to fix"</formula>
    </cfRule>
  </conditionalFormatting>
  <conditionalFormatting sqref="AA101:AA115">
    <cfRule type="expression" dxfId="96" priority="10">
      <formula>$AJ101="Yes – needs PBI Dev to fix"</formula>
    </cfRule>
    <cfRule type="expression" dxfId="95" priority="11">
      <formula>$AA101="Yes – needs QA to fix"</formula>
    </cfRule>
    <cfRule type="expression" dxfId="94" priority="12">
      <formula>$V101="Yes"</formula>
    </cfRule>
    <cfRule type="expression" dxfId="93" priority="369">
      <formula>LEFT($AA101,3)="Yes"</formula>
    </cfRule>
  </conditionalFormatting>
  <conditionalFormatting sqref="AA2:AE2 AB3:AE3 AA4:AE100">
    <cfRule type="expression" dxfId="92" priority="97">
      <formula>$AJ2="Yes – needs DPO Approval to fix"</formula>
    </cfRule>
  </conditionalFormatting>
  <conditionalFormatting sqref="AB101:AC115">
    <cfRule type="expression" dxfId="91" priority="377">
      <formula>ISNUMBER(SEARCH("Open rework",$AB101))</formula>
    </cfRule>
    <cfRule type="expression" dxfId="90" priority="378">
      <formula>ISNUMBER(SEARCH("Move old",$AB101))</formula>
    </cfRule>
    <cfRule type="expression" dxfId="89" priority="379">
      <formula>ISNUMBER(SEARCH("log it",$AB101))</formula>
    </cfRule>
    <cfRule type="expression" dxfId="88" priority="380">
      <formula>ISNUMBER(SEARCH("Duplicate",$AB101))</formula>
    </cfRule>
    <cfRule type="expression" dxfId="87" priority="381">
      <formula>$AB101&lt;&gt;""</formula>
    </cfRule>
  </conditionalFormatting>
  <conditionalFormatting sqref="AF2:AF115">
    <cfRule type="expression" dxfId="86" priority="69">
      <formula>$AF2="Yes"</formula>
    </cfRule>
  </conditionalFormatting>
  <conditionalFormatting sqref="AF73:AF100">
    <cfRule type="expression" dxfId="85" priority="127">
      <formula>LEFT($AF73,3)="Yes"</formula>
    </cfRule>
  </conditionalFormatting>
  <conditionalFormatting sqref="AG73:AG100">
    <cfRule type="expression" dxfId="84" priority="133">
      <formula>ISNUMBER(SEARCH("Open rework",$AG73))</formula>
    </cfRule>
    <cfRule type="expression" dxfId="83" priority="134">
      <formula>ISNUMBER(SEARCH("Move old",$AG73))</formula>
    </cfRule>
    <cfRule type="expression" dxfId="82" priority="135">
      <formula>ISNUMBER(SEARCH("log it",$AG73))</formula>
    </cfRule>
    <cfRule type="expression" dxfId="81" priority="136">
      <formula>ISNUMBER(SEARCH("Duplicate",$AG73))</formula>
    </cfRule>
    <cfRule type="expression" dxfId="80" priority="137">
      <formula>$AG73&lt;&gt;""</formula>
    </cfRule>
  </conditionalFormatting>
  <conditionalFormatting sqref="AJ2:AJ115">
    <cfRule type="expression" dxfId="79" priority="71">
      <formula>LEFT($AJ2,3)="Yes"</formula>
    </cfRule>
  </conditionalFormatting>
  <conditionalFormatting sqref="AK2:AK115">
    <cfRule type="expression" dxfId="78" priority="77">
      <formula>ISNUMBER(SEARCH("log it",$AK2))</formula>
    </cfRule>
    <cfRule type="expression" dxfId="77" priority="78">
      <formula>ISNUMBER(SEARCH("Open rework",$AK2))</formula>
    </cfRule>
    <cfRule type="expression" dxfId="76" priority="79">
      <formula>ISNUMBER(SEARCH("Move old",$AK2))</formula>
    </cfRule>
    <cfRule type="expression" dxfId="75" priority="80">
      <formula>ISNUMBER(SEARCH("Duplicate",$AK2))</formula>
    </cfRule>
    <cfRule type="expression" dxfId="74" priority="81">
      <formula>$AK2&lt;&gt;""</formula>
    </cfRule>
  </conditionalFormatting>
  <conditionalFormatting sqref="AL45:AL47">
    <cfRule type="expression" dxfId="73" priority="20">
      <formula>AND($B49&lt;&gt;"",MOD(ROW(),2)=0)</formula>
    </cfRule>
  </conditionalFormatting>
  <conditionalFormatting sqref="D88">
    <cfRule type="expression" dxfId="72" priority="616">
      <formula>AND($B50&lt;&gt;"",MOD(ROW(),2)=0)</formula>
    </cfRule>
  </conditionalFormatting>
  <conditionalFormatting sqref="R60">
    <cfRule type="expression" dxfId="71" priority="7">
      <formula>AND($B67&lt;&gt;"",MOD(ROW(),2)=0)</formula>
    </cfRule>
    <cfRule type="expression" dxfId="70" priority="8">
      <formula>$AJ67="Yes – needs PBI Dev to fix"</formula>
    </cfRule>
  </conditionalFormatting>
  <conditionalFormatting sqref="R60:S60">
    <cfRule type="expression" dxfId="69" priority="5">
      <formula>AND($B67&lt;&gt;"",MOD(ROW(),2)=0)</formula>
    </cfRule>
    <cfRule type="expression" dxfId="68" priority="6">
      <formula>$AJ67="Yes – needs PBI Dev to fix"</formula>
    </cfRule>
  </conditionalFormatting>
  <conditionalFormatting sqref="N70">
    <cfRule type="expression" dxfId="67" priority="4">
      <formula>$AD70="Yes – needs PBI Dev to fix"</formula>
    </cfRule>
  </conditionalFormatting>
  <conditionalFormatting sqref="N58">
    <cfRule type="expression" dxfId="66" priority="3">
      <formula>$AD58="Yes – needs PBI Dev to fix"</formula>
    </cfRule>
  </conditionalFormatting>
  <conditionalFormatting sqref="M91">
    <cfRule type="expression" dxfId="65" priority="2">
      <formula>$AF91="Yes – needs DB Dev to fix"</formula>
    </cfRule>
  </conditionalFormatting>
  <conditionalFormatting sqref="M80">
    <cfRule type="expression" dxfId="64" priority="1">
      <formula>$AF80="Yes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Y2:Y72 H2:H527 S30:S64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ht="15">
      <c r="A6" s="42" t="s">
        <v>0</v>
      </c>
      <c r="B6" s="173" t="str">
        <f>IF($B$4="","",IFERROR(INDEX('Combined Delivery Data'!$A:$A,MATCH($B$4,'Combined Delivery Data'!$B:$B,0)),""))</f>
        <v/>
      </c>
      <c r="C6" s="177"/>
      <c r="D6" s="177"/>
      <c r="E6" s="178"/>
    </row>
    <row r="7" spans="1:5" ht="15">
      <c r="A7" s="42" t="s">
        <v>333</v>
      </c>
      <c r="B7" s="173" t="str">
        <f>IF($B$4="","",IFERROR(INDEX('Combined Delivery Data'!$C:$C,MATCH($B$4,'Combined Delivery Data'!$B:$B,0)),""))</f>
        <v/>
      </c>
      <c r="C7" s="177"/>
      <c r="D7" s="177"/>
      <c r="E7" s="178"/>
    </row>
    <row r="8" spans="1:5" ht="15">
      <c r="A8" s="42" t="s">
        <v>3</v>
      </c>
      <c r="B8" s="173" t="str">
        <f>IF($B$4="","",IFERROR(INDEX('Combined Delivery Data'!$D:$D,MATCH($B$4,'Combined Delivery Data'!$B:$B,0)),""))</f>
        <v/>
      </c>
      <c r="C8" s="177"/>
      <c r="D8" s="177"/>
      <c r="E8" s="178"/>
    </row>
    <row r="9" spans="1:5" ht="15">
      <c r="A9" s="42" t="s">
        <v>4</v>
      </c>
      <c r="B9" s="173" t="str">
        <f>IF($B$4="","",IFERROR(INDEX('Combined Delivery Data'!$E:$E,MATCH($B$4,'Combined Delivery Data'!$B:$B,0)),""))</f>
        <v/>
      </c>
      <c r="C9" s="177"/>
      <c r="D9" s="177"/>
      <c r="E9" s="178"/>
    </row>
    <row r="10" spans="1:5" ht="15">
      <c r="A10" s="42" t="s">
        <v>5</v>
      </c>
      <c r="B10" s="173" t="str">
        <f>IF($B$4="","",IFERROR(INDEX('Combined Delivery Data'!$F:$F,MATCH($B$4,'Combined Delivery Data'!$B:$B,0)),""))</f>
        <v/>
      </c>
      <c r="C10" s="177"/>
      <c r="D10" s="177"/>
      <c r="E10" s="178"/>
    </row>
    <row r="11" spans="1:5" ht="15">
      <c r="A11" s="42" t="s">
        <v>9</v>
      </c>
      <c r="B11" s="173" t="str">
        <f>IF($B$4="","",IFERROR(INDEX('Combined Delivery Data'!$J:$J,MATCH($B$4,'Combined Delivery Data'!$B:$B,0)),""))</f>
        <v/>
      </c>
      <c r="C11" s="177"/>
      <c r="D11" s="177"/>
      <c r="E11" s="178"/>
    </row>
    <row r="12" spans="1:5" ht="15">
      <c r="A12" s="42" t="s">
        <v>15</v>
      </c>
      <c r="B12" s="173" t="str">
        <f>IF($B$4="","",IFERROR(INDEX('Combined Delivery Data'!$P:$P,MATCH($B$4,'Combined Delivery Data'!$B:$B,0)),""))</f>
        <v/>
      </c>
      <c r="C12" s="177"/>
      <c r="D12" s="177"/>
      <c r="E12" s="178"/>
    </row>
    <row r="13" spans="1:5" ht="15">
      <c r="A13" s="42" t="s">
        <v>20</v>
      </c>
      <c r="B13" s="173" t="str">
        <f>IF($B$4="","",IFERROR(INDEX('Combined Delivery Data'!$U:$U,MATCH($B$4,'Combined Delivery Data'!$B:$B,0)),""))</f>
        <v/>
      </c>
      <c r="C13" s="177"/>
      <c r="D13" s="177"/>
      <c r="E13" s="178"/>
    </row>
    <row r="14" spans="1:5" ht="15">
      <c r="A14" s="42" t="s">
        <v>334</v>
      </c>
      <c r="B14" s="172" t="str">
        <f>IF($B$4="","",IFERROR(INDEX('Combined Delivery Data'!$K:$K,MATCH($B$4,'Combined Delivery Data'!$B:$B,0)),""))</f>
        <v/>
      </c>
      <c r="C14" s="177"/>
      <c r="D14" s="177"/>
      <c r="E14" s="178"/>
    </row>
    <row r="15" spans="1:5" ht="15">
      <c r="A15" s="42" t="s">
        <v>335</v>
      </c>
      <c r="B15" s="172" t="str">
        <f>IF($B$4="","",IFERROR(INDEX('Combined Delivery Data'!$L:$L,MATCH($B$4,'Combined Delivery Data'!$B:$B,0)),""))</f>
        <v/>
      </c>
      <c r="C15" s="177"/>
      <c r="D15" s="177"/>
      <c r="E15" s="178"/>
    </row>
    <row r="16" spans="1:5" ht="15">
      <c r="A16" s="42" t="s">
        <v>336</v>
      </c>
      <c r="B16" s="172" t="str">
        <f>IF($B$4="","",IFERROR(INDEX('Combined Delivery Data'!$M:$M,MATCH($B$4,'Combined Delivery Data'!$B:$B,0)),""))</f>
        <v/>
      </c>
      <c r="C16" s="177"/>
      <c r="D16" s="177"/>
      <c r="E16" s="178"/>
    </row>
    <row r="17" spans="1:5" ht="15">
      <c r="A17" s="42" t="s">
        <v>337</v>
      </c>
      <c r="B17" s="172" t="str">
        <f>IF($B$4="","",IFERROR(INDEX('Combined Delivery Data'!$O:$O,MATCH($B$4,'Combined Delivery Data'!$B:$B,0)),""))</f>
        <v/>
      </c>
      <c r="C17" s="177"/>
      <c r="D17" s="177"/>
      <c r="E17" s="178"/>
    </row>
    <row r="18" spans="1:5" ht="15">
      <c r="A18" s="42" t="s">
        <v>338</v>
      </c>
      <c r="B18" s="172" t="str">
        <f>IF($B$4="","",IFERROR(INDEX('Combined Delivery Data'!$Q:$Q,MATCH($B$4,'Combined Delivery Data'!$B:$B,0)),""))</f>
        <v/>
      </c>
      <c r="C18" s="177"/>
      <c r="D18" s="177"/>
      <c r="E18" s="178"/>
    </row>
    <row r="19" spans="1:5" ht="15">
      <c r="A19" s="42" t="s">
        <v>339</v>
      </c>
      <c r="B19" s="172" t="str">
        <f>IF($B$4="","",IFERROR(INDEX('Combined Delivery Data'!$R:$R,MATCH($B$4,'Combined Delivery Data'!$B:$B,0)),""))</f>
        <v/>
      </c>
      <c r="C19" s="177"/>
      <c r="D19" s="177"/>
      <c r="E19" s="178"/>
    </row>
    <row r="20" spans="1:5" ht="15">
      <c r="A20" s="42" t="s">
        <v>340</v>
      </c>
      <c r="B20" s="172" t="str">
        <f>IF($B$4="","",IFERROR(INDEX('Combined Delivery Data'!$S:$S,MATCH($B$4,'Combined Delivery Data'!$B:$B,0)),""))</f>
        <v/>
      </c>
      <c r="C20" s="177"/>
      <c r="D20" s="177"/>
      <c r="E20" s="178"/>
    </row>
    <row r="21" spans="1:5" ht="15">
      <c r="A21" s="42" t="s">
        <v>29</v>
      </c>
      <c r="B21" s="173" t="str">
        <f>IF($B$4="","",IFERROR(INDEX('Combined Delivery Data'!$T:$T,MATCH($B$4,'Combined Delivery Data'!$B:$B,0)),""))</f>
        <v/>
      </c>
      <c r="C21" s="177"/>
      <c r="D21" s="177"/>
      <c r="E21" s="178"/>
    </row>
    <row r="22" spans="1:5" ht="15">
      <c r="A22" s="42" t="s">
        <v>31</v>
      </c>
      <c r="B22" s="173" t="str">
        <f>IF($B$4="","",IFERROR(INDEX('Combined Delivery Data'!$V:$V,MATCH($B$4,'Combined Delivery Data'!$B:$B,0)),""))</f>
        <v/>
      </c>
      <c r="C22" s="177"/>
      <c r="D22" s="177"/>
      <c r="E22" s="178"/>
    </row>
    <row r="23" spans="1:5" ht="15">
      <c r="A23" s="42" t="s">
        <v>32</v>
      </c>
      <c r="B23" s="172" t="str">
        <f>IF($B$4="","",IFERROR(INDEX('Combined Delivery Data'!$W:$W,MATCH($B$4,'Combined Delivery Data'!$B:$B,0)),""))</f>
        <v/>
      </c>
      <c r="C23" s="177"/>
      <c r="D23" s="177"/>
      <c r="E23" s="178"/>
    </row>
    <row r="24" spans="1:5" ht="15">
      <c r="A24" s="42" t="s">
        <v>35</v>
      </c>
      <c r="B24" s="173" t="str">
        <f>IF($B$4="","",IFERROR(INDEX('Combined Delivery Data'!$X:$X,MATCH($B$4,'Combined Delivery Data'!$B:$B,0)),""))</f>
        <v/>
      </c>
      <c r="C24" s="177"/>
      <c r="D24" s="177"/>
      <c r="E24" s="178"/>
    </row>
    <row r="25" spans="1:5" ht="15">
      <c r="A25" s="42" t="s">
        <v>36</v>
      </c>
      <c r="B25" s="173" t="str">
        <f>IF($B$4="","",IFERROR(INDEX('Combined Delivery Data'!$Z:$Z,MATCH($B$4,'Combined Delivery Data'!$B:$B,0)),""))</f>
        <v/>
      </c>
      <c r="C25" s="177"/>
      <c r="D25" s="177"/>
      <c r="E25" s="178"/>
    </row>
    <row r="26" spans="1:5">
      <c r="A26" s="42" t="s">
        <v>341</v>
      </c>
      <c r="B26" s="173" t="str">
        <f>IF($B$4="","",IFERROR(INDEX('Rework Log'!$Q:$Q,MATCH($B$4,'Rework Log'!$P:$P,0)),""))</f>
        <v/>
      </c>
      <c r="C26" s="177"/>
      <c r="D26" s="177"/>
      <c r="E26" s="178"/>
    </row>
    <row r="27" spans="1:5">
      <c r="A27" s="42" t="s">
        <v>342</v>
      </c>
      <c r="B27" s="173" t="str">
        <f>IF($B$4="","",IFERROR(INDEX('Rework Log'!$R:$R,MATCH($B$4,'Rework Log'!$P:$P,0)),""))</f>
        <v/>
      </c>
      <c r="C27" s="177"/>
      <c r="D27" s="177"/>
      <c r="E27" s="178"/>
    </row>
    <row r="28" spans="1:5">
      <c r="A28" s="42" t="s">
        <v>343</v>
      </c>
      <c r="B28" s="173" t="str">
        <f>IF($B$4="","",IFERROR(INDEX('Rework Log'!$S:$S,MATCH($B$4,'Rework Log'!$P:$P,0)),""))</f>
        <v/>
      </c>
      <c r="C28" s="177"/>
      <c r="D28" s="177"/>
      <c r="E28" s="178"/>
    </row>
    <row r="29" spans="1:5">
      <c r="A29" s="42" t="s">
        <v>344</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15" activePane="bottomLeft" state="frozen"/>
      <selection pane="bottomLeft" activeCell="A46" sqref="A46"/>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345</v>
      </c>
      <c r="B1" s="174"/>
      <c r="C1" s="174"/>
      <c r="D1" s="174"/>
      <c r="E1" s="174"/>
      <c r="F1" s="174"/>
      <c r="G1" s="174"/>
      <c r="H1" s="174"/>
      <c r="I1" s="174"/>
      <c r="J1" s="174"/>
      <c r="K1" s="174"/>
      <c r="L1" s="174"/>
      <c r="M1" s="174"/>
      <c r="P1" s="180" t="s">
        <v>346</v>
      </c>
      <c r="Q1" s="180"/>
      <c r="R1" s="180"/>
      <c r="S1" s="180"/>
      <c r="T1" s="180"/>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198</v>
      </c>
      <c r="D3" s="33" t="s">
        <v>183</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198</v>
      </c>
      <c r="D4" s="31" t="s">
        <v>183</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198</v>
      </c>
      <c r="D5" s="31" t="s">
        <v>183</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198</v>
      </c>
      <c r="D6" s="31" t="s">
        <v>183</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198</v>
      </c>
      <c r="D7" s="31" t="s">
        <v>183</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198</v>
      </c>
      <c r="D8" s="31" t="s">
        <v>183</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198</v>
      </c>
      <c r="D9" s="31" t="s">
        <v>183</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198</v>
      </c>
      <c r="D10" s="31" t="s">
        <v>183</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198</v>
      </c>
      <c r="D11" s="31" t="s">
        <v>183</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198</v>
      </c>
      <c r="D12" s="31" t="s">
        <v>183</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198</v>
      </c>
      <c r="D13" s="31" t="s">
        <v>183</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198</v>
      </c>
      <c r="D14" s="31" t="s">
        <v>190</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198</v>
      </c>
      <c r="D15" s="31" t="s">
        <v>190</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198</v>
      </c>
      <c r="D16" s="31" t="s">
        <v>183</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198</v>
      </c>
      <c r="D17" s="31" t="s">
        <v>190</v>
      </c>
      <c r="E17" s="31" t="s">
        <v>145</v>
      </c>
      <c r="F17" s="31" t="s">
        <v>375</v>
      </c>
      <c r="G17" s="31" t="s">
        <v>50</v>
      </c>
      <c r="H17" s="32"/>
      <c r="I17" s="32"/>
      <c r="J17" s="32"/>
      <c r="K17" s="31"/>
      <c r="L17" s="31"/>
      <c r="M17" s="3"/>
      <c r="S17" s="28"/>
    </row>
    <row r="18" spans="1:20">
      <c r="A18" s="33" t="s">
        <v>182</v>
      </c>
      <c r="B18" s="32">
        <v>46261</v>
      </c>
      <c r="C18" s="31" t="s">
        <v>198</v>
      </c>
      <c r="D18" s="31" t="s">
        <v>183</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198</v>
      </c>
      <c r="D19" s="31" t="s">
        <v>190</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198</v>
      </c>
      <c r="D20" s="31" t="s">
        <v>190</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198</v>
      </c>
      <c r="D21" s="31" t="s">
        <v>183</v>
      </c>
      <c r="E21" s="31" t="s">
        <v>47</v>
      </c>
      <c r="F21" s="31" t="s">
        <v>381</v>
      </c>
      <c r="G21" s="31" t="s">
        <v>50</v>
      </c>
      <c r="H21" s="32"/>
      <c r="I21" s="32">
        <v>46266</v>
      </c>
      <c r="J21" s="32">
        <v>46266</v>
      </c>
      <c r="K21" s="31"/>
      <c r="L21" s="31" t="s">
        <v>382</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198</v>
      </c>
      <c r="D22" s="31" t="s">
        <v>183</v>
      </c>
      <c r="E22" s="31" t="s">
        <v>129</v>
      </c>
      <c r="F22" s="31" t="s">
        <v>383</v>
      </c>
      <c r="G22" s="31" t="s">
        <v>50</v>
      </c>
      <c r="H22" s="32"/>
      <c r="I22" s="32"/>
      <c r="J22" s="32">
        <v>46266</v>
      </c>
      <c r="K22" s="31" t="s">
        <v>59</v>
      </c>
      <c r="L22" s="31"/>
      <c r="M22" s="3" t="str">
        <f t="shared" ca="1" si="0"/>
        <v>Fixed</v>
      </c>
      <c r="N22" t="s">
        <v>370</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198</v>
      </c>
      <c r="D23" s="31" t="s">
        <v>190</v>
      </c>
      <c r="E23" s="31" t="s">
        <v>47</v>
      </c>
      <c r="F23" s="31" t="s">
        <v>384</v>
      </c>
      <c r="G23" s="31" t="s">
        <v>50</v>
      </c>
      <c r="H23" s="32"/>
      <c r="I23" s="32">
        <v>46267</v>
      </c>
      <c r="J23" s="32">
        <v>46268</v>
      </c>
      <c r="K23" s="31" t="s">
        <v>46</v>
      </c>
      <c r="L23" s="31" t="s">
        <v>382</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171</v>
      </c>
      <c r="B24" s="32">
        <v>46266</v>
      </c>
      <c r="C24" s="31" t="s">
        <v>198</v>
      </c>
      <c r="D24" s="31" t="s">
        <v>190</v>
      </c>
      <c r="E24" s="31" t="s">
        <v>47</v>
      </c>
      <c r="F24" s="31" t="s">
        <v>385</v>
      </c>
      <c r="G24" s="31" t="s">
        <v>50</v>
      </c>
      <c r="H24" s="32"/>
      <c r="I24" s="171">
        <v>46267</v>
      </c>
      <c r="J24" s="32">
        <v>46268</v>
      </c>
      <c r="K24" s="31" t="s">
        <v>46</v>
      </c>
      <c r="L24" s="31" t="s">
        <v>382</v>
      </c>
      <c r="M24" s="3" t="str">
        <f t="shared" ca="1" si="0"/>
        <v>Fixed</v>
      </c>
      <c r="N24" t="s">
        <v>370</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198</v>
      </c>
      <c r="D25" s="31" t="s">
        <v>190</v>
      </c>
      <c r="E25" s="31" t="s">
        <v>47</v>
      </c>
      <c r="F25" s="77" t="s">
        <v>386</v>
      </c>
      <c r="G25" s="31" t="s">
        <v>50</v>
      </c>
      <c r="H25" s="32"/>
      <c r="I25" s="32">
        <v>46267</v>
      </c>
      <c r="J25" s="32">
        <v>46268</v>
      </c>
      <c r="K25" s="31" t="s">
        <v>46</v>
      </c>
      <c r="L25" s="31" t="s">
        <v>382</v>
      </c>
      <c r="M25" s="3" t="str">
        <f t="shared" ca="1" si="0"/>
        <v>Fixed</v>
      </c>
      <c r="N25" s="33" t="s">
        <v>180</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198</v>
      </c>
      <c r="D26" s="31" t="s">
        <v>190</v>
      </c>
      <c r="E26" s="31" t="s">
        <v>129</v>
      </c>
      <c r="F26" s="31" t="s">
        <v>387</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198</v>
      </c>
      <c r="D27" s="31" t="s">
        <v>183</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198</v>
      </c>
      <c r="D28" s="31" t="s">
        <v>190</v>
      </c>
      <c r="E28" s="31" t="s">
        <v>145</v>
      </c>
      <c r="F28" s="31" t="s">
        <v>388</v>
      </c>
      <c r="G28" s="31" t="s">
        <v>50</v>
      </c>
      <c r="H28" s="32"/>
      <c r="I28" s="32"/>
      <c r="J28" s="32">
        <v>46267</v>
      </c>
      <c r="K28" s="31" t="s">
        <v>77</v>
      </c>
      <c r="L28" s="31" t="s">
        <v>389</v>
      </c>
      <c r="M28" s="3" t="str">
        <f t="shared" ca="1" si="0"/>
        <v>Fixed</v>
      </c>
      <c r="N28" t="s">
        <v>370</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198</v>
      </c>
      <c r="D29" s="31" t="s">
        <v>190</v>
      </c>
      <c r="E29" s="31" t="s">
        <v>129</v>
      </c>
      <c r="F29" s="31" t="s">
        <v>388</v>
      </c>
      <c r="G29" s="31" t="s">
        <v>50</v>
      </c>
      <c r="H29" s="32"/>
      <c r="I29" s="32"/>
      <c r="J29" s="32">
        <v>46267</v>
      </c>
      <c r="K29" s="31" t="s">
        <v>77</v>
      </c>
      <c r="L29" s="115" t="s">
        <v>389</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198</v>
      </c>
      <c r="D30" s="31" t="s">
        <v>190</v>
      </c>
      <c r="E30" s="31" t="s">
        <v>129</v>
      </c>
      <c r="F30" s="31" t="s">
        <v>388</v>
      </c>
      <c r="G30" s="31" t="s">
        <v>50</v>
      </c>
      <c r="H30" s="32"/>
      <c r="I30" s="32"/>
      <c r="J30" s="32">
        <v>46267</v>
      </c>
      <c r="K30" s="31" t="s">
        <v>77</v>
      </c>
      <c r="L30" s="115" t="s">
        <v>389</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198</v>
      </c>
      <c r="D31" s="31" t="s">
        <v>183</v>
      </c>
      <c r="E31" s="31" t="s">
        <v>129</v>
      </c>
      <c r="F31" s="31" t="s">
        <v>390</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198</v>
      </c>
      <c r="D32" s="31" t="s">
        <v>183</v>
      </c>
      <c r="E32" s="31" t="s">
        <v>47</v>
      </c>
      <c r="F32" s="31" t="s">
        <v>391</v>
      </c>
      <c r="G32" s="31" t="s">
        <v>50</v>
      </c>
      <c r="H32" s="32"/>
      <c r="I32" s="32">
        <v>46269</v>
      </c>
      <c r="J32" s="32">
        <v>46269</v>
      </c>
      <c r="K32" s="31"/>
      <c r="L32" s="31" t="s">
        <v>382</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185</v>
      </c>
      <c r="B33" s="32">
        <v>46267</v>
      </c>
      <c r="C33" s="31" t="s">
        <v>198</v>
      </c>
      <c r="D33" s="31" t="s">
        <v>183</v>
      </c>
      <c r="E33" s="31" t="s">
        <v>205</v>
      </c>
      <c r="F33" s="31" t="s">
        <v>392</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198</v>
      </c>
      <c r="D34" s="31" t="s">
        <v>183</v>
      </c>
      <c r="E34" s="31" t="s">
        <v>47</v>
      </c>
      <c r="F34" s="31" t="s">
        <v>393</v>
      </c>
      <c r="G34" s="31" t="s">
        <v>50</v>
      </c>
      <c r="H34" s="32"/>
      <c r="I34" s="32">
        <v>46274</v>
      </c>
      <c r="J34" s="32">
        <v>46274</v>
      </c>
      <c r="K34" s="31"/>
      <c r="L34" s="31" t="s">
        <v>382</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197</v>
      </c>
      <c r="B35" s="32">
        <v>46274</v>
      </c>
      <c r="C35" s="31" t="s">
        <v>198</v>
      </c>
      <c r="D35" s="31" t="s">
        <v>190</v>
      </c>
      <c r="E35" s="31" t="s">
        <v>47</v>
      </c>
      <c r="F35" s="77" t="s">
        <v>394</v>
      </c>
      <c r="G35" s="31" t="s">
        <v>50</v>
      </c>
      <c r="H35" s="32"/>
      <c r="I35" s="32">
        <v>46275</v>
      </c>
      <c r="J35" s="32">
        <v>46275</v>
      </c>
      <c r="K35" s="31" t="s">
        <v>77</v>
      </c>
      <c r="L35" s="31" t="s">
        <v>395</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198</v>
      </c>
      <c r="D36" s="31" t="s">
        <v>183</v>
      </c>
      <c r="E36" s="31" t="s">
        <v>129</v>
      </c>
      <c r="F36" s="31" t="s">
        <v>396</v>
      </c>
      <c r="G36" s="31" t="s">
        <v>50</v>
      </c>
      <c r="H36" s="32"/>
      <c r="I36" s="32"/>
      <c r="J36" s="32">
        <v>46276</v>
      </c>
      <c r="K36" s="31" t="s">
        <v>156</v>
      </c>
      <c r="L36" s="31"/>
      <c r="M36" s="3" t="str">
        <f t="shared" ca="1" si="0"/>
        <v>Fixed</v>
      </c>
      <c r="N36" t="s">
        <v>370</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198</v>
      </c>
      <c r="D37" s="31" t="s">
        <v>183</v>
      </c>
      <c r="E37" s="31" t="s">
        <v>129</v>
      </c>
      <c r="F37" s="31" t="s">
        <v>397</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182</v>
      </c>
      <c r="B38" s="32">
        <v>46279</v>
      </c>
      <c r="C38" s="31" t="s">
        <v>198</v>
      </c>
      <c r="D38" s="31" t="s">
        <v>183</v>
      </c>
      <c r="E38" s="31" t="s">
        <v>129</v>
      </c>
      <c r="F38" s="31" t="s">
        <v>398</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194</v>
      </c>
      <c r="B39" s="32">
        <v>46279</v>
      </c>
      <c r="C39" s="31" t="s">
        <v>198</v>
      </c>
      <c r="D39" s="31" t="s">
        <v>190</v>
      </c>
      <c r="E39" s="31" t="s">
        <v>145</v>
      </c>
      <c r="F39" s="31" t="s">
        <v>399</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212</v>
      </c>
      <c r="B40" s="32">
        <v>46280</v>
      </c>
      <c r="C40" s="31" t="s">
        <v>198</v>
      </c>
      <c r="D40" s="31" t="s">
        <v>183</v>
      </c>
      <c r="E40" s="31" t="s">
        <v>47</v>
      </c>
      <c r="F40" s="31" t="s">
        <v>400</v>
      </c>
      <c r="G40" s="31" t="s">
        <v>53</v>
      </c>
      <c r="H40" s="32"/>
      <c r="I40" s="32"/>
      <c r="J40" s="32"/>
      <c r="K40" s="31"/>
      <c r="L40" s="31"/>
      <c r="M40" s="3" t="str">
        <f t="shared" ca="1" si="0"/>
        <v>UNCLAIMED 0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198</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198</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198</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198</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198</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198</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198</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198</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198</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198</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198</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198</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198</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198</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198</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198</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198</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198</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198</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198</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198</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198</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198</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198</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198</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198</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198</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198</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198</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198</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198</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198</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198</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198</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198</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198</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198</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198</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198</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198</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198</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198</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198</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198</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198</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198</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198</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198</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198</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458</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198</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458</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198</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458</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198</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458</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198</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458</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198</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458</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198</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458</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198</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458</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198</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458</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198</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458</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198</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458</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198</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458</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198</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458</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198</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458</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198</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458</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198</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458</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198</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458</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198</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458</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198</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458</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198</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458</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198</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458</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198</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458</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198</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458</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198</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458</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198</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458</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198</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458</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198</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458</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198</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458</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198</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458</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198</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458</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198</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458</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198</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458</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198</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458</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198</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458</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198</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458</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198</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458</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198</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458</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198</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458</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198</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458</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198</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458</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198</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458</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198</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458</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198</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458</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198</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458</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198</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458</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198</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458</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198</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458</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198</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458</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198</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458</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198</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458</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198</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458</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198</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458</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198</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458</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198</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458</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198</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458</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198</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458</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198</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458</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198</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458</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198</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458</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198</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458</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198</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458</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198</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458</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198</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458</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198</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458</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198</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458</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198</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458</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198</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458</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198</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458</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198</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458</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198</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458</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198</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458</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198</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458</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198</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458</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198</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458</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198</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458</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198</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458</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198</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458</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198</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458</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198</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458</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198</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458</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198</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458</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198</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458</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198</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458</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198</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458</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198</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458</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198</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458</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198</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458</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198</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458</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198</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458</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198</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458</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198</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458</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198</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458</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198</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458</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198</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458</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198</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458</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198</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458</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198</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458</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198</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458</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198</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458</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198</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458</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198</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458</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198</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458</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198</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458</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198</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458</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198</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458</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198</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458</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198</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458</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198</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458</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198</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458</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198</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458</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458</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458</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458</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458</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458</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458</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458</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458</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458</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458</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458</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458</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458</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458</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458</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458</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458</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458</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458</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458</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458</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458</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458</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458</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458</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458</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458</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458</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458</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458</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458</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458</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458</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458</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458</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458</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458</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458</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458</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458</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458</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458</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458</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458</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458</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458</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458</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458</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458</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458</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458</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458</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458</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458</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458</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458</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458</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458</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458</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458</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458</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458</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458</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458</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458</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458</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458</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458</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458</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458</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458</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458</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458</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458</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458</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458</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458</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458</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458</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458</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458</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458</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458</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458</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458</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458</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458</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458</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458</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458</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458</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458</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458</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458</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458</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458</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458</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458</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458</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458</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458</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458</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458</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458</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458</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458</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458</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458</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458</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458</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458</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458</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458</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458</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458</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458</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458</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458</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458</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458</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458</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458</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458</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458</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458</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458</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458</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458</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458</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458</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458</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458</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458</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458</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458</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458</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458</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458</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458</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458</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458</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458</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458</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458</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458</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458</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458</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458</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458</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458</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458</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458</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458</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458</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458</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458</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458</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458</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458</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458</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458</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458</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458</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458</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458</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458</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458</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458</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458</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458</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458</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458</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458</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458</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458</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458</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458</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458</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458</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458</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458</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458</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458</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458</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458</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458</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458</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458</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458</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458</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458</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458</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458</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458</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458</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458</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458</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458</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458</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458</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458</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458</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458</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458</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458</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458</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458</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458</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458</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458</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458</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458</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458</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458</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458</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458</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458</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458</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458</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458</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458</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458</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458</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458</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458</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458</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458</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458</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458</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458</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458</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458</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458</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458</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458</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458</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458</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458</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458</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458</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458</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458</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458</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458</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458</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458</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458</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458</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458</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458</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458</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458</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458</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458</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458</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458</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458</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458</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458</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458</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458</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458</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458</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458</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458</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458</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458</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458</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458</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458</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458</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458</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458</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458</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458</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458</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458</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458</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458</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458</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458</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458</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458</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458</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458</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458</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458</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458</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458</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458</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458</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458</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458</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458</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458</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458</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458</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458</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458</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458</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F3" sqref="F3:F11"/>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401</v>
      </c>
      <c r="B1" s="176"/>
      <c r="C1" s="176"/>
    </row>
    <row r="2" spans="1:8" ht="14.25" customHeight="1">
      <c r="A2" s="8" t="s">
        <v>0</v>
      </c>
      <c r="B2" s="8" t="s">
        <v>402</v>
      </c>
      <c r="C2" s="8" t="s">
        <v>403</v>
      </c>
      <c r="E2" t="s">
        <v>404</v>
      </c>
      <c r="F2" t="s">
        <v>405</v>
      </c>
      <c r="G2" t="s">
        <v>406</v>
      </c>
      <c r="H2" t="s">
        <v>407</v>
      </c>
    </row>
    <row r="3" spans="1:8" ht="14.25" customHeight="1">
      <c r="A3" s="11" t="s">
        <v>40</v>
      </c>
      <c r="B3" s="11">
        <v>8</v>
      </c>
      <c r="C3" s="12">
        <v>46142</v>
      </c>
      <c r="E3" t="s">
        <v>408</v>
      </c>
      <c r="F3" s="28">
        <v>46233</v>
      </c>
      <c r="G3" s="28">
        <v>46274</v>
      </c>
    </row>
    <row r="4" spans="1:8" ht="14.25" customHeight="1">
      <c r="A4" s="11" t="s">
        <v>40</v>
      </c>
      <c r="B4" s="11">
        <v>10</v>
      </c>
      <c r="C4" s="12">
        <v>46172</v>
      </c>
      <c r="E4" t="s">
        <v>409</v>
      </c>
      <c r="F4" s="28">
        <v>46264</v>
      </c>
      <c r="G4" s="28">
        <v>46295</v>
      </c>
    </row>
    <row r="5" spans="1:8" ht="14.25" customHeight="1">
      <c r="A5" s="11" t="s">
        <v>40</v>
      </c>
      <c r="B5" s="11">
        <v>9</v>
      </c>
      <c r="C5" s="12">
        <v>46203</v>
      </c>
      <c r="E5" t="s">
        <v>410</v>
      </c>
      <c r="F5" s="28">
        <v>46295</v>
      </c>
      <c r="G5" s="28">
        <v>46325</v>
      </c>
    </row>
    <row r="6" spans="1:8" ht="14.25" customHeight="1">
      <c r="A6" s="11" t="s">
        <v>126</v>
      </c>
      <c r="B6" s="11">
        <v>15</v>
      </c>
      <c r="C6" s="12">
        <v>46233</v>
      </c>
      <c r="E6" t="s">
        <v>411</v>
      </c>
      <c r="F6" s="28">
        <v>46325</v>
      </c>
      <c r="G6" s="28">
        <v>46356</v>
      </c>
    </row>
    <row r="7" spans="1:8" ht="14.25" customHeight="1">
      <c r="A7" s="11" t="s">
        <v>126</v>
      </c>
      <c r="B7" s="11">
        <v>15</v>
      </c>
      <c r="C7" s="12">
        <v>46264</v>
      </c>
      <c r="E7" t="s">
        <v>412</v>
      </c>
      <c r="F7" s="28">
        <v>46356</v>
      </c>
      <c r="G7" s="28">
        <v>46387</v>
      </c>
    </row>
    <row r="8" spans="1:8" ht="14.25" customHeight="1">
      <c r="A8" s="11" t="s">
        <v>126</v>
      </c>
      <c r="B8" s="11">
        <v>17</v>
      </c>
      <c r="C8" s="12">
        <v>46295</v>
      </c>
      <c r="E8" t="s">
        <v>413</v>
      </c>
      <c r="F8" s="28">
        <v>46387</v>
      </c>
      <c r="G8" s="28">
        <v>46417</v>
      </c>
    </row>
    <row r="9" spans="1:8" ht="14.25" customHeight="1">
      <c r="A9" s="11" t="s">
        <v>126</v>
      </c>
      <c r="B9" s="11">
        <v>20</v>
      </c>
      <c r="C9" s="12">
        <v>46325</v>
      </c>
      <c r="E9" t="s">
        <v>414</v>
      </c>
      <c r="F9" s="28">
        <v>46417</v>
      </c>
      <c r="G9" s="28">
        <v>46445</v>
      </c>
    </row>
    <row r="10" spans="1:8" ht="14.25" customHeight="1">
      <c r="A10" s="11" t="s">
        <v>126</v>
      </c>
      <c r="B10" s="11">
        <v>20</v>
      </c>
      <c r="C10" s="12">
        <v>46356</v>
      </c>
      <c r="E10" t="s">
        <v>415</v>
      </c>
      <c r="F10" s="28">
        <v>46446</v>
      </c>
      <c r="G10" s="28">
        <v>46477</v>
      </c>
    </row>
    <row r="11" spans="1:8" ht="14.25" customHeight="1">
      <c r="A11" s="11" t="s">
        <v>416</v>
      </c>
      <c r="B11" s="11">
        <v>18</v>
      </c>
      <c r="C11" s="12">
        <v>46417</v>
      </c>
      <c r="E11" t="s">
        <v>417</v>
      </c>
      <c r="F11" s="28">
        <v>46477</v>
      </c>
      <c r="G11" s="28">
        <v>46480</v>
      </c>
    </row>
    <row r="12" spans="1:8" ht="14.25" customHeight="1">
      <c r="A12" s="11" t="s">
        <v>416</v>
      </c>
      <c r="B12" s="11">
        <v>18</v>
      </c>
      <c r="C12" s="12">
        <v>46446</v>
      </c>
    </row>
    <row r="13" spans="1:8" ht="14.25" customHeight="1">
      <c r="A13" s="11" t="s">
        <v>416</v>
      </c>
      <c r="B13" s="11">
        <v>19</v>
      </c>
      <c r="C13" s="12">
        <v>46477</v>
      </c>
    </row>
    <row r="14" spans="1:8" ht="14.25" customHeight="1">
      <c r="A14" s="11" t="s">
        <v>306</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418</v>
      </c>
      <c r="B1" s="176"/>
      <c r="C1" s="176"/>
      <c r="D1" s="176"/>
      <c r="E1" s="176"/>
      <c r="F1" s="176"/>
      <c r="G1" s="176"/>
      <c r="H1" s="176"/>
      <c r="I1" s="176"/>
      <c r="J1" s="176"/>
    </row>
    <row r="2" spans="1:10" ht="27" customHeight="1">
      <c r="A2" s="8" t="s">
        <v>0</v>
      </c>
      <c r="B2" s="8" t="s">
        <v>419</v>
      </c>
      <c r="C2" s="8" t="s">
        <v>1</v>
      </c>
      <c r="D2" s="8" t="s">
        <v>420</v>
      </c>
      <c r="E2" s="8" t="s">
        <v>421</v>
      </c>
      <c r="F2" s="8" t="s">
        <v>6</v>
      </c>
      <c r="G2" s="8" t="s">
        <v>5</v>
      </c>
      <c r="H2" s="8" t="s">
        <v>422</v>
      </c>
      <c r="I2" s="8" t="s">
        <v>403</v>
      </c>
      <c r="J2" s="8" t="s">
        <v>423</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190</v>
      </c>
      <c r="C4" s="9" t="s">
        <v>41</v>
      </c>
      <c r="D4" s="9" t="s">
        <v>44</v>
      </c>
      <c r="E4" s="9" t="s">
        <v>46</v>
      </c>
      <c r="F4" s="9"/>
      <c r="G4" s="9"/>
      <c r="H4" s="10">
        <v>46115</v>
      </c>
      <c r="I4" s="10">
        <v>46114</v>
      </c>
      <c r="J4" s="10">
        <v>46114</v>
      </c>
    </row>
    <row r="5" spans="1:10" ht="14.25" customHeight="1">
      <c r="A5" s="9" t="s">
        <v>40</v>
      </c>
      <c r="B5" s="9" t="s">
        <v>198</v>
      </c>
      <c r="C5" s="9" t="s">
        <v>41</v>
      </c>
      <c r="D5" s="9" t="s">
        <v>44</v>
      </c>
      <c r="E5" s="9" t="s">
        <v>46</v>
      </c>
      <c r="F5" s="9"/>
      <c r="G5" s="9"/>
      <c r="H5" s="10">
        <v>46114</v>
      </c>
      <c r="I5" s="10">
        <v>46122</v>
      </c>
      <c r="J5" s="10">
        <v>46122</v>
      </c>
    </row>
    <row r="6" spans="1:10" ht="14.25" customHeight="1">
      <c r="A6" s="9" t="s">
        <v>40</v>
      </c>
      <c r="B6" s="9" t="s">
        <v>166</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190</v>
      </c>
      <c r="C9" s="9" t="s">
        <v>55</v>
      </c>
      <c r="D9" s="9" t="s">
        <v>44</v>
      </c>
      <c r="E9" s="9" t="s">
        <v>46</v>
      </c>
      <c r="F9" s="9"/>
      <c r="G9" s="9"/>
      <c r="H9" s="10">
        <v>46115</v>
      </c>
      <c r="I9" s="10">
        <v>46114</v>
      </c>
      <c r="J9" s="10">
        <v>46114</v>
      </c>
    </row>
    <row r="10" spans="1:10" ht="14.25" customHeight="1">
      <c r="A10" s="9" t="s">
        <v>40</v>
      </c>
      <c r="B10" s="9" t="s">
        <v>198</v>
      </c>
      <c r="C10" s="9" t="s">
        <v>55</v>
      </c>
      <c r="D10" s="9" t="s">
        <v>44</v>
      </c>
      <c r="E10" s="9" t="s">
        <v>46</v>
      </c>
      <c r="F10" s="9"/>
      <c r="G10" s="9"/>
      <c r="H10" s="10">
        <v>46114</v>
      </c>
      <c r="I10" s="10">
        <v>46122</v>
      </c>
      <c r="J10" s="10">
        <v>46122</v>
      </c>
    </row>
    <row r="11" spans="1:10" ht="14.25" customHeight="1">
      <c r="A11" s="9" t="s">
        <v>40</v>
      </c>
      <c r="B11" s="9" t="s">
        <v>166</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424</v>
      </c>
      <c r="D13" s="9" t="s">
        <v>425</v>
      </c>
      <c r="E13" s="9" t="s">
        <v>46</v>
      </c>
      <c r="F13" s="9"/>
      <c r="G13" s="9"/>
      <c r="H13" s="10"/>
      <c r="I13" s="10">
        <v>46115</v>
      </c>
      <c r="J13" s="10">
        <v>46115</v>
      </c>
    </row>
    <row r="14" spans="1:10" ht="14.25" customHeight="1">
      <c r="A14" s="9" t="s">
        <v>40</v>
      </c>
      <c r="B14" s="9" t="s">
        <v>190</v>
      </c>
      <c r="C14" s="9" t="s">
        <v>424</v>
      </c>
      <c r="D14" s="9" t="s">
        <v>425</v>
      </c>
      <c r="E14" s="9" t="s">
        <v>46</v>
      </c>
      <c r="F14" s="9"/>
      <c r="G14" s="9"/>
      <c r="H14" s="10">
        <v>46115</v>
      </c>
      <c r="I14" s="10">
        <v>46120</v>
      </c>
      <c r="J14" s="10">
        <v>46120</v>
      </c>
    </row>
    <row r="15" spans="1:10" ht="14.25" customHeight="1">
      <c r="A15" s="9" t="s">
        <v>40</v>
      </c>
      <c r="B15" s="9" t="s">
        <v>198</v>
      </c>
      <c r="C15" s="9" t="s">
        <v>424</v>
      </c>
      <c r="D15" s="9" t="s">
        <v>425</v>
      </c>
      <c r="E15" s="9" t="s">
        <v>46</v>
      </c>
      <c r="F15" s="9"/>
      <c r="G15" s="9"/>
      <c r="H15" s="10">
        <v>46120</v>
      </c>
      <c r="I15" s="10">
        <v>46122</v>
      </c>
      <c r="J15" s="10">
        <v>46122</v>
      </c>
    </row>
    <row r="16" spans="1:10" ht="14.25" customHeight="1">
      <c r="A16" s="9" t="s">
        <v>40</v>
      </c>
      <c r="B16" s="9" t="s">
        <v>166</v>
      </c>
      <c r="C16" s="9" t="s">
        <v>424</v>
      </c>
      <c r="D16" s="9" t="s">
        <v>425</v>
      </c>
      <c r="E16" s="9" t="s">
        <v>46</v>
      </c>
      <c r="F16" s="9"/>
      <c r="G16" s="9"/>
      <c r="H16" s="10">
        <v>46122</v>
      </c>
      <c r="I16" s="10"/>
      <c r="J16" s="10"/>
    </row>
    <row r="17" spans="1:10" ht="14.25" customHeight="1">
      <c r="A17" s="9" t="s">
        <v>40</v>
      </c>
      <c r="B17" s="9" t="s">
        <v>42</v>
      </c>
      <c r="C17" s="9" t="s">
        <v>424</v>
      </c>
      <c r="D17" s="9" t="s">
        <v>425</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190</v>
      </c>
      <c r="C19" s="9" t="s">
        <v>58</v>
      </c>
      <c r="D19" s="9" t="s">
        <v>59</v>
      </c>
      <c r="E19" s="9" t="s">
        <v>60</v>
      </c>
      <c r="F19" s="9"/>
      <c r="G19" s="9"/>
      <c r="H19" s="10">
        <v>46115</v>
      </c>
      <c r="I19" s="10">
        <v>46126</v>
      </c>
      <c r="J19" s="10">
        <v>46126</v>
      </c>
    </row>
    <row r="20" spans="1:10" ht="14.25" customHeight="1">
      <c r="A20" s="9" t="s">
        <v>40</v>
      </c>
      <c r="B20" s="9" t="s">
        <v>198</v>
      </c>
      <c r="C20" s="9" t="s">
        <v>58</v>
      </c>
      <c r="D20" s="9" t="s">
        <v>59</v>
      </c>
      <c r="E20" s="9" t="s">
        <v>60</v>
      </c>
      <c r="F20" s="9"/>
      <c r="G20" s="9"/>
      <c r="H20" s="10">
        <v>46126</v>
      </c>
      <c r="I20" s="10">
        <v>46122</v>
      </c>
      <c r="J20" s="10">
        <v>46122</v>
      </c>
    </row>
    <row r="21" spans="1:10" ht="14.25" customHeight="1">
      <c r="A21" s="9" t="s">
        <v>40</v>
      </c>
      <c r="B21" s="9" t="s">
        <v>166</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425</v>
      </c>
      <c r="E23" s="9" t="s">
        <v>46</v>
      </c>
      <c r="F23" s="9"/>
      <c r="G23" s="9"/>
      <c r="H23" s="10"/>
      <c r="I23" s="10">
        <v>46115</v>
      </c>
      <c r="J23" s="10">
        <v>46115</v>
      </c>
    </row>
    <row r="24" spans="1:10" ht="14.25" customHeight="1">
      <c r="A24" s="9" t="s">
        <v>40</v>
      </c>
      <c r="B24" s="9" t="s">
        <v>190</v>
      </c>
      <c r="C24" s="9" t="s">
        <v>64</v>
      </c>
      <c r="D24" s="9" t="s">
        <v>425</v>
      </c>
      <c r="E24" s="9" t="s">
        <v>46</v>
      </c>
      <c r="F24" s="9"/>
      <c r="G24" s="9"/>
      <c r="H24" s="10">
        <v>46115</v>
      </c>
      <c r="I24" s="10">
        <v>46120</v>
      </c>
      <c r="J24" s="10">
        <v>46120</v>
      </c>
    </row>
    <row r="25" spans="1:10" ht="14.25" customHeight="1">
      <c r="A25" s="9" t="s">
        <v>40</v>
      </c>
      <c r="B25" s="9" t="s">
        <v>198</v>
      </c>
      <c r="C25" s="9" t="s">
        <v>64</v>
      </c>
      <c r="D25" s="9" t="s">
        <v>425</v>
      </c>
      <c r="E25" s="9" t="s">
        <v>46</v>
      </c>
      <c r="F25" s="9"/>
      <c r="G25" s="9"/>
      <c r="H25" s="10">
        <v>46120</v>
      </c>
      <c r="I25" s="10">
        <v>46122</v>
      </c>
      <c r="J25" s="10">
        <v>46122</v>
      </c>
    </row>
    <row r="26" spans="1:10" ht="14.25" customHeight="1">
      <c r="A26" s="9" t="s">
        <v>40</v>
      </c>
      <c r="B26" s="9" t="s">
        <v>166</v>
      </c>
      <c r="C26" s="9" t="s">
        <v>64</v>
      </c>
      <c r="D26" s="9" t="s">
        <v>425</v>
      </c>
      <c r="E26" s="9" t="s">
        <v>46</v>
      </c>
      <c r="F26" s="9"/>
      <c r="G26" s="9"/>
      <c r="H26" s="10">
        <v>46122</v>
      </c>
      <c r="I26" s="10"/>
      <c r="J26" s="10"/>
    </row>
    <row r="27" spans="1:10" ht="14.25" customHeight="1">
      <c r="A27" s="9" t="s">
        <v>40</v>
      </c>
      <c r="B27" s="9" t="s">
        <v>42</v>
      </c>
      <c r="C27" s="9" t="s">
        <v>64</v>
      </c>
      <c r="D27" s="9" t="s">
        <v>425</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190</v>
      </c>
      <c r="C29" s="9" t="s">
        <v>69</v>
      </c>
      <c r="D29" s="9" t="s">
        <v>76</v>
      </c>
      <c r="E29" s="9" t="s">
        <v>60</v>
      </c>
      <c r="F29" s="9"/>
      <c r="G29" s="9"/>
      <c r="H29" s="10">
        <v>46115</v>
      </c>
      <c r="I29" s="10">
        <v>46126</v>
      </c>
      <c r="J29" s="10">
        <v>46126</v>
      </c>
    </row>
    <row r="30" spans="1:10" ht="14.25" customHeight="1">
      <c r="A30" s="9" t="s">
        <v>40</v>
      </c>
      <c r="B30" s="9" t="s">
        <v>198</v>
      </c>
      <c r="C30" s="9" t="s">
        <v>69</v>
      </c>
      <c r="D30" s="9" t="s">
        <v>76</v>
      </c>
      <c r="E30" s="9" t="s">
        <v>60</v>
      </c>
      <c r="F30" s="9"/>
      <c r="G30" s="9"/>
      <c r="H30" s="10">
        <v>46126</v>
      </c>
      <c r="I30" s="10">
        <v>46122</v>
      </c>
      <c r="J30" s="10">
        <v>46122</v>
      </c>
    </row>
    <row r="31" spans="1:10" ht="14.25" customHeight="1">
      <c r="A31" s="9" t="s">
        <v>40</v>
      </c>
      <c r="B31" s="9" t="s">
        <v>166</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425</v>
      </c>
      <c r="E33" s="9" t="s">
        <v>60</v>
      </c>
      <c r="F33" s="9"/>
      <c r="G33" s="9"/>
      <c r="H33" s="10"/>
      <c r="I33" s="10">
        <v>46122</v>
      </c>
      <c r="J33" s="10">
        <v>46122</v>
      </c>
    </row>
    <row r="34" spans="1:10" ht="14.25" customHeight="1">
      <c r="A34" s="9" t="s">
        <v>40</v>
      </c>
      <c r="B34" s="9" t="s">
        <v>190</v>
      </c>
      <c r="C34" s="9" t="s">
        <v>70</v>
      </c>
      <c r="D34" s="9" t="s">
        <v>425</v>
      </c>
      <c r="E34" s="9" t="s">
        <v>60</v>
      </c>
      <c r="F34" s="9"/>
      <c r="G34" s="9"/>
      <c r="H34" s="10">
        <v>46122</v>
      </c>
      <c r="I34" s="10">
        <v>46126</v>
      </c>
      <c r="J34" s="10">
        <v>46126</v>
      </c>
    </row>
    <row r="35" spans="1:10" ht="14.25" customHeight="1">
      <c r="A35" s="9" t="s">
        <v>40</v>
      </c>
      <c r="B35" s="9" t="s">
        <v>198</v>
      </c>
      <c r="C35" s="9" t="s">
        <v>70</v>
      </c>
      <c r="D35" s="9" t="s">
        <v>425</v>
      </c>
      <c r="E35" s="9" t="s">
        <v>60</v>
      </c>
      <c r="F35" s="9"/>
      <c r="G35" s="9"/>
      <c r="H35" s="10">
        <v>46126</v>
      </c>
      <c r="I35" s="10">
        <v>46122</v>
      </c>
      <c r="J35" s="10">
        <v>46122</v>
      </c>
    </row>
    <row r="36" spans="1:10" ht="14.25" customHeight="1">
      <c r="A36" s="9" t="s">
        <v>40</v>
      </c>
      <c r="B36" s="9" t="s">
        <v>166</v>
      </c>
      <c r="C36" s="9" t="s">
        <v>70</v>
      </c>
      <c r="D36" s="9" t="s">
        <v>425</v>
      </c>
      <c r="E36" s="9" t="s">
        <v>60</v>
      </c>
      <c r="F36" s="9"/>
      <c r="G36" s="9"/>
      <c r="H36" s="10">
        <v>46122</v>
      </c>
      <c r="I36" s="10"/>
      <c r="J36" s="10"/>
    </row>
    <row r="37" spans="1:10" ht="14.25" customHeight="1">
      <c r="A37" s="9" t="s">
        <v>40</v>
      </c>
      <c r="B37" s="9" t="s">
        <v>42</v>
      </c>
      <c r="C37" s="9" t="s">
        <v>70</v>
      </c>
      <c r="D37" s="9" t="s">
        <v>425</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190</v>
      </c>
      <c r="C39" s="9" t="s">
        <v>71</v>
      </c>
      <c r="D39" s="9" t="s">
        <v>84</v>
      </c>
      <c r="E39" s="9" t="s">
        <v>60</v>
      </c>
      <c r="F39" s="9"/>
      <c r="G39" s="9"/>
      <c r="H39" s="10">
        <v>46122</v>
      </c>
      <c r="I39" s="10">
        <v>46126</v>
      </c>
      <c r="J39" s="10">
        <v>46126</v>
      </c>
    </row>
    <row r="40" spans="1:10" ht="14.25" customHeight="1">
      <c r="A40" s="9" t="s">
        <v>40</v>
      </c>
      <c r="B40" s="9" t="s">
        <v>198</v>
      </c>
      <c r="C40" s="9" t="s">
        <v>71</v>
      </c>
      <c r="D40" s="9" t="s">
        <v>84</v>
      </c>
      <c r="E40" s="9" t="s">
        <v>60</v>
      </c>
      <c r="F40" s="9"/>
      <c r="G40" s="9"/>
      <c r="H40" s="10">
        <v>46126</v>
      </c>
      <c r="I40" s="10">
        <v>46122</v>
      </c>
      <c r="J40" s="10">
        <v>46122</v>
      </c>
    </row>
    <row r="41" spans="1:10" ht="14.25" customHeight="1">
      <c r="A41" s="9" t="s">
        <v>40</v>
      </c>
      <c r="B41" s="9" t="s">
        <v>166</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190</v>
      </c>
      <c r="C44" s="9" t="s">
        <v>73</v>
      </c>
      <c r="D44" s="9" t="s">
        <v>59</v>
      </c>
      <c r="E44" s="9" t="s">
        <v>60</v>
      </c>
      <c r="F44" s="9"/>
      <c r="G44" s="9"/>
      <c r="H44" s="10">
        <v>46127</v>
      </c>
      <c r="I44" s="10">
        <v>46126</v>
      </c>
      <c r="J44" s="10">
        <v>46126</v>
      </c>
    </row>
    <row r="45" spans="1:10" ht="14.25" customHeight="1">
      <c r="A45" s="9" t="s">
        <v>40</v>
      </c>
      <c r="B45" s="9" t="s">
        <v>198</v>
      </c>
      <c r="C45" s="9" t="s">
        <v>73</v>
      </c>
      <c r="D45" s="9" t="s">
        <v>59</v>
      </c>
      <c r="E45" s="9" t="s">
        <v>60</v>
      </c>
      <c r="F45" s="9"/>
      <c r="G45" s="9"/>
      <c r="H45" s="10">
        <v>46126</v>
      </c>
      <c r="I45" s="10">
        <v>46122</v>
      </c>
      <c r="J45" s="10">
        <v>46122</v>
      </c>
    </row>
    <row r="46" spans="1:10" ht="14.25" customHeight="1">
      <c r="A46" s="9" t="s">
        <v>40</v>
      </c>
      <c r="B46" s="9" t="s">
        <v>166</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425</v>
      </c>
      <c r="E48" s="9" t="s">
        <v>60</v>
      </c>
      <c r="F48" s="9"/>
      <c r="G48" s="9"/>
      <c r="H48" s="10"/>
      <c r="I48" s="10"/>
      <c r="J48" s="10"/>
    </row>
    <row r="49" spans="1:10" ht="14.25" customHeight="1">
      <c r="A49" s="9" t="s">
        <v>40</v>
      </c>
      <c r="B49" s="9" t="s">
        <v>190</v>
      </c>
      <c r="C49" s="9" t="s">
        <v>97</v>
      </c>
      <c r="D49" s="9" t="s">
        <v>425</v>
      </c>
      <c r="E49" s="9" t="s">
        <v>60</v>
      </c>
      <c r="F49" s="9"/>
      <c r="G49" s="9"/>
      <c r="H49" s="10"/>
      <c r="I49" s="10">
        <v>46139</v>
      </c>
      <c r="J49" s="10">
        <v>46139</v>
      </c>
    </row>
    <row r="50" spans="1:10" ht="14.25" customHeight="1">
      <c r="A50" s="9" t="s">
        <v>40</v>
      </c>
      <c r="B50" s="9" t="s">
        <v>198</v>
      </c>
      <c r="C50" s="9" t="s">
        <v>97</v>
      </c>
      <c r="D50" s="9" t="s">
        <v>425</v>
      </c>
      <c r="E50" s="9" t="s">
        <v>60</v>
      </c>
      <c r="F50" s="9"/>
      <c r="G50" s="9"/>
      <c r="H50" s="10">
        <v>46139</v>
      </c>
      <c r="I50" s="10">
        <v>46139</v>
      </c>
      <c r="J50" s="10">
        <v>46139</v>
      </c>
    </row>
    <row r="51" spans="1:10" ht="14.25" customHeight="1">
      <c r="A51" s="9" t="s">
        <v>40</v>
      </c>
      <c r="B51" s="9" t="s">
        <v>166</v>
      </c>
      <c r="C51" s="9" t="s">
        <v>97</v>
      </c>
      <c r="D51" s="9" t="s">
        <v>425</v>
      </c>
      <c r="E51" s="9" t="s">
        <v>60</v>
      </c>
      <c r="F51" s="9"/>
      <c r="G51" s="9"/>
      <c r="H51" s="10">
        <v>46139</v>
      </c>
      <c r="I51" s="10"/>
      <c r="J51" s="10"/>
    </row>
    <row r="52" spans="1:10" ht="14.25" customHeight="1">
      <c r="A52" s="9" t="s">
        <v>40</v>
      </c>
      <c r="B52" s="9" t="s">
        <v>42</v>
      </c>
      <c r="C52" s="9" t="s">
        <v>97</v>
      </c>
      <c r="D52" s="9" t="s">
        <v>425</v>
      </c>
      <c r="E52" s="9" t="s">
        <v>60</v>
      </c>
      <c r="F52" s="9"/>
      <c r="G52" s="9"/>
      <c r="H52" s="10"/>
      <c r="I52" s="10"/>
      <c r="J52" s="10"/>
    </row>
    <row r="53" spans="1:10" ht="14.25" customHeight="1">
      <c r="A53" s="9" t="s">
        <v>40</v>
      </c>
      <c r="B53" s="9" t="s">
        <v>183</v>
      </c>
      <c r="C53" s="9" t="s">
        <v>98</v>
      </c>
      <c r="D53" s="9" t="s">
        <v>425</v>
      </c>
      <c r="E53" s="9" t="s">
        <v>60</v>
      </c>
      <c r="F53" s="9"/>
      <c r="G53" s="9"/>
      <c r="H53" s="10"/>
      <c r="I53" s="10"/>
      <c r="J53" s="10"/>
    </row>
    <row r="54" spans="1:10" ht="14.25" customHeight="1">
      <c r="A54" s="9" t="s">
        <v>40</v>
      </c>
      <c r="B54" s="9" t="s">
        <v>190</v>
      </c>
      <c r="C54" s="9" t="s">
        <v>98</v>
      </c>
      <c r="D54" s="9" t="s">
        <v>425</v>
      </c>
      <c r="E54" s="9" t="s">
        <v>60</v>
      </c>
      <c r="F54" s="9"/>
      <c r="G54" s="9"/>
      <c r="H54" s="9"/>
      <c r="I54" s="10">
        <v>46141</v>
      </c>
      <c r="J54" s="10">
        <v>46141</v>
      </c>
    </row>
    <row r="55" spans="1:10" ht="14.25" customHeight="1">
      <c r="A55" s="9" t="s">
        <v>40</v>
      </c>
      <c r="B55" s="9" t="s">
        <v>198</v>
      </c>
      <c r="C55" s="9" t="s">
        <v>98</v>
      </c>
      <c r="D55" s="9" t="s">
        <v>425</v>
      </c>
      <c r="E55" s="9" t="s">
        <v>60</v>
      </c>
      <c r="F55" s="9"/>
      <c r="G55" s="9"/>
      <c r="H55" s="10">
        <v>46141</v>
      </c>
      <c r="I55" s="10">
        <v>46141</v>
      </c>
      <c r="J55" s="10">
        <v>46141</v>
      </c>
    </row>
    <row r="56" spans="1:10" ht="14.25" customHeight="1">
      <c r="A56" s="9" t="s">
        <v>40</v>
      </c>
      <c r="B56" s="9" t="s">
        <v>166</v>
      </c>
      <c r="C56" s="9" t="s">
        <v>98</v>
      </c>
      <c r="D56" s="9" t="s">
        <v>425</v>
      </c>
      <c r="E56" s="9" t="s">
        <v>60</v>
      </c>
      <c r="F56" s="9"/>
      <c r="G56" s="9"/>
      <c r="H56" s="10">
        <v>46141</v>
      </c>
      <c r="I56" s="10"/>
      <c r="J56" s="10"/>
    </row>
    <row r="57" spans="1:10" ht="14.25" customHeight="1">
      <c r="A57" s="9" t="s">
        <v>40</v>
      </c>
      <c r="B57" s="9" t="s">
        <v>42</v>
      </c>
      <c r="C57" s="9" t="s">
        <v>98</v>
      </c>
      <c r="D57" s="9" t="s">
        <v>425</v>
      </c>
      <c r="E57" s="9" t="s">
        <v>60</v>
      </c>
      <c r="F57" s="9"/>
      <c r="G57" s="9"/>
      <c r="H57" s="10"/>
      <c r="I57" s="10"/>
      <c r="J57" s="10"/>
    </row>
    <row r="58" spans="1:10" ht="14.25" customHeight="1">
      <c r="A58" s="9" t="s">
        <v>40</v>
      </c>
      <c r="B58" s="9" t="s">
        <v>183</v>
      </c>
      <c r="C58" s="9" t="s">
        <v>99</v>
      </c>
      <c r="D58" s="9" t="s">
        <v>425</v>
      </c>
      <c r="E58" s="9" t="s">
        <v>46</v>
      </c>
      <c r="F58" s="9"/>
      <c r="G58" s="9"/>
      <c r="H58" s="9"/>
      <c r="I58" s="10"/>
      <c r="J58" s="10"/>
    </row>
    <row r="59" spans="1:10" ht="14.25" customHeight="1">
      <c r="A59" s="9" t="s">
        <v>40</v>
      </c>
      <c r="B59" s="9" t="s">
        <v>190</v>
      </c>
      <c r="C59" s="9" t="s">
        <v>99</v>
      </c>
      <c r="D59" s="9" t="s">
        <v>425</v>
      </c>
      <c r="E59" s="9" t="s">
        <v>46</v>
      </c>
      <c r="F59" s="9"/>
      <c r="G59" s="9"/>
      <c r="H59" s="10"/>
      <c r="I59" s="10">
        <v>46161</v>
      </c>
      <c r="J59" s="10">
        <v>46161</v>
      </c>
    </row>
    <row r="60" spans="1:10" ht="14.25" customHeight="1">
      <c r="A60" s="9" t="s">
        <v>40</v>
      </c>
      <c r="B60" s="9" t="s">
        <v>198</v>
      </c>
      <c r="C60" s="9" t="s">
        <v>99</v>
      </c>
      <c r="D60" s="9" t="s">
        <v>425</v>
      </c>
      <c r="E60" s="9" t="s">
        <v>46</v>
      </c>
      <c r="F60" s="9"/>
      <c r="G60" s="9"/>
      <c r="H60" s="10">
        <v>46161</v>
      </c>
      <c r="I60" s="10">
        <v>46161</v>
      </c>
      <c r="J60" s="10">
        <v>46161</v>
      </c>
    </row>
    <row r="61" spans="1:10" ht="14.25" customHeight="1">
      <c r="A61" s="9" t="s">
        <v>40</v>
      </c>
      <c r="B61" s="9" t="s">
        <v>166</v>
      </c>
      <c r="C61" s="9" t="s">
        <v>99</v>
      </c>
      <c r="D61" s="9" t="s">
        <v>425</v>
      </c>
      <c r="E61" s="9" t="s">
        <v>46</v>
      </c>
      <c r="F61" s="9"/>
      <c r="G61" s="9"/>
      <c r="H61" s="10">
        <v>46161</v>
      </c>
      <c r="I61" s="10"/>
      <c r="J61" s="10"/>
    </row>
    <row r="62" spans="1:10" ht="14.25" customHeight="1">
      <c r="A62" s="9" t="s">
        <v>40</v>
      </c>
      <c r="B62" s="9" t="s">
        <v>42</v>
      </c>
      <c r="C62" s="9" t="s">
        <v>99</v>
      </c>
      <c r="D62" s="9" t="s">
        <v>425</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190</v>
      </c>
      <c r="C64" s="9" t="s">
        <v>100</v>
      </c>
      <c r="D64" s="9" t="s">
        <v>103</v>
      </c>
      <c r="E64" s="9" t="s">
        <v>46</v>
      </c>
      <c r="F64" s="9"/>
      <c r="G64" s="9"/>
      <c r="H64" s="10"/>
      <c r="I64" s="10">
        <v>46175</v>
      </c>
      <c r="J64" s="10">
        <v>46175</v>
      </c>
    </row>
    <row r="65" spans="1:10" ht="14.25" customHeight="1">
      <c r="A65" s="9" t="s">
        <v>40</v>
      </c>
      <c r="B65" s="9" t="s">
        <v>198</v>
      </c>
      <c r="C65" s="9" t="s">
        <v>100</v>
      </c>
      <c r="D65" s="9" t="s">
        <v>103</v>
      </c>
      <c r="E65" s="9" t="s">
        <v>46</v>
      </c>
      <c r="F65" s="9"/>
      <c r="G65" s="9"/>
      <c r="H65" s="10">
        <v>46175</v>
      </c>
      <c r="I65" s="10">
        <v>46175</v>
      </c>
      <c r="J65" s="10">
        <v>46175</v>
      </c>
    </row>
    <row r="66" spans="1:10" ht="14.25" customHeight="1">
      <c r="A66" s="9" t="s">
        <v>40</v>
      </c>
      <c r="B66" s="9" t="s">
        <v>166</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190</v>
      </c>
      <c r="C69" s="9" t="s">
        <v>74</v>
      </c>
      <c r="D69" s="9" t="s">
        <v>76</v>
      </c>
      <c r="E69" s="9" t="s">
        <v>77</v>
      </c>
      <c r="F69" s="9"/>
      <c r="G69" s="9"/>
      <c r="H69" s="9"/>
      <c r="I69" s="10">
        <v>46134</v>
      </c>
      <c r="J69" s="10">
        <v>46134</v>
      </c>
    </row>
    <row r="70" spans="1:10" ht="14.25" customHeight="1">
      <c r="A70" s="9" t="s">
        <v>40</v>
      </c>
      <c r="B70" s="9" t="s">
        <v>198</v>
      </c>
      <c r="C70" s="9" t="s">
        <v>74</v>
      </c>
      <c r="D70" s="9" t="s">
        <v>76</v>
      </c>
      <c r="E70" s="9" t="s">
        <v>77</v>
      </c>
      <c r="F70" s="9"/>
      <c r="G70" s="9"/>
      <c r="H70" s="10">
        <v>46134</v>
      </c>
      <c r="I70" s="10">
        <v>46134</v>
      </c>
      <c r="J70" s="10">
        <v>46134</v>
      </c>
    </row>
    <row r="71" spans="1:10" ht="14.25" customHeight="1">
      <c r="A71" s="9" t="s">
        <v>40</v>
      </c>
      <c r="B71" s="9" t="s">
        <v>166</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190</v>
      </c>
      <c r="C74" s="9" t="s">
        <v>80</v>
      </c>
      <c r="D74" s="9" t="s">
        <v>59</v>
      </c>
      <c r="E74" s="9" t="s">
        <v>77</v>
      </c>
      <c r="F74" s="9"/>
      <c r="G74" s="9"/>
      <c r="H74" s="10"/>
      <c r="I74" s="10">
        <v>46139</v>
      </c>
      <c r="J74" s="10">
        <v>46139</v>
      </c>
    </row>
    <row r="75" spans="1:10" ht="14.25" customHeight="1">
      <c r="A75" s="9" t="s">
        <v>40</v>
      </c>
      <c r="B75" s="9" t="s">
        <v>198</v>
      </c>
      <c r="C75" s="9" t="s">
        <v>80</v>
      </c>
      <c r="D75" s="9" t="s">
        <v>59</v>
      </c>
      <c r="E75" s="9" t="s">
        <v>77</v>
      </c>
      <c r="F75" s="9"/>
      <c r="G75" s="9"/>
      <c r="H75" s="10">
        <v>46139</v>
      </c>
      <c r="I75" s="10">
        <v>46139</v>
      </c>
      <c r="J75" s="10">
        <v>46139</v>
      </c>
    </row>
    <row r="76" spans="1:10" ht="14.25" customHeight="1">
      <c r="A76" s="9" t="s">
        <v>40</v>
      </c>
      <c r="B76" s="9" t="s">
        <v>166</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190</v>
      </c>
      <c r="C79" s="9" t="s">
        <v>83</v>
      </c>
      <c r="D79" s="9" t="s">
        <v>84</v>
      </c>
      <c r="E79" s="9" t="s">
        <v>60</v>
      </c>
      <c r="F79" s="9"/>
      <c r="G79" s="9"/>
      <c r="H79" s="9"/>
      <c r="I79" s="10">
        <v>46147</v>
      </c>
      <c r="J79" s="10">
        <v>46147</v>
      </c>
    </row>
    <row r="80" spans="1:10" ht="14.25" customHeight="1">
      <c r="A80" s="9" t="s">
        <v>40</v>
      </c>
      <c r="B80" s="9" t="s">
        <v>198</v>
      </c>
      <c r="C80" s="9" t="s">
        <v>83</v>
      </c>
      <c r="D80" s="9" t="s">
        <v>84</v>
      </c>
      <c r="E80" s="9" t="s">
        <v>60</v>
      </c>
      <c r="F80" s="9"/>
      <c r="G80" s="9"/>
      <c r="H80" s="10">
        <v>46147</v>
      </c>
      <c r="I80" s="10">
        <v>46147</v>
      </c>
      <c r="J80" s="10">
        <v>46147</v>
      </c>
    </row>
    <row r="81" spans="1:10" ht="14.25" customHeight="1">
      <c r="A81" s="9" t="s">
        <v>40</v>
      </c>
      <c r="B81" s="9" t="s">
        <v>166</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190</v>
      </c>
      <c r="C84" s="9" t="s">
        <v>87</v>
      </c>
      <c r="D84" s="9" t="s">
        <v>84</v>
      </c>
      <c r="E84" s="9" t="s">
        <v>46</v>
      </c>
      <c r="F84" s="9"/>
      <c r="G84" s="9"/>
      <c r="H84" s="10"/>
      <c r="I84" s="10">
        <v>46175</v>
      </c>
      <c r="J84" s="10">
        <v>46175</v>
      </c>
    </row>
    <row r="85" spans="1:10" ht="14.25" customHeight="1">
      <c r="A85" s="9" t="s">
        <v>40</v>
      </c>
      <c r="B85" s="9" t="s">
        <v>198</v>
      </c>
      <c r="C85" s="9" t="s">
        <v>87</v>
      </c>
      <c r="D85" s="9" t="s">
        <v>84</v>
      </c>
      <c r="E85" s="9" t="s">
        <v>46</v>
      </c>
      <c r="F85" s="9"/>
      <c r="G85" s="9"/>
      <c r="H85" s="10">
        <v>46175</v>
      </c>
      <c r="I85" s="10">
        <v>46179</v>
      </c>
      <c r="J85" s="10">
        <v>46179</v>
      </c>
    </row>
    <row r="86" spans="1:10" ht="14.25" customHeight="1">
      <c r="A86" s="9" t="s">
        <v>40</v>
      </c>
      <c r="B86" s="9" t="s">
        <v>166</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190</v>
      </c>
      <c r="C89" s="9" t="s">
        <v>90</v>
      </c>
      <c r="D89" s="9" t="s">
        <v>44</v>
      </c>
      <c r="E89" s="9" t="s">
        <v>60</v>
      </c>
      <c r="F89" s="9"/>
      <c r="G89" s="9"/>
      <c r="H89" s="9"/>
      <c r="I89" s="10">
        <v>46143</v>
      </c>
      <c r="J89" s="10">
        <v>46143</v>
      </c>
    </row>
    <row r="90" spans="1:10" ht="14.25" customHeight="1">
      <c r="A90" s="9" t="s">
        <v>40</v>
      </c>
      <c r="B90" s="9" t="s">
        <v>198</v>
      </c>
      <c r="C90" s="9" t="s">
        <v>90</v>
      </c>
      <c r="D90" s="9" t="s">
        <v>44</v>
      </c>
      <c r="E90" s="9" t="s">
        <v>60</v>
      </c>
      <c r="F90" s="9"/>
      <c r="G90" s="9"/>
      <c r="H90" s="10">
        <v>46143</v>
      </c>
      <c r="I90" s="10">
        <v>46175</v>
      </c>
      <c r="J90" s="10">
        <v>46175</v>
      </c>
    </row>
    <row r="91" spans="1:10" ht="14.25" customHeight="1">
      <c r="A91" s="9" t="s">
        <v>40</v>
      </c>
      <c r="B91" s="9" t="s">
        <v>166</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190</v>
      </c>
      <c r="C94" s="9" t="s">
        <v>93</v>
      </c>
      <c r="D94" s="9" t="s">
        <v>44</v>
      </c>
      <c r="E94" s="9" t="s">
        <v>77</v>
      </c>
      <c r="F94" s="9"/>
      <c r="G94" s="9"/>
      <c r="H94" s="10">
        <v>46175</v>
      </c>
      <c r="I94" s="10">
        <v>46178</v>
      </c>
      <c r="J94" s="10">
        <v>46178</v>
      </c>
    </row>
    <row r="95" spans="1:10" ht="14.25" customHeight="1">
      <c r="A95" s="9" t="s">
        <v>40</v>
      </c>
      <c r="B95" s="9" t="s">
        <v>198</v>
      </c>
      <c r="C95" s="9" t="s">
        <v>93</v>
      </c>
      <c r="D95" s="9" t="s">
        <v>44</v>
      </c>
      <c r="E95" s="9" t="s">
        <v>77</v>
      </c>
      <c r="F95" s="9"/>
      <c r="G95" s="9"/>
      <c r="H95" s="10">
        <v>46178</v>
      </c>
      <c r="I95" s="10">
        <v>46175</v>
      </c>
      <c r="J95" s="10">
        <v>46175</v>
      </c>
    </row>
    <row r="96" spans="1:10" ht="14.25" customHeight="1">
      <c r="A96" s="9" t="s">
        <v>40</v>
      </c>
      <c r="B96" s="9" t="s">
        <v>166</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190</v>
      </c>
      <c r="C99" s="9" t="s">
        <v>101</v>
      </c>
      <c r="D99" s="9" t="s">
        <v>103</v>
      </c>
      <c r="E99" s="9" t="s">
        <v>60</v>
      </c>
      <c r="F99" s="9"/>
      <c r="G99" s="9"/>
      <c r="H99" s="10">
        <v>46148</v>
      </c>
      <c r="I99" s="10">
        <v>46183</v>
      </c>
      <c r="J99" s="10">
        <v>46183</v>
      </c>
    </row>
    <row r="100" spans="1:10" ht="14.25" customHeight="1">
      <c r="A100" s="9" t="s">
        <v>40</v>
      </c>
      <c r="B100" s="9" t="s">
        <v>198</v>
      </c>
      <c r="C100" s="9" t="s">
        <v>101</v>
      </c>
      <c r="D100" s="9" t="s">
        <v>103</v>
      </c>
      <c r="E100" s="9" t="s">
        <v>60</v>
      </c>
      <c r="F100" s="9"/>
      <c r="G100" s="9"/>
      <c r="H100" s="10">
        <v>46183</v>
      </c>
      <c r="I100" s="10">
        <v>46195</v>
      </c>
      <c r="J100" s="10">
        <v>46195</v>
      </c>
    </row>
    <row r="101" spans="1:10" ht="14.25" customHeight="1">
      <c r="A101" s="9" t="s">
        <v>40</v>
      </c>
      <c r="B101" s="9" t="s">
        <v>166</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190</v>
      </c>
      <c r="C104" s="9" t="s">
        <v>105</v>
      </c>
      <c r="D104" s="9" t="s">
        <v>103</v>
      </c>
      <c r="E104" s="9" t="s">
        <v>77</v>
      </c>
      <c r="F104" s="9"/>
      <c r="G104" s="9"/>
      <c r="H104" s="10">
        <v>46162</v>
      </c>
      <c r="I104" s="10">
        <v>46182</v>
      </c>
      <c r="J104" s="10">
        <v>46182</v>
      </c>
    </row>
    <row r="105" spans="1:10" ht="14.25" customHeight="1">
      <c r="A105" s="9" t="s">
        <v>40</v>
      </c>
      <c r="B105" s="9" t="s">
        <v>198</v>
      </c>
      <c r="C105" s="9" t="s">
        <v>105</v>
      </c>
      <c r="D105" s="9" t="s">
        <v>103</v>
      </c>
      <c r="E105" s="9" t="s">
        <v>77</v>
      </c>
      <c r="F105" s="9"/>
      <c r="G105" s="9"/>
      <c r="H105" s="10">
        <v>46182</v>
      </c>
      <c r="I105" s="10">
        <v>46198</v>
      </c>
      <c r="J105" s="10">
        <v>46198</v>
      </c>
    </row>
    <row r="106" spans="1:10" ht="14.25" customHeight="1">
      <c r="A106" s="9" t="s">
        <v>40</v>
      </c>
      <c r="B106" s="9" t="s">
        <v>166</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190</v>
      </c>
      <c r="C109" s="9" t="s">
        <v>108</v>
      </c>
      <c r="D109" s="9" t="s">
        <v>44</v>
      </c>
      <c r="E109" s="9" t="s">
        <v>60</v>
      </c>
      <c r="F109" s="9"/>
      <c r="G109" s="9"/>
      <c r="H109" s="10">
        <v>46168</v>
      </c>
      <c r="I109" s="10">
        <v>46183</v>
      </c>
      <c r="J109" s="10">
        <v>46183</v>
      </c>
    </row>
    <row r="110" spans="1:10" ht="14.25" customHeight="1">
      <c r="A110" s="9" t="s">
        <v>40</v>
      </c>
      <c r="B110" s="9" t="s">
        <v>198</v>
      </c>
      <c r="C110" s="9" t="s">
        <v>108</v>
      </c>
      <c r="D110" s="9" t="s">
        <v>44</v>
      </c>
      <c r="E110" s="9" t="s">
        <v>60</v>
      </c>
      <c r="F110" s="9"/>
      <c r="G110" s="9"/>
      <c r="H110" s="10">
        <v>46183</v>
      </c>
      <c r="I110" s="10">
        <v>46198</v>
      </c>
      <c r="J110" s="10">
        <v>46198</v>
      </c>
    </row>
    <row r="111" spans="1:10" ht="14.25" customHeight="1">
      <c r="A111" s="9" t="s">
        <v>40</v>
      </c>
      <c r="B111" s="9" t="s">
        <v>166</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190</v>
      </c>
      <c r="C114" s="9" t="s">
        <v>109</v>
      </c>
      <c r="D114" s="9" t="s">
        <v>44</v>
      </c>
      <c r="E114" s="9" t="s">
        <v>60</v>
      </c>
      <c r="F114" s="9"/>
      <c r="G114" s="9"/>
      <c r="H114" s="10">
        <v>46165</v>
      </c>
      <c r="I114" s="10">
        <v>46153</v>
      </c>
      <c r="J114" s="10">
        <v>46153</v>
      </c>
    </row>
    <row r="115" spans="1:10" ht="14.25" customHeight="1">
      <c r="A115" s="9" t="s">
        <v>40</v>
      </c>
      <c r="B115" s="9" t="s">
        <v>198</v>
      </c>
      <c r="C115" s="9" t="s">
        <v>109</v>
      </c>
      <c r="D115" s="9" t="s">
        <v>44</v>
      </c>
      <c r="E115" s="9" t="s">
        <v>60</v>
      </c>
      <c r="F115" s="9"/>
      <c r="G115" s="9"/>
      <c r="H115" s="10">
        <v>46153</v>
      </c>
      <c r="I115" s="10">
        <v>46154</v>
      </c>
      <c r="J115" s="10">
        <v>46154</v>
      </c>
    </row>
    <row r="116" spans="1:10" ht="14.25" customHeight="1">
      <c r="A116" s="9" t="s">
        <v>40</v>
      </c>
      <c r="B116" s="9" t="s">
        <v>166</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190</v>
      </c>
      <c r="C119" s="9" t="s">
        <v>113</v>
      </c>
      <c r="D119" s="9" t="s">
        <v>59</v>
      </c>
      <c r="E119" s="9" t="s">
        <v>46</v>
      </c>
      <c r="F119" s="9"/>
      <c r="G119" s="9"/>
      <c r="H119" s="10">
        <v>46162</v>
      </c>
      <c r="I119" s="10">
        <v>46186</v>
      </c>
      <c r="J119" s="10">
        <v>46186</v>
      </c>
    </row>
    <row r="120" spans="1:10" ht="14.25" customHeight="1">
      <c r="A120" s="9" t="s">
        <v>40</v>
      </c>
      <c r="B120" s="9" t="s">
        <v>198</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190</v>
      </c>
      <c r="C122" s="9" t="s">
        <v>116</v>
      </c>
      <c r="D122" s="9" t="s">
        <v>59</v>
      </c>
      <c r="E122" s="9" t="s">
        <v>77</v>
      </c>
      <c r="F122" s="9"/>
      <c r="G122" s="9"/>
      <c r="H122" s="10">
        <v>46162</v>
      </c>
      <c r="I122" s="10">
        <v>46164</v>
      </c>
      <c r="J122" s="10">
        <v>46164</v>
      </c>
    </row>
    <row r="123" spans="1:10" ht="14.25" customHeight="1">
      <c r="A123" s="9" t="s">
        <v>40</v>
      </c>
      <c r="B123" s="9" t="s">
        <v>198</v>
      </c>
      <c r="C123" s="9" t="s">
        <v>116</v>
      </c>
      <c r="D123" s="9" t="s">
        <v>59</v>
      </c>
      <c r="E123" s="9" t="s">
        <v>77</v>
      </c>
      <c r="F123" s="9"/>
      <c r="G123" s="9"/>
      <c r="H123" s="10">
        <v>46164</v>
      </c>
      <c r="I123" s="10">
        <v>46204</v>
      </c>
      <c r="J123" s="10">
        <v>46204</v>
      </c>
    </row>
    <row r="124" spans="1:10" ht="14.25" customHeight="1">
      <c r="A124" s="9" t="s">
        <v>40</v>
      </c>
      <c r="B124" s="9" t="s">
        <v>166</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190</v>
      </c>
      <c r="C127" s="9" t="s">
        <v>117</v>
      </c>
      <c r="D127" s="9" t="s">
        <v>65</v>
      </c>
      <c r="E127" s="9" t="s">
        <v>60</v>
      </c>
      <c r="F127" s="9"/>
      <c r="G127" s="9"/>
      <c r="H127" s="10">
        <v>46169</v>
      </c>
      <c r="I127" s="10">
        <v>46191</v>
      </c>
      <c r="J127" s="10">
        <v>46191</v>
      </c>
    </row>
    <row r="128" spans="1:10" ht="14.25" customHeight="1">
      <c r="A128" s="9" t="s">
        <v>40</v>
      </c>
      <c r="B128" s="9" t="s">
        <v>198</v>
      </c>
      <c r="C128" s="9" t="s">
        <v>117</v>
      </c>
      <c r="D128" s="9" t="s">
        <v>65</v>
      </c>
      <c r="E128" s="9" t="s">
        <v>60</v>
      </c>
      <c r="F128" s="9"/>
      <c r="G128" s="9"/>
      <c r="H128" s="10">
        <v>46191</v>
      </c>
      <c r="I128" s="10">
        <v>46196</v>
      </c>
      <c r="J128" s="10">
        <v>46196</v>
      </c>
    </row>
    <row r="129" spans="1:10" ht="14.25" customHeight="1">
      <c r="A129" s="9" t="s">
        <v>40</v>
      </c>
      <c r="B129" s="9" t="s">
        <v>166</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190</v>
      </c>
      <c r="C132" s="9" t="s">
        <v>121</v>
      </c>
      <c r="D132" s="9" t="s">
        <v>103</v>
      </c>
      <c r="E132" s="9" t="s">
        <v>77</v>
      </c>
      <c r="F132" s="9"/>
      <c r="G132" s="9"/>
      <c r="H132" s="10">
        <v>46168</v>
      </c>
      <c r="I132" s="10">
        <v>46189</v>
      </c>
      <c r="J132" s="10">
        <v>46189</v>
      </c>
    </row>
    <row r="133" spans="1:10" ht="14.25" customHeight="1">
      <c r="A133" s="9" t="s">
        <v>40</v>
      </c>
      <c r="B133" s="9" t="s">
        <v>198</v>
      </c>
      <c r="C133" s="9" t="s">
        <v>121</v>
      </c>
      <c r="D133" s="9" t="s">
        <v>103</v>
      </c>
      <c r="E133" s="9" t="s">
        <v>77</v>
      </c>
      <c r="F133" s="9"/>
      <c r="G133" s="9"/>
      <c r="H133" s="10">
        <v>46189</v>
      </c>
      <c r="I133" s="10">
        <v>46189</v>
      </c>
      <c r="J133" s="10">
        <v>46189</v>
      </c>
    </row>
    <row r="134" spans="1:10" ht="14.25" customHeight="1">
      <c r="A134" s="9" t="s">
        <v>40</v>
      </c>
      <c r="B134" s="9" t="s">
        <v>166</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190</v>
      </c>
      <c r="C137" s="9" t="s">
        <v>123</v>
      </c>
      <c r="D137" s="9" t="s">
        <v>84</v>
      </c>
      <c r="E137" s="9" t="s">
        <v>77</v>
      </c>
      <c r="F137" s="9"/>
      <c r="G137" s="9"/>
      <c r="H137" s="10">
        <v>46169</v>
      </c>
      <c r="I137" s="10">
        <v>46195</v>
      </c>
      <c r="J137" s="10">
        <v>46195</v>
      </c>
    </row>
    <row r="138" spans="1:10" ht="14.25" customHeight="1">
      <c r="A138" s="9" t="s">
        <v>40</v>
      </c>
      <c r="B138" s="9" t="s">
        <v>198</v>
      </c>
      <c r="C138" s="9" t="s">
        <v>123</v>
      </c>
      <c r="D138" s="9" t="s">
        <v>84</v>
      </c>
      <c r="E138" s="9" t="s">
        <v>77</v>
      </c>
      <c r="F138" s="9"/>
      <c r="G138" s="9"/>
      <c r="H138" s="10">
        <v>46195</v>
      </c>
      <c r="I138" s="10">
        <v>46197</v>
      </c>
      <c r="J138" s="10">
        <v>46197</v>
      </c>
    </row>
    <row r="139" spans="1:10" ht="14.25" customHeight="1">
      <c r="A139" s="9" t="s">
        <v>40</v>
      </c>
      <c r="B139" s="9" t="s">
        <v>166</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190</v>
      </c>
      <c r="C142" s="9" t="s">
        <v>127</v>
      </c>
      <c r="D142" s="9" t="s">
        <v>76</v>
      </c>
      <c r="E142" s="9" t="s">
        <v>60</v>
      </c>
      <c r="F142" s="9"/>
      <c r="G142" s="9" t="s">
        <v>129</v>
      </c>
      <c r="H142" s="9"/>
      <c r="I142" s="10">
        <v>46213</v>
      </c>
      <c r="J142" s="10">
        <v>46213</v>
      </c>
    </row>
    <row r="143" spans="1:10" ht="14.25" customHeight="1">
      <c r="A143" s="9" t="s">
        <v>126</v>
      </c>
      <c r="B143" s="9" t="s">
        <v>198</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190</v>
      </c>
      <c r="C145" s="9" t="s">
        <v>134</v>
      </c>
      <c r="D145" s="9" t="s">
        <v>65</v>
      </c>
      <c r="E145" s="9" t="s">
        <v>77</v>
      </c>
      <c r="F145" s="9"/>
      <c r="G145" s="9" t="s">
        <v>129</v>
      </c>
      <c r="H145" s="9"/>
      <c r="I145" s="10">
        <v>46218</v>
      </c>
      <c r="J145" s="10">
        <v>46218</v>
      </c>
    </row>
    <row r="146" spans="1:10" ht="14.25" customHeight="1">
      <c r="A146" s="9" t="s">
        <v>126</v>
      </c>
      <c r="B146" s="9" t="s">
        <v>198</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190</v>
      </c>
      <c r="C148" s="9" t="s">
        <v>137</v>
      </c>
      <c r="D148" s="9" t="s">
        <v>65</v>
      </c>
      <c r="E148" s="9" t="s">
        <v>77</v>
      </c>
      <c r="F148" s="9"/>
      <c r="G148" s="9" t="s">
        <v>129</v>
      </c>
      <c r="H148" s="9"/>
      <c r="I148" s="10">
        <v>46225</v>
      </c>
      <c r="J148" s="10">
        <v>46225</v>
      </c>
    </row>
    <row r="149" spans="1:10" ht="14.25" customHeight="1">
      <c r="A149" s="9" t="s">
        <v>126</v>
      </c>
      <c r="B149" s="9" t="s">
        <v>198</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190</v>
      </c>
      <c r="C151" s="9" t="s">
        <v>139</v>
      </c>
      <c r="D151" s="9" t="s">
        <v>59</v>
      </c>
      <c r="E151" s="9" t="s">
        <v>46</v>
      </c>
      <c r="F151" s="9"/>
      <c r="G151" s="9" t="s">
        <v>129</v>
      </c>
      <c r="H151" s="9"/>
      <c r="I151" s="10">
        <v>46227</v>
      </c>
      <c r="J151" s="10">
        <v>46227</v>
      </c>
    </row>
    <row r="152" spans="1:10" ht="14.25" customHeight="1">
      <c r="A152" s="9" t="s">
        <v>126</v>
      </c>
      <c r="B152" s="9" t="s">
        <v>198</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190</v>
      </c>
      <c r="C154" s="9" t="s">
        <v>142</v>
      </c>
      <c r="D154" s="9" t="s">
        <v>103</v>
      </c>
      <c r="E154" s="9" t="s">
        <v>77</v>
      </c>
      <c r="F154" s="9"/>
      <c r="G154" s="9" t="s">
        <v>129</v>
      </c>
      <c r="H154" s="9"/>
      <c r="I154" s="10">
        <v>46216</v>
      </c>
      <c r="J154" s="10">
        <v>46216</v>
      </c>
    </row>
    <row r="155" spans="1:10" ht="14.25" customHeight="1">
      <c r="A155" s="9" t="s">
        <v>126</v>
      </c>
      <c r="B155" s="9" t="s">
        <v>198</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190</v>
      </c>
      <c r="C159" s="3" t="s">
        <v>150</v>
      </c>
      <c r="D159" s="3" t="s">
        <v>65</v>
      </c>
      <c r="E159" s="3" t="s">
        <v>46</v>
      </c>
      <c r="F159" s="3"/>
      <c r="G159" s="3" t="s">
        <v>145</v>
      </c>
      <c r="H159" s="3"/>
      <c r="I159" s="4">
        <v>46221</v>
      </c>
      <c r="J159" s="4">
        <v>46221</v>
      </c>
    </row>
    <row r="160" spans="1:10">
      <c r="A160" s="3" t="s">
        <v>126</v>
      </c>
      <c r="B160" s="3" t="s">
        <v>198</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190</v>
      </c>
      <c r="C162" s="3" t="s">
        <v>151</v>
      </c>
      <c r="D162" s="3" t="s">
        <v>84</v>
      </c>
      <c r="E162" s="3" t="s">
        <v>60</v>
      </c>
      <c r="F162" s="3"/>
      <c r="G162" s="3" t="s">
        <v>145</v>
      </c>
      <c r="H162" s="3"/>
      <c r="I162" s="4">
        <v>46220</v>
      </c>
      <c r="J162" s="4">
        <v>46220</v>
      </c>
    </row>
    <row r="163" spans="1:10">
      <c r="A163" s="3" t="s">
        <v>126</v>
      </c>
      <c r="B163" s="3" t="s">
        <v>198</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190</v>
      </c>
      <c r="C165" s="3" t="s">
        <v>154</v>
      </c>
      <c r="D165" s="3" t="s">
        <v>156</v>
      </c>
      <c r="E165" s="3" t="s">
        <v>60</v>
      </c>
      <c r="F165" s="3"/>
      <c r="G165" s="3" t="s">
        <v>145</v>
      </c>
      <c r="H165" s="3"/>
      <c r="I165" s="4">
        <v>46224</v>
      </c>
      <c r="J165" s="4">
        <v>46224</v>
      </c>
    </row>
    <row r="166" spans="1:10">
      <c r="A166" s="3" t="s">
        <v>126</v>
      </c>
      <c r="B166" s="3" t="s">
        <v>198</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190</v>
      </c>
      <c r="C168" s="3" t="s">
        <v>157</v>
      </c>
      <c r="D168" s="3" t="s">
        <v>156</v>
      </c>
      <c r="E168" s="3" t="s">
        <v>77</v>
      </c>
      <c r="F168" s="3"/>
      <c r="G168" s="3" t="s">
        <v>145</v>
      </c>
      <c r="H168" s="3"/>
      <c r="I168" s="4">
        <v>46225</v>
      </c>
      <c r="J168" s="4">
        <v>46225</v>
      </c>
    </row>
    <row r="169" spans="1:10">
      <c r="A169" s="3" t="s">
        <v>126</v>
      </c>
      <c r="B169" s="3" t="s">
        <v>198</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190</v>
      </c>
      <c r="C171" s="3" t="s">
        <v>158</v>
      </c>
      <c r="D171" s="3" t="s">
        <v>76</v>
      </c>
      <c r="E171" s="3" t="s">
        <v>46</v>
      </c>
      <c r="F171" s="3"/>
      <c r="G171" s="3" t="s">
        <v>129</v>
      </c>
      <c r="H171" s="3"/>
      <c r="I171" s="4">
        <v>46226</v>
      </c>
      <c r="J171" s="4">
        <v>46226</v>
      </c>
    </row>
    <row r="172" spans="1:10">
      <c r="A172" s="3" t="s">
        <v>126</v>
      </c>
      <c r="B172" s="3" t="s">
        <v>198</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190</v>
      </c>
      <c r="C174" s="3" t="s">
        <v>160</v>
      </c>
      <c r="D174" s="3" t="s">
        <v>59</v>
      </c>
      <c r="E174" s="3" t="s">
        <v>60</v>
      </c>
      <c r="F174" s="3"/>
      <c r="G174" s="3" t="s">
        <v>129</v>
      </c>
      <c r="H174" s="3"/>
      <c r="I174" s="4">
        <v>46225</v>
      </c>
      <c r="J174" s="4">
        <v>46225</v>
      </c>
    </row>
    <row r="175" spans="1:10">
      <c r="A175" s="3" t="s">
        <v>126</v>
      </c>
      <c r="B175" s="3" t="s">
        <v>198</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190</v>
      </c>
      <c r="C177" s="3" t="s">
        <v>162</v>
      </c>
      <c r="D177" s="3" t="s">
        <v>76</v>
      </c>
      <c r="E177" s="3" t="s">
        <v>77</v>
      </c>
      <c r="F177" s="3"/>
      <c r="G177" s="3" t="s">
        <v>145</v>
      </c>
      <c r="H177" s="3"/>
      <c r="I177" s="4">
        <v>46225</v>
      </c>
      <c r="J177" s="4">
        <v>46225</v>
      </c>
    </row>
    <row r="178" spans="1:10">
      <c r="A178" s="3" t="s">
        <v>126</v>
      </c>
      <c r="B178" s="3" t="s">
        <v>198</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190</v>
      </c>
      <c r="C180" s="3" t="s">
        <v>165</v>
      </c>
      <c r="D180" s="3" t="s">
        <v>103</v>
      </c>
      <c r="E180" s="3"/>
      <c r="F180" s="3"/>
      <c r="G180" s="3"/>
      <c r="H180" s="3"/>
      <c r="I180" s="3"/>
      <c r="J180" s="3"/>
    </row>
    <row r="181" spans="1:10">
      <c r="A181" s="3" t="s">
        <v>126</v>
      </c>
      <c r="B181" s="3" t="s">
        <v>198</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190</v>
      </c>
      <c r="C183" s="3" t="s">
        <v>176</v>
      </c>
      <c r="D183" s="3" t="s">
        <v>84</v>
      </c>
      <c r="E183" s="3"/>
      <c r="F183" s="3"/>
      <c r="G183" s="3"/>
      <c r="H183" s="3"/>
      <c r="I183" s="3"/>
      <c r="J183" s="3"/>
    </row>
    <row r="184" spans="1:10">
      <c r="A184" s="3" t="s">
        <v>126</v>
      </c>
      <c r="B184" s="3" t="s">
        <v>198</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topLeftCell="G1" zoomScaleNormal="100" workbookViewId="0"/>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426</v>
      </c>
      <c r="F1" s="1" t="s">
        <v>333</v>
      </c>
      <c r="G1" s="5" t="s">
        <v>427</v>
      </c>
      <c r="H1" s="5" t="s">
        <v>20</v>
      </c>
      <c r="I1" t="s">
        <v>35</v>
      </c>
      <c r="J1" s="5" t="s">
        <v>428</v>
      </c>
      <c r="K1" s="5" t="s">
        <v>166</v>
      </c>
      <c r="L1" s="5" t="s">
        <v>352</v>
      </c>
      <c r="M1" s="1" t="s">
        <v>429</v>
      </c>
      <c r="N1" s="1" t="s">
        <v>430</v>
      </c>
      <c r="R1" t="s">
        <v>13</v>
      </c>
      <c r="T1" t="s">
        <v>431</v>
      </c>
    </row>
    <row r="2" spans="1:20" ht="13.5" customHeight="1">
      <c r="A2" s="2" t="s">
        <v>432</v>
      </c>
      <c r="B2" s="2" t="s">
        <v>433</v>
      </c>
      <c r="C2" s="2" t="s">
        <v>434</v>
      </c>
      <c r="D2" s="2" t="s">
        <v>435</v>
      </c>
      <c r="E2" s="2" t="s">
        <v>436</v>
      </c>
      <c r="F2" s="2" t="s">
        <v>437</v>
      </c>
      <c r="G2" t="s">
        <v>438</v>
      </c>
      <c r="H2" t="s">
        <v>439</v>
      </c>
      <c r="I2" t="s">
        <v>440</v>
      </c>
      <c r="J2" s="29" t="s">
        <v>441</v>
      </c>
      <c r="K2" s="29" t="s">
        <v>442</v>
      </c>
      <c r="L2" s="29" t="s">
        <v>443</v>
      </c>
      <c r="M2" t="s">
        <v>145</v>
      </c>
      <c r="N2" s="45" t="s">
        <v>444</v>
      </c>
      <c r="R2" t="s">
        <v>253</v>
      </c>
      <c r="T2" t="s">
        <v>49</v>
      </c>
    </row>
    <row r="3" spans="1:20" ht="15" customHeight="1">
      <c r="A3" t="s">
        <v>40</v>
      </c>
      <c r="B3" t="s">
        <v>44</v>
      </c>
      <c r="C3" t="s">
        <v>60</v>
      </c>
      <c r="D3" t="s">
        <v>129</v>
      </c>
      <c r="E3" t="s">
        <v>50</v>
      </c>
      <c r="F3" t="s">
        <v>221</v>
      </c>
      <c r="G3" t="s">
        <v>44</v>
      </c>
      <c r="H3" t="s">
        <v>47</v>
      </c>
      <c r="I3" t="s">
        <v>53</v>
      </c>
      <c r="J3" t="s">
        <v>183</v>
      </c>
      <c r="K3" t="s">
        <v>48</v>
      </c>
      <c r="L3" t="s">
        <v>53</v>
      </c>
      <c r="M3" t="s">
        <v>44</v>
      </c>
      <c r="N3" s="45" t="s">
        <v>445</v>
      </c>
      <c r="R3" t="s">
        <v>45</v>
      </c>
      <c r="T3" t="s">
        <v>94</v>
      </c>
    </row>
    <row r="4" spans="1:20" ht="15" customHeight="1">
      <c r="A4" t="s">
        <v>126</v>
      </c>
      <c r="B4" t="s">
        <v>59</v>
      </c>
      <c r="C4" t="s">
        <v>46</v>
      </c>
      <c r="D4" t="s">
        <v>145</v>
      </c>
      <c r="E4" t="s">
        <v>53</v>
      </c>
      <c r="F4" t="s">
        <v>183</v>
      </c>
      <c r="G4" t="s">
        <v>59</v>
      </c>
      <c r="H4" t="s">
        <v>88</v>
      </c>
      <c r="I4" t="s">
        <v>184</v>
      </c>
      <c r="J4" t="s">
        <v>190</v>
      </c>
      <c r="L4" t="s">
        <v>50</v>
      </c>
      <c r="M4" t="s">
        <v>103</v>
      </c>
      <c r="N4" s="45" t="s">
        <v>445</v>
      </c>
      <c r="R4" t="s">
        <v>186</v>
      </c>
      <c r="T4" t="s">
        <v>72</v>
      </c>
    </row>
    <row r="5" spans="1:20" ht="15" customHeight="1">
      <c r="A5" t="s">
        <v>416</v>
      </c>
      <c r="B5" t="s">
        <v>425</v>
      </c>
      <c r="C5" t="s">
        <v>77</v>
      </c>
      <c r="F5" t="s">
        <v>190</v>
      </c>
      <c r="G5" t="s">
        <v>425</v>
      </c>
      <c r="H5" t="s">
        <v>129</v>
      </c>
      <c r="I5" t="s">
        <v>213</v>
      </c>
      <c r="J5" t="s">
        <v>198</v>
      </c>
      <c r="L5" t="s">
        <v>446</v>
      </c>
      <c r="M5" t="s">
        <v>88</v>
      </c>
      <c r="N5" s="45" t="s">
        <v>445</v>
      </c>
    </row>
    <row r="6" spans="1:20" ht="15" customHeight="1">
      <c r="A6" t="s">
        <v>306</v>
      </c>
      <c r="B6" t="s">
        <v>84</v>
      </c>
      <c r="F6" t="s">
        <v>198</v>
      </c>
      <c r="G6" t="s">
        <v>84</v>
      </c>
      <c r="H6" t="s">
        <v>145</v>
      </c>
      <c r="I6" t="s">
        <v>192</v>
      </c>
      <c r="J6" t="s">
        <v>166</v>
      </c>
      <c r="M6" t="s">
        <v>48</v>
      </c>
      <c r="N6" s="45" t="s">
        <v>445</v>
      </c>
    </row>
    <row r="7" spans="1:20" ht="15" customHeight="1">
      <c r="A7" t="s">
        <v>296</v>
      </c>
      <c r="B7" t="s">
        <v>65</v>
      </c>
      <c r="F7" t="s">
        <v>166</v>
      </c>
      <c r="G7" t="s">
        <v>65</v>
      </c>
      <c r="H7" t="s">
        <v>205</v>
      </c>
      <c r="I7" t="s">
        <v>447</v>
      </c>
      <c r="M7" t="s">
        <v>129</v>
      </c>
      <c r="N7" s="45" t="s">
        <v>445</v>
      </c>
    </row>
    <row r="8" spans="1:20" ht="15" customHeight="1">
      <c r="B8" t="s">
        <v>76</v>
      </c>
      <c r="F8" t="s">
        <v>128</v>
      </c>
      <c r="G8" t="s">
        <v>76</v>
      </c>
      <c r="I8" t="s">
        <v>448</v>
      </c>
      <c r="M8" t="s">
        <v>60</v>
      </c>
      <c r="N8" s="45" t="s">
        <v>445</v>
      </c>
    </row>
    <row r="9" spans="1:20" ht="15" customHeight="1">
      <c r="B9" t="s">
        <v>103</v>
      </c>
      <c r="F9" t="s">
        <v>42</v>
      </c>
      <c r="G9" t="s">
        <v>103</v>
      </c>
      <c r="I9" t="s">
        <v>449</v>
      </c>
      <c r="M9" t="s">
        <v>156</v>
      </c>
      <c r="N9" s="45" t="s">
        <v>445</v>
      </c>
    </row>
    <row r="10" spans="1:20" ht="15" customHeight="1">
      <c r="B10" t="s">
        <v>156</v>
      </c>
      <c r="G10" t="s">
        <v>156</v>
      </c>
      <c r="M10" t="s">
        <v>47</v>
      </c>
      <c r="N10" s="45" t="s">
        <v>445</v>
      </c>
    </row>
    <row r="11" spans="1:20">
      <c r="B11" t="s">
        <v>450</v>
      </c>
      <c r="G11" t="s">
        <v>60</v>
      </c>
      <c r="M11" t="s">
        <v>76</v>
      </c>
      <c r="N11" s="45" t="s">
        <v>445</v>
      </c>
    </row>
    <row r="12" spans="1:20">
      <c r="B12" t="s">
        <v>451</v>
      </c>
      <c r="G12" t="s">
        <v>46</v>
      </c>
      <c r="M12" t="s">
        <v>46</v>
      </c>
      <c r="N12" s="45" t="s">
        <v>445</v>
      </c>
    </row>
    <row r="13" spans="1:20">
      <c r="G13" t="s">
        <v>77</v>
      </c>
      <c r="M13" t="s">
        <v>77</v>
      </c>
      <c r="N13" s="45" t="s">
        <v>445</v>
      </c>
    </row>
    <row r="14" spans="1:20">
      <c r="M14" t="s">
        <v>84</v>
      </c>
      <c r="N14" s="45" t="s">
        <v>452</v>
      </c>
    </row>
    <row r="15" spans="1:20">
      <c r="M15" t="s">
        <v>59</v>
      </c>
      <c r="N15" s="45" t="s">
        <v>445</v>
      </c>
    </row>
    <row r="16" spans="1:20">
      <c r="M16" t="s">
        <v>65</v>
      </c>
      <c r="N16" s="45" t="s">
        <v>445</v>
      </c>
    </row>
    <row r="17" spans="13:14">
      <c r="M17" t="s">
        <v>425</v>
      </c>
      <c r="N17" s="45" t="s">
        <v>445</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2026-09-15T20:11:50Z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