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52" documentId="13_ncr:1_{52745E9B-3AA1-4770-AAD3-E6166BFC13AE}" xr6:coauthVersionLast="47" xr6:coauthVersionMax="47" xr10:uidLastSave="{B350EC7F-815E-4866-A71A-B5E3155D1C8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<sst xmlns="http://schemas.openxmlformats.org/spreadsheetml/2006/main" count="3670" uniqueCount="529">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</sst>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1">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B72" activePane="bottomLeft" state="frozen"/>
      <selection pane="bottomLeft" activeCell="F116" sqref="F11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Open rework row - mark Blocked or close it</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220</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220</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220</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idden="1">
      <c r="A80" s="31" t="s">
        <v>126</v>
      </c>
      <c r="B80" s="31" t="s">
        <v>260</v>
      </c>
      <c r="C80" s="31" t="s">
        <v>220</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hidden="1">
      <c r="A81" s="127" t="s">
        <v>126</v>
      </c>
      <c r="B81" s="127" t="s">
        <v>261</v>
      </c>
      <c r="C81" s="127" t="s">
        <v>220</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idden="1">
      <c r="A83" s="31" t="s">
        <v>126</v>
      </c>
      <c r="B83" s="31" t="s">
        <v>266</v>
      </c>
      <c r="C83" s="31" t="s">
        <v>220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285</v>
      </c>
      <c r="C93" s="31" t="s">
        <v>206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287</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291</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296</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302</v>
      </c>
      <c r="B102" s="31" t="s">
        <v>306</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302</v>
      </c>
      <c r="B103" s="31" t="s">
        <v>309</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302</v>
      </c>
      <c r="B105" s="31" t="s">
        <v>314</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302</v>
      </c>
      <c r="B106" s="31" t="s">
        <v>317</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302</v>
      </c>
      <c r="B107" s="31" t="s">
        <v>319</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311</v>
      </c>
      <c r="B109" s="31" t="s">
        <v>323</v>
      </c>
      <c r="C109" s="31" t="s">
        <v>263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43"/>
      <c r="M109" s="31"/>
      <c r="N109" s="31"/>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302</v>
      </c>
      <c r="B110" s="31" t="s">
        <v>326</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332</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311</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311</v>
      </c>
      <c r="B115" s="31" t="s">
        <v>335</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123 G116:AE116 A116:F119 G117:AC119 A125:AC528 B124:AC124">
    <cfRule type="expression" dxfId="170" priority="72">
      <formula>AND($B2&lt;&gt;"",MOD(ROW(),2)=0)</formula>
    </cfRule>
  </conditionalFormatting>
  <conditionalFormatting sqref="C2:C119">
    <cfRule type="expression" dxfId="169" priority="633">
      <formula>LEFT($AK2,4)="Move"</formula>
    </cfRule>
  </conditionalFormatting>
  <conditionalFormatting sqref="D2:D528">
    <cfRule type="expression" dxfId="168" priority="56">
      <formula>ISNUMBER(SEARCH("Blocked",$D2))</formula>
    </cfRule>
    <cfRule type="expression" dxfId="167" priority="57">
      <formula>ISNUMBER(SEARCH("overdue",$D2))</formula>
    </cfRule>
    <cfRule type="expression" dxfId="166" priority="58">
      <formula>ISNUMBER(SEARCH("no target",$D2))</formula>
    </cfRule>
    <cfRule type="expression" dxfId="165" priority="59">
      <formula>ISNUMBER(SEARCH("Review",$D2))</formula>
    </cfRule>
    <cfRule type="expression" dxfId="164" priority="60">
      <formula>OR($D2="On track",$D2="Delivered")</formula>
    </cfRule>
  </conditionalFormatting>
  <conditionalFormatting sqref="D88">
    <cfRule type="expression" dxfId="163" priority="632">
      <formula>AND($B50&lt;&gt;"",MOD(ROW(),2)=0)</formula>
    </cfRule>
  </conditionalFormatting>
  <conditionalFormatting sqref="J2:O119">
    <cfRule type="expression" dxfId="162" priority="34">
      <formula>$AJ2="Yes – needs DB Dev to fix"</formula>
    </cfRule>
  </conditionalFormatting>
  <conditionalFormatting sqref="J117:O193">
    <cfRule type="expression" dxfId="161" priority="39">
      <formula>$AH117="Yes – needs DB Dev to fix"</formula>
    </cfRule>
  </conditionalFormatting>
  <conditionalFormatting sqref="K41">
    <cfRule type="expression" dxfId="160" priority="615">
      <formula>AND($B41&lt;&gt;"",MOD(ROW(),2)=0)</formula>
    </cfRule>
    <cfRule type="expression" dxfId="159" priority="616">
      <formula>$AJ41="Yes – needs DB Dev to fix"</formula>
    </cfRule>
  </conditionalFormatting>
  <conditionalFormatting sqref="K42">
    <cfRule type="expression" dxfId="158" priority="618">
      <formula>$AJ41="Yes – needs DB Dev to fix"</formula>
    </cfRule>
    <cfRule type="expression" dxfId="157" priority="617">
      <formula>AND($B41&lt;&gt;"",MOD(ROW(),2)=0)</formula>
    </cfRule>
  </conditionalFormatting>
  <conditionalFormatting sqref="K73:L100">
    <cfRule type="expression" dxfId="156" priority="131">
      <formula>$AF73="Yes – needs DB Dev to fix"</formula>
    </cfRule>
  </conditionalFormatting>
  <conditionalFormatting sqref="K101:L116">
    <cfRule type="expression" dxfId="155" priority="361">
      <formula>$AA101="Yes – needs DB Dev to fix"</formula>
    </cfRule>
  </conditionalFormatting>
  <conditionalFormatting sqref="K117:L528">
    <cfRule type="expression" dxfId="154" priority="588">
      <formula>$X117="Yes – needs DB Dev to fix"</formula>
    </cfRule>
  </conditionalFormatting>
  <conditionalFormatting sqref="M73">
    <cfRule type="expression" dxfId="153" priority="38">
      <formula>$AF73="Yes – needs DB Dev to fix"</formula>
    </cfRule>
  </conditionalFormatting>
  <conditionalFormatting sqref="M79:M81">
    <cfRule type="expression" dxfId="152" priority="12">
      <formula>$AF79="Yes – needs DB Dev to fix"</formula>
    </cfRule>
  </conditionalFormatting>
  <conditionalFormatting sqref="M83:M84">
    <cfRule type="expression" dxfId="151" priority="14">
      <formula>$AF83="Yes – needs DB Dev to fix"</formula>
    </cfRule>
  </conditionalFormatting>
  <conditionalFormatting sqref="M91">
    <cfRule type="expression" dxfId="150" priority="18">
      <formula>$AF91="Yes – needs DB Dev to fix"</formula>
    </cfRule>
  </conditionalFormatting>
  <conditionalFormatting sqref="M93:M94">
    <cfRule type="expression" dxfId="149" priority="11">
      <formula>$AF93="Yes – needs DB Dev to fix"</formula>
    </cfRule>
  </conditionalFormatting>
  <conditionalFormatting sqref="M73:P100">
    <cfRule type="expression" dxfId="148" priority="316">
      <formula>$AD73="Yes – needs PBI Dev to fix"</formula>
    </cfRule>
  </conditionalFormatting>
  <conditionalFormatting sqref="M101:P116">
    <cfRule type="expression" dxfId="147" priority="363">
      <formula>$AA101="Yes – needs PBI Dev to fix"</formula>
    </cfRule>
  </conditionalFormatting>
  <conditionalFormatting sqref="M117:P528">
    <cfRule type="expression" dxfId="146" priority="589">
      <formula>$X117="Yes – needs PBI Dev to fix"</formula>
    </cfRule>
  </conditionalFormatting>
  <conditionalFormatting sqref="N58">
    <cfRule type="expression" dxfId="145" priority="19">
      <formula>$AD58="Yes – needs PBI Dev to fix"</formula>
    </cfRule>
  </conditionalFormatting>
  <conditionalFormatting sqref="N70">
    <cfRule type="expression" dxfId="144" priority="20">
      <formula>$AD70="Yes – needs PBI Dev to fix"</formula>
    </cfRule>
  </conditionalFormatting>
  <conditionalFormatting sqref="N82">
    <cfRule type="expression" dxfId="143" priority="16">
      <formula>$AD82="Yes – needs PBI Dev to fix"</formula>
    </cfRule>
  </conditionalFormatting>
  <conditionalFormatting sqref="O101:O113">
    <cfRule type="expression" dxfId="142" priority="13">
      <formula>$AD101="Yes – needs PBI Dev to fix"</formula>
    </cfRule>
  </conditionalFormatting>
  <conditionalFormatting sqref="Q73:Q100">
    <cfRule type="expression" dxfId="141" priority="32">
      <formula>$AJ73="Yes – needs DB Dev to fix"</formula>
    </cfRule>
    <cfRule type="expression" dxfId="140" priority="33">
      <formula>$AF73="Yes – needs DB Dev to fix"</formula>
    </cfRule>
    <cfRule type="expression" dxfId="139" priority="135">
      <formula>$AF73="Yes – needs PBI Dev to fix"</formula>
    </cfRule>
  </conditionalFormatting>
  <conditionalFormatting sqref="Q101:R116 X101:X116 V101:V119">
    <cfRule type="expression" dxfId="138" priority="31">
      <formula>$AA101="Yes – needs QA to fix"</formula>
    </cfRule>
  </conditionalFormatting>
  <conditionalFormatting sqref="Q117:R528">
    <cfRule type="expression" dxfId="137" priority="590">
      <formula>$X117="Yes – needs QA to fix"</formula>
    </cfRule>
  </conditionalFormatting>
  <conditionalFormatting sqref="Q2:U64 U10:V19 X10:X19 J29 M29:P29 J32:J33 M32:P33 K40:K41 M40:P41 Q65 T65:U65 Q66:U115 V101:V115 X101:X116 Q116:V116">
    <cfRule type="expression" dxfId="136" priority="46">
      <formula>$AJ2="Yes – needs PBI Dev to fix"</formula>
    </cfRule>
  </conditionalFormatting>
  <conditionalFormatting sqref="R58">
    <cfRule type="expression" dxfId="135" priority="333">
      <formula>$AJ65="Yes – needs PBI Dev to fix"</formula>
    </cfRule>
    <cfRule type="expression" dxfId="134" priority="331">
      <formula>AND($B65&lt;&gt;"",MOD(ROW(),2)=0)</formula>
    </cfRule>
  </conditionalFormatting>
  <conditionalFormatting sqref="R60">
    <cfRule type="expression" dxfId="133" priority="24">
      <formula>$AJ67="Yes – needs PBI Dev to fix"</formula>
    </cfRule>
    <cfRule type="expression" dxfId="132" priority="23">
      <formula>AND($B67&lt;&gt;"",MOD(ROW(),2)=0)</formula>
    </cfRule>
  </conditionalFormatting>
  <conditionalFormatting sqref="R60:S60">
    <cfRule type="expression" dxfId="131" priority="21">
      <formula>AND($B67&lt;&gt;"",MOD(ROW(),2)=0)</formula>
    </cfRule>
    <cfRule type="expression" dxfId="130" priority="22">
      <formula>$AJ67="Yes – needs PBI Dev to fix"</formula>
    </cfRule>
  </conditionalFormatting>
  <conditionalFormatting sqref="R73:U100 T96:T101">
    <cfRule type="expression" dxfId="129" priority="137">
      <formula>$AF73="Yes – needs QA to fix"</formula>
    </cfRule>
  </conditionalFormatting>
  <conditionalFormatting sqref="S101:U116">
    <cfRule type="expression" dxfId="128" priority="377">
      <formula>$AA101="Yes – needs DPO Approval to fix"</formula>
    </cfRule>
  </conditionalFormatting>
  <conditionalFormatting sqref="S117:U528">
    <cfRule type="expression" dxfId="127" priority="591">
      <formula>$X117="Yes – needs DPO Approval to fix"</formula>
    </cfRule>
  </conditionalFormatting>
  <conditionalFormatting sqref="X101:X528 U101:V528">
    <cfRule type="expression" dxfId="126" priority="64">
      <formula>$V101="Yes"</formula>
    </cfRule>
  </conditionalFormatting>
  <conditionalFormatting sqref="U73:Y100">
    <cfRule type="expression" dxfId="125" priority="139">
      <formula>$AF73="Yes – needs DPO Approval to fix"</formula>
    </cfRule>
  </conditionalFormatting>
  <conditionalFormatting sqref="X117:X528">
    <cfRule type="expression" dxfId="124" priority="592">
      <formula>LEFT($X117,3)="Yes"</formula>
    </cfRule>
  </conditionalFormatting>
  <conditionalFormatting sqref="X73:Z100">
    <cfRule type="expression" dxfId="123" priority="491">
      <formula>$Y73="Yes"</formula>
    </cfRule>
  </conditionalFormatting>
  <conditionalFormatting sqref="Z117:AA528">
    <cfRule type="expression" dxfId="122" priority="69">
      <formula>ISNUMBER(SEARCH("log it",$Z117))</formula>
    </cfRule>
    <cfRule type="expression" dxfId="121" priority="69">
      <formula>ISNUMBER(SEARCH("Open rework",$Z117))</formula>
    </cfRule>
    <cfRule type="expression" dxfId="120" priority="71">
      <formula>$Z117&lt;&gt;""</formula>
    </cfRule>
    <cfRule type="expression" dxfId="119" priority="70">
      <formula>ISNUMBER(SEARCH("Duplicate",$Z117))</formula>
    </cfRule>
    <cfRule type="expression" dxfId="118" priority="69">
      <formula>ISNUMBER(SEARCH("Move old",$Z117))</formula>
    </cfRule>
  </conditionalFormatting>
  <conditionalFormatting sqref="AA3">
    <cfRule type="expression" dxfId="117" priority="620">
      <formula>$AJ3="Yes – needs DPO Approval to fix"</formula>
    </cfRule>
    <cfRule type="expression" dxfId="116" priority="619">
      <formula>AND($B3&lt;&gt;"",MOD(ROW(),2)=0)</formula>
    </cfRule>
  </conditionalFormatting>
  <conditionalFormatting sqref="AA101:AA115 U116:AA116 U2:Z54 U55:X55 Z55 U56:Z58 U59:X59 Z59 U60:Z70 U71:W71 Z71 U72:Z116">
    <cfRule type="expression" dxfId="115" priority="29">
      <formula>$AJ2="Yes – needs QA to fix"</formula>
    </cfRule>
  </conditionalFormatting>
  <conditionalFormatting sqref="AA101:AA116">
    <cfRule type="expression" dxfId="114" priority="26">
      <formula>$AJ101="Yes – needs PBI Dev to fix"</formula>
    </cfRule>
    <cfRule type="expression" dxfId="113" priority="27">
      <formula>$AA101="Yes – needs QA to fix"</formula>
    </cfRule>
    <cfRule type="expression" dxfId="112" priority="28">
      <formula>$V101="Yes"</formula>
    </cfRule>
    <cfRule type="expression" dxfId="111" priority="385">
      <formula>LEFT($AA101,3)="Yes"</formula>
    </cfRule>
  </conditionalFormatting>
  <conditionalFormatting sqref="AA2:AE2 AB3:AE3 AA4:AE100">
    <cfRule type="expression" dxfId="110" priority="113">
      <formula>$AJ2="Yes – needs DPO Approval to fix"</formula>
    </cfRule>
  </conditionalFormatting>
  <conditionalFormatting sqref="AB101:AC116">
    <cfRule type="expression" dxfId="109" priority="393">
      <formula>ISNUMBER(SEARCH("Open rework",$AB101))</formula>
    </cfRule>
    <cfRule type="expression" dxfId="108" priority="394">
      <formula>ISNUMBER(SEARCH("Move old",$AB101))</formula>
    </cfRule>
    <cfRule type="expression" dxfId="107" priority="395">
      <formula>ISNUMBER(SEARCH("log it",$AB101))</formula>
    </cfRule>
    <cfRule type="expression" dxfId="106" priority="396">
      <formula>ISNUMBER(SEARCH("Duplicate",$AB101))</formula>
    </cfRule>
    <cfRule type="expression" dxfId="105" priority="397">
      <formula>$AB101&lt;&gt;""</formula>
    </cfRule>
  </conditionalFormatting>
  <conditionalFormatting sqref="AF2:AF119">
    <cfRule type="expression" dxfId="104" priority="85">
      <formula>$AF2="Yes"</formula>
    </cfRule>
  </conditionalFormatting>
  <conditionalFormatting sqref="AF73:AF100">
    <cfRule type="expression" dxfId="103" priority="143">
      <formula>LEFT($AF73,3)="Yes"</formula>
    </cfRule>
  </conditionalFormatting>
  <conditionalFormatting sqref="AG73:AG100">
    <cfRule type="expression" dxfId="102" priority="153">
      <formula>$AG73&lt;&gt;""</formula>
    </cfRule>
    <cfRule type="expression" dxfId="101" priority="150">
      <formula>ISNUMBER(SEARCH("Move old",$AG73))</formula>
    </cfRule>
    <cfRule type="expression" dxfId="100" priority="152">
      <formula>ISNUMBER(SEARCH("Duplicate",$AG73))</formula>
    </cfRule>
    <cfRule type="expression" dxfId="99" priority="151">
      <formula>ISNUMBER(SEARCH("log it",$AG73))</formula>
    </cfRule>
    <cfRule type="expression" dxfId="98" priority="149">
      <formula>ISNUMBER(SEARCH("Open rework",$AG73))</formula>
    </cfRule>
  </conditionalFormatting>
  <conditionalFormatting sqref="AJ2:AJ119">
    <cfRule type="expression" dxfId="97" priority="87">
      <formula>LEFT($AJ2,3)="Yes"</formula>
    </cfRule>
  </conditionalFormatting>
  <conditionalFormatting sqref="AK2:AK119">
    <cfRule type="expression" dxfId="96" priority="95">
      <formula>ISNUMBER(SEARCH("Move old",$AK2))</formula>
    </cfRule>
    <cfRule type="expression" dxfId="95" priority="93">
      <formula>ISNUMBER(SEARCH("log it",$AK2))</formula>
    </cfRule>
    <cfRule type="expression" dxfId="94" priority="94">
      <formula>ISNUMBER(SEARCH("Open rework",$AK2))</formula>
    </cfRule>
    <cfRule type="expression" dxfId="93" priority="97">
      <formula>$AK2&lt;&gt;""</formula>
    </cfRule>
    <cfRule type="expression" dxfId="92" priority="96">
      <formula>ISNUMBER(SEARCH("Duplicate",$AK2))</formula>
    </cfRule>
  </conditionalFormatting>
  <conditionalFormatting sqref="AL45:AL47">
    <cfRule type="expression" dxfId="91" priority="36">
      <formula>AND($B49&lt;&gt;"",MOD(ROW(),2)=0)</formula>
    </cfRule>
  </conditionalFormatting>
  <conditionalFormatting sqref="L110">
    <cfRule type="expression" dxfId="90" priority="10">
      <formula>$AA110="Yes – needs PBI Dev to fix"</formula>
    </cfRule>
  </conditionalFormatting>
  <conditionalFormatting sqref="N110">
    <cfRule type="expression" dxfId="89" priority="9">
      <formula>$AD110="Yes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K117:K119">
    <cfRule type="expression" dxfId="85" priority="5">
      <formula>$AA117="Yes – needs DB Dev to fix"</formula>
    </cfRule>
  </conditionalFormatting>
  <conditionalFormatting sqref="Q117:Q119">
    <cfRule type="expression" dxfId="84" priority="3">
      <formula>$AA117="Yes – needs QA to fix"</formula>
    </cfRule>
  </conditionalFormatting>
  <conditionalFormatting sqref="Q117:Q119">
    <cfRule type="expression" dxfId="83" priority="4">
      <formula>$AJ117="Yes – needs PBI Dev to fix"</formula>
    </cfRule>
  </conditionalFormatting>
  <conditionalFormatting sqref="V117:V119">
    <cfRule type="expression" dxfId="82" priority="2">
      <formula>$AJ117="Yes – needs PBI Dev to fix"</formula>
    </cfRule>
  </conditionalFormatting>
  <conditionalFormatting sqref="V117:V119">
    <cfRule type="expression" dxfId="81"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220</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220</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220</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220</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220</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220</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220</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220</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220</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220</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220</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220</v>
      </c>
      <c r="D13" s="31" t="s">
        <v>206</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220</v>
      </c>
      <c r="D14" s="31" t="s">
        <v>206</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220</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220</v>
      </c>
      <c r="D16" s="31" t="s">
        <v>206</v>
      </c>
      <c r="E16" s="31" t="s">
        <v>144</v>
      </c>
      <c r="F16" s="31" t="s">
        <v>385</v>
      </c>
      <c r="G16" s="31" t="s">
        <v>50</v>
      </c>
      <c r="H16" s="32" t="s">
        <v>46</v>
      </c>
      <c r="I16" s="32"/>
      <c r="J16" s="32"/>
      <c r="K16" s="31"/>
      <c r="L16" s="31"/>
      <c r="M16" s="3"/>
      <c r="S16" s="28"/>
    </row>
    <row r="17" spans="1:20">
      <c r="A17" s="33" t="s">
        <v>181</v>
      </c>
      <c r="B17" s="32">
        <v>46261</v>
      </c>
      <c r="C17" s="31" t="s">
        <v>220</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220</v>
      </c>
      <c r="D18" s="31" t="s">
        <v>206</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220</v>
      </c>
      <c r="D19" s="31" t="s">
        <v>206</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220</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220</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220</v>
      </c>
      <c r="D22" s="31" t="s">
        <v>206</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220</v>
      </c>
      <c r="D23" s="31" t="s">
        <v>206</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220</v>
      </c>
      <c r="D24" s="31" t="s">
        <v>206</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220</v>
      </c>
      <c r="D25" s="31" t="s">
        <v>206</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42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220</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220</v>
      </c>
      <c r="D27" s="31" t="s">
        <v>206</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220</v>
      </c>
      <c r="D28" s="31" t="s">
        <v>206</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220</v>
      </c>
      <c r="D29" s="31" t="s">
        <v>206</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220</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220</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220</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220</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220</v>
      </c>
      <c r="D34" s="31" t="s">
        <v>206</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220</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220</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220</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220</v>
      </c>
      <c r="D38" s="31" t="s">
        <v>206</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220</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220</v>
      </c>
      <c r="D40" s="31" t="s">
        <v>206</v>
      </c>
      <c r="E40" s="31" t="s">
        <v>201</v>
      </c>
      <c r="F40" s="31" t="s">
        <v>413</v>
      </c>
      <c r="G40" s="31" t="s">
        <v>50</v>
      </c>
      <c r="H40" s="32" t="s">
        <v>46</v>
      </c>
      <c r="I40" s="32"/>
      <c r="J40" s="32"/>
      <c r="K40" s="31"/>
      <c r="L40" s="31"/>
      <c r="M40" s="3" t="str">
        <f t="shared" ca="1" si="4"/>
        <v>UNCLAIMED 28 d</v>
      </c>
      <c r="P40" t="str">
        <f>'Combined Delivery Data'!B41</f>
        <v>RPT_02_GRO Control</v>
      </c>
      <c r="Q40">
        <f t="shared" si="5"/>
        <v>0</v>
      </c>
      <c r="R40">
        <f t="shared" si="6"/>
        <v>0</v>
      </c>
      <c r="S40" s="28" t="str">
        <f t="shared" si="7"/>
        <v/>
      </c>
      <c r="T40" t="str">
        <f t="shared" si="8"/>
        <v/>
      </c>
    </row>
    <row r="41" spans="1:20">
      <c r="A41" s="31" t="s">
        <v>210</v>
      </c>
      <c r="B41" s="32">
        <v>46282</v>
      </c>
      <c r="C41" s="31" t="s">
        <v>220</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220</v>
      </c>
      <c r="D42" s="31" t="s">
        <v>263</v>
      </c>
      <c r="E42" s="31" t="s">
        <v>129</v>
      </c>
      <c r="F42" s="31" t="s">
        <v>416</v>
      </c>
      <c r="G42" s="31" t="s">
        <v>50</v>
      </c>
      <c r="H42" s="32" t="s">
        <v>44</v>
      </c>
      <c r="I42" s="32"/>
      <c r="J42" s="32"/>
      <c r="K42" s="31"/>
      <c r="L42" s="31"/>
      <c r="M42" s="3" t="str">
        <f t="shared" ca="1" si="4"/>
        <v>UNCLAIMED 22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220</v>
      </c>
      <c r="D44" s="31" t="s">
        <v>263</v>
      </c>
      <c r="E44" s="31" t="s">
        <v>129</v>
      </c>
      <c r="F44" s="31" t="s">
        <v>419</v>
      </c>
      <c r="G44" s="31" t="s">
        <v>53</v>
      </c>
      <c r="H44" s="32" t="s">
        <v>44</v>
      </c>
      <c r="I44" s="32"/>
      <c r="J44" s="32"/>
      <c r="K44" s="31"/>
      <c r="L44" s="31"/>
      <c r="M44" s="3" t="str">
        <f t="shared" ca="1" si="4"/>
        <v>UNCLAIMED 14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220</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220</v>
      </c>
      <c r="D46" s="31" t="s">
        <v>206</v>
      </c>
      <c r="E46" s="31" t="s">
        <v>129</v>
      </c>
      <c r="F46" s="31" t="s">
        <v>422</v>
      </c>
      <c r="G46" s="31" t="s">
        <v>53</v>
      </c>
      <c r="H46" s="32" t="s">
        <v>77</v>
      </c>
      <c r="I46" s="32"/>
      <c r="J46" s="32"/>
      <c r="K46" s="31"/>
      <c r="L46" s="31"/>
      <c r="M46" s="3" t="str">
        <f t="shared" ca="1" si="4"/>
        <v>UNCLAIMED 0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220</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220</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220</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220</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220</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220</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220</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220</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220</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220</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220</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220</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220</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220</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220</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220</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220</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220</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220</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220</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220</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220</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220</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220</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220</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220</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220</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220</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220</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220</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220</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220</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220</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220</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220</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220</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220</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220</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220</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220</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220</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220</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220</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220</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220</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220</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220</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220</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220</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220</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220</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220</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220</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220</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220</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220</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220</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220</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220</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220</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220</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220</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220</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220</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220</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220</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220</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220</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220</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220</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220</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220</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220</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220</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220</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220</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220</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220</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220</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220</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220</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220</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220</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220</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220</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220</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220</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220</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220</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220</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220</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220</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220</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220</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220</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220</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220</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220</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220</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220</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220</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220</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220</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220</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220</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220</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220</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220</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220</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220</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220</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220</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220</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220</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220</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220</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220</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220</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220</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220</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220</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220</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220</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220</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220</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220</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220</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220</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220</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220</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220</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220</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220</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220</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220</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220</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220</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220</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220</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220</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220</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220</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220</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220</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220</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220</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220</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220</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220</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220</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220</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220</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220</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206</v>
      </c>
      <c r="C14" s="9" t="s">
        <v>445</v>
      </c>
      <c r="D14" s="9" t="s">
        <v>446</v>
      </c>
      <c r="E14" s="9" t="s">
        <v>46</v>
      </c>
      <c r="F14" s="9"/>
      <c r="G14" s="9"/>
      <c r="H14" s="10">
        <v>46115</v>
      </c>
      <c r="I14" s="10">
        <v>46120</v>
      </c>
      <c r="J14" s="10">
        <v>46120</v>
      </c>
    </row>
    <row r="15" spans="1:10" ht="14.25" customHeight="1">
      <c r="A15" s="9" t="s">
        <v>40</v>
      </c>
      <c r="B15" s="9" t="s">
        <v>220</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220</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206</v>
      </c>
      <c r="C24" s="9" t="s">
        <v>64</v>
      </c>
      <c r="D24" s="9" t="s">
        <v>446</v>
      </c>
      <c r="E24" s="9" t="s">
        <v>46</v>
      </c>
      <c r="F24" s="9"/>
      <c r="G24" s="9"/>
      <c r="H24" s="10">
        <v>46115</v>
      </c>
      <c r="I24" s="10">
        <v>46120</v>
      </c>
      <c r="J24" s="10">
        <v>46120</v>
      </c>
    </row>
    <row r="25" spans="1:10" ht="14.25" customHeight="1">
      <c r="A25" s="9" t="s">
        <v>40</v>
      </c>
      <c r="B25" s="9" t="s">
        <v>220</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220</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206</v>
      </c>
      <c r="C34" s="9" t="s">
        <v>70</v>
      </c>
      <c r="D34" s="9" t="s">
        <v>446</v>
      </c>
      <c r="E34" s="9" t="s">
        <v>60</v>
      </c>
      <c r="F34" s="9"/>
      <c r="G34" s="9"/>
      <c r="H34" s="10">
        <v>46122</v>
      </c>
      <c r="I34" s="10">
        <v>46126</v>
      </c>
      <c r="J34" s="10">
        <v>46126</v>
      </c>
    </row>
    <row r="35" spans="1:10" ht="14.25" customHeight="1">
      <c r="A35" s="9" t="s">
        <v>40</v>
      </c>
      <c r="B35" s="9" t="s">
        <v>220</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220</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220</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206</v>
      </c>
      <c r="C49" s="9" t="s">
        <v>97</v>
      </c>
      <c r="D49" s="9" t="s">
        <v>446</v>
      </c>
      <c r="E49" s="9" t="s">
        <v>60</v>
      </c>
      <c r="F49" s="9"/>
      <c r="G49" s="9"/>
      <c r="H49" s="10"/>
      <c r="I49" s="10">
        <v>46139</v>
      </c>
      <c r="J49" s="10">
        <v>46139</v>
      </c>
    </row>
    <row r="50" spans="1:10" ht="14.25" customHeight="1">
      <c r="A50" s="9" t="s">
        <v>40</v>
      </c>
      <c r="B50" s="9" t="s">
        <v>220</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206</v>
      </c>
      <c r="C54" s="9" t="s">
        <v>98</v>
      </c>
      <c r="D54" s="9" t="s">
        <v>446</v>
      </c>
      <c r="E54" s="9" t="s">
        <v>60</v>
      </c>
      <c r="F54" s="9"/>
      <c r="G54" s="9"/>
      <c r="H54" s="9"/>
      <c r="I54" s="10">
        <v>46141</v>
      </c>
      <c r="J54" s="10">
        <v>46141</v>
      </c>
    </row>
    <row r="55" spans="1:10" ht="14.25" customHeight="1">
      <c r="A55" s="9" t="s">
        <v>40</v>
      </c>
      <c r="B55" s="9" t="s">
        <v>220</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206</v>
      </c>
      <c r="C59" s="9" t="s">
        <v>99</v>
      </c>
      <c r="D59" s="9" t="s">
        <v>446</v>
      </c>
      <c r="E59" s="9" t="s">
        <v>46</v>
      </c>
      <c r="F59" s="9"/>
      <c r="G59" s="9"/>
      <c r="H59" s="10"/>
      <c r="I59" s="10">
        <v>46161</v>
      </c>
      <c r="J59" s="10">
        <v>46161</v>
      </c>
    </row>
    <row r="60" spans="1:10" ht="14.25" customHeight="1">
      <c r="A60" s="9" t="s">
        <v>40</v>
      </c>
      <c r="B60" s="9" t="s">
        <v>220</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220</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220</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220</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220</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220</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220</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220</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220</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220</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220</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220</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220</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220</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220</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220</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220</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220</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220</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220</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220</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220</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220</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220</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220</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220</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220</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220</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220</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220</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220</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206</v>
      </c>
      <c r="L4" t="s">
        <v>50</v>
      </c>
      <c r="M4" t="s">
        <v>103</v>
      </c>
      <c r="N4" t="s">
        <v>468</v>
      </c>
      <c r="R4" t="s">
        <v>469</v>
      </c>
      <c r="T4" t="s">
        <v>72</v>
      </c>
    </row>
    <row r="5" spans="1:20" ht="15" customHeight="1">
      <c r="A5" t="s">
        <v>336</v>
      </c>
      <c r="B5" t="s">
        <v>446</v>
      </c>
      <c r="C5" t="s">
        <v>77</v>
      </c>
      <c r="F5" t="s">
        <v>206</v>
      </c>
      <c r="G5" t="s">
        <v>446</v>
      </c>
      <c r="H5" t="s">
        <v>129</v>
      </c>
      <c r="I5" t="s">
        <v>254</v>
      </c>
      <c r="J5" t="s">
        <v>220</v>
      </c>
      <c r="L5" t="s">
        <v>470</v>
      </c>
      <c r="M5" t="s">
        <v>88</v>
      </c>
      <c r="N5" t="s">
        <v>471</v>
      </c>
    </row>
    <row r="6" spans="1:20" ht="15" customHeight="1">
      <c r="A6" t="s">
        <v>311</v>
      </c>
      <c r="B6" t="s">
        <v>84</v>
      </c>
      <c r="F6" t="s">
        <v>220</v>
      </c>
      <c r="G6" t="s">
        <v>84</v>
      </c>
      <c r="H6" t="s">
        <v>144</v>
      </c>
      <c r="I6" t="s">
        <v>472</v>
      </c>
      <c r="J6" t="s">
        <v>187</v>
      </c>
      <c r="M6" t="s">
        <v>48</v>
      </c>
      <c r="N6" t="s">
        <v>471</v>
      </c>
    </row>
    <row r="7" spans="1:20" ht="15" customHeight="1">
      <c r="A7" t="s">
        <v>302</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49" t="str">
        <f ca="1">"As of "&amp;TEXT(TODAY(),"d mmm yyyy")&amp;". Live from Combined Delivery Data."</f>
        <v>As of 14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31 of 72</v>
      </c>
      <c r="C5" s="250" t="str">
        <f>IF(C7+E7=0,"No CMS reports are blocked.","reports are blocked. "&amp;C7&amp;" are approved and waiting for a production release, "&amp;E7&amp;" are blocked in build or QA.")</f>
        <v>reports are blocked. 28 are approved and waiting for a production release, 3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28</v>
      </c>
      <c r="D7" s="252"/>
      <c r="E7" s="255" cm="1">
        <f t="array" ref="E7">COUNTIFS(cmsDom,"CMS",cmsBlocked,"Yes*",cmsStatus,"&lt;&gt;Ready for Release in Prod",cmsStatus,"&lt;&gt;RELEASED IN PROD")</f>
        <v>3</v>
      </c>
      <c r="F7" s="256"/>
      <c r="G7" s="257" cm="1">
        <f t="array" ref="G7">SUM(COUNTIFS(cmsDom,"CMS",cmsBlocked,"&lt;&gt;Yes*",cmsStatus,{"DB Dev","PBI Dev","QA","DPO Approval"}))</f>
        <v>27</v>
      </c>
      <c r="H7" s="258"/>
      <c r="I7" s="259" cm="1">
        <f t="array" ref="I7">COUNTIFS(cmsDom,"CMS",cmsBlocked,"&lt;&gt;Yes*",cmsStatus,"NOT STARTED")</f>
        <v>13</v>
      </c>
      <c r="J7" s="260"/>
      <c r="K7" s="261" cm="1">
        <f t="array" ref="K7">COUNTIFS(cmsDom,"CMS",cmsStatus,"RELEASED IN PROD")</f>
        <v>1</v>
      </c>
      <c r="L7" s="262"/>
      <c r="M7" s="263" t="s">
        <v>490</v>
      </c>
      <c r="N7" s="264"/>
      <c r="O7" s="265"/>
      <c r="P7" s="142"/>
      <c r="Q7" s="142"/>
      <c r="R7" s="142"/>
      <c r="S7" s="142"/>
      <c r="T7" s="142"/>
      <c r="U7" s="142"/>
      <c r="V7" s="142"/>
      <c r="W7" s="142"/>
      <c r="X7" s="142"/>
      <c r="Y7" s="142"/>
      <c r="Z7" s="142"/>
    </row>
    <row r="8" spans="1:26" ht="30" customHeight="1">
      <c r="A8" s="142"/>
      <c r="B8" s="142"/>
      <c r="C8" s="253" t="s">
        <v>491</v>
      </c>
      <c r="D8" s="254"/>
      <c r="E8" s="253" t="s">
        <v>492</v>
      </c>
      <c r="F8" s="254"/>
      <c r="G8" s="253" t="s">
        <v>493</v>
      </c>
      <c r="H8" s="254"/>
      <c r="I8" s="253" t="s">
        <v>494</v>
      </c>
      <c r="J8" s="254"/>
      <c r="K8" s="253" t="s">
        <v>495</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27" t="s">
        <v>497</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220</v>
      </c>
      <c r="G11" s="156" t="s">
        <v>206</v>
      </c>
      <c r="H11" s="156" t="s">
        <v>263</v>
      </c>
      <c r="I11" s="156" t="s">
        <v>494</v>
      </c>
      <c r="J11" s="156" t="s">
        <v>501</v>
      </c>
      <c r="K11" s="156" t="s">
        <v>502</v>
      </c>
      <c r="L11" s="156" t="s">
        <v>503</v>
      </c>
      <c r="M11" s="243" t="s">
        <v>504</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35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14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3</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16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47 days to milestone, 1 blocked</v>
      </c>
      <c r="N15" s="238"/>
      <c r="O15" s="239"/>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78 days to milestone</v>
      </c>
      <c r="N16" s="241"/>
      <c r="O16" s="242"/>
      <c r="P16" s="142"/>
      <c r="Q16" s="142"/>
      <c r="R16" s="142"/>
      <c r="S16" s="142"/>
      <c r="T16" s="142"/>
      <c r="U16" s="142"/>
      <c r="V16" s="142"/>
      <c r="W16" s="142"/>
      <c r="X16" s="142"/>
      <c r="Y16" s="142"/>
      <c r="Z16" s="142"/>
    </row>
    <row r="17" spans="1:26" ht="24" customHeight="1">
      <c r="A17" s="142"/>
      <c r="B17" s="157" t="s">
        <v>505</v>
      </c>
      <c r="C17" s="169">
        <f t="shared" ref="C17:K17" si="0">SUM(C12:C16)</f>
        <v>28</v>
      </c>
      <c r="D17" s="169">
        <f t="shared" si="0"/>
        <v>3</v>
      </c>
      <c r="E17" s="169">
        <f t="shared" si="0"/>
        <v>8</v>
      </c>
      <c r="F17" s="169">
        <f t="shared" si="0"/>
        <v>6</v>
      </c>
      <c r="G17" s="169">
        <f t="shared" si="0"/>
        <v>9</v>
      </c>
      <c r="H17" s="169">
        <f t="shared" si="0"/>
        <v>4</v>
      </c>
      <c r="I17" s="169">
        <f t="shared" si="0"/>
        <v>13</v>
      </c>
      <c r="J17" s="169">
        <f t="shared" si="0"/>
        <v>1</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27" t="s">
        <v>507</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7" t="s">
        <v>508</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498</v>
      </c>
      <c r="D49" s="230"/>
      <c r="E49" s="230" t="s">
        <v>440</v>
      </c>
      <c r="F49" s="230"/>
      <c r="G49" s="230" t="s">
        <v>450</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512</v>
      </c>
      <c r="D50" s="232"/>
      <c r="E50" s="231" t="s">
        <v>512</v>
      </c>
      <c r="F50" s="232"/>
      <c r="G50" s="231" t="s">
        <v>512</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Open rework row - mark Blocked or close it</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220</v>
      </c>
      <c r="D36" t="s">
        <v>53</v>
      </c>
      <c r="E36" t="str">
        <f t="shared" si="1"/>
        <v>QA</v>
      </c>
    </row>
    <row r="37" spans="1:5">
      <c r="A37" t="s">
        <v>219</v>
      </c>
      <c r="B37" t="s">
        <v>194</v>
      </c>
      <c r="C37" t="s">
        <v>220</v>
      </c>
      <c r="D37" t="s">
        <v>53</v>
      </c>
      <c r="E37" t="str">
        <f t="shared" si="1"/>
        <v>QA</v>
      </c>
    </row>
    <row r="38" spans="1:5">
      <c r="A38" t="s">
        <v>222</v>
      </c>
      <c r="B38" t="s">
        <v>194</v>
      </c>
      <c r="C38" t="s">
        <v>187</v>
      </c>
      <c r="D38" t="s">
        <v>53</v>
      </c>
      <c r="E38" t="str">
        <f t="shared" si="1"/>
        <v>DPO Approval</v>
      </c>
    </row>
    <row r="39" spans="1:5">
      <c r="A39" t="s">
        <v>223</v>
      </c>
      <c r="B39" t="s">
        <v>194</v>
      </c>
      <c r="C39" t="s">
        <v>206</v>
      </c>
      <c r="D39" t="s">
        <v>53</v>
      </c>
      <c r="E39" t="str">
        <f t="shared" si="1"/>
        <v>PBI Dev</v>
      </c>
    </row>
    <row r="40" spans="1:5">
      <c r="A40" t="s">
        <v>224</v>
      </c>
      <c r="B40" t="s">
        <v>194</v>
      </c>
      <c r="C40" t="s">
        <v>263</v>
      </c>
      <c r="D40" t="s">
        <v>53</v>
      </c>
      <c r="E40" t="str">
        <f t="shared" si="1"/>
        <v>DB Dev</v>
      </c>
    </row>
    <row r="41" spans="1:5">
      <c r="A41" t="s">
        <v>228</v>
      </c>
      <c r="B41" t="s">
        <v>194</v>
      </c>
      <c r="C41" t="s">
        <v>206</v>
      </c>
      <c r="D41" t="s">
        <v>53</v>
      </c>
      <c r="E41" t="str">
        <f t="shared" si="1"/>
        <v>PBI Dev</v>
      </c>
    </row>
    <row r="42" spans="1:5">
      <c r="A42" t="s">
        <v>233</v>
      </c>
      <c r="B42" t="s">
        <v>194</v>
      </c>
      <c r="C42" t="s">
        <v>234</v>
      </c>
      <c r="D42" t="s">
        <v>53</v>
      </c>
      <c r="E42" t="str">
        <f t="shared" si="1"/>
        <v>Not Started</v>
      </c>
    </row>
    <row r="43" spans="1:5">
      <c r="A43" t="s">
        <v>237</v>
      </c>
      <c r="B43" t="s">
        <v>194</v>
      </c>
      <c r="C43" t="s">
        <v>206</v>
      </c>
      <c r="D43" t="s">
        <v>467</v>
      </c>
      <c r="E43" t="str">
        <f t="shared" si="1"/>
        <v>Blocked - Build/QA</v>
      </c>
    </row>
    <row r="44" spans="1:5">
      <c r="A44" t="s">
        <v>239</v>
      </c>
      <c r="B44" t="s">
        <v>194</v>
      </c>
      <c r="C44" t="s">
        <v>187</v>
      </c>
      <c r="D44" t="s">
        <v>53</v>
      </c>
      <c r="E44" t="str">
        <f t="shared" si="1"/>
        <v>DPO Approval</v>
      </c>
    </row>
    <row r="45" spans="1:5">
      <c r="A45" t="s">
        <v>242</v>
      </c>
      <c r="B45" t="s">
        <v>194</v>
      </c>
      <c r="C45" t="s">
        <v>206</v>
      </c>
      <c r="D45" t="s">
        <v>53</v>
      </c>
      <c r="E45" t="str">
        <f t="shared" si="1"/>
        <v>PBI Dev</v>
      </c>
    </row>
    <row r="46" spans="1:5">
      <c r="A46" t="s">
        <v>243</v>
      </c>
      <c r="B46" t="s">
        <v>244</v>
      </c>
      <c r="C46" t="s">
        <v>220</v>
      </c>
      <c r="E46" t="str">
        <f t="shared" si="1"/>
        <v>QA</v>
      </c>
    </row>
    <row r="47" spans="1:5">
      <c r="A47" t="s">
        <v>247</v>
      </c>
      <c r="B47" t="s">
        <v>244</v>
      </c>
      <c r="C47" t="s">
        <v>206</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206</v>
      </c>
      <c r="D51" t="s">
        <v>254</v>
      </c>
      <c r="E51" t="str">
        <f t="shared" si="1"/>
        <v>Blocked - Build/QA</v>
      </c>
    </row>
    <row r="52" spans="1:5">
      <c r="A52" t="s">
        <v>256</v>
      </c>
      <c r="B52" t="s">
        <v>244</v>
      </c>
      <c r="C52" t="s">
        <v>206</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206</v>
      </c>
      <c r="E56" t="str">
        <f t="shared" si="1"/>
        <v>PBI Dev</v>
      </c>
    </row>
    <row r="57" spans="1:5">
      <c r="A57" t="s">
        <v>268</v>
      </c>
      <c r="B57" t="s">
        <v>244</v>
      </c>
      <c r="C57" t="s">
        <v>206</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220</v>
      </c>
      <c r="C6" t="str">
        <v>Greeta</v>
      </c>
    </row>
    <row r="7" spans="1:3">
      <c r="A7" t="str">
        <v>November</v>
      </c>
      <c r="B7" t="s">
        <v>206</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2026-10-14T16:46:17Z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