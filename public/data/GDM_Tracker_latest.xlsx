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19" documentId="13_ncr:1_{52745E9B-3AA1-4770-AAD3-E6166BFC13AE}" xr6:coauthVersionLast="47" xr6:coauthVersionMax="47" xr10:uidLastSave="{EF7DD29A-249F-48D5-A6A9-B0DD8C52748A}"/>
  <bookViews>
    <workbookView xWindow="28995" yWindow="-1920" windowWidth="29040" windowHeight="17520" tabRatio="500" firstSheet="2"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<sst xmlns="http://schemas.openxmlformats.org/spreadsheetml/2006/main" count="3689" uniqueCount="531">
  <si>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</si>
  <si>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</si>
  <si>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</si>
  <si>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</si>
  <si>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</si>
  <si>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</si>
  <si>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</si>
  <si>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</si>
  <si>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</si>
  <si>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</si>
  <si>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</si>
  <si>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</si>
  <si>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</si>
  <si>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</si>
  <si>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</si>
  <si>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</si>
  <si>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</si>
  <si>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</si>
  <si>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</si>
  <si>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</si>
  <si>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</si>
  <si>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</si>
  <si>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</si>
  <si>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</si>
  <si>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</si>
  <si>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</si>
  <si>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</si>
  <si>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</si>
  <si>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</si>
  <si>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</si>
  <si>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</si>
  <si>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</si>
  <si>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</si>
  <si>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</si>
  <si>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</si>
  <si>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</si>
  <si>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</si>
  <si>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</si>
  <si>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</si>
  <si>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</si>
  <si>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</si>
  <si>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</si>
  <si>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</si>
  <si>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</si>
  <si>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</si>
  <si>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</si>
  <si>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</si>
  <si>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</si>
  <si>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</si>
  <si>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</si>
  <si>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</si>
  <si>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</si>
  <si>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</si>
  <si>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</si>
  <si>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</si>
  <si>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</si>
  <si>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</si>
  <si>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</si>
  <si>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</si>
  <si>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</si>
  <si>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</si>
  <si>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</si>
  <si>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</si>
  <si>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</si>
  <si>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</si>
  <si>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</si>
  <si>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</si>
  <si>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</si>
  <si>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</si>
  <si>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</si>
  <si>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</si>
  <si>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</si>
  <si>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</si>
  <si>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</si>
  <si>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</si>
  <si>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</si>
  <si>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</si>
  <si>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</si>
  <si>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</si>
  <si>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</si>
  <si>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</si>
  <si>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</si>
  <si>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</si>
  <si>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</si>
  <si>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</si>
  <si>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</si>
  <si>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</si>
  <si>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</si>
  <si>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</si>
  <si>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</si>
  <si>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</si>
  <si>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</si>
  <si>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</si>
  <si>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</si>
  <si>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</si>
  <si>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</si>
  <si>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</si>
  <si>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</si>
  <si>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</si>
  <si>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</si>
  <si>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</si>
  <si>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</si>
  <si>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</si>
  <si>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</si>
  <si>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</si>
  <si>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</si>
  <si>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</si>
  <si>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</si>
  <si>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</si>
  <si>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</si>
  <si>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</si>
  <si>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</si>
  <si>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</si>
  <si>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</si>
  <si>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</si>
  <si>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</si>
  <si>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</si>
  <si>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</si>
  <si>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</si>
  <si>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</si>
  <si>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</si>
  <si>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</si>
  <si>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</si>
  <si>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</si>
  <si>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</si>
  <si>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</si>
  <si>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</si>
  <si>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</si>
  <si>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</si>
  <si>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</si>
  <si>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</si>
  <si>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</si>
  <si>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</si>
  <si>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</si>
  <si>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</si>
  <si>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</si>
  <si>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</si>
  <si>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</si>
  <si>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</si>
  <si>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</si>
  <si>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</si>
  <si>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</si>
  <si>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</si>
  <si>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</si>
  <si>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</si>
  <si>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</si>
  <si>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</si>
  <si>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</si>
  <si>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</si>
  <si>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</si>
  <si>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</si>
  <si>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</si>
  <si>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</si>
  <si>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</si>
  <si>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</si>
  <si>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</si>
  <si>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</si>
  <si>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</si>
  <si>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</si>
  <si>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</si>
  <si>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</si>
  <si>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</si>
  <si>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</si>
  <si>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</si>
  <si>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</si>
  <si>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</si>
  <si>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</si>
  <si>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</si>
  <si>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</si>
  <si>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</si>
  <si>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</si>
  <si>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</si>
  <si>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</si>
  <si>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</si>
  <si>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</si>
  <si>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</si>
  <si>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</si>
  <si>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</si>
  <si>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</si>
  <si>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</si>
  <si>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</si>
  <si>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</si>
  <si>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</si>
  <si>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</si>
  <si>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</si>
  <si>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</si>
  <si>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</si>
  <si>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</si>
  <si>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</si>
  <si>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</si>
  <si>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</si>
  <si>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</si>
  <si>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</si>
  <si>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</si>
  <si>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</si>
  <si>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</si>
  <si>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</si>
  <si>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</si>
  <si>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</si>
  <si>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</si>
  <si>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</si>
  <si>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</si>
  <si>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</si>
  <si>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</si>
  <si>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</si>
  <si>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</si>
  <si>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</si>
  <si>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</si>
  <si>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</si>
  <si>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</si>
  <si>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</si>
  <si>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</si>
  <si>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</si>
  <si>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</si>
  <si>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</si>
  <si>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</si>
  <si>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</si>
  <si>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</si>
  <si>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</si>
  <si>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</si>
  <si>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</si>
  <si>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</si>
  <si>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</si>
  <si>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</si>
  <si>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</si>
  <si>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</si>
  <si>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</si>
  <si>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</si>
  <si>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</si>
  <si>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</si>
  <si>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</si>
  <si>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</si>
  <si>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</si>
  <si>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</si>
  <si>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</si>
  <si>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</si>
  <si>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</si>
  <si>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</si>
  <si>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</si>
  <si>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</si>
  <si>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</si>
  <si>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</si>
  <si>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</si>
  <si>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</si>
  <si>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</si>
  <si>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</si>
  <si>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</si>
  <si>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</si>
  <si>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</si>
  <si>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</si>
  <si>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</si>
  <si>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</si>
  <si>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</si>
  <si>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</si>
  <si>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</si>
  <si>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</si>
  <si>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</si>
  <si>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</si>
  <si>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</si>
  <si>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</si>
  <si>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</si>
  <si>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</si>
  <si>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DB Dev</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</si>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</sst>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2</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filterColumn colId="2">
      <filters>
        <filter val="QA"/>
      </filters>
    </filterColumn>
    <filterColumn colId="5">
      <filters>
        <filter val="Kushal"/>
      </filters>
    </filterColumn>
    <filterColumn colId="8">
      <filters>
        <filter val="November"/>
        <filter val="October"/>
        <filter val="September"/>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ySplit="1" topLeftCell="A58" activePane="bottomLeft" state="frozen"/>
      <selection pane="bottomLeft" activeCell="B83" sqref="B8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262</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Open rework row - mark Blocked or close it</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262</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262</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t="s">
        <v>155</v>
      </c>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tabSelected="1"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262</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262</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262</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262</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262</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262</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262</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262</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262</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262</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262</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262</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262</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262</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262</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262</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262</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262</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262</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262</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262</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262</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262</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262</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262</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262</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262</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262</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261</v>
      </c>
      <c r="B47" s="32">
        <v>46314</v>
      </c>
      <c r="C47" s="31" t="s">
        <v>206</v>
      </c>
      <c r="D47" s="31" t="s">
        <v>262</v>
      </c>
      <c r="E47" s="31" t="s">
        <v>129</v>
      </c>
      <c r="F47" s="31" t="s">
        <v>423</v>
      </c>
      <c r="G47" s="31" t="s">
        <v>53</v>
      </c>
      <c r="H47" s="32"/>
      <c r="I47" s="32"/>
      <c r="J47" s="32"/>
      <c r="K47" s="31"/>
      <c r="L47" s="31"/>
      <c r="M47" s="3" t="str">
        <f t="shared" ca="1" si="4"/>
        <v>UNCLAIMED 0 d</v>
      </c>
      <c r="N47" t="s">
        <v>50</v>
      </c>
      <c r="P47" t="str">
        <f>'Combined Delivery Data'!B48</f>
        <v>RPT_02_High Pressure Steel Inside Inspection</v>
      </c>
      <c r="Q47">
        <f t="shared" si="5"/>
        <v>0</v>
      </c>
      <c r="R47">
        <f t="shared" si="6"/>
        <v>0</v>
      </c>
      <c r="S47" s="28" t="str">
        <f t="shared" si="9"/>
        <v/>
      </c>
      <c r="T47" t="str">
        <f t="shared" si="10"/>
        <v/>
      </c>
    </row>
    <row r="48" spans="1:20">
      <c r="A48" s="31" t="s">
        <v>266</v>
      </c>
      <c r="B48" s="32">
        <v>46314</v>
      </c>
      <c r="C48" s="31" t="s">
        <v>206</v>
      </c>
      <c r="D48" s="31" t="s">
        <v>262</v>
      </c>
      <c r="E48" s="31" t="s">
        <v>129</v>
      </c>
      <c r="F48" s="31" t="s">
        <v>424</v>
      </c>
      <c r="G48" s="31" t="s">
        <v>53</v>
      </c>
      <c r="H48" s="32"/>
      <c r="I48" s="32"/>
      <c r="J48" s="32"/>
      <c r="K48" s="31"/>
      <c r="L48" s="31"/>
      <c r="M48" s="3" t="str">
        <f t="shared" ca="1" si="4"/>
        <v>UNCLAIMED 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425</v>
      </c>
      <c r="B1" s="267"/>
      <c r="C1" s="267"/>
    </row>
    <row r="2" spans="1:8" ht="14.25" customHeight="1">
      <c r="A2" s="8" t="s">
        <v>0</v>
      </c>
      <c r="B2" s="8" t="s">
        <v>426</v>
      </c>
      <c r="C2" s="8" t="s">
        <v>427</v>
      </c>
      <c r="E2" t="s">
        <v>428</v>
      </c>
      <c r="F2" t="s">
        <v>429</v>
      </c>
      <c r="G2" t="s">
        <v>430</v>
      </c>
      <c r="H2" t="s">
        <v>431</v>
      </c>
    </row>
    <row r="3" spans="1:8" ht="14.25" customHeight="1">
      <c r="A3" s="11" t="s">
        <v>40</v>
      </c>
      <c r="B3" s="11">
        <v>8</v>
      </c>
      <c r="C3" s="12">
        <v>46142</v>
      </c>
      <c r="E3" t="s">
        <v>432</v>
      </c>
      <c r="F3" s="28">
        <v>46233</v>
      </c>
      <c r="G3" s="28">
        <v>46274</v>
      </c>
    </row>
    <row r="4" spans="1:8" ht="14.25" customHeight="1">
      <c r="A4" s="11" t="s">
        <v>40</v>
      </c>
      <c r="B4" s="11">
        <v>10</v>
      </c>
      <c r="C4" s="12">
        <v>46172</v>
      </c>
      <c r="E4" t="s">
        <v>433</v>
      </c>
      <c r="F4" s="28">
        <v>46264</v>
      </c>
      <c r="G4" s="28">
        <v>46295</v>
      </c>
    </row>
    <row r="5" spans="1:8" ht="14.25" customHeight="1">
      <c r="A5" s="11" t="s">
        <v>40</v>
      </c>
      <c r="B5" s="11">
        <v>9</v>
      </c>
      <c r="C5" s="12">
        <v>46203</v>
      </c>
      <c r="E5" t="s">
        <v>434</v>
      </c>
      <c r="F5" s="28">
        <v>46295</v>
      </c>
      <c r="G5" s="28">
        <v>46325</v>
      </c>
    </row>
    <row r="6" spans="1:8" ht="14.25" customHeight="1">
      <c r="A6" s="11" t="s">
        <v>126</v>
      </c>
      <c r="B6" s="11">
        <v>15</v>
      </c>
      <c r="C6" s="12">
        <v>46233</v>
      </c>
      <c r="E6" t="s">
        <v>435</v>
      </c>
      <c r="F6" s="28">
        <v>46325</v>
      </c>
      <c r="G6" s="28">
        <v>46356</v>
      </c>
    </row>
    <row r="7" spans="1:8" ht="14.25" customHeight="1">
      <c r="A7" s="11" t="s">
        <v>126</v>
      </c>
      <c r="B7" s="11">
        <v>15</v>
      </c>
      <c r="C7" s="12">
        <v>46264</v>
      </c>
      <c r="E7" t="s">
        <v>436</v>
      </c>
      <c r="F7" s="28">
        <v>46356</v>
      </c>
      <c r="G7" s="28">
        <v>46387</v>
      </c>
    </row>
    <row r="8" spans="1:8" ht="14.25" customHeight="1">
      <c r="A8" s="11" t="s">
        <v>126</v>
      </c>
      <c r="B8" s="11">
        <v>17</v>
      </c>
      <c r="C8" s="12">
        <v>46295</v>
      </c>
      <c r="E8" t="s">
        <v>437</v>
      </c>
      <c r="F8" s="28">
        <v>46387</v>
      </c>
      <c r="G8" s="28">
        <v>46417</v>
      </c>
    </row>
    <row r="9" spans="1:8" ht="14.25" customHeight="1">
      <c r="A9" s="11" t="s">
        <v>126</v>
      </c>
      <c r="B9" s="11">
        <v>20</v>
      </c>
      <c r="C9" s="12">
        <v>46325</v>
      </c>
      <c r="E9" t="s">
        <v>438</v>
      </c>
      <c r="F9" s="28">
        <v>46417</v>
      </c>
      <c r="G9" s="28">
        <v>46445</v>
      </c>
    </row>
    <row r="10" spans="1:8" ht="14.25" customHeight="1">
      <c r="A10" s="11" t="s">
        <v>126</v>
      </c>
      <c r="B10" s="11">
        <v>20</v>
      </c>
      <c r="C10" s="12">
        <v>46356</v>
      </c>
      <c r="E10" t="s">
        <v>439</v>
      </c>
      <c r="F10" s="28">
        <v>46446</v>
      </c>
      <c r="G10" s="28">
        <v>46477</v>
      </c>
    </row>
    <row r="11" spans="1:8" ht="14.25" customHeight="1">
      <c r="A11" s="11" t="s">
        <v>336</v>
      </c>
      <c r="B11" s="11">
        <v>18</v>
      </c>
      <c r="C11" s="12">
        <v>46417</v>
      </c>
      <c r="E11" t="s">
        <v>440</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441</v>
      </c>
      <c r="B1" s="267"/>
      <c r="C1" s="267"/>
      <c r="D1" s="267"/>
      <c r="E1" s="267"/>
      <c r="F1" s="267"/>
      <c r="G1" s="267"/>
      <c r="H1" s="267"/>
      <c r="I1" s="267"/>
      <c r="J1" s="267"/>
    </row>
    <row r="2" spans="1:10" ht="27" customHeight="1">
      <c r="A2" s="8" t="s">
        <v>0</v>
      </c>
      <c r="B2" s="8" t="s">
        <v>442</v>
      </c>
      <c r="C2" s="8" t="s">
        <v>1</v>
      </c>
      <c r="D2" s="8" t="s">
        <v>443</v>
      </c>
      <c r="E2" s="8" t="s">
        <v>444</v>
      </c>
      <c r="F2" s="8" t="s">
        <v>6</v>
      </c>
      <c r="G2" s="8" t="s">
        <v>5</v>
      </c>
      <c r="H2" s="8" t="s">
        <v>445</v>
      </c>
      <c r="I2" s="8" t="s">
        <v>427</v>
      </c>
      <c r="J2" s="8" t="s">
        <v>446</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447</v>
      </c>
      <c r="D13" s="9" t="s">
        <v>448</v>
      </c>
      <c r="E13" s="9" t="s">
        <v>46</v>
      </c>
      <c r="F13" s="9"/>
      <c r="G13" s="9"/>
      <c r="H13" s="10"/>
      <c r="I13" s="10">
        <v>46115</v>
      </c>
      <c r="J13" s="10">
        <v>46115</v>
      </c>
    </row>
    <row r="14" spans="1:10" ht="14.25" customHeight="1">
      <c r="A14" s="9" t="s">
        <v>40</v>
      </c>
      <c r="B14" s="9" t="s">
        <v>223</v>
      </c>
      <c r="C14" s="9" t="s">
        <v>447</v>
      </c>
      <c r="D14" s="9" t="s">
        <v>448</v>
      </c>
      <c r="E14" s="9" t="s">
        <v>46</v>
      </c>
      <c r="F14" s="9"/>
      <c r="G14" s="9"/>
      <c r="H14" s="10">
        <v>46115</v>
      </c>
      <c r="I14" s="10">
        <v>46120</v>
      </c>
      <c r="J14" s="10">
        <v>46120</v>
      </c>
    </row>
    <row r="15" spans="1:10" ht="14.25" customHeight="1">
      <c r="A15" s="9" t="s">
        <v>40</v>
      </c>
      <c r="B15" s="9" t="s">
        <v>206</v>
      </c>
      <c r="C15" s="9" t="s">
        <v>447</v>
      </c>
      <c r="D15" s="9" t="s">
        <v>448</v>
      </c>
      <c r="E15" s="9" t="s">
        <v>46</v>
      </c>
      <c r="F15" s="9"/>
      <c r="G15" s="9"/>
      <c r="H15" s="10">
        <v>46120</v>
      </c>
      <c r="I15" s="10">
        <v>46122</v>
      </c>
      <c r="J15" s="10">
        <v>46122</v>
      </c>
    </row>
    <row r="16" spans="1:10" ht="14.25" customHeight="1">
      <c r="A16" s="9" t="s">
        <v>40</v>
      </c>
      <c r="B16" s="9" t="s">
        <v>187</v>
      </c>
      <c r="C16" s="9" t="s">
        <v>447</v>
      </c>
      <c r="D16" s="9" t="s">
        <v>448</v>
      </c>
      <c r="E16" s="9" t="s">
        <v>46</v>
      </c>
      <c r="F16" s="9"/>
      <c r="G16" s="9"/>
      <c r="H16" s="10">
        <v>46122</v>
      </c>
      <c r="I16" s="10"/>
      <c r="J16" s="10"/>
    </row>
    <row r="17" spans="1:10" ht="14.25" customHeight="1">
      <c r="A17" s="9" t="s">
        <v>40</v>
      </c>
      <c r="B17" s="9" t="s">
        <v>42</v>
      </c>
      <c r="C17" s="9" t="s">
        <v>447</v>
      </c>
      <c r="D17" s="9" t="s">
        <v>448</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448</v>
      </c>
      <c r="E23" s="9" t="s">
        <v>46</v>
      </c>
      <c r="F23" s="9"/>
      <c r="G23" s="9"/>
      <c r="H23" s="10"/>
      <c r="I23" s="10">
        <v>46115</v>
      </c>
      <c r="J23" s="10">
        <v>46115</v>
      </c>
    </row>
    <row r="24" spans="1:10" ht="14.25" customHeight="1">
      <c r="A24" s="9" t="s">
        <v>40</v>
      </c>
      <c r="B24" s="9" t="s">
        <v>223</v>
      </c>
      <c r="C24" s="9" t="s">
        <v>64</v>
      </c>
      <c r="D24" s="9" t="s">
        <v>448</v>
      </c>
      <c r="E24" s="9" t="s">
        <v>46</v>
      </c>
      <c r="F24" s="9"/>
      <c r="G24" s="9"/>
      <c r="H24" s="10">
        <v>46115</v>
      </c>
      <c r="I24" s="10">
        <v>46120</v>
      </c>
      <c r="J24" s="10">
        <v>46120</v>
      </c>
    </row>
    <row r="25" spans="1:10" ht="14.25" customHeight="1">
      <c r="A25" s="9" t="s">
        <v>40</v>
      </c>
      <c r="B25" s="9" t="s">
        <v>206</v>
      </c>
      <c r="C25" s="9" t="s">
        <v>64</v>
      </c>
      <c r="D25" s="9" t="s">
        <v>448</v>
      </c>
      <c r="E25" s="9" t="s">
        <v>46</v>
      </c>
      <c r="F25" s="9"/>
      <c r="G25" s="9"/>
      <c r="H25" s="10">
        <v>46120</v>
      </c>
      <c r="I25" s="10">
        <v>46122</v>
      </c>
      <c r="J25" s="10">
        <v>46122</v>
      </c>
    </row>
    <row r="26" spans="1:10" ht="14.25" customHeight="1">
      <c r="A26" s="9" t="s">
        <v>40</v>
      </c>
      <c r="B26" s="9" t="s">
        <v>187</v>
      </c>
      <c r="C26" s="9" t="s">
        <v>64</v>
      </c>
      <c r="D26" s="9" t="s">
        <v>448</v>
      </c>
      <c r="E26" s="9" t="s">
        <v>46</v>
      </c>
      <c r="F26" s="9"/>
      <c r="G26" s="9"/>
      <c r="H26" s="10">
        <v>46122</v>
      </c>
      <c r="I26" s="10"/>
      <c r="J26" s="10"/>
    </row>
    <row r="27" spans="1:10" ht="14.25" customHeight="1">
      <c r="A27" s="9" t="s">
        <v>40</v>
      </c>
      <c r="B27" s="9" t="s">
        <v>42</v>
      </c>
      <c r="C27" s="9" t="s">
        <v>64</v>
      </c>
      <c r="D27" s="9" t="s">
        <v>448</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448</v>
      </c>
      <c r="E33" s="9" t="s">
        <v>60</v>
      </c>
      <c r="F33" s="9"/>
      <c r="G33" s="9"/>
      <c r="H33" s="10"/>
      <c r="I33" s="10">
        <v>46122</v>
      </c>
      <c r="J33" s="10">
        <v>46122</v>
      </c>
    </row>
    <row r="34" spans="1:10" ht="14.25" customHeight="1">
      <c r="A34" s="9" t="s">
        <v>40</v>
      </c>
      <c r="B34" s="9" t="s">
        <v>223</v>
      </c>
      <c r="C34" s="9" t="s">
        <v>70</v>
      </c>
      <c r="D34" s="9" t="s">
        <v>448</v>
      </c>
      <c r="E34" s="9" t="s">
        <v>60</v>
      </c>
      <c r="F34" s="9"/>
      <c r="G34" s="9"/>
      <c r="H34" s="10">
        <v>46122</v>
      </c>
      <c r="I34" s="10">
        <v>46126</v>
      </c>
      <c r="J34" s="10">
        <v>46126</v>
      </c>
    </row>
    <row r="35" spans="1:10" ht="14.25" customHeight="1">
      <c r="A35" s="9" t="s">
        <v>40</v>
      </c>
      <c r="B35" s="9" t="s">
        <v>206</v>
      </c>
      <c r="C35" s="9" t="s">
        <v>70</v>
      </c>
      <c r="D35" s="9" t="s">
        <v>448</v>
      </c>
      <c r="E35" s="9" t="s">
        <v>60</v>
      </c>
      <c r="F35" s="9"/>
      <c r="G35" s="9"/>
      <c r="H35" s="10">
        <v>46126</v>
      </c>
      <c r="I35" s="10">
        <v>46122</v>
      </c>
      <c r="J35" s="10">
        <v>46122</v>
      </c>
    </row>
    <row r="36" spans="1:10" ht="14.25" customHeight="1">
      <c r="A36" s="9" t="s">
        <v>40</v>
      </c>
      <c r="B36" s="9" t="s">
        <v>187</v>
      </c>
      <c r="C36" s="9" t="s">
        <v>70</v>
      </c>
      <c r="D36" s="9" t="s">
        <v>448</v>
      </c>
      <c r="E36" s="9" t="s">
        <v>60</v>
      </c>
      <c r="F36" s="9"/>
      <c r="G36" s="9"/>
      <c r="H36" s="10">
        <v>46122</v>
      </c>
      <c r="I36" s="10"/>
      <c r="J36" s="10"/>
    </row>
    <row r="37" spans="1:10" ht="14.25" customHeight="1">
      <c r="A37" s="9" t="s">
        <v>40</v>
      </c>
      <c r="B37" s="9" t="s">
        <v>42</v>
      </c>
      <c r="C37" s="9" t="s">
        <v>70</v>
      </c>
      <c r="D37" s="9" t="s">
        <v>448</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448</v>
      </c>
      <c r="E48" s="9" t="s">
        <v>60</v>
      </c>
      <c r="F48" s="9"/>
      <c r="G48" s="9"/>
      <c r="H48" s="10"/>
      <c r="I48" s="10"/>
      <c r="J48" s="10"/>
    </row>
    <row r="49" spans="1:10" ht="14.25" customHeight="1">
      <c r="A49" s="9" t="s">
        <v>40</v>
      </c>
      <c r="B49" s="9" t="s">
        <v>223</v>
      </c>
      <c r="C49" s="9" t="s">
        <v>97</v>
      </c>
      <c r="D49" s="9" t="s">
        <v>448</v>
      </c>
      <c r="E49" s="9" t="s">
        <v>60</v>
      </c>
      <c r="F49" s="9"/>
      <c r="G49" s="9"/>
      <c r="H49" s="10"/>
      <c r="I49" s="10">
        <v>46139</v>
      </c>
      <c r="J49" s="10">
        <v>46139</v>
      </c>
    </row>
    <row r="50" spans="1:10" ht="14.25" customHeight="1">
      <c r="A50" s="9" t="s">
        <v>40</v>
      </c>
      <c r="B50" s="9" t="s">
        <v>206</v>
      </c>
      <c r="C50" s="9" t="s">
        <v>97</v>
      </c>
      <c r="D50" s="9" t="s">
        <v>448</v>
      </c>
      <c r="E50" s="9" t="s">
        <v>60</v>
      </c>
      <c r="F50" s="9"/>
      <c r="G50" s="9"/>
      <c r="H50" s="10">
        <v>46139</v>
      </c>
      <c r="I50" s="10">
        <v>46139</v>
      </c>
      <c r="J50" s="10">
        <v>46139</v>
      </c>
    </row>
    <row r="51" spans="1:10" ht="14.25" customHeight="1">
      <c r="A51" s="9" t="s">
        <v>40</v>
      </c>
      <c r="B51" s="9" t="s">
        <v>187</v>
      </c>
      <c r="C51" s="9" t="s">
        <v>97</v>
      </c>
      <c r="D51" s="9" t="s">
        <v>448</v>
      </c>
      <c r="E51" s="9" t="s">
        <v>60</v>
      </c>
      <c r="F51" s="9"/>
      <c r="G51" s="9"/>
      <c r="H51" s="10">
        <v>46139</v>
      </c>
      <c r="I51" s="10"/>
      <c r="J51" s="10"/>
    </row>
    <row r="52" spans="1:10" ht="14.25" customHeight="1">
      <c r="A52" s="9" t="s">
        <v>40</v>
      </c>
      <c r="B52" s="9" t="s">
        <v>42</v>
      </c>
      <c r="C52" s="9" t="s">
        <v>97</v>
      </c>
      <c r="D52" s="9" t="s">
        <v>448</v>
      </c>
      <c r="E52" s="9" t="s">
        <v>60</v>
      </c>
      <c r="F52" s="9"/>
      <c r="G52" s="9"/>
      <c r="H52" s="10"/>
      <c r="I52" s="10"/>
      <c r="J52" s="10"/>
    </row>
    <row r="53" spans="1:10" ht="14.25" customHeight="1">
      <c r="A53" s="9" t="s">
        <v>40</v>
      </c>
      <c r="B53" s="9" t="s">
        <v>262</v>
      </c>
      <c r="C53" s="9" t="s">
        <v>98</v>
      </c>
      <c r="D53" s="9" t="s">
        <v>448</v>
      </c>
      <c r="E53" s="9" t="s">
        <v>60</v>
      </c>
      <c r="F53" s="9"/>
      <c r="G53" s="9"/>
      <c r="H53" s="10"/>
      <c r="I53" s="10"/>
      <c r="J53" s="10"/>
    </row>
    <row r="54" spans="1:10" ht="14.25" customHeight="1">
      <c r="A54" s="9" t="s">
        <v>40</v>
      </c>
      <c r="B54" s="9" t="s">
        <v>223</v>
      </c>
      <c r="C54" s="9" t="s">
        <v>98</v>
      </c>
      <c r="D54" s="9" t="s">
        <v>448</v>
      </c>
      <c r="E54" s="9" t="s">
        <v>60</v>
      </c>
      <c r="F54" s="9"/>
      <c r="G54" s="9"/>
      <c r="H54" s="9"/>
      <c r="I54" s="10">
        <v>46141</v>
      </c>
      <c r="J54" s="10">
        <v>46141</v>
      </c>
    </row>
    <row r="55" spans="1:10" ht="14.25" customHeight="1">
      <c r="A55" s="9" t="s">
        <v>40</v>
      </c>
      <c r="B55" s="9" t="s">
        <v>206</v>
      </c>
      <c r="C55" s="9" t="s">
        <v>98</v>
      </c>
      <c r="D55" s="9" t="s">
        <v>448</v>
      </c>
      <c r="E55" s="9" t="s">
        <v>60</v>
      </c>
      <c r="F55" s="9"/>
      <c r="G55" s="9"/>
      <c r="H55" s="10">
        <v>46141</v>
      </c>
      <c r="I55" s="10">
        <v>46141</v>
      </c>
      <c r="J55" s="10">
        <v>46141</v>
      </c>
    </row>
    <row r="56" spans="1:10" ht="14.25" customHeight="1">
      <c r="A56" s="9" t="s">
        <v>40</v>
      </c>
      <c r="B56" s="9" t="s">
        <v>187</v>
      </c>
      <c r="C56" s="9" t="s">
        <v>98</v>
      </c>
      <c r="D56" s="9" t="s">
        <v>448</v>
      </c>
      <c r="E56" s="9" t="s">
        <v>60</v>
      </c>
      <c r="F56" s="9"/>
      <c r="G56" s="9"/>
      <c r="H56" s="10">
        <v>46141</v>
      </c>
      <c r="I56" s="10"/>
      <c r="J56" s="10"/>
    </row>
    <row r="57" spans="1:10" ht="14.25" customHeight="1">
      <c r="A57" s="9" t="s">
        <v>40</v>
      </c>
      <c r="B57" s="9" t="s">
        <v>42</v>
      </c>
      <c r="C57" s="9" t="s">
        <v>98</v>
      </c>
      <c r="D57" s="9" t="s">
        <v>448</v>
      </c>
      <c r="E57" s="9" t="s">
        <v>60</v>
      </c>
      <c r="F57" s="9"/>
      <c r="G57" s="9"/>
      <c r="H57" s="10"/>
      <c r="I57" s="10"/>
      <c r="J57" s="10"/>
    </row>
    <row r="58" spans="1:10" ht="14.25" customHeight="1">
      <c r="A58" s="9" t="s">
        <v>40</v>
      </c>
      <c r="B58" s="9" t="s">
        <v>262</v>
      </c>
      <c r="C58" s="9" t="s">
        <v>99</v>
      </c>
      <c r="D58" s="9" t="s">
        <v>448</v>
      </c>
      <c r="E58" s="9" t="s">
        <v>46</v>
      </c>
      <c r="F58" s="9"/>
      <c r="G58" s="9"/>
      <c r="H58" s="9"/>
      <c r="I58" s="10"/>
      <c r="J58" s="10"/>
    </row>
    <row r="59" spans="1:10" ht="14.25" customHeight="1">
      <c r="A59" s="9" t="s">
        <v>40</v>
      </c>
      <c r="B59" s="9" t="s">
        <v>223</v>
      </c>
      <c r="C59" s="9" t="s">
        <v>99</v>
      </c>
      <c r="D59" s="9" t="s">
        <v>448</v>
      </c>
      <c r="E59" s="9" t="s">
        <v>46</v>
      </c>
      <c r="F59" s="9"/>
      <c r="G59" s="9"/>
      <c r="H59" s="10"/>
      <c r="I59" s="10">
        <v>46161</v>
      </c>
      <c r="J59" s="10">
        <v>46161</v>
      </c>
    </row>
    <row r="60" spans="1:10" ht="14.25" customHeight="1">
      <c r="A60" s="9" t="s">
        <v>40</v>
      </c>
      <c r="B60" s="9" t="s">
        <v>206</v>
      </c>
      <c r="C60" s="9" t="s">
        <v>99</v>
      </c>
      <c r="D60" s="9" t="s">
        <v>448</v>
      </c>
      <c r="E60" s="9" t="s">
        <v>46</v>
      </c>
      <c r="F60" s="9"/>
      <c r="G60" s="9"/>
      <c r="H60" s="10">
        <v>46161</v>
      </c>
      <c r="I60" s="10">
        <v>46161</v>
      </c>
      <c r="J60" s="10">
        <v>46161</v>
      </c>
    </row>
    <row r="61" spans="1:10" ht="14.25" customHeight="1">
      <c r="A61" s="9" t="s">
        <v>40</v>
      </c>
      <c r="B61" s="9" t="s">
        <v>187</v>
      </c>
      <c r="C61" s="9" t="s">
        <v>99</v>
      </c>
      <c r="D61" s="9" t="s">
        <v>448</v>
      </c>
      <c r="E61" s="9" t="s">
        <v>46</v>
      </c>
      <c r="F61" s="9"/>
      <c r="G61" s="9"/>
      <c r="H61" s="10">
        <v>46161</v>
      </c>
      <c r="I61" s="10"/>
      <c r="J61" s="10"/>
    </row>
    <row r="62" spans="1:10" ht="14.25" customHeight="1">
      <c r="A62" s="9" t="s">
        <v>40</v>
      </c>
      <c r="B62" s="9" t="s">
        <v>42</v>
      </c>
      <c r="C62" s="9" t="s">
        <v>99</v>
      </c>
      <c r="D62" s="9" t="s">
        <v>448</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449</v>
      </c>
      <c r="F1" s="1" t="s">
        <v>345</v>
      </c>
      <c r="G1" s="5" t="s">
        <v>450</v>
      </c>
      <c r="H1" s="5" t="s">
        <v>20</v>
      </c>
      <c r="I1" t="s">
        <v>35</v>
      </c>
      <c r="J1" s="5" t="s">
        <v>451</v>
      </c>
      <c r="K1" s="5" t="s">
        <v>187</v>
      </c>
      <c r="L1" s="5" t="s">
        <v>362</v>
      </c>
      <c r="M1" s="1" t="s">
        <v>452</v>
      </c>
      <c r="N1" s="1" t="s">
        <v>453</v>
      </c>
      <c r="R1" t="s">
        <v>13</v>
      </c>
      <c r="T1" t="s">
        <v>454</v>
      </c>
    </row>
    <row r="2" spans="1:20" ht="13.5" customHeight="1">
      <c r="A2" s="2" t="s">
        <v>455</v>
      </c>
      <c r="B2" s="2" t="s">
        <v>456</v>
      </c>
      <c r="C2" s="2" t="s">
        <v>457</v>
      </c>
      <c r="D2" s="2" t="s">
        <v>458</v>
      </c>
      <c r="E2" s="2" t="s">
        <v>459</v>
      </c>
      <c r="F2" s="2" t="s">
        <v>460</v>
      </c>
      <c r="G2" t="s">
        <v>461</v>
      </c>
      <c r="H2" t="s">
        <v>462</v>
      </c>
      <c r="I2" t="s">
        <v>463</v>
      </c>
      <c r="J2" s="29" t="s">
        <v>464</v>
      </c>
      <c r="K2" s="29" t="s">
        <v>465</v>
      </c>
      <c r="L2" s="29" t="s">
        <v>466</v>
      </c>
      <c r="M2" t="s">
        <v>144</v>
      </c>
      <c r="N2" t="s">
        <v>467</v>
      </c>
      <c r="R2" t="s">
        <v>257</v>
      </c>
      <c r="T2" t="s">
        <v>49</v>
      </c>
    </row>
    <row r="3" spans="1:20" ht="15" customHeight="1">
      <c r="A3" t="s">
        <v>40</v>
      </c>
      <c r="B3" t="s">
        <v>44</v>
      </c>
      <c r="C3" t="s">
        <v>60</v>
      </c>
      <c r="D3" t="s">
        <v>129</v>
      </c>
      <c r="E3" t="s">
        <v>50</v>
      </c>
      <c r="F3" t="s">
        <v>234</v>
      </c>
      <c r="G3" t="s">
        <v>44</v>
      </c>
      <c r="H3" t="s">
        <v>47</v>
      </c>
      <c r="I3" t="s">
        <v>53</v>
      </c>
      <c r="J3" t="s">
        <v>262</v>
      </c>
      <c r="K3" t="s">
        <v>48</v>
      </c>
      <c r="L3" t="s">
        <v>53</v>
      </c>
      <c r="M3" t="s">
        <v>44</v>
      </c>
      <c r="N3" t="s">
        <v>468</v>
      </c>
      <c r="R3" t="s">
        <v>45</v>
      </c>
      <c r="T3" t="s">
        <v>94</v>
      </c>
    </row>
    <row r="4" spans="1:20" ht="15" customHeight="1">
      <c r="A4" t="s">
        <v>126</v>
      </c>
      <c r="B4" t="s">
        <v>59</v>
      </c>
      <c r="C4" t="s">
        <v>46</v>
      </c>
      <c r="D4" t="s">
        <v>144</v>
      </c>
      <c r="E4" t="s">
        <v>53</v>
      </c>
      <c r="F4" t="s">
        <v>262</v>
      </c>
      <c r="G4" t="s">
        <v>59</v>
      </c>
      <c r="H4" t="s">
        <v>88</v>
      </c>
      <c r="I4" t="s">
        <v>469</v>
      </c>
      <c r="J4" t="s">
        <v>223</v>
      </c>
      <c r="L4" t="s">
        <v>50</v>
      </c>
      <c r="M4" t="s">
        <v>103</v>
      </c>
      <c r="N4" t="s">
        <v>470</v>
      </c>
      <c r="R4" t="s">
        <v>471</v>
      </c>
      <c r="T4" t="s">
        <v>72</v>
      </c>
    </row>
    <row r="5" spans="1:20" ht="15" customHeight="1">
      <c r="A5" t="s">
        <v>336</v>
      </c>
      <c r="B5" t="s">
        <v>448</v>
      </c>
      <c r="C5" t="s">
        <v>77</v>
      </c>
      <c r="F5" t="s">
        <v>223</v>
      </c>
      <c r="G5" t="s">
        <v>448</v>
      </c>
      <c r="H5" t="s">
        <v>129</v>
      </c>
      <c r="I5" t="s">
        <v>254</v>
      </c>
      <c r="J5" t="s">
        <v>206</v>
      </c>
      <c r="L5" t="s">
        <v>472</v>
      </c>
      <c r="M5" t="s">
        <v>88</v>
      </c>
      <c r="N5" t="s">
        <v>473</v>
      </c>
    </row>
    <row r="6" spans="1:20" ht="15" customHeight="1">
      <c r="A6" t="s">
        <v>312</v>
      </c>
      <c r="B6" t="s">
        <v>84</v>
      </c>
      <c r="F6" t="s">
        <v>206</v>
      </c>
      <c r="G6" t="s">
        <v>84</v>
      </c>
      <c r="H6" t="s">
        <v>144</v>
      </c>
      <c r="I6" t="s">
        <v>474</v>
      </c>
      <c r="J6" t="s">
        <v>187</v>
      </c>
      <c r="M6" t="s">
        <v>48</v>
      </c>
      <c r="N6" t="s">
        <v>473</v>
      </c>
    </row>
    <row r="7" spans="1:20" ht="15" customHeight="1">
      <c r="A7" t="s">
        <v>303</v>
      </c>
      <c r="B7" t="s">
        <v>65</v>
      </c>
      <c r="F7" t="s">
        <v>187</v>
      </c>
      <c r="G7" t="s">
        <v>65</v>
      </c>
      <c r="H7" t="s">
        <v>201</v>
      </c>
      <c r="I7" t="s">
        <v>475</v>
      </c>
      <c r="M7" t="s">
        <v>129</v>
      </c>
      <c r="N7" t="s">
        <v>476</v>
      </c>
    </row>
    <row r="8" spans="1:20" ht="15" customHeight="1">
      <c r="B8" t="s">
        <v>76</v>
      </c>
      <c r="F8" t="s">
        <v>128</v>
      </c>
      <c r="G8" t="s">
        <v>76</v>
      </c>
      <c r="I8" t="s">
        <v>171</v>
      </c>
      <c r="M8" t="s">
        <v>60</v>
      </c>
      <c r="N8" t="s">
        <v>477</v>
      </c>
    </row>
    <row r="9" spans="1:20" ht="15" customHeight="1">
      <c r="B9" t="s">
        <v>103</v>
      </c>
      <c r="F9" t="s">
        <v>42</v>
      </c>
      <c r="G9" t="s">
        <v>103</v>
      </c>
      <c r="I9" t="s">
        <v>133</v>
      </c>
      <c r="M9" t="s">
        <v>155</v>
      </c>
      <c r="N9" t="s">
        <v>478</v>
      </c>
    </row>
    <row r="10" spans="1:20" ht="15" customHeight="1">
      <c r="B10" t="s">
        <v>155</v>
      </c>
      <c r="G10" t="s">
        <v>155</v>
      </c>
      <c r="I10" t="s">
        <v>479</v>
      </c>
      <c r="M10" t="s">
        <v>47</v>
      </c>
      <c r="N10" t="s">
        <v>480</v>
      </c>
    </row>
    <row r="11" spans="1:20">
      <c r="B11" t="s">
        <v>481</v>
      </c>
      <c r="G11" t="s">
        <v>60</v>
      </c>
      <c r="M11" t="s">
        <v>76</v>
      </c>
      <c r="N11" t="s">
        <v>482</v>
      </c>
    </row>
    <row r="12" spans="1:20">
      <c r="B12" t="s">
        <v>483</v>
      </c>
      <c r="G12" t="s">
        <v>46</v>
      </c>
      <c r="M12" t="s">
        <v>46</v>
      </c>
      <c r="N12" t="s">
        <v>484</v>
      </c>
    </row>
    <row r="13" spans="1:20">
      <c r="G13" t="s">
        <v>77</v>
      </c>
      <c r="M13" t="s">
        <v>77</v>
      </c>
      <c r="N13" t="s">
        <v>485</v>
      </c>
    </row>
    <row r="14" spans="1:20">
      <c r="M14" t="s">
        <v>84</v>
      </c>
      <c r="N14" t="s">
        <v>486</v>
      </c>
    </row>
    <row r="15" spans="1:20">
      <c r="M15" t="s">
        <v>59</v>
      </c>
      <c r="N15" t="s">
        <v>487</v>
      </c>
    </row>
    <row r="16" spans="1:20">
      <c r="M16" t="s">
        <v>65</v>
      </c>
      <c r="N16" t="s">
        <v>488</v>
      </c>
    </row>
    <row r="17" spans="13:14">
      <c r="M17" t="s">
        <v>448</v>
      </c>
      <c r="N17" t="s">
        <v>488</v>
      </c>
    </row>
    <row r="18" spans="13:14">
      <c r="M18" t="s">
        <v>229</v>
      </c>
      <c r="N18" t="s">
        <v>489</v>
      </c>
    </row>
    <row r="19" spans="13:14">
      <c r="M19" t="s">
        <v>201</v>
      </c>
      <c r="N19" t="s">
        <v>490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491</v>
      </c>
      <c r="C2" s="142"/>
      <c r="D2" s="142"/>
      <c r="E2" s="142"/>
      <c r="F2" s="142"/>
      <c r="G2" s="142"/>
      <c r="H2" s="142"/>
      <c r="I2" s="142"/>
      <c r="J2" s="142"/>
      <c r="K2" s="142"/>
      <c r="L2" s="142"/>
      <c r="M2" s="248" t="str">
        <f ca="1">"As of "&amp;TEXT(TODAY(),"d mmm yyyy")&amp;". Live from Combined Delivery Data."</f>
        <v>As of 19 Oct 2026. Live from Combined Delivery Data.</v>
      </c>
      <c r="N2" s="248"/>
      <c r="O2" s="24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49" t="str">
        <f>IF(C7+E7=0,"No CMS reports are blocked.","reports are blocked. "&amp;C7&amp;" are approved and waiting for a production release, "&amp;E7&amp;" are blocked in build or QA.")</f>
        <v>reports are blocked. 26 are approved and waiting for a production release, 4 are blocked in build or QA.</v>
      </c>
      <c r="D5" s="249"/>
      <c r="E5" s="249"/>
      <c r="F5" s="249"/>
      <c r="G5" s="249"/>
      <c r="H5" s="249"/>
      <c r="I5" s="249"/>
      <c r="J5" s="249"/>
      <c r="K5" s="249"/>
      <c r="L5" s="249"/>
      <c r="M5" s="249"/>
      <c r="N5" s="249"/>
      <c r="O5" s="24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0" cm="1">
        <f t="array" ref="C7">COUNTIFS(cmsDom,"CMS",cmsStatus,"Ready for Release in Prod")</f>
        <v>26</v>
      </c>
      <c r="D7" s="251"/>
      <c r="E7" s="254" cm="1">
        <f t="array" ref="E7">COUNTIFS(cmsDom,"CMS",cmsBlocked,"Yes*",cmsStatus,"&lt;&gt;Ready for Release in Prod",cmsStatus,"&lt;&gt;RELEASED IN PROD")</f>
        <v>4</v>
      </c>
      <c r="F7" s="255"/>
      <c r="G7" s="256" cm="1">
        <f t="array" ref="G7">SUM(COUNTIFS(cmsDom,"CMS",cmsBlocked,"&lt;&gt;Yes*",cmsStatus,{"DB Dev","PBI Dev","QA","DPO Approval"}))</f>
        <v>26</v>
      </c>
      <c r="H7" s="257"/>
      <c r="I7" s="258" cm="1">
        <f t="array" ref="I7">COUNTIFS(cmsDom,"CMS",cmsBlocked,"&lt;&gt;Yes*",cmsStatus,"NOT STARTED")</f>
        <v>12</v>
      </c>
      <c r="J7" s="259"/>
      <c r="K7" s="260" cm="1">
        <f t="array" ref="K7">COUNTIFS(cmsDom,"CMS",cmsStatus,"RELEASED IN PROD")</f>
        <v>4</v>
      </c>
      <c r="L7" s="261"/>
      <c r="M7" s="262" t="s">
        <v>492</v>
      </c>
      <c r="N7" s="263"/>
      <c r="O7" s="264"/>
      <c r="P7" s="142"/>
      <c r="Q7" s="142"/>
      <c r="R7" s="142"/>
      <c r="S7" s="142"/>
      <c r="T7" s="142"/>
      <c r="U7" s="142"/>
      <c r="V7" s="142"/>
      <c r="W7" s="142"/>
      <c r="X7" s="142"/>
      <c r="Y7" s="142"/>
      <c r="Z7" s="142"/>
    </row>
    <row r="8" spans="1:26" ht="30" customHeight="1">
      <c r="A8" s="142"/>
      <c r="B8" s="142"/>
      <c r="C8" s="252" t="s">
        <v>493</v>
      </c>
      <c r="D8" s="253"/>
      <c r="E8" s="252" t="s">
        <v>494</v>
      </c>
      <c r="F8" s="253"/>
      <c r="G8" s="252" t="s">
        <v>495</v>
      </c>
      <c r="H8" s="253"/>
      <c r="I8" s="252" t="s">
        <v>496</v>
      </c>
      <c r="J8" s="253"/>
      <c r="K8" s="252" t="s">
        <v>497</v>
      </c>
      <c r="L8" s="253"/>
      <c r="M8" s="25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53"/>
      <c r="O8" s="26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498</v>
      </c>
      <c r="C10" s="226" t="s">
        <v>499</v>
      </c>
      <c r="D10" s="226"/>
      <c r="E10" s="226"/>
      <c r="F10" s="226"/>
      <c r="G10" s="226"/>
      <c r="H10" s="226"/>
      <c r="I10" s="226"/>
      <c r="J10" s="226"/>
      <c r="K10" s="226"/>
      <c r="L10" s="226"/>
      <c r="M10" s="226"/>
      <c r="N10" s="226"/>
      <c r="O10" s="226"/>
      <c r="P10" s="142"/>
      <c r="Q10" s="142"/>
      <c r="R10" s="142"/>
      <c r="S10" s="142"/>
      <c r="T10" s="142"/>
      <c r="U10" s="142"/>
      <c r="V10" s="142"/>
      <c r="W10" s="142"/>
      <c r="X10" s="142"/>
      <c r="Y10" s="142"/>
      <c r="Z10" s="142"/>
    </row>
    <row r="11" spans="1:26" ht="30" customHeight="1">
      <c r="A11" s="142"/>
      <c r="B11" s="159" t="s">
        <v>500</v>
      </c>
      <c r="C11" s="156" t="s">
        <v>501</v>
      </c>
      <c r="D11" s="156" t="s">
        <v>502</v>
      </c>
      <c r="E11" s="156" t="s">
        <v>187</v>
      </c>
      <c r="F11" s="156" t="s">
        <v>206</v>
      </c>
      <c r="G11" s="156" t="s">
        <v>223</v>
      </c>
      <c r="H11" s="156" t="s">
        <v>262</v>
      </c>
      <c r="I11" s="156" t="s">
        <v>496</v>
      </c>
      <c r="J11" s="156" t="s">
        <v>503</v>
      </c>
      <c r="K11" s="156" t="s">
        <v>504</v>
      </c>
      <c r="L11" s="156" t="s">
        <v>505</v>
      </c>
      <c r="M11" s="242" t="s">
        <v>506</v>
      </c>
      <c r="N11" s="243"/>
      <c r="O11" s="244"/>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40 days past milestone, 14 of 14 not released</v>
      </c>
      <c r="N12" s="246"/>
      <c r="O12" s="247"/>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19 days past milestone, 12 of 12 not released</v>
      </c>
      <c r="N13" s="237"/>
      <c r="O13" s="238"/>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11 days to milestone, 2 blocked</v>
      </c>
      <c r="N14" s="237"/>
      <c r="O14" s="238"/>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2</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42 days to milestone, 2 blocked</v>
      </c>
      <c r="N15" s="237"/>
      <c r="O15" s="238"/>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73 days to milestone</v>
      </c>
      <c r="N16" s="240"/>
      <c r="O16" s="241"/>
      <c r="P16" s="142"/>
      <c r="Q16" s="142"/>
      <c r="R16" s="142"/>
      <c r="S16" s="142"/>
      <c r="T16" s="142"/>
      <c r="U16" s="142"/>
      <c r="V16" s="142"/>
      <c r="W16" s="142"/>
      <c r="X16" s="142"/>
      <c r="Y16" s="142"/>
      <c r="Z16" s="142"/>
    </row>
    <row r="17" spans="1:26" ht="24" customHeight="1">
      <c r="A17" s="142"/>
      <c r="B17" s="157" t="s">
        <v>507</v>
      </c>
      <c r="C17" s="169">
        <f t="shared" ref="C17:K17" si="0">SUM(C12:C16)</f>
        <v>26</v>
      </c>
      <c r="D17" s="169">
        <f t="shared" si="0"/>
        <v>4</v>
      </c>
      <c r="E17" s="169">
        <f t="shared" si="0"/>
        <v>7</v>
      </c>
      <c r="F17" s="169">
        <f t="shared" si="0"/>
        <v>6</v>
      </c>
      <c r="G17" s="169">
        <f t="shared" si="0"/>
        <v>8</v>
      </c>
      <c r="H17" s="169">
        <f t="shared" si="0"/>
        <v>5</v>
      </c>
      <c r="I17" s="169">
        <f t="shared" si="0"/>
        <v>12</v>
      </c>
      <c r="J17" s="169">
        <f t="shared" si="0"/>
        <v>4</v>
      </c>
      <c r="K17" s="169">
        <f t="shared" si="0"/>
        <v>72</v>
      </c>
      <c r="L17" s="158"/>
      <c r="M17" s="223" t="str">
        <f>IF(SUM(C17:J17)=K17,"","Counts do not add up to the report total")</f>
        <v/>
      </c>
      <c r="N17" s="224"/>
      <c r="O17" s="22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508</v>
      </c>
      <c r="C19" s="226" t="s">
        <v>509</v>
      </c>
      <c r="D19" s="226"/>
      <c r="E19" s="226"/>
      <c r="F19" s="226"/>
      <c r="G19" s="226"/>
      <c r="H19" s="226"/>
      <c r="I19" s="226"/>
      <c r="J19" s="226"/>
      <c r="K19" s="226"/>
      <c r="L19" s="226"/>
      <c r="M19" s="226"/>
      <c r="N19" s="226"/>
      <c r="O19" s="22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26" t="s">
        <v>510</v>
      </c>
      <c r="D35" s="226"/>
      <c r="E35" s="226"/>
      <c r="F35" s="226"/>
      <c r="G35" s="226"/>
      <c r="H35" s="226"/>
      <c r="I35" s="226"/>
      <c r="J35" s="226"/>
      <c r="K35" s="226"/>
      <c r="L35" s="226"/>
      <c r="M35" s="226"/>
      <c r="N35" s="226"/>
      <c r="O35" s="226"/>
      <c r="P35" s="142"/>
      <c r="Q35" s="142"/>
      <c r="R35" s="142"/>
      <c r="S35" s="142"/>
      <c r="T35" s="142"/>
      <c r="U35" s="142"/>
      <c r="V35" s="142"/>
      <c r="W35" s="142"/>
      <c r="X35" s="142"/>
      <c r="Y35" s="142"/>
      <c r="Z35" s="142"/>
    </row>
    <row r="36" spans="1:26" ht="21.75" customHeight="1">
      <c r="A36" s="142"/>
      <c r="B36" s="172" t="s">
        <v>511</v>
      </c>
      <c r="C36" s="170" t="s">
        <v>500</v>
      </c>
      <c r="D36" s="170" t="s">
        <v>512</v>
      </c>
      <c r="E36" s="170" t="s">
        <v>442</v>
      </c>
      <c r="F36" s="170" t="s">
        <v>513</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504</v>
      </c>
      <c r="C48" s="226"/>
      <c r="D48" s="226"/>
      <c r="E48" s="226"/>
      <c r="F48" s="226"/>
      <c r="G48" s="226"/>
      <c r="H48" s="226"/>
      <c r="I48" s="226"/>
      <c r="J48" s="226"/>
      <c r="K48" s="226"/>
      <c r="L48" s="226"/>
      <c r="M48" s="226"/>
      <c r="N48" s="226"/>
      <c r="O48" s="226"/>
      <c r="P48" s="142"/>
      <c r="Q48" s="142"/>
      <c r="R48" s="142"/>
      <c r="S48" s="142"/>
      <c r="T48" s="142"/>
      <c r="U48" s="142"/>
      <c r="V48" s="142"/>
      <c r="W48" s="142"/>
      <c r="X48" s="142"/>
      <c r="Y48" s="142"/>
      <c r="Z48" s="142"/>
    </row>
    <row r="49" spans="1:26" ht="15.75" customHeight="1">
      <c r="A49" s="142"/>
      <c r="B49" s="227"/>
      <c r="C49" s="229" t="s">
        <v>500</v>
      </c>
      <c r="D49" s="229"/>
      <c r="E49" s="229" t="s">
        <v>442</v>
      </c>
      <c r="F49" s="229"/>
      <c r="G49" s="229" t="s">
        <v>452</v>
      </c>
      <c r="H49" s="22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8"/>
      <c r="C50" s="230" t="s">
        <v>514</v>
      </c>
      <c r="D50" s="231"/>
      <c r="E50" s="230" t="s">
        <v>514</v>
      </c>
      <c r="F50" s="231"/>
      <c r="G50" s="230" t="s">
        <v>514</v>
      </c>
      <c r="H50" s="232"/>
      <c r="I50" s="233" t="str">
        <f>IF(ISTEXT(B53),"No reports match",IF(ROWS(_xlfn.ANCHORARRAY(B53))=1,"1 report","" &amp; ROWS(_xlfn.ANCHORARRAY(B53)) &amp; " reports"))</f>
        <v>No reports match</v>
      </c>
      <c r="J50" s="234"/>
      <c r="K50" s="234"/>
      <c r="L50" s="234"/>
      <c r="M50" s="234"/>
      <c r="N50" s="234"/>
      <c r="O50" s="23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511</v>
      </c>
      <c r="C52" s="179" t="s">
        <v>500</v>
      </c>
      <c r="D52" s="179" t="s">
        <v>512</v>
      </c>
      <c r="E52" s="179" t="s">
        <v>35</v>
      </c>
      <c r="F52" s="179" t="s">
        <v>515</v>
      </c>
      <c r="G52" s="179" t="s">
        <v>516</v>
      </c>
      <c r="H52" s="179" t="s">
        <v>517</v>
      </c>
      <c r="I52" s="179" t="s">
        <v>518</v>
      </c>
      <c r="J52" s="181" t="s">
        <v>519</v>
      </c>
      <c r="K52" s="181" t="s">
        <v>520</v>
      </c>
      <c r="L52" s="181" t="s">
        <v>521</v>
      </c>
      <c r="M52" s="181" t="s">
        <v>522</v>
      </c>
      <c r="N52" s="181" t="s">
        <v>523</v>
      </c>
      <c r="O52" s="179" t="s">
        <v>524</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
      </c>
      <c r="F105" s="173" t="str">
        <v>Geetha</v>
      </c>
      <c r="G105" s="173" t="str">
        <v>Navya</v>
      </c>
      <c r="H105" s="173" t="str">
        <v>Preety</v>
      </c>
      <c r="I105" s="173" t="str">
        <v>Bryan Patterson</v>
      </c>
      <c r="J105" s="184">
        <v>46287</v>
      </c>
      <c r="K105" s="184">
        <v>46294</v>
      </c>
      <c r="L105" s="184" t="str">
        <v/>
      </c>
      <c r="M105" s="184" t="str">
        <v/>
      </c>
      <c r="N105" s="185">
        <v>1</v>
      </c>
      <c r="O105" s="173" t="str">
        <v>Open rework row - mark Blocked or close it</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525</v>
      </c>
      <c r="C1" t="s">
        <v>526</v>
      </c>
      <c r="D1" t="s">
        <v>35</v>
      </c>
      <c r="E1" t="s">
        <v>527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469</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262</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469</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263</v>
      </c>
      <c r="B55" t="s">
        <v>244</v>
      </c>
      <c r="C55" t="s">
        <v>262</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528</v>
      </c>
      <c r="B1" t="s">
        <v>529</v>
      </c>
      <c r="C1" t="s">
        <v>530</v>
      </c>
    </row>
    <row r="2" spans="1:3">
      <c r="A2" t="s">
        <v>514</v>
      </c>
      <c r="B2" t="s">
        <v>514</v>
      </c>
      <c r="C2" t="s">
        <v>514</v>
      </c>
    </row>
    <row r="3" spans="1:3">
      <c r="A3" t="str" cm="1">
        <f t="array" ref="A3:A7">_xlfn.LET(_xlpm.u,_xlfn.UNIQUE(_xlfn._xlws.FILTER(cmsMonth,(cmsDom="CMS")*(cmsMonth&lt;&gt;""))),_xlfn.SORTBY(_xlpm.u,MONTH(DATEVALUE("1 "&amp;_xlpm.u&amp;" 2026"))))</f>
        <v>July</v>
      </c>
      <c r="B3" t="s">
        <v>501</v>
      </c>
      <c r="C3" t="str" cm="1">
        <f t="array" ref="C3:C18">_xlfn.LET(_xlpm.v,_xlfn.VSTACK(cmsDBDev,cmsPBIDev,cmsQA),_xlpm.d,_xlfn.VSTACK(cmsDom,cmsDom,cmsDom),_xlfn._xlws.SORT(_xlfn.UNIQUE(_xlfn._xlws.FILTER(_xlpm.v,(_xlpm.d="CMS")*(_xlpm.v&lt;&gt;"")))))</f>
        <v>Bardia</v>
      </c>
    </row>
    <row r="4" spans="1:3">
      <c r="A4" t="str">
        <v>August</v>
      </c>
      <c r="B4" t="s">
        <v>502</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262</v>
      </c>
      <c r="C8" t="str">
        <v>Michael</v>
      </c>
    </row>
    <row r="9" spans="1:3">
      <c r="B9" t="s">
        <v>496</v>
      </c>
      <c r="C9" t="str">
        <v>Navya</v>
      </c>
    </row>
    <row r="10" spans="1:3">
      <c r="B10" t="s">
        <v>503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2026-10-20T00:44:48Z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