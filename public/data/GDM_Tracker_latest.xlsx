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483" documentId="13_ncr:1_{52745E9B-3AA1-4770-AAD3-E6166BFC13AE}" xr6:coauthVersionLast="47" xr6:coauthVersionMax="47" xr10:uidLastSave="{5161924B-A1B0-4EDD-B079-4DE546D63309}"/>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<sst xmlns="http://schemas.openxmlformats.org/spreadsheetml/2006/main" count="3216" uniqueCount="471">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</sst>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F120" sqref="F12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210</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46282</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Open rework row - mark Blocked or close it</v>
      </c>
      <c r="AL59" s="41"/>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175</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175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196</v>
      </c>
      <c r="J64" s="116" t="s">
        <v>103</v>
      </c>
      <c r="K64" s="121">
        <v>46276</v>
      </c>
      <c r="L64" s="122">
        <v>46265</v>
      </c>
      <c r="M64" s="122">
        <v>46266</v>
      </c>
      <c r="N64" s="122" t="s">
        <v>146</v>
      </c>
      <c r="O64" s="122" t="s">
        <v>197</v>
      </c>
      <c r="P64" s="123" t="s">
        <v>60</v>
      </c>
      <c r="Q64" s="121">
        <v>46286</v>
      </c>
      <c r="R64" s="122">
        <v>46269</v>
      </c>
      <c r="S64" s="122">
        <v>46269</v>
      </c>
      <c r="T64" s="124" t="s">
        <v>198</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196</v>
      </c>
      <c r="J66" s="155" t="s">
        <v>44</v>
      </c>
      <c r="K66" s="158">
        <v>46276</v>
      </c>
      <c r="L66" s="143">
        <v>46276</v>
      </c>
      <c r="M66" s="143">
        <v>46282</v>
      </c>
      <c r="N66" s="143"/>
      <c r="O66" s="143" t="s">
        <v>197</v>
      </c>
      <c r="P66" s="159" t="s">
        <v>46</v>
      </c>
      <c r="Q66" s="158">
        <v>46286</v>
      </c>
      <c r="R66" s="143">
        <v>46273</v>
      </c>
      <c r="S66" s="143"/>
      <c r="T66" s="160" t="s">
        <v>198</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227</v>
      </c>
      <c r="K68" s="85">
        <v>46276</v>
      </c>
      <c r="L68" s="86">
        <v>46258</v>
      </c>
      <c r="M68" s="86">
        <v>46258</v>
      </c>
      <c r="N68" s="86"/>
      <c r="O68" s="86" t="s">
        <v>197</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196</v>
      </c>
      <c r="J69" s="97" t="s">
        <v>59</v>
      </c>
      <c r="K69" s="101">
        <v>46276</v>
      </c>
      <c r="L69" s="102"/>
      <c r="M69" s="102"/>
      <c r="N69" s="102"/>
      <c r="O69" s="102" t="s">
        <v>197</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210</v>
      </c>
      <c r="G70" s="33"/>
      <c r="H70" s="49">
        <v>46295</v>
      </c>
      <c r="I70" s="54" t="s">
        <v>196</v>
      </c>
      <c r="J70" s="33" t="s">
        <v>65</v>
      </c>
      <c r="K70" s="4">
        <v>46276</v>
      </c>
      <c r="L70" s="36">
        <v>46262</v>
      </c>
      <c r="M70" s="36">
        <v>46276</v>
      </c>
      <c r="N70" s="46" t="s">
        <v>146</v>
      </c>
      <c r="O70" s="36" t="s">
        <v>197</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175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196</v>
      </c>
      <c r="J71" s="33" t="s">
        <v>44</v>
      </c>
      <c r="K71" s="4">
        <v>46276</v>
      </c>
      <c r="L71" s="36">
        <v>46259</v>
      </c>
      <c r="M71" s="36">
        <v>46259</v>
      </c>
      <c r="N71" s="36"/>
      <c r="O71" s="36" t="s">
        <v>197</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228</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197</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197</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197</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175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189</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c r="M81" s="149"/>
      <c r="N81" s="149"/>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232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232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232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232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232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232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232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232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W2:Y527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3" t="str">
        <f>IF($B$4="","",IFERROR(INDEX('Combined Delivery Data'!$A:$A,MATCH($B$4,'Combined Delivery Data'!$B:$B,0)),""))</f>
        <v/>
      </c>
      <c r="C6" s="176"/>
      <c r="D6" s="176"/>
      <c r="E6" s="177"/>
    </row>
    <row r="7" spans="1:5">
      <c r="A7" s="42" t="s">
        <v>331</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332</v>
      </c>
      <c r="B14" s="172" t="str">
        <f>IF($B$4="","",IFERROR(INDEX('Combined Delivery Data'!$K:$K,MATCH($B$4,'Combined Delivery Data'!$B:$B,0)),""))</f>
        <v/>
      </c>
      <c r="C14" s="176"/>
      <c r="D14" s="176"/>
      <c r="E14" s="177"/>
    </row>
    <row r="15" spans="1:5">
      <c r="A15" s="42" t="s">
        <v>333</v>
      </c>
      <c r="B15" s="172" t="str">
        <f>IF($B$4="","",IFERROR(INDEX('Combined Delivery Data'!$L:$L,MATCH($B$4,'Combined Delivery Data'!$B:$B,0)),""))</f>
        <v/>
      </c>
      <c r="C15" s="176"/>
      <c r="D15" s="176"/>
      <c r="E15" s="177"/>
    </row>
    <row r="16" spans="1:5">
      <c r="A16" s="42" t="s">
        <v>334</v>
      </c>
      <c r="B16" s="172" t="str">
        <f>IF($B$4="","",IFERROR(INDEX('Combined Delivery Data'!$M:$M,MATCH($B$4,'Combined Delivery Data'!$B:$B,0)),""))</f>
        <v/>
      </c>
      <c r="C16" s="176"/>
      <c r="D16" s="176"/>
      <c r="E16" s="177"/>
    </row>
    <row r="17" spans="1:5">
      <c r="A17" s="42" t="s">
        <v>335</v>
      </c>
      <c r="B17" s="172" t="str">
        <f>IF($B$4="","",IFERROR(INDEX('Combined Delivery Data'!$O:$O,MATCH($B$4,'Combined Delivery Data'!$B:$B,0)),""))</f>
        <v/>
      </c>
      <c r="C17" s="176"/>
      <c r="D17" s="176"/>
      <c r="E17" s="177"/>
    </row>
    <row r="18" spans="1:5">
      <c r="A18" s="42" t="s">
        <v>336</v>
      </c>
      <c r="B18" s="172" t="str">
        <f>IF($B$4="","",IFERROR(INDEX('Combined Delivery Data'!$Q:$Q,MATCH($B$4,'Combined Delivery Data'!$B:$B,0)),""))</f>
        <v/>
      </c>
      <c r="C18" s="176"/>
      <c r="D18" s="176"/>
      <c r="E18" s="177"/>
    </row>
    <row r="19" spans="1:5">
      <c r="A19" s="42" t="s">
        <v>337</v>
      </c>
      <c r="B19" s="172" t="str">
        <f>IF($B$4="","",IFERROR(INDEX('Combined Delivery Data'!$R:$R,MATCH($B$4,'Combined Delivery Data'!$B:$B,0)),""))</f>
        <v/>
      </c>
      <c r="C19" s="176"/>
      <c r="D19" s="176"/>
      <c r="E19" s="177"/>
    </row>
    <row r="20" spans="1:5">
      <c r="A20" s="42" t="s">
        <v>338</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339</v>
      </c>
      <c r="B26" s="173" t="str">
        <f>IF($B$4="","",IFERROR(INDEX('Rework Log'!$Q:$Q,MATCH($B$4,'Rework Log'!$P:$P,0)),""))</f>
        <v/>
      </c>
      <c r="C26" s="176"/>
      <c r="D26" s="176"/>
      <c r="E26" s="177"/>
    </row>
    <row r="27" spans="1:5">
      <c r="A27" s="42" t="s">
        <v>340</v>
      </c>
      <c r="B27" s="173" t="str">
        <f>IF($B$4="","",IFERROR(INDEX('Rework Log'!$R:$R,MATCH($B$4,'Rework Log'!$P:$P,0)),""))</f>
        <v/>
      </c>
      <c r="C27" s="176"/>
      <c r="D27" s="176"/>
      <c r="E27" s="177"/>
    </row>
    <row r="28" spans="1:5">
      <c r="A28" s="42" t="s">
        <v>341</v>
      </c>
      <c r="B28" s="173" t="str">
        <f>IF($B$4="","",IFERROR(INDEX('Rework Log'!$S:$S,MATCH($B$4,'Rework Log'!$P:$P,0)),""))</f>
        <v/>
      </c>
      <c r="C28" s="176"/>
      <c r="D28" s="176"/>
      <c r="E28" s="177"/>
    </row>
    <row r="29" spans="1:5">
      <c r="A29" s="42" t="s">
        <v>342</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1" activePane="bottomLeft" state="frozen"/>
      <selection pane="bottomLeft" activeCell="K47" sqref="K4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343</v>
      </c>
      <c r="B1" s="171"/>
      <c r="C1" s="171"/>
      <c r="D1" s="171"/>
      <c r="E1" s="171"/>
      <c r="F1" s="171"/>
      <c r="G1" s="171"/>
      <c r="H1" s="171"/>
      <c r="I1" s="171"/>
      <c r="J1" s="171"/>
      <c r="K1" s="171"/>
      <c r="L1" s="171"/>
      <c r="M1" s="171"/>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175</v>
      </c>
      <c r="D3" s="33" t="s">
        <v>182</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175</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175</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175</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175</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175</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175</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175</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175</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175</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175</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175</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175</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175</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175</v>
      </c>
      <c r="D17" s="31" t="s">
        <v>188</v>
      </c>
      <c r="E17" s="31" t="s">
        <v>143</v>
      </c>
      <c r="F17" s="31" t="s">
        <v>373</v>
      </c>
      <c r="G17" s="31" t="s">
        <v>50</v>
      </c>
      <c r="H17" s="32" t="s">
        <v>46</v>
      </c>
      <c r="I17" s="32"/>
      <c r="J17" s="32"/>
      <c r="K17" s="31"/>
      <c r="L17" s="31"/>
      <c r="M17" s="3"/>
      <c r="S17" s="28"/>
    </row>
    <row r="18" spans="1:20">
      <c r="A18" s="33" t="s">
        <v>181</v>
      </c>
      <c r="B18" s="32">
        <v>46261</v>
      </c>
      <c r="C18" s="31" t="s">
        <v>175</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175</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175</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175</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175</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175</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175</v>
      </c>
      <c r="D24" s="31" t="s">
        <v>188</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187</v>
      </c>
      <c r="B26" s="32">
        <v>46267</v>
      </c>
      <c r="C26" s="31" t="s">
        <v>175</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175</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175</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175</v>
      </c>
      <c r="D29" s="31" t="s">
        <v>188</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175</v>
      </c>
      <c r="D30" s="31" t="s">
        <v>188</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175</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175</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175</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175</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175</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175</v>
      </c>
      <c r="D37" s="31" t="s">
        <v>182</v>
      </c>
      <c r="E37" s="31" t="s">
        <v>129</v>
      </c>
      <c r="F37" s="31" t="s">
        <v>394</v>
      </c>
      <c r="G37" s="31" t="s">
        <v>53</v>
      </c>
      <c r="H37" s="32" t="s">
        <v>65</v>
      </c>
      <c r="I37" s="32"/>
      <c r="J37" s="32"/>
      <c r="K37" s="31"/>
      <c r="L37" s="31"/>
      <c r="M37" s="3" t="str">
        <f t="shared" ca="1" si="4"/>
        <v>UNCLAIMED 8 d</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175</v>
      </c>
      <c r="D38" s="31" t="s">
        <v>182</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192</v>
      </c>
      <c r="B39" s="32">
        <v>46279</v>
      </c>
      <c r="C39" s="31" t="s">
        <v>175</v>
      </c>
      <c r="D39" s="31" t="s">
        <v>188</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175</v>
      </c>
      <c r="D40" s="31" t="s">
        <v>182</v>
      </c>
      <c r="E40" s="31" t="s">
        <v>47</v>
      </c>
      <c r="F40" s="31" t="s">
        <v>399</v>
      </c>
      <c r="G40" s="31" t="s">
        <v>53</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175</v>
      </c>
      <c r="D41" s="31" t="s">
        <v>188</v>
      </c>
      <c r="E41" s="31" t="s">
        <v>202</v>
      </c>
      <c r="F41" s="31" t="s">
        <v>401</v>
      </c>
      <c r="G41" s="31" t="s">
        <v>50</v>
      </c>
      <c r="H41" s="32" t="s">
        <v>46</v>
      </c>
      <c r="I41" s="32"/>
      <c r="J41" s="32"/>
      <c r="K41" s="31"/>
      <c r="L41" s="31"/>
      <c r="M41" s="3" t="str">
        <f t="shared" ca="1" si="4"/>
        <v>UNCLAIMED 2 d</v>
      </c>
      <c r="P41" t="str">
        <f>'Combined Delivery Data'!B41</f>
        <v>RPT_02_GRO Control</v>
      </c>
      <c r="Q41">
        <f t="shared" si="5"/>
        <v>0</v>
      </c>
      <c r="R41">
        <f t="shared" si="6"/>
        <v>0</v>
      </c>
      <c r="S41" s="28" t="str">
        <f t="shared" si="7"/>
        <v/>
      </c>
      <c r="T41" t="str">
        <f t="shared" si="8"/>
        <v/>
      </c>
    </row>
    <row r="42" spans="1:20">
      <c r="A42" s="31" t="s">
        <v>211</v>
      </c>
      <c r="B42" s="32">
        <v>46282</v>
      </c>
      <c r="C42" s="31" t="s">
        <v>175</v>
      </c>
      <c r="D42" s="31" t="s">
        <v>182</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427</v>
      </c>
      <c r="D13" s="9" t="s">
        <v>428</v>
      </c>
      <c r="E13" s="9" t="s">
        <v>46</v>
      </c>
      <c r="F13" s="9"/>
      <c r="G13" s="9"/>
      <c r="H13" s="10"/>
      <c r="I13" s="10">
        <v>46115</v>
      </c>
      <c r="J13" s="10">
        <v>46115</v>
      </c>
    </row>
    <row r="14" spans="1:10" ht="14.25" customHeight="1">
      <c r="A14" s="9" t="s">
        <v>40</v>
      </c>
      <c r="B14" s="9" t="s">
        <v>188</v>
      </c>
      <c r="C14" s="9" t="s">
        <v>427</v>
      </c>
      <c r="D14" s="9" t="s">
        <v>428</v>
      </c>
      <c r="E14" s="9" t="s">
        <v>46</v>
      </c>
      <c r="F14" s="9"/>
      <c r="G14" s="9"/>
      <c r="H14" s="10">
        <v>46115</v>
      </c>
      <c r="I14" s="10">
        <v>46120</v>
      </c>
      <c r="J14" s="10">
        <v>46120</v>
      </c>
    </row>
    <row r="15" spans="1:10" ht="14.25" customHeight="1">
      <c r="A15" s="9" t="s">
        <v>40</v>
      </c>
      <c r="B15" s="9" t="s">
        <v>175</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428</v>
      </c>
      <c r="E23" s="9" t="s">
        <v>46</v>
      </c>
      <c r="F23" s="9"/>
      <c r="G23" s="9"/>
      <c r="H23" s="10"/>
      <c r="I23" s="10">
        <v>46115</v>
      </c>
      <c r="J23" s="10">
        <v>46115</v>
      </c>
    </row>
    <row r="24" spans="1:10" ht="14.25" customHeight="1">
      <c r="A24" s="9" t="s">
        <v>40</v>
      </c>
      <c r="B24" s="9" t="s">
        <v>188</v>
      </c>
      <c r="C24" s="9" t="s">
        <v>64</v>
      </c>
      <c r="D24" s="9" t="s">
        <v>428</v>
      </c>
      <c r="E24" s="9" t="s">
        <v>46</v>
      </c>
      <c r="F24" s="9"/>
      <c r="G24" s="9"/>
      <c r="H24" s="10">
        <v>46115</v>
      </c>
      <c r="I24" s="10">
        <v>46120</v>
      </c>
      <c r="J24" s="10">
        <v>46120</v>
      </c>
    </row>
    <row r="25" spans="1:10" ht="14.25" customHeight="1">
      <c r="A25" s="9" t="s">
        <v>40</v>
      </c>
      <c r="B25" s="9" t="s">
        <v>175</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428</v>
      </c>
      <c r="E33" s="9" t="s">
        <v>60</v>
      </c>
      <c r="F33" s="9"/>
      <c r="G33" s="9"/>
      <c r="H33" s="10"/>
      <c r="I33" s="10">
        <v>46122</v>
      </c>
      <c r="J33" s="10">
        <v>46122</v>
      </c>
    </row>
    <row r="34" spans="1:10" ht="14.25" customHeight="1">
      <c r="A34" s="9" t="s">
        <v>40</v>
      </c>
      <c r="B34" s="9" t="s">
        <v>188</v>
      </c>
      <c r="C34" s="9" t="s">
        <v>70</v>
      </c>
      <c r="D34" s="9" t="s">
        <v>428</v>
      </c>
      <c r="E34" s="9" t="s">
        <v>60</v>
      </c>
      <c r="F34" s="9"/>
      <c r="G34" s="9"/>
      <c r="H34" s="10">
        <v>46122</v>
      </c>
      <c r="I34" s="10">
        <v>46126</v>
      </c>
      <c r="J34" s="10">
        <v>46126</v>
      </c>
    </row>
    <row r="35" spans="1:10" ht="14.25" customHeight="1">
      <c r="A35" s="9" t="s">
        <v>40</v>
      </c>
      <c r="B35" s="9" t="s">
        <v>175</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428</v>
      </c>
      <c r="E48" s="9" t="s">
        <v>60</v>
      </c>
      <c r="F48" s="9"/>
      <c r="G48" s="9"/>
      <c r="H48" s="10"/>
      <c r="I48" s="10"/>
      <c r="J48" s="10"/>
    </row>
    <row r="49" spans="1:10" ht="14.25" customHeight="1">
      <c r="A49" s="9" t="s">
        <v>40</v>
      </c>
      <c r="B49" s="9" t="s">
        <v>188</v>
      </c>
      <c r="C49" s="9" t="s">
        <v>97</v>
      </c>
      <c r="D49" s="9" t="s">
        <v>428</v>
      </c>
      <c r="E49" s="9" t="s">
        <v>60</v>
      </c>
      <c r="F49" s="9"/>
      <c r="G49" s="9"/>
      <c r="H49" s="10"/>
      <c r="I49" s="10">
        <v>46139</v>
      </c>
      <c r="J49" s="10">
        <v>46139</v>
      </c>
    </row>
    <row r="50" spans="1:10" ht="14.25" customHeight="1">
      <c r="A50" s="9" t="s">
        <v>40</v>
      </c>
      <c r="B50" s="9" t="s">
        <v>175</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182</v>
      </c>
      <c r="C53" s="9" t="s">
        <v>98</v>
      </c>
      <c r="D53" s="9" t="s">
        <v>428</v>
      </c>
      <c r="E53" s="9" t="s">
        <v>60</v>
      </c>
      <c r="F53" s="9"/>
      <c r="G53" s="9"/>
      <c r="H53" s="10"/>
      <c r="I53" s="10"/>
      <c r="J53" s="10"/>
    </row>
    <row r="54" spans="1:10" ht="14.25" customHeight="1">
      <c r="A54" s="9" t="s">
        <v>40</v>
      </c>
      <c r="B54" s="9" t="s">
        <v>188</v>
      </c>
      <c r="C54" s="9" t="s">
        <v>98</v>
      </c>
      <c r="D54" s="9" t="s">
        <v>428</v>
      </c>
      <c r="E54" s="9" t="s">
        <v>60</v>
      </c>
      <c r="F54" s="9"/>
      <c r="G54" s="9"/>
      <c r="H54" s="9"/>
      <c r="I54" s="10">
        <v>46141</v>
      </c>
      <c r="J54" s="10">
        <v>46141</v>
      </c>
    </row>
    <row r="55" spans="1:10" ht="14.25" customHeight="1">
      <c r="A55" s="9" t="s">
        <v>40</v>
      </c>
      <c r="B55" s="9" t="s">
        <v>175</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182</v>
      </c>
      <c r="C58" s="9" t="s">
        <v>99</v>
      </c>
      <c r="D58" s="9" t="s">
        <v>428</v>
      </c>
      <c r="E58" s="9" t="s">
        <v>46</v>
      </c>
      <c r="F58" s="9"/>
      <c r="G58" s="9"/>
      <c r="H58" s="9"/>
      <c r="I58" s="10"/>
      <c r="J58" s="10"/>
    </row>
    <row r="59" spans="1:10" ht="14.25" customHeight="1">
      <c r="A59" s="9" t="s">
        <v>40</v>
      </c>
      <c r="B59" s="9" t="s">
        <v>188</v>
      </c>
      <c r="C59" s="9" t="s">
        <v>99</v>
      </c>
      <c r="D59" s="9" t="s">
        <v>428</v>
      </c>
      <c r="E59" s="9" t="s">
        <v>46</v>
      </c>
      <c r="F59" s="9"/>
      <c r="G59" s="9"/>
      <c r="H59" s="10"/>
      <c r="I59" s="10">
        <v>46161</v>
      </c>
      <c r="J59" s="10">
        <v>46161</v>
      </c>
    </row>
    <row r="60" spans="1:10" ht="14.25" customHeight="1">
      <c r="A60" s="9" t="s">
        <v>40</v>
      </c>
      <c r="B60" s="9" t="s">
        <v>175</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182</v>
      </c>
      <c r="K3" t="s">
        <v>48</v>
      </c>
      <c r="L3" t="s">
        <v>53</v>
      </c>
      <c r="M3" t="s">
        <v>44</v>
      </c>
      <c r="N3" t="s">
        <v>448</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449</v>
      </c>
      <c r="R4" t="s">
        <v>450</v>
      </c>
      <c r="T4" t="s">
        <v>72</v>
      </c>
    </row>
    <row r="5" spans="1:20" ht="15" customHeight="1">
      <c r="A5" t="s">
        <v>419</v>
      </c>
      <c r="B5" t="s">
        <v>428</v>
      </c>
      <c r="C5" t="s">
        <v>77</v>
      </c>
      <c r="F5" t="s">
        <v>188</v>
      </c>
      <c r="G5" t="s">
        <v>428</v>
      </c>
      <c r="H5" t="s">
        <v>129</v>
      </c>
      <c r="I5" t="s">
        <v>451</v>
      </c>
      <c r="J5" t="s">
        <v>175</v>
      </c>
      <c r="L5" t="s">
        <v>452</v>
      </c>
      <c r="M5" t="s">
        <v>88</v>
      </c>
      <c r="N5" t="s">
        <v>453</v>
      </c>
    </row>
    <row r="6" spans="1:20" ht="15" customHeight="1">
      <c r="A6" t="s">
        <v>304</v>
      </c>
      <c r="B6" t="s">
        <v>84</v>
      </c>
      <c r="F6" t="s">
        <v>175</v>
      </c>
      <c r="G6" t="s">
        <v>84</v>
      </c>
      <c r="H6" t="s">
        <v>143</v>
      </c>
      <c r="I6" t="s">
        <v>190</v>
      </c>
      <c r="J6" t="s">
        <v>164</v>
      </c>
      <c r="M6" t="s">
        <v>48</v>
      </c>
      <c r="N6" t="s">
        <v>453</v>
      </c>
    </row>
    <row r="7" spans="1:20" ht="15" customHeight="1">
      <c r="A7" t="s">
        <v>294</v>
      </c>
      <c r="B7" t="s">
        <v>65</v>
      </c>
      <c r="F7" t="s">
        <v>164</v>
      </c>
      <c r="G7" t="s">
        <v>65</v>
      </c>
      <c r="H7" t="s">
        <v>202</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202</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2026-09-18T16:54:06Z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