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989" documentId="13_ncr:1_{52745E9B-3AA1-4770-AAD3-E6166BFC13AE}" xr6:coauthVersionLast="47" xr6:coauthVersionMax="47" xr10:uidLastSave="{CE5F4FC9-E2C9-41B6-BFEC-03990318550B}"/>
  <bookViews>
    <workbookView xWindow="-108" yWindow="-108" windowWidth="23256" windowHeight="12456"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<sst xmlns="http://schemas.openxmlformats.org/spreadsheetml/2006/main" count="3632" uniqueCount="521">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</sst>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49">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6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4" fillId="19" borderId="0" xfId="0" applyFont="1" applyFill="1" applyProtection="1">
      <protection locked="0"/>
    </xf>
    <xf numFmtId="0" fontId="25" fillId="19" borderId="0" xfId="0" applyFont="1" applyFill="1"/>
    <xf numFmtId="0" fontId="24" fillId="19" borderId="4" xfId="0" applyFont="1" applyFill="1" applyBorder="1" applyProtection="1">
      <protection locked="0"/>
    </xf>
    <xf numFmtId="14" fontId="24" fillId="19" borderId="5" xfId="0" applyNumberFormat="1" applyFont="1" applyFill="1" applyBorder="1"/>
    <xf numFmtId="0" fontId="24" fillId="19" borderId="14" xfId="0" applyFont="1" applyFill="1" applyBorder="1"/>
    <xf numFmtId="14" fontId="24" fillId="19" borderId="0" xfId="0" applyNumberFormat="1" applyFont="1" applyFill="1"/>
    <xf numFmtId="14" fontId="24" fillId="19" borderId="0" xfId="0" applyNumberFormat="1" applyFont="1" applyFill="1" applyProtection="1">
      <protection locked="0"/>
    </xf>
    <xf numFmtId="0" fontId="24" fillId="19" borderId="15" xfId="0" applyFont="1" applyFill="1" applyBorder="1" applyProtection="1">
      <protection locked="0"/>
    </xf>
    <xf numFmtId="14" fontId="24" fillId="19" borderId="16" xfId="0" applyNumberFormat="1" applyFont="1" applyFill="1" applyBorder="1" applyProtection="1">
      <protection locked="0"/>
    </xf>
    <xf numFmtId="14" fontId="25" fillId="19" borderId="0" xfId="0" applyNumberFormat="1" applyFont="1" applyFill="1"/>
    <xf numFmtId="14" fontId="24" fillId="19" borderId="8" xfId="0" applyNumberFormat="1" applyFont="1" applyFill="1" applyBorder="1"/>
    <xf numFmtId="0" fontId="24" fillId="19" borderId="9" xfId="0" applyFont="1" applyFill="1" applyBorder="1" applyProtection="1">
      <protection locked="0"/>
    </xf>
    <xf numFmtId="0" fontId="24" fillId="19" borderId="10" xfId="0" applyFont="1" applyFill="1" applyBorder="1" applyProtection="1">
      <protection locked="0"/>
    </xf>
    <xf numFmtId="0" fontId="24" fillId="19" borderId="11" xfId="0" applyFont="1" applyFill="1" applyBorder="1" applyProtection="1">
      <protection locked="0"/>
    </xf>
    <xf numFmtId="0" fontId="25" fillId="19" borderId="12" xfId="0" applyFont="1" applyFill="1" applyBorder="1" applyProtection="1">
      <protection locked="0"/>
    </xf>
    <xf numFmtId="0" fontId="24" fillId="19" borderId="13" xfId="0" applyFont="1" applyFill="1" applyBorder="1" applyProtection="1">
      <protection locked="0"/>
    </xf>
    <xf numFmtId="14" fontId="25" fillId="19"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0" fontId="24" fillId="0" borderId="0" xfId="0" applyFont="1" applyProtection="1">
      <protection locked="0"/>
    </xf>
    <xf numFmtId="0" fontId="24" fillId="0" borderId="4" xfId="0" applyFont="1" applyBorder="1" applyProtection="1">
      <protection locked="0"/>
    </xf>
    <xf numFmtId="0" fontId="24" fillId="0" borderId="14" xfId="0" applyFont="1" applyBorder="1"/>
    <xf numFmtId="14" fontId="24" fillId="0" borderId="0" xfId="0" applyNumberFormat="1" applyFont="1"/>
    <xf numFmtId="0" fontId="24" fillId="0" borderId="15" xfId="0" applyFont="1" applyBorder="1" applyProtection="1">
      <protection locked="0"/>
    </xf>
    <xf numFmtId="14" fontId="24" fillId="0" borderId="16" xfId="0" applyNumberFormat="1" applyFont="1" applyBorder="1" applyProtection="1">
      <protection locked="0"/>
    </xf>
    <xf numFmtId="14" fontId="24" fillId="0" borderId="8" xfId="0" applyNumberFormat="1" applyFont="1" applyBorder="1"/>
    <xf numFmtId="0" fontId="24" fillId="0" borderId="9" xfId="0" applyFont="1" applyBorder="1" applyProtection="1">
      <protection locked="0"/>
    </xf>
    <xf numFmtId="0" fontId="24" fillId="0" borderId="10" xfId="0" applyFont="1" applyBorder="1" applyProtection="1">
      <protection locked="0"/>
    </xf>
    <xf numFmtId="0" fontId="24" fillId="0" borderId="11" xfId="0" applyFont="1" applyBorder="1" applyProtection="1">
      <protection locked="0"/>
    </xf>
    <xf numFmtId="0" fontId="25" fillId="0" borderId="12" xfId="0" applyFont="1" applyBorder="1" applyProtection="1">
      <protection locked="0"/>
    </xf>
    <xf numFmtId="0" fontId="24" fillId="0" borderId="13" xfId="0" applyFont="1" applyBorder="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2</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K1" activePane="topRight" state="frozen"/>
      <selection pane="topRight" activeCell="O118" sqref="O11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8"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69"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Overdue</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193</v>
      </c>
      <c r="J55" s="33" t="s">
        <v>76</v>
      </c>
      <c r="K55" s="4">
        <v>46262</v>
      </c>
      <c r="L55" s="36">
        <v>46253</v>
      </c>
      <c r="M55" s="36">
        <v>46253</v>
      </c>
      <c r="N55" s="36"/>
      <c r="O55" s="36" t="s">
        <v>194</v>
      </c>
      <c r="P55" s="62" t="s">
        <v>77</v>
      </c>
      <c r="Q55" s="4">
        <v>46269</v>
      </c>
      <c r="R55" s="36">
        <v>46267</v>
      </c>
      <c r="S55" s="36">
        <v>46295</v>
      </c>
      <c r="T55" s="68" t="s">
        <v>195</v>
      </c>
      <c r="U55" s="33" t="s">
        <v>47</v>
      </c>
      <c r="V55" s="58">
        <v>46267</v>
      </c>
      <c r="W55" s="58">
        <v>46300</v>
      </c>
      <c r="X55" s="58">
        <v>46293</v>
      </c>
      <c r="Y55" s="46"/>
      <c r="Z55" s="36"/>
      <c r="AA55" s="51">
        <v>46290</v>
      </c>
      <c r="AB55" s="36">
        <v>46309</v>
      </c>
      <c r="AC55" s="36"/>
      <c r="AD55" s="33" t="s">
        <v>196</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147</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193</v>
      </c>
      <c r="J57" s="33" t="s">
        <v>65</v>
      </c>
      <c r="K57" s="4">
        <v>46262</v>
      </c>
      <c r="L57" s="36">
        <v>46254</v>
      </c>
      <c r="M57" s="36"/>
      <c r="N57" s="46" t="s">
        <v>147</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v>46298</v>
      </c>
      <c r="N58" s="46" t="s">
        <v>147</v>
      </c>
      <c r="O58" s="36" t="s">
        <v>194</v>
      </c>
      <c r="P58" s="62" t="s">
        <v>77</v>
      </c>
      <c r="Q58" s="4">
        <v>46269</v>
      </c>
      <c r="R58" s="36">
        <v>46272</v>
      </c>
      <c r="S58" s="36">
        <v>46301</v>
      </c>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207</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209</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208</v>
      </c>
      <c r="G60" s="33"/>
      <c r="H60" s="49">
        <v>46295</v>
      </c>
      <c r="I60" s="54" t="s">
        <v>193</v>
      </c>
      <c r="J60" s="33" t="s">
        <v>155</v>
      </c>
      <c r="K60" s="4">
        <v>46262</v>
      </c>
      <c r="L60" s="36">
        <v>46255</v>
      </c>
      <c r="M60" s="36">
        <v>46255</v>
      </c>
      <c r="N60" s="36" t="s">
        <v>147</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46314</v>
      </c>
      <c r="AC62" s="36"/>
      <c r="AD62" s="33" t="s">
        <v>215</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216</v>
      </c>
      <c r="C63" s="33" t="s">
        <v>182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v>46300</v>
      </c>
      <c r="Z63" s="36"/>
      <c r="AA63" s="51">
        <v>46295</v>
      </c>
      <c r="AB63" s="36">
        <v>46315</v>
      </c>
      <c r="AC63" s="36"/>
      <c r="AD63" s="33" t="s">
        <v>217</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147</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13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193</v>
      </c>
      <c r="J65" s="33" t="s">
        <v>155</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141"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223</v>
      </c>
      <c r="C67" s="33" t="s">
        <v>219</v>
      </c>
      <c r="D67" t="s">
        <v>212</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227</v>
      </c>
      <c r="C68" s="80" t="s">
        <v>204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236</v>
      </c>
      <c r="C70" s="33" t="s">
        <v>204</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147</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238</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241</v>
      </c>
      <c r="C72" s="33" t="s">
        <v>219</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v>46301</v>
      </c>
      <c r="Z72" s="36"/>
      <c r="AA72" s="51">
        <v>46295</v>
      </c>
      <c r="AB72" s="36"/>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DPO Approval</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31" t="s">
        <v>242</v>
      </c>
      <c r="C73" s="31" t="s">
        <v>182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208</v>
      </c>
      <c r="G73" s="31"/>
      <c r="H73" s="49">
        <v>46325</v>
      </c>
      <c r="I73" s="55" t="s">
        <v>243</v>
      </c>
      <c r="J73" s="31" t="s">
        <v>76</v>
      </c>
      <c r="K73" s="43">
        <v>46304</v>
      </c>
      <c r="L73" s="43">
        <v>46259</v>
      </c>
      <c r="M73" s="46">
        <v>46259</v>
      </c>
      <c r="N73" s="44" t="s">
        <v>45</v>
      </c>
      <c r="O73" s="44" t="s">
        <v>194</v>
      </c>
      <c r="P73" s="65" t="s">
        <v>77</v>
      </c>
      <c r="Q73" s="43">
        <v>46313</v>
      </c>
      <c r="R73" s="43">
        <v>46289</v>
      </c>
      <c r="S73" s="43">
        <v>46289</v>
      </c>
      <c r="T73" s="69" t="s">
        <v>244</v>
      </c>
      <c r="U73" s="31" t="s">
        <v>47</v>
      </c>
      <c r="V73" s="28">
        <v>46316</v>
      </c>
      <c r="W73" s="43"/>
      <c r="X73" s="36">
        <v>46296</v>
      </c>
      <c r="Y73" s="32">
        <v>46298</v>
      </c>
      <c r="Z73" s="31"/>
      <c r="AA73" s="28">
        <v>46325</v>
      </c>
      <c r="AB73" s="43">
        <v>46308</v>
      </c>
      <c r="AC73" s="43"/>
      <c r="AD73" s="31" t="s">
        <v>196</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246</v>
      </c>
      <c r="C74" s="31" t="s">
        <v>204</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208</v>
      </c>
      <c r="G74" s="31"/>
      <c r="H74" s="49">
        <v>46325</v>
      </c>
      <c r="I74" s="55" t="s">
        <v>243</v>
      </c>
      <c r="J74" s="53" t="s">
        <v>228</v>
      </c>
      <c r="K74" s="43">
        <v>46304</v>
      </c>
      <c r="L74" s="43">
        <v>46269</v>
      </c>
      <c r="M74" s="44">
        <v>46269</v>
      </c>
      <c r="N74" s="44"/>
      <c r="O74" s="44" t="s">
        <v>194</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34" customFormat="1" ht="14.45" hidden="1">
      <c r="A75" s="133" t="s">
        <v>126</v>
      </c>
      <c r="B75" s="133" t="s">
        <v>247</v>
      </c>
      <c r="C75" s="133" t="s">
        <v>233</v>
      </c>
      <c r="D75" s="134"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194</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41"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34" customFormat="1" ht="14.45" hidden="1">
      <c r="A76" s="133" t="s">
        <v>126</v>
      </c>
      <c r="B76" s="133" t="s">
        <v>249</v>
      </c>
      <c r="C76" s="133" t="s">
        <v>233</v>
      </c>
      <c r="D76" s="134"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194</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41"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34" customFormat="1" ht="14.45" hidden="1">
      <c r="A77" s="133" t="s">
        <v>126</v>
      </c>
      <c r="B77" s="133" t="s">
        <v>250</v>
      </c>
      <c r="C77" s="133" t="s">
        <v>233</v>
      </c>
      <c r="D77" s="134"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194</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41"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45" customFormat="1" ht="14.45">
      <c r="A78" s="144" t="s">
        <v>126</v>
      </c>
      <c r="B78" s="144" t="s">
        <v>251</v>
      </c>
      <c r="C78" s="144" t="s">
        <v>204</v>
      </c>
      <c r="D78" s="145"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46302</v>
      </c>
      <c r="S78" s="149"/>
      <c r="T78" s="151" t="s">
        <v>244</v>
      </c>
      <c r="U78" s="152"/>
      <c r="V78" s="153">
        <v>46316</v>
      </c>
      <c r="W78" s="148">
        <v>46296</v>
      </c>
      <c r="X78" s="144"/>
      <c r="Y78" s="144"/>
      <c r="Z78" s="154"/>
      <c r="AA78" s="153">
        <v>46325</v>
      </c>
      <c r="AB78" s="148"/>
      <c r="AC78" s="148"/>
      <c r="AD78" s="144" t="s">
        <v>187</v>
      </c>
      <c r="AE78" s="144" t="s">
        <v>94</v>
      </c>
      <c r="AF78" s="144"/>
      <c r="AG78" s="144"/>
      <c r="AH78" s="144"/>
      <c r="AI78" s="144"/>
      <c r="AJ78" s="144" t="s">
        <v>253</v>
      </c>
      <c r="AK78" s="144"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254</v>
      </c>
      <c r="AM78" s="152"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52"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t="14.45">
      <c r="A79" s="31" t="s">
        <v>126</v>
      </c>
      <c r="B79" s="31" t="s">
        <v>255</v>
      </c>
      <c r="C79" s="31" t="s">
        <v>204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256</v>
      </c>
      <c r="O79" s="44" t="s">
        <v>194</v>
      </c>
      <c r="P79" s="74" t="s">
        <v>60</v>
      </c>
      <c r="Q79" s="43">
        <v>46313</v>
      </c>
      <c r="R79" s="43">
        <v>46297</v>
      </c>
      <c r="S79" s="44"/>
      <c r="T79" s="69" t="s">
        <v>244</v>
      </c>
      <c r="U79" s="46"/>
      <c r="V79" s="28">
        <v>46316</v>
      </c>
      <c r="W79" s="43"/>
      <c r="X79" s="31"/>
      <c r="Y79" s="31"/>
      <c r="Z79" s="36"/>
      <c r="AA79" s="28">
        <v>46325</v>
      </c>
      <c r="AB79" s="43"/>
      <c r="AC79" s="43"/>
      <c r="AD79" s="31" t="s">
        <v>257</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258</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259</v>
      </c>
      <c r="C80" s="31" t="s">
        <v>204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46302</v>
      </c>
      <c r="S80" s="44"/>
      <c r="T80" s="69" t="s">
        <v>244</v>
      </c>
      <c r="U80" s="46" t="s">
        <v>47</v>
      </c>
      <c r="V80" s="28">
        <v>46316</v>
      </c>
      <c r="W80" s="43"/>
      <c r="X80" s="31"/>
      <c r="Y80" s="31"/>
      <c r="Z80" s="36"/>
      <c r="AA80" s="28">
        <v>46325</v>
      </c>
      <c r="AB80" s="43"/>
      <c r="AC80" s="43"/>
      <c r="AD80" s="31" t="s">
        <v>210</v>
      </c>
      <c r="AE80" s="31" t="s">
        <v>94</v>
      </c>
      <c r="AF80" s="31"/>
      <c r="AG80" s="31"/>
      <c r="AH80" s="31"/>
      <c r="AI80" s="31"/>
      <c r="AJ80" s="31" t="s">
        <v>253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45" customFormat="1" ht="14.45">
      <c r="A81" s="144" t="s">
        <v>126</v>
      </c>
      <c r="B81" s="144" t="s">
        <v>260</v>
      </c>
      <c r="C81" s="144" t="s">
        <v>219</v>
      </c>
      <c r="D81" s="145"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256</v>
      </c>
      <c r="O81" s="149" t="s">
        <v>252</v>
      </c>
      <c r="P81" s="150" t="s">
        <v>60</v>
      </c>
      <c r="Q81" s="148">
        <v>46313</v>
      </c>
      <c r="R81" s="148">
        <v>46295</v>
      </c>
      <c r="S81" s="149">
        <v>46294</v>
      </c>
      <c r="T81" s="69" t="s">
        <v>244</v>
      </c>
      <c r="U81" s="152" t="s">
        <v>47</v>
      </c>
      <c r="V81" s="153">
        <v>46316</v>
      </c>
      <c r="W81" s="148"/>
      <c r="X81" s="152">
        <v>46301</v>
      </c>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t="s">
        <v>174</v>
      </c>
      <c r="AM81" s="15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5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t="14.45">
      <c r="A82" s="31" t="s">
        <v>126</v>
      </c>
      <c r="B82" s="31" t="s">
        <v>261</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252</v>
      </c>
      <c r="P82" s="74" t="s">
        <v>77</v>
      </c>
      <c r="Q82" s="43">
        <v>46313</v>
      </c>
      <c r="R82" s="43">
        <v>46304</v>
      </c>
      <c r="S82" s="44"/>
      <c r="T82" s="68" t="s">
        <v>263</v>
      </c>
      <c r="U82" s="46" t="s">
        <v>47</v>
      </c>
      <c r="V82" s="28">
        <v>46316</v>
      </c>
      <c r="W82" s="43"/>
      <c r="X82" s="31"/>
      <c r="Y82" s="31"/>
      <c r="Z82" s="36"/>
      <c r="AA82" s="28">
        <v>46325</v>
      </c>
      <c r="AB82" s="43"/>
      <c r="AC82" s="43"/>
      <c r="AD82" s="31" t="s">
        <v>264</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265</v>
      </c>
      <c r="C83" s="31" t="s">
        <v>219</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256</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266</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267</v>
      </c>
      <c r="C84" s="31" t="s">
        <v>204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208</v>
      </c>
      <c r="G84" s="31"/>
      <c r="H84" s="49">
        <v>46325</v>
      </c>
      <c r="I84" s="55" t="s">
        <v>243</v>
      </c>
      <c r="J84" s="53" t="s">
        <v>76</v>
      </c>
      <c r="K84" s="43">
        <v>46304</v>
      </c>
      <c r="L84" s="43">
        <v>46286</v>
      </c>
      <c r="M84" s="46">
        <v>46286</v>
      </c>
      <c r="N84" s="44" t="s">
        <v>256</v>
      </c>
      <c r="O84" s="44" t="s">
        <v>252</v>
      </c>
      <c r="P84" s="74" t="s">
        <v>60</v>
      </c>
      <c r="Q84" s="43">
        <v>46313</v>
      </c>
      <c r="R84" s="43">
        <v>46302</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31" t="s">
        <v>268</v>
      </c>
      <c r="C85" s="31" t="s">
        <v>233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269</v>
      </c>
      <c r="F85" s="34" t="s">
        <v>208</v>
      </c>
      <c r="G85" s="31"/>
      <c r="H85" s="49">
        <v>46325</v>
      </c>
      <c r="I85" s="55" t="s">
        <v>243</v>
      </c>
      <c r="J85" s="53" t="s">
        <v>44</v>
      </c>
      <c r="K85" s="43">
        <v>46304</v>
      </c>
      <c r="L85" s="43">
        <v>46276</v>
      </c>
      <c r="M85" s="44"/>
      <c r="N85" s="44"/>
      <c r="O85" s="44" t="s">
        <v>252</v>
      </c>
      <c r="P85" s="74" t="s">
        <v>60</v>
      </c>
      <c r="Q85" s="43">
        <v>46313</v>
      </c>
      <c r="R85" s="43"/>
      <c r="S85" s="44"/>
      <c r="T85" s="68" t="s">
        <v>263</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270</v>
      </c>
      <c r="C86" s="31" t="s">
        <v>233</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208</v>
      </c>
      <c r="G86" s="31"/>
      <c r="H86" s="49">
        <v>46356</v>
      </c>
      <c r="I86" s="55" t="s">
        <v>271</v>
      </c>
      <c r="J86" s="53" t="s">
        <v>84</v>
      </c>
      <c r="K86" s="49">
        <v>46332</v>
      </c>
      <c r="L86" s="43">
        <v>46332</v>
      </c>
      <c r="M86" s="44">
        <v>46290</v>
      </c>
      <c r="N86" s="44"/>
      <c r="O86" s="44" t="s">
        <v>252</v>
      </c>
      <c r="P86" s="74" t="s">
        <v>60</v>
      </c>
      <c r="Q86" s="49">
        <v>46339</v>
      </c>
      <c r="R86" s="43"/>
      <c r="S86" s="44"/>
      <c r="T86" s="68" t="s">
        <v>263</v>
      </c>
      <c r="U86" s="46"/>
      <c r="V86" s="28">
        <v>46344</v>
      </c>
      <c r="W86" s="43"/>
      <c r="X86" s="31"/>
      <c r="Y86" s="31"/>
      <c r="Z86" s="36"/>
      <c r="AA86" s="28">
        <v>46356</v>
      </c>
      <c r="AB86" s="43"/>
      <c r="AC86" s="43"/>
      <c r="AD86" s="31" t="s">
        <v>272</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273</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274</v>
      </c>
      <c r="C87" s="31" t="s">
        <v>233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208</v>
      </c>
      <c r="G87" s="31"/>
      <c r="H87" s="49">
        <v>46356</v>
      </c>
      <c r="I87" s="55" t="s">
        <v>271</v>
      </c>
      <c r="J87" s="53" t="s">
        <v>59</v>
      </c>
      <c r="K87" s="49">
        <v>46332</v>
      </c>
      <c r="L87" s="43"/>
      <c r="M87" s="44"/>
      <c r="N87" s="44"/>
      <c r="O87" s="44" t="s">
        <v>252</v>
      </c>
      <c r="P87" s="74" t="s">
        <v>60</v>
      </c>
      <c r="Q87" s="49">
        <v>46339</v>
      </c>
      <c r="R87" s="43"/>
      <c r="S87" s="44"/>
      <c r="T87" s="68" t="s">
        <v>263</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275</v>
      </c>
      <c r="C88" s="31" t="s">
        <v>233</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208</v>
      </c>
      <c r="G88" s="31"/>
      <c r="H88" s="49">
        <v>46356</v>
      </c>
      <c r="I88" s="55" t="s">
        <v>271</v>
      </c>
      <c r="J88" s="53" t="s">
        <v>59</v>
      </c>
      <c r="K88" s="49">
        <v>46332</v>
      </c>
      <c r="L88" s="43"/>
      <c r="M88" s="44"/>
      <c r="N88" s="44"/>
      <c r="O88" s="44" t="s">
        <v>252</v>
      </c>
      <c r="P88" s="74" t="s">
        <v>77</v>
      </c>
      <c r="Q88" s="49">
        <v>46339</v>
      </c>
      <c r="R88" s="43"/>
      <c r="S88" s="44"/>
      <c r="T88" s="68" t="s">
        <v>276</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277</v>
      </c>
      <c r="C89" s="31" t="s">
        <v>233</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208</v>
      </c>
      <c r="G89" s="31"/>
      <c r="H89" s="49">
        <v>46356</v>
      </c>
      <c r="I89" s="55" t="s">
        <v>271</v>
      </c>
      <c r="J89" s="53" t="s">
        <v>228</v>
      </c>
      <c r="K89" s="49">
        <v>46332</v>
      </c>
      <c r="L89" s="43">
        <v>46282</v>
      </c>
      <c r="M89" s="44">
        <v>46282</v>
      </c>
      <c r="N89" s="44"/>
      <c r="O89" s="44" t="s">
        <v>252</v>
      </c>
      <c r="P89" s="74" t="s">
        <v>77</v>
      </c>
      <c r="Q89" s="49">
        <v>46339</v>
      </c>
      <c r="R89" s="43"/>
      <c r="S89" s="44"/>
      <c r="T89" s="68" t="s">
        <v>276</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278</v>
      </c>
      <c r="C90" s="31" t="s">
        <v>233</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208</v>
      </c>
      <c r="G90" s="31"/>
      <c r="H90" s="49">
        <v>46356</v>
      </c>
      <c r="I90" s="55" t="s">
        <v>271</v>
      </c>
      <c r="J90" s="53" t="s">
        <v>228</v>
      </c>
      <c r="K90" s="49">
        <v>46332</v>
      </c>
      <c r="L90" s="43"/>
      <c r="M90" s="44"/>
      <c r="N90" s="44"/>
      <c r="O90" s="36" t="s">
        <v>279</v>
      </c>
      <c r="P90" s="74" t="s">
        <v>60</v>
      </c>
      <c r="Q90" s="49">
        <v>46339</v>
      </c>
      <c r="R90" s="43"/>
      <c r="S90" s="44"/>
      <c r="T90" s="68" t="s">
        <v>276</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280</v>
      </c>
      <c r="C91" s="31" t="s">
        <v>233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271</v>
      </c>
      <c r="J91" s="53" t="s">
        <v>65</v>
      </c>
      <c r="K91" s="49">
        <v>46332</v>
      </c>
      <c r="L91" s="43">
        <v>46273</v>
      </c>
      <c r="M91" s="46">
        <v>46273</v>
      </c>
      <c r="N91" s="46" t="s">
        <v>147</v>
      </c>
      <c r="O91" s="44" t="s">
        <v>252</v>
      </c>
      <c r="P91" s="74" t="s">
        <v>60</v>
      </c>
      <c r="Q91" s="49">
        <v>46339</v>
      </c>
      <c r="R91" s="43"/>
      <c r="S91" s="44"/>
      <c r="T91" s="68" t="s">
        <v>276</v>
      </c>
      <c r="U91" s="46"/>
      <c r="V91" s="28">
        <v>46344</v>
      </c>
      <c r="W91" s="43"/>
      <c r="X91" s="31"/>
      <c r="Y91" s="31"/>
      <c r="Z91" s="36"/>
      <c r="AA91" s="28">
        <v>46356</v>
      </c>
      <c r="AB91" s="43"/>
      <c r="AC91" s="43"/>
      <c r="AD91" s="31" t="s">
        <v>281</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282</v>
      </c>
      <c r="C92" s="31" t="s">
        <v>233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208</v>
      </c>
      <c r="G92" s="31"/>
      <c r="H92" s="49">
        <v>46356</v>
      </c>
      <c r="I92" s="55" t="s">
        <v>271</v>
      </c>
      <c r="J92" s="53" t="s">
        <v>84</v>
      </c>
      <c r="K92" s="49">
        <v>46332</v>
      </c>
      <c r="L92" s="43">
        <v>46332</v>
      </c>
      <c r="M92" s="44">
        <v>46275</v>
      </c>
      <c r="N92" s="44"/>
      <c r="O92" s="44" t="s">
        <v>252</v>
      </c>
      <c r="P92" s="74" t="s">
        <v>77</v>
      </c>
      <c r="Q92" s="49">
        <v>46339</v>
      </c>
      <c r="R92" s="43"/>
      <c r="S92" s="44"/>
      <c r="T92" s="68" t="s">
        <v>276</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283</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284</v>
      </c>
      <c r="C93" s="31" t="s">
        <v>262</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271</v>
      </c>
      <c r="J93" s="53" t="s">
        <v>155</v>
      </c>
      <c r="K93" s="49">
        <v>46332</v>
      </c>
      <c r="L93" s="43">
        <v>46297</v>
      </c>
      <c r="M93" s="44"/>
      <c r="N93" s="46" t="s">
        <v>147</v>
      </c>
      <c r="O93" s="36" t="s">
        <v>279</v>
      </c>
      <c r="P93" s="74" t="s">
        <v>60</v>
      </c>
      <c r="Q93" s="49">
        <v>46339</v>
      </c>
      <c r="R93" s="43"/>
      <c r="S93" s="44"/>
      <c r="T93" s="68" t="s">
        <v>276</v>
      </c>
      <c r="U93" s="46"/>
      <c r="V93" s="28">
        <v>46344</v>
      </c>
      <c r="W93" s="43"/>
      <c r="X93" s="31"/>
      <c r="Y93" s="31"/>
      <c r="Z93" s="36"/>
      <c r="AA93" s="28">
        <v>46356</v>
      </c>
      <c r="AB93" s="43"/>
      <c r="AC93" s="43"/>
      <c r="AD93" s="31" t="s">
        <v>285</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286</v>
      </c>
      <c r="C94" s="31" t="s">
        <v>262</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208</v>
      </c>
      <c r="G94" s="31"/>
      <c r="H94" s="49">
        <v>46356</v>
      </c>
      <c r="I94" s="55" t="s">
        <v>271</v>
      </c>
      <c r="J94" s="53" t="s">
        <v>155</v>
      </c>
      <c r="K94" s="49">
        <v>46332</v>
      </c>
      <c r="L94" s="43">
        <v>46301</v>
      </c>
      <c r="M94" s="43">
        <v>46301</v>
      </c>
      <c r="N94" s="46" t="s">
        <v>147</v>
      </c>
      <c r="O94" s="36" t="s">
        <v>279</v>
      </c>
      <c r="P94" s="74" t="s">
        <v>77</v>
      </c>
      <c r="Q94" s="49">
        <v>46339</v>
      </c>
      <c r="R94" s="43"/>
      <c r="S94" s="44"/>
      <c r="T94" s="68" t="s">
        <v>276</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Move status to PBI Dev</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287</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208</v>
      </c>
      <c r="G95" s="31"/>
      <c r="H95" s="49">
        <v>46356</v>
      </c>
      <c r="I95" s="55" t="s">
        <v>271</v>
      </c>
      <c r="J95" s="53" t="s">
        <v>76</v>
      </c>
      <c r="K95" s="49">
        <v>46332</v>
      </c>
      <c r="L95" s="43"/>
      <c r="M95" s="44"/>
      <c r="N95" s="44"/>
      <c r="O95" s="36" t="s">
        <v>279</v>
      </c>
      <c r="P95" s="74" t="s">
        <v>77</v>
      </c>
      <c r="Q95" s="49">
        <v>46339</v>
      </c>
      <c r="R95" s="43"/>
      <c r="S95" s="44"/>
      <c r="T95" s="68" t="s">
        <v>288</v>
      </c>
      <c r="U95" s="46"/>
      <c r="V95" s="28">
        <v>46344</v>
      </c>
      <c r="W95" s="43"/>
      <c r="X95" s="31"/>
      <c r="Y95" s="31"/>
      <c r="Z95" s="36"/>
      <c r="AA95" s="28">
        <v>46356</v>
      </c>
      <c r="AB95" s="43"/>
      <c r="AC95" s="43"/>
      <c r="AD95" s="31" t="s">
        <v>289</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290</v>
      </c>
      <c r="C96" s="31" t="s">
        <v>204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271</v>
      </c>
      <c r="J96" s="53" t="s">
        <v>76</v>
      </c>
      <c r="K96" s="49">
        <v>46332</v>
      </c>
      <c r="L96" s="43">
        <v>46297</v>
      </c>
      <c r="M96" s="44"/>
      <c r="N96" s="44" t="s">
        <v>256</v>
      </c>
      <c r="O96" s="36" t="s">
        <v>279</v>
      </c>
      <c r="P96" s="74" t="s">
        <v>60</v>
      </c>
      <c r="Q96" s="49">
        <v>46339</v>
      </c>
      <c r="R96" s="43"/>
      <c r="S96" s="44"/>
      <c r="T96" s="68" t="s">
        <v>288</v>
      </c>
      <c r="U96" s="46"/>
      <c r="V96" s="28">
        <v>46344</v>
      </c>
      <c r="W96" s="43"/>
      <c r="X96" s="31"/>
      <c r="Y96" s="31"/>
      <c r="Z96" s="36"/>
      <c r="AA96" s="28">
        <v>46356</v>
      </c>
      <c r="AB96" s="43"/>
      <c r="AC96" s="43"/>
      <c r="AD96" s="31" t="s">
        <v>291</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31" t="s">
        <v>292</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271</v>
      </c>
      <c r="J97" s="53" t="s">
        <v>293</v>
      </c>
      <c r="K97" s="49">
        <v>46332</v>
      </c>
      <c r="L97" s="49">
        <v>46332</v>
      </c>
      <c r="M97" s="44"/>
      <c r="N97" s="44"/>
      <c r="O97" s="36" t="s">
        <v>279</v>
      </c>
      <c r="P97" s="74" t="s">
        <v>77</v>
      </c>
      <c r="Q97" s="49">
        <v>46339</v>
      </c>
      <c r="R97" s="43"/>
      <c r="S97" s="44"/>
      <c r="T97" s="68" t="s">
        <v>288</v>
      </c>
      <c r="U97" s="46"/>
      <c r="V97" s="28">
        <v>46344</v>
      </c>
      <c r="W97" s="43"/>
      <c r="X97" s="31"/>
      <c r="Y97" s="31"/>
      <c r="Z97" s="36"/>
      <c r="AA97" s="28">
        <v>46356</v>
      </c>
      <c r="AB97" s="43"/>
      <c r="AC97" s="43"/>
      <c r="AD97" s="31" t="s">
        <v>294</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295</v>
      </c>
      <c r="C98" s="31" t="s">
        <v>204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208</v>
      </c>
      <c r="G98" s="31"/>
      <c r="H98" s="49">
        <v>46356</v>
      </c>
      <c r="I98" s="55" t="s">
        <v>271</v>
      </c>
      <c r="J98" s="53" t="s">
        <v>293</v>
      </c>
      <c r="K98" s="49">
        <v>46332</v>
      </c>
      <c r="L98" s="49">
        <v>46332</v>
      </c>
      <c r="M98" s="44">
        <v>46296</v>
      </c>
      <c r="N98" s="44" t="s">
        <v>147</v>
      </c>
      <c r="O98" s="36" t="s">
        <v>279</v>
      </c>
      <c r="P98" s="74" t="s">
        <v>60</v>
      </c>
      <c r="Q98" s="49">
        <v>46339</v>
      </c>
      <c r="R98" s="43"/>
      <c r="S98" s="44"/>
      <c r="T98" s="68" t="s">
        <v>288</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296</v>
      </c>
      <c r="C99" s="31" t="s">
        <v>233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297</v>
      </c>
      <c r="F99" s="31" t="s">
        <v>129</v>
      </c>
      <c r="G99" s="31"/>
      <c r="H99" s="49">
        <v>46356</v>
      </c>
      <c r="I99" s="55" t="s">
        <v>271</v>
      </c>
      <c r="J99" s="53" t="s">
        <v>65</v>
      </c>
      <c r="K99" s="49">
        <v>46332</v>
      </c>
      <c r="L99" s="43">
        <v>46302</v>
      </c>
      <c r="M99" s="44"/>
      <c r="N99" s="46" t="s">
        <v>147</v>
      </c>
      <c r="O99" s="44" t="s">
        <v>252</v>
      </c>
      <c r="P99" s="74" t="s">
        <v>60</v>
      </c>
      <c r="Q99" s="49">
        <v>46339</v>
      </c>
      <c r="R99" s="43"/>
      <c r="S99" s="44"/>
      <c r="T99" s="68" t="s">
        <v>288</v>
      </c>
      <c r="U99" s="46"/>
      <c r="V99" s="28">
        <v>46344</v>
      </c>
      <c r="W99" s="43"/>
      <c r="X99" s="31"/>
      <c r="Y99" s="31"/>
      <c r="Z99" s="36"/>
      <c r="AA99" s="28">
        <v>46356</v>
      </c>
      <c r="AB99" s="43"/>
      <c r="AC99" s="43"/>
      <c r="AD99" s="31" t="s">
        <v>298</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299</v>
      </c>
      <c r="C100" s="31" t="s">
        <v>233</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271</v>
      </c>
      <c r="J100" s="53" t="s">
        <v>84</v>
      </c>
      <c r="K100" s="49">
        <v>46332</v>
      </c>
      <c r="L100" s="43">
        <v>46332</v>
      </c>
      <c r="M100" s="44">
        <v>46297</v>
      </c>
      <c r="N100" s="44"/>
      <c r="O100" s="36" t="s">
        <v>279</v>
      </c>
      <c r="P100" s="74" t="s">
        <v>77</v>
      </c>
      <c r="Q100" s="49">
        <v>46339</v>
      </c>
      <c r="R100" s="43"/>
      <c r="S100" s="44"/>
      <c r="T100" s="68" t="s">
        <v>288</v>
      </c>
      <c r="U100" s="46"/>
      <c r="V100" s="28">
        <v>46344</v>
      </c>
      <c r="W100" s="43"/>
      <c r="X100" s="31"/>
      <c r="Y100" s="31"/>
      <c r="Z100" s="36"/>
      <c r="AA100" s="28">
        <v>46356</v>
      </c>
      <c r="AB100" s="43"/>
      <c r="AC100" s="43"/>
      <c r="AD100" s="31" t="s">
        <v>300</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301</v>
      </c>
      <c r="B101" s="31" t="s">
        <v>302</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303</v>
      </c>
      <c r="J101" s="53" t="s">
        <v>59</v>
      </c>
      <c r="K101" s="28">
        <v>46363</v>
      </c>
      <c r="L101" s="43"/>
      <c r="M101" s="31"/>
      <c r="N101" s="31"/>
      <c r="O101" s="36" t="s">
        <v>279</v>
      </c>
      <c r="P101" s="74"/>
      <c r="Q101" s="28">
        <v>46370</v>
      </c>
      <c r="R101" s="43"/>
      <c r="S101" s="31"/>
      <c r="T101" s="68" t="s">
        <v>288</v>
      </c>
      <c r="U101" s="46"/>
      <c r="V101" s="28">
        <v>46373</v>
      </c>
      <c r="W101" s="43"/>
      <c r="X101" s="31"/>
      <c r="Y101" s="31"/>
      <c r="Z101" s="36"/>
      <c r="AA101" s="28">
        <v>46386</v>
      </c>
      <c r="AB101" s="43"/>
      <c r="AC101" s="43"/>
      <c r="AD101" s="31" t="s">
        <v>304</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301</v>
      </c>
      <c r="B102" s="31" t="s">
        <v>305</v>
      </c>
      <c r="C102" s="31" t="s">
        <v>204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303</v>
      </c>
      <c r="J102" s="53" t="s">
        <v>44</v>
      </c>
      <c r="K102" s="28">
        <v>46363</v>
      </c>
      <c r="L102" s="43"/>
      <c r="M102" s="31"/>
      <c r="N102" s="31"/>
      <c r="O102" s="36" t="s">
        <v>279</v>
      </c>
      <c r="P102" s="74"/>
      <c r="Q102" s="28">
        <v>46370</v>
      </c>
      <c r="R102" s="43"/>
      <c r="S102" s="31"/>
      <c r="T102" s="68" t="s">
        <v>306</v>
      </c>
      <c r="U102" s="46"/>
      <c r="V102" s="28">
        <v>46373</v>
      </c>
      <c r="W102" s="43"/>
      <c r="X102" s="31"/>
      <c r="Y102" s="31"/>
      <c r="Z102" s="36"/>
      <c r="AA102" s="28">
        <v>46386</v>
      </c>
      <c r="AB102" s="43"/>
      <c r="AC102" s="43"/>
      <c r="AD102" s="31" t="s">
        <v>307</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301</v>
      </c>
      <c r="B103" s="31" t="s">
        <v>308</v>
      </c>
      <c r="C103" s="31" t="s">
        <v>204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303</v>
      </c>
      <c r="J103" s="53" t="s">
        <v>44</v>
      </c>
      <c r="K103" s="28">
        <v>46363</v>
      </c>
      <c r="L103" s="43"/>
      <c r="M103" s="31"/>
      <c r="N103" s="31"/>
      <c r="O103" s="36" t="s">
        <v>279</v>
      </c>
      <c r="P103" s="74"/>
      <c r="Q103" s="28">
        <v>46370</v>
      </c>
      <c r="R103" s="43"/>
      <c r="S103" s="31"/>
      <c r="T103" s="68" t="s">
        <v>306</v>
      </c>
      <c r="U103" s="46"/>
      <c r="V103" s="28">
        <v>46373</v>
      </c>
      <c r="W103" s="43"/>
      <c r="X103" s="31"/>
      <c r="Y103" s="31"/>
      <c r="Z103" s="36"/>
      <c r="AA103" s="28">
        <v>46386</v>
      </c>
      <c r="AB103" s="43"/>
      <c r="AC103" s="43"/>
      <c r="AD103" s="31" t="s">
        <v>309</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310</v>
      </c>
      <c r="B104" s="31" t="s">
        <v>311</v>
      </c>
      <c r="C104" s="31" t="s">
        <v>233</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303</v>
      </c>
      <c r="J104" s="53" t="s">
        <v>84</v>
      </c>
      <c r="K104" s="28">
        <v>46363</v>
      </c>
      <c r="L104" s="43">
        <v>46304</v>
      </c>
      <c r="M104" s="31"/>
      <c r="N104" s="31"/>
      <c r="O104" s="36" t="s">
        <v>279</v>
      </c>
      <c r="P104" s="74"/>
      <c r="Q104" s="28">
        <v>46370</v>
      </c>
      <c r="R104" s="43"/>
      <c r="S104" s="31"/>
      <c r="T104" s="68" t="s">
        <v>306</v>
      </c>
      <c r="U104" s="46"/>
      <c r="V104" s="28">
        <v>46373</v>
      </c>
      <c r="W104" s="43"/>
      <c r="X104" s="31"/>
      <c r="Y104" s="31"/>
      <c r="Z104" s="36"/>
      <c r="AA104" s="28">
        <v>46386</v>
      </c>
      <c r="AB104" s="43"/>
      <c r="AC104" s="43"/>
      <c r="AD104" s="31" t="s">
        <v>312</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301</v>
      </c>
      <c r="B105" s="31" t="s">
        <v>313</v>
      </c>
      <c r="C105" s="31" t="s">
        <v>204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303</v>
      </c>
      <c r="J105" s="53"/>
      <c r="K105" s="28">
        <v>46363</v>
      </c>
      <c r="L105" s="43"/>
      <c r="M105" s="31"/>
      <c r="N105" s="31"/>
      <c r="O105" s="36" t="s">
        <v>314</v>
      </c>
      <c r="P105" s="74"/>
      <c r="Q105" s="28">
        <v>46370</v>
      </c>
      <c r="R105" s="43"/>
      <c r="S105" s="31"/>
      <c r="T105" s="68" t="s">
        <v>306</v>
      </c>
      <c r="U105" s="46"/>
      <c r="V105" s="28">
        <v>46373</v>
      </c>
      <c r="W105" s="43"/>
      <c r="X105" s="31"/>
      <c r="Y105" s="31"/>
      <c r="Z105" s="36"/>
      <c r="AA105" s="28">
        <v>46386</v>
      </c>
      <c r="AB105" s="43"/>
      <c r="AC105" s="43"/>
      <c r="AD105" s="31" t="s">
        <v>315</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301</v>
      </c>
      <c r="B106" s="31" t="s">
        <v>316</v>
      </c>
      <c r="C106" s="31" t="s">
        <v>204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303</v>
      </c>
      <c r="J106" s="53"/>
      <c r="K106" s="28">
        <v>46363</v>
      </c>
      <c r="L106" s="43"/>
      <c r="M106" s="31"/>
      <c r="N106" s="31"/>
      <c r="O106" s="36" t="s">
        <v>314</v>
      </c>
      <c r="P106" s="74"/>
      <c r="Q106" s="28">
        <v>46370</v>
      </c>
      <c r="R106" s="43"/>
      <c r="S106" s="31"/>
      <c r="T106" s="68" t="s">
        <v>306</v>
      </c>
      <c r="U106" s="46"/>
      <c r="V106" s="28">
        <v>46373</v>
      </c>
      <c r="W106" s="43"/>
      <c r="X106" s="31"/>
      <c r="Y106" s="31"/>
      <c r="Z106" s="36"/>
      <c r="AA106" s="28">
        <v>46386</v>
      </c>
      <c r="AB106" s="43"/>
      <c r="AC106" s="43"/>
      <c r="AD106" s="31" t="s">
        <v>317</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301</v>
      </c>
      <c r="B107" s="31" t="s">
        <v>318</v>
      </c>
      <c r="C107" s="31" t="s">
        <v>204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303</v>
      </c>
      <c r="J107" s="53"/>
      <c r="K107" s="28">
        <v>46363</v>
      </c>
      <c r="L107" s="43"/>
      <c r="M107" s="31"/>
      <c r="N107" s="31"/>
      <c r="O107" s="36" t="s">
        <v>314</v>
      </c>
      <c r="P107" s="74"/>
      <c r="Q107" s="28">
        <v>46370</v>
      </c>
      <c r="R107" s="43"/>
      <c r="S107" s="31"/>
      <c r="T107" s="68" t="s">
        <v>306</v>
      </c>
      <c r="U107" s="46"/>
      <c r="V107" s="28">
        <v>46373</v>
      </c>
      <c r="W107" s="43"/>
      <c r="X107" s="31"/>
      <c r="Y107" s="31"/>
      <c r="Z107" s="36"/>
      <c r="AA107" s="28">
        <v>46386</v>
      </c>
      <c r="AB107" s="43"/>
      <c r="AC107" s="43"/>
      <c r="AD107" s="31" t="s">
        <v>319</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301</v>
      </c>
      <c r="B108" s="31" t="s">
        <v>320</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303</v>
      </c>
      <c r="J108" s="53"/>
      <c r="K108" s="28">
        <v>46363</v>
      </c>
      <c r="L108" s="43"/>
      <c r="M108" s="31"/>
      <c r="N108" s="31"/>
      <c r="O108" s="36" t="s">
        <v>321</v>
      </c>
      <c r="P108" s="74"/>
      <c r="Q108" s="28">
        <v>46370</v>
      </c>
      <c r="R108" s="43"/>
      <c r="S108" s="31"/>
      <c r="T108" s="68" t="s">
        <v>306</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310</v>
      </c>
      <c r="B109" s="31" t="s">
        <v>323</v>
      </c>
      <c r="C109" s="31" t="s">
        <v>233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303</v>
      </c>
      <c r="J109" s="53"/>
      <c r="K109" s="28">
        <v>46363</v>
      </c>
      <c r="L109" s="43"/>
      <c r="M109" s="31"/>
      <c r="N109" s="31"/>
      <c r="O109" s="36" t="s">
        <v>321</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301</v>
      </c>
      <c r="B110" s="31" t="s">
        <v>326</v>
      </c>
      <c r="C110" s="31" t="s">
        <v>204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303</v>
      </c>
      <c r="J110" s="53"/>
      <c r="K110" s="28">
        <v>46363</v>
      </c>
      <c r="L110" s="43"/>
      <c r="M110" s="31"/>
      <c r="N110" s="31"/>
      <c r="O110" s="36" t="s">
        <v>321</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310</v>
      </c>
      <c r="B111" s="31" t="s">
        <v>328</v>
      </c>
      <c r="C111" s="31" t="s">
        <v>233</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303</v>
      </c>
      <c r="J111" s="53"/>
      <c r="K111" s="28">
        <v>46363</v>
      </c>
      <c r="L111" s="43"/>
      <c r="M111" s="31"/>
      <c r="N111" s="31"/>
      <c r="O111" s="36" t="s">
        <v>321</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310</v>
      </c>
      <c r="B112" s="31" t="s">
        <v>330</v>
      </c>
      <c r="C112" s="31" t="s">
        <v>233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303</v>
      </c>
      <c r="J112" s="53"/>
      <c r="K112" s="28">
        <v>46363</v>
      </c>
      <c r="L112" s="43"/>
      <c r="M112" s="31"/>
      <c r="N112" s="31"/>
      <c r="O112" s="36" t="s">
        <v>321</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310</v>
      </c>
      <c r="B113" s="31" t="s">
        <v>331</v>
      </c>
      <c r="C113" s="31" t="s">
        <v>233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303</v>
      </c>
      <c r="J113" s="53"/>
      <c r="K113" s="28">
        <v>46363</v>
      </c>
      <c r="L113" s="43"/>
      <c r="M113" s="31"/>
      <c r="N113" s="31"/>
      <c r="O113" s="36" t="s">
        <v>321</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310</v>
      </c>
      <c r="B114" s="31" t="s">
        <v>332</v>
      </c>
      <c r="C114" s="31" t="s">
        <v>233</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303</v>
      </c>
      <c r="J114" s="53"/>
      <c r="K114" s="28">
        <v>46363</v>
      </c>
      <c r="L114" s="43"/>
      <c r="M114" s="31"/>
      <c r="N114" s="31"/>
      <c r="O114" s="36" t="s">
        <v>333</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310</v>
      </c>
      <c r="B115" s="31" t="s">
        <v>334</v>
      </c>
      <c r="C115" s="31" t="s">
        <v>233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303</v>
      </c>
      <c r="J115" s="53"/>
      <c r="K115" s="28">
        <v>46363</v>
      </c>
      <c r="L115" s="43"/>
      <c r="M115" s="31"/>
      <c r="N115" s="31"/>
      <c r="O115" s="36" t="s">
        <v>333</v>
      </c>
      <c r="P115" s="74"/>
      <c r="Q115" s="28">
        <v>46370</v>
      </c>
      <c r="R115" s="43"/>
      <c r="S115" s="31"/>
      <c r="T115" s="68" t="s">
        <v>324</v>
      </c>
      <c r="U115" s="46"/>
      <c r="V115" s="28">
        <v>46373</v>
      </c>
      <c r="W115" s="43"/>
      <c r="X115" s="31"/>
      <c r="Y115" s="31"/>
      <c r="Z115" s="36"/>
      <c r="AA115" s="28">
        <v>46386</v>
      </c>
      <c r="AB115" s="43"/>
      <c r="AC115" s="43"/>
      <c r="AD115" s="31" t="s">
        <v>272</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116:AE116 A2:F87 G2:V40 W2:Y54 N3:N44 L41:V42 G43:V64 G65:Q65 T65:V65 G66:V73 G41:J42 Z2:AL2 Z3 Z4:AL41 Z42:AK42 Z43:AL44 Z45:AK47 Z48:AL72 W55:X55 W56:Y58 W59:X59 W60:Y70 W71 Z73:AH100 Z101:AE115 AB3:AL3 AJ30:AJ42 AJ44:AJ48 AJ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7">
      <formula>AND($B41&lt;&gt;"",MOD(ROW(),2)=0)</formula>
    </cfRule>
    <cfRule type="expression" dxfId="146" priority="608">
      <formula>$AJ41="Yes – needs DB Dev to fix"</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73:P100">
    <cfRule type="expression" dxfId="138" priority="306">
      <formula>$AD73="Yes – needs PBI Dev to fix"</formula>
    </cfRule>
  </conditionalFormatting>
  <conditionalFormatting sqref="M101:P116">
    <cfRule type="expression" dxfId="137" priority="353">
      <formula>$AA101="Yes – needs PBI Dev to fix"</formula>
    </cfRule>
  </conditionalFormatting>
  <conditionalFormatting sqref="M117:P528">
    <cfRule type="expression" dxfId="136" priority="579">
      <formula>$X117="Yes – needs PBI Dev to fix"</formula>
    </cfRule>
  </conditionalFormatting>
  <conditionalFormatting sqref="N58">
    <cfRule type="expression" dxfId="135" priority="9">
      <formula>$AD58="Yes – needs PBI Dev to fix"</formula>
    </cfRule>
  </conditionalFormatting>
  <conditionalFormatting sqref="N70">
    <cfRule type="expression" dxfId="134" priority="10">
      <formula>$AD70="Yes – needs PBI Dev to fix"</formula>
    </cfRule>
  </conditionalFormatting>
  <conditionalFormatting sqref="N82">
    <cfRule type="expression" dxfId="133" priority="6">
      <formula>$AD82="Yes – needs PBI Dev to fix"</formula>
    </cfRule>
  </conditionalFormatting>
  <conditionalFormatting sqref="O101:O113">
    <cfRule type="expression" dxfId="132" priority="3">
      <formula>$AD101="Yes – needs PBI Dev to fix"</formula>
    </cfRule>
  </conditionalFormatting>
  <conditionalFormatting sqref="Q73:Q100">
    <cfRule type="expression" dxfId="131" priority="22">
      <formula>$AJ73="Yes – needs DB Dev to fix"</formula>
    </cfRule>
    <cfRule type="expression" dxfId="130" priority="23">
      <formula>$AF73="Yes – needs DB Dev to fix"</formula>
    </cfRule>
    <cfRule type="expression" dxfId="129" priority="125">
      <formula>$AF73="Yes – needs PBI Dev to fix"</formula>
    </cfRule>
  </conditionalFormatting>
  <conditionalFormatting sqref="Q101:R116 V101:V116 X101:X116">
    <cfRule type="expression" dxfId="128" priority="21">
      <formula>$AA101="Yes – needs QA to fix"</formula>
    </cfRule>
  </conditionalFormatting>
  <conditionalFormatting sqref="Q117:R528">
    <cfRule type="expression" dxfId="127" priority="580">
      <formula>$X117="Yes – needs QA to fix"</formula>
    </cfRule>
  </conditionalFormatting>
  <conditionalFormatting sqref="Q2:U64 U10:V19 X10:X19 J29 M29:P29 J32:J33 M32:P33 K40:K41 M40:P41 Q65 T65:U65 Q66:U115 V101:V115 X101:X116 Q116:V116">
    <cfRule type="expression" dxfId="126" priority="36">
      <formula>$AJ2="Yes – needs PBI Dev to fix"</formula>
    </cfRule>
  </conditionalFormatting>
  <conditionalFormatting sqref="R58">
    <cfRule type="expression" dxfId="125" priority="321">
      <formula>AND($B65&lt;&gt;"",MOD(ROW(),2)=0)</formula>
    </cfRule>
    <cfRule type="expression" dxfId="124" priority="323">
      <formula>$AJ65="Yes – needs PBI Dev to fix"</formula>
    </cfRule>
  </conditionalFormatting>
  <conditionalFormatting sqref="R60">
    <cfRule type="expression" dxfId="123" priority="13">
      <formula>AND($B67&lt;&gt;"",MOD(ROW(),2)=0)</formula>
    </cfRule>
    <cfRule type="expression" dxfId="122" priority="14">
      <formula>$AJ67="Yes – needs PBI Dev to fix"</formula>
    </cfRule>
  </conditionalFormatting>
  <conditionalFormatting sqref="R60:S60">
    <cfRule type="expression" dxfId="121" priority="11">
      <formula>AND($B67&lt;&gt;"",MOD(ROW(),2)=0)</formula>
    </cfRule>
    <cfRule type="expression" dxfId="120" priority="12">
      <formula>$AJ67="Yes – needs PBI Dev to fix"</formula>
    </cfRule>
  </conditionalFormatting>
  <conditionalFormatting sqref="R73:U100 T96:T101">
    <cfRule type="expression" dxfId="119" priority="127">
      <formula>$AF73="Yes – needs QA to fix"</formula>
    </cfRule>
  </conditionalFormatting>
  <conditionalFormatting sqref="S101:U116">
    <cfRule type="expression" dxfId="118" priority="367">
      <formula>$AA101="Yes – needs DPO Approval to fix"</formula>
    </cfRule>
  </conditionalFormatting>
  <conditionalFormatting sqref="S117:U528">
    <cfRule type="expression" dxfId="117" priority="581">
      <formula>$X117="Yes – needs DPO Approval to fix"</formula>
    </cfRule>
  </conditionalFormatting>
  <conditionalFormatting sqref="U101:V528 X101:X528">
    <cfRule type="expression" dxfId="116" priority="54">
      <formula>$V101="Yes"</formula>
    </cfRule>
  </conditionalFormatting>
  <conditionalFormatting sqref="U73:Y100">
    <cfRule type="expression" dxfId="115" priority="129">
      <formula>$AF73="Yes – needs DPO Approval to fix"</formula>
    </cfRule>
  </conditionalFormatting>
  <conditionalFormatting sqref="X117:X528">
    <cfRule type="expression" dxfId="114" priority="582">
      <formula>LEFT($X117,3)="Yes"</formula>
    </cfRule>
  </conditionalFormatting>
  <conditionalFormatting sqref="X73:Z100">
    <cfRule type="expression" dxfId="113" priority="481">
      <formula>$Y73="Yes"</formula>
    </cfRule>
  </conditionalFormatting>
  <conditionalFormatting sqref="Z117:AA528">
    <cfRule type="expression" dxfId="112" priority="59">
      <formula>ISNUMBER(SEARCH("log it",$Z117))</formula>
    </cfRule>
    <cfRule type="expression" dxfId="111" priority="59">
      <formula>ISNUMBER(SEARCH("Move old",$Z117))</formula>
    </cfRule>
    <cfRule type="expression" dxfId="110" priority="59">
      <formula>ISNUMBER(SEARCH("Open rework",$Z117))</formula>
    </cfRule>
    <cfRule type="expression" dxfId="109" priority="60">
      <formula>ISNUMBER(SEARCH("Duplicate",$Z117))</formula>
    </cfRule>
    <cfRule type="expression" dxfId="108" priority="61">
      <formula>$Z117&lt;&gt;""</formula>
    </cfRule>
  </conditionalFormatting>
  <conditionalFormatting sqref="AA3">
    <cfRule type="expression" dxfId="107" priority="609">
      <formula>AND($B3&lt;&gt;"",MOD(ROW(),2)=0)</formula>
    </cfRule>
    <cfRule type="expression" dxfId="106" priority="610">
      <formula>$AJ3="Yes – needs DPO Approval to fix"</formula>
    </cfRule>
  </conditionalFormatting>
  <conditionalFormatting sqref="AA101:AA115 U116:AA116 U2:Z54 U55:X55 Z55 U56:Z58 U59:X59 Z59 U60:Z70 U71:W71 Z71 U72:Z116">
    <cfRule type="expression" dxfId="105" priority="19">
      <formula>$AJ2="Yes – needs QA to fix"</formula>
    </cfRule>
  </conditionalFormatting>
  <conditionalFormatting sqref="AA101:AA116">
    <cfRule type="expression" dxfId="104" priority="16">
      <formula>$AJ101="Yes – needs PBI Dev to fix"</formula>
    </cfRule>
    <cfRule type="expression" dxfId="103" priority="17">
      <formula>$AA101="Yes – needs QA to fix"</formula>
    </cfRule>
    <cfRule type="expression" dxfId="102" priority="18">
      <formula>$V101="Yes"</formula>
    </cfRule>
    <cfRule type="expression" dxfId="101" priority="375">
      <formula>LEFT($AA101,3)="Yes"</formula>
    </cfRule>
  </conditionalFormatting>
  <conditionalFormatting sqref="AA2:AE2 AB3:AE3 AA4:AE100">
    <cfRule type="expression" dxfId="100" priority="103">
      <formula>$AJ2="Yes – needs DPO Approval to fix"</formula>
    </cfRule>
  </conditionalFormatting>
  <conditionalFormatting sqref="AB101:AC116">
    <cfRule type="expression" dxfId="99" priority="383">
      <formula>ISNUMBER(SEARCH("Open rework",$AB101))</formula>
    </cfRule>
    <cfRule type="expression" dxfId="98" priority="384">
      <formula>ISNUMBER(SEARCH("Move old",$AB101))</formula>
    </cfRule>
    <cfRule type="expression" dxfId="97" priority="385">
      <formula>ISNUMBER(SEARCH("log it",$AB101))</formula>
    </cfRule>
    <cfRule type="expression" dxfId="96" priority="386">
      <formula>ISNUMBER(SEARCH("Duplicate",$AB101))</formula>
    </cfRule>
    <cfRule type="expression" dxfId="95" priority="387">
      <formula>$AB101&lt;&gt;""</formula>
    </cfRule>
  </conditionalFormatting>
  <conditionalFormatting sqref="AF2:AF116">
    <cfRule type="expression" dxfId="94" priority="75">
      <formula>$AF2="Yes"</formula>
    </cfRule>
  </conditionalFormatting>
  <conditionalFormatting sqref="AF73:AF100">
    <cfRule type="expression" dxfId="93" priority="133">
      <formula>LEFT($AF73,3)="Yes"</formula>
    </cfRule>
  </conditionalFormatting>
  <conditionalFormatting sqref="AG73:AG100">
    <cfRule type="expression" dxfId="92" priority="139">
      <formula>ISNUMBER(SEARCH("Open rework",$AG73))</formula>
    </cfRule>
    <cfRule type="expression" dxfId="91" priority="140">
      <formula>ISNUMBER(SEARCH("Move old",$AG73))</formula>
    </cfRule>
    <cfRule type="expression" dxfId="90" priority="141">
      <formula>ISNUMBER(SEARCH("log it",$AG73))</formula>
    </cfRule>
    <cfRule type="expression" dxfId="89" priority="142">
      <formula>ISNUMBER(SEARCH("Duplicate",$AG73))</formula>
    </cfRule>
    <cfRule type="expression" dxfId="88" priority="143">
      <formula>$AG73&lt;&gt;""</formula>
    </cfRule>
  </conditionalFormatting>
  <conditionalFormatting sqref="AJ2:AJ116">
    <cfRule type="expression" dxfId="87" priority="77">
      <formula>LEFT($AJ2,3)="Yes"</formula>
    </cfRule>
  </conditionalFormatting>
  <conditionalFormatting sqref="AK2:AK116">
    <cfRule type="expression" dxfId="86" priority="83">
      <formula>ISNUMBER(SEARCH("log it",$AK2))</formula>
    </cfRule>
    <cfRule type="expression" dxfId="85" priority="84">
      <formula>ISNUMBER(SEARCH("Open rework",$AK2))</formula>
    </cfRule>
    <cfRule type="expression" dxfId="84" priority="85">
      <formula>ISNUMBER(SEARCH("Move old",$AK2))</formula>
    </cfRule>
    <cfRule type="expression" dxfId="83" priority="86">
      <formula>ISNUMBER(SEARCH("Duplicate",$AK2))</formula>
    </cfRule>
    <cfRule type="expression" dxfId="82" priority="87">
      <formula>$AK2&lt;&gt;""</formula>
    </cfRule>
  </conditionalFormatting>
  <conditionalFormatting sqref="AL45:AL47">
    <cfRule type="expression" dxfId="81" priority="26">
      <formula>AND($B49&lt;&gt;"",MOD(ROW(),2)=0)</formula>
    </cfRule>
  </conditionalFormatting>
  <conditionalFormatting sqref="M94">
    <cfRule type="expression" dxfId="80" priority="1">
      <formula>$AF94="Yes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335</v>
      </c>
    </row>
    <row r="2" spans="1:5">
      <c r="A2" s="6" t="s">
        <v>336</v>
      </c>
    </row>
    <row r="4" spans="1:5" ht="21.95" customHeight="1">
      <c r="A4" s="5" t="s">
        <v>337</v>
      </c>
      <c r="B4" s="260"/>
      <c r="C4" s="261"/>
      <c r="D4" s="261"/>
      <c r="E4" s="261"/>
    </row>
    <row r="6" spans="1:5">
      <c r="A6" s="42" t="s">
        <v>0</v>
      </c>
      <c r="B6" s="216" t="str">
        <f>IF($B$4="","",IFERROR(INDEX('Combined Delivery Data'!$A:$A,MATCH($B$4,'Combined Delivery Data'!$B:$B,0)),""))</f>
        <v/>
      </c>
      <c r="C6" s="262"/>
      <c r="D6" s="262"/>
      <c r="E6" s="263"/>
    </row>
    <row r="7" spans="1:5">
      <c r="A7" s="42" t="s">
        <v>338</v>
      </c>
      <c r="B7" s="216" t="str">
        <f>IF($B$4="","",IFERROR(INDEX('Combined Delivery Data'!$C:$C,MATCH($B$4,'Combined Delivery Data'!$B:$B,0)),""))</f>
        <v/>
      </c>
      <c r="C7" s="262"/>
      <c r="D7" s="262"/>
      <c r="E7" s="263"/>
    </row>
    <row r="8" spans="1:5">
      <c r="A8" s="42" t="s">
        <v>3</v>
      </c>
      <c r="B8" s="216" t="str">
        <f>IF($B$4="","",IFERROR(INDEX('Combined Delivery Data'!$D:$D,MATCH($B$4,'Combined Delivery Data'!$B:$B,0)),""))</f>
        <v/>
      </c>
      <c r="C8" s="262"/>
      <c r="D8" s="262"/>
      <c r="E8" s="263"/>
    </row>
    <row r="9" spans="1:5">
      <c r="A9" s="42" t="s">
        <v>4</v>
      </c>
      <c r="B9" s="216" t="str">
        <f>IF($B$4="","",IFERROR(INDEX('Combined Delivery Data'!$E:$E,MATCH($B$4,'Combined Delivery Data'!$B:$B,0)),""))</f>
        <v/>
      </c>
      <c r="C9" s="262"/>
      <c r="D9" s="262"/>
      <c r="E9" s="263"/>
    </row>
    <row r="10" spans="1:5">
      <c r="A10" s="42" t="s">
        <v>5</v>
      </c>
      <c r="B10" s="216" t="str">
        <f>IF($B$4="","",IFERROR(INDEX('Combined Delivery Data'!$F:$F,MATCH($B$4,'Combined Delivery Data'!$B:$B,0)),""))</f>
        <v/>
      </c>
      <c r="C10" s="262"/>
      <c r="D10" s="262"/>
      <c r="E10" s="263"/>
    </row>
    <row r="11" spans="1:5">
      <c r="A11" s="42" t="s">
        <v>9</v>
      </c>
      <c r="B11" s="216" t="str">
        <f>IF($B$4="","",IFERROR(INDEX('Combined Delivery Data'!$J:$J,MATCH($B$4,'Combined Delivery Data'!$B:$B,0)),""))</f>
        <v/>
      </c>
      <c r="C11" s="262"/>
      <c r="D11" s="262"/>
      <c r="E11" s="263"/>
    </row>
    <row r="12" spans="1:5">
      <c r="A12" s="42" t="s">
        <v>15</v>
      </c>
      <c r="B12" s="216" t="str">
        <f>IF($B$4="","",IFERROR(INDEX('Combined Delivery Data'!$P:$P,MATCH($B$4,'Combined Delivery Data'!$B:$B,0)),""))</f>
        <v/>
      </c>
      <c r="C12" s="262"/>
      <c r="D12" s="262"/>
      <c r="E12" s="263"/>
    </row>
    <row r="13" spans="1:5">
      <c r="A13" s="42" t="s">
        <v>20</v>
      </c>
      <c r="B13" s="216" t="str">
        <f>IF($B$4="","",IFERROR(INDEX('Combined Delivery Data'!$U:$U,MATCH($B$4,'Combined Delivery Data'!$B:$B,0)),""))</f>
        <v/>
      </c>
      <c r="C13" s="262"/>
      <c r="D13" s="262"/>
      <c r="E13" s="263"/>
    </row>
    <row r="14" spans="1:5">
      <c r="A14" s="42" t="s">
        <v>339</v>
      </c>
      <c r="B14" s="215" t="str">
        <f>IF($B$4="","",IFERROR(INDEX('Combined Delivery Data'!$K:$K,MATCH($B$4,'Combined Delivery Data'!$B:$B,0)),""))</f>
        <v/>
      </c>
      <c r="C14" s="262"/>
      <c r="D14" s="262"/>
      <c r="E14" s="263"/>
    </row>
    <row r="15" spans="1:5">
      <c r="A15" s="42" t="s">
        <v>340</v>
      </c>
      <c r="B15" s="215" t="str">
        <f>IF($B$4="","",IFERROR(INDEX('Combined Delivery Data'!$L:$L,MATCH($B$4,'Combined Delivery Data'!$B:$B,0)),""))</f>
        <v/>
      </c>
      <c r="C15" s="262"/>
      <c r="D15" s="262"/>
      <c r="E15" s="263"/>
    </row>
    <row r="16" spans="1:5">
      <c r="A16" s="42" t="s">
        <v>341</v>
      </c>
      <c r="B16" s="215" t="str">
        <f>IF($B$4="","",IFERROR(INDEX('Combined Delivery Data'!$M:$M,MATCH($B$4,'Combined Delivery Data'!$B:$B,0)),""))</f>
        <v/>
      </c>
      <c r="C16" s="262"/>
      <c r="D16" s="262"/>
      <c r="E16" s="263"/>
    </row>
    <row r="17" spans="1:5">
      <c r="A17" s="42" t="s">
        <v>342</v>
      </c>
      <c r="B17" s="215" t="str">
        <f>IF($B$4="","",IFERROR(INDEX('Combined Delivery Data'!$O:$O,MATCH($B$4,'Combined Delivery Data'!$B:$B,0)),""))</f>
        <v/>
      </c>
      <c r="C17" s="262"/>
      <c r="D17" s="262"/>
      <c r="E17" s="263"/>
    </row>
    <row r="18" spans="1:5">
      <c r="A18" s="42" t="s">
        <v>343</v>
      </c>
      <c r="B18" s="215" t="str">
        <f>IF($B$4="","",IFERROR(INDEX('Combined Delivery Data'!$Q:$Q,MATCH($B$4,'Combined Delivery Data'!$B:$B,0)),""))</f>
        <v/>
      </c>
      <c r="C18" s="262"/>
      <c r="D18" s="262"/>
      <c r="E18" s="263"/>
    </row>
    <row r="19" spans="1:5">
      <c r="A19" s="42" t="s">
        <v>344</v>
      </c>
      <c r="B19" s="215" t="str">
        <f>IF($B$4="","",IFERROR(INDEX('Combined Delivery Data'!$R:$R,MATCH($B$4,'Combined Delivery Data'!$B:$B,0)),""))</f>
        <v/>
      </c>
      <c r="C19" s="262"/>
      <c r="D19" s="262"/>
      <c r="E19" s="263"/>
    </row>
    <row r="20" spans="1:5">
      <c r="A20" s="42" t="s">
        <v>345</v>
      </c>
      <c r="B20" s="215" t="str">
        <f>IF($B$4="","",IFERROR(INDEX('Combined Delivery Data'!$S:$S,MATCH($B$4,'Combined Delivery Data'!$B:$B,0)),""))</f>
        <v/>
      </c>
      <c r="C20" s="262"/>
      <c r="D20" s="262"/>
      <c r="E20" s="263"/>
    </row>
    <row r="21" spans="1:5">
      <c r="A21" s="42" t="s">
        <v>29</v>
      </c>
      <c r="B21" s="216" t="str">
        <f>IF($B$4="","",IFERROR(INDEX('Combined Delivery Data'!$T:$T,MATCH($B$4,'Combined Delivery Data'!$B:$B,0)),""))</f>
        <v/>
      </c>
      <c r="C21" s="262"/>
      <c r="D21" s="262"/>
      <c r="E21" s="263"/>
    </row>
    <row r="22" spans="1:5">
      <c r="A22" s="42" t="s">
        <v>31</v>
      </c>
      <c r="B22" s="216" t="str">
        <f>IF($B$4="","",IFERROR(INDEX('Combined Delivery Data'!$V:$V,MATCH($B$4,'Combined Delivery Data'!$B:$B,0)),""))</f>
        <v/>
      </c>
      <c r="C22" s="262"/>
      <c r="D22" s="262"/>
      <c r="E22" s="263"/>
    </row>
    <row r="23" spans="1:5">
      <c r="A23" s="42" t="s">
        <v>32</v>
      </c>
      <c r="B23" s="215" t="str">
        <f>IF($B$4="","",IFERROR(INDEX('Combined Delivery Data'!$W:$W,MATCH($B$4,'Combined Delivery Data'!$B:$B,0)),""))</f>
        <v/>
      </c>
      <c r="C23" s="262"/>
      <c r="D23" s="262"/>
      <c r="E23" s="263"/>
    </row>
    <row r="24" spans="1:5">
      <c r="A24" s="42" t="s">
        <v>35</v>
      </c>
      <c r="B24" s="216" t="str">
        <f>IF($B$4="","",IFERROR(INDEX('Combined Delivery Data'!$X:$X,MATCH($B$4,'Combined Delivery Data'!$B:$B,0)),""))</f>
        <v/>
      </c>
      <c r="C24" s="262"/>
      <c r="D24" s="262"/>
      <c r="E24" s="263"/>
    </row>
    <row r="25" spans="1:5">
      <c r="A25" s="42" t="s">
        <v>36</v>
      </c>
      <c r="B25" s="216" t="str">
        <f>IF($B$4="","",IFERROR(INDEX('Combined Delivery Data'!$Z:$Z,MATCH($B$4,'Combined Delivery Data'!$B:$B,0)),""))</f>
        <v/>
      </c>
      <c r="C25" s="262"/>
      <c r="D25" s="262"/>
      <c r="E25" s="263"/>
    </row>
    <row r="26" spans="1:5">
      <c r="A26" s="42" t="s">
        <v>346</v>
      </c>
      <c r="B26" s="216" t="str">
        <f>IF($B$4="","",IFERROR(INDEX('Rework Log'!$Q:$Q,MATCH($B$4,'Rework Log'!$P:$P,0)),""))</f>
        <v/>
      </c>
      <c r="C26" s="262"/>
      <c r="D26" s="262"/>
      <c r="E26" s="263"/>
    </row>
    <row r="27" spans="1:5">
      <c r="A27" s="42" t="s">
        <v>347</v>
      </c>
      <c r="B27" s="216" t="str">
        <f>IF($B$4="","",IFERROR(INDEX('Rework Log'!$R:$R,MATCH($B$4,'Rework Log'!$P:$P,0)),""))</f>
        <v/>
      </c>
      <c r="C27" s="262"/>
      <c r="D27" s="262"/>
      <c r="E27" s="263"/>
    </row>
    <row r="28" spans="1:5">
      <c r="A28" s="42" t="s">
        <v>348</v>
      </c>
      <c r="B28" s="216" t="str">
        <f>IF($B$4="","",IFERROR(INDEX('Rework Log'!$S:$S,MATCH($B$4,'Rework Log'!$P:$P,0)),""))</f>
        <v/>
      </c>
      <c r="C28" s="262"/>
      <c r="D28" s="262"/>
      <c r="E28" s="263"/>
    </row>
    <row r="29" spans="1:5">
      <c r="A29" s="42" t="s">
        <v>349</v>
      </c>
      <c r="B29" s="216" t="str">
        <f>IF($B$4="","",IFERROR(INDEX('Rework Log'!$T:$T,MATCH($B$4,'Rework Log'!$P:$P,0)),""))</f>
        <v/>
      </c>
      <c r="C29" s="262"/>
      <c r="D29" s="262"/>
      <c r="E29" s="263"/>
    </row>
    <row r="30" spans="1:5" ht="15.6" customHeight="1">
      <c r="A30" s="42"/>
      <c r="B30" s="216"/>
      <c r="C30" s="262"/>
      <c r="D30" s="262"/>
      <c r="E30" s="263"/>
    </row>
    <row r="31" spans="1:5" ht="15.6" customHeight="1">
      <c r="A31" s="5" t="s">
        <v>37</v>
      </c>
      <c r="B31" s="264" t="str">
        <f>IF($B$4="","",IFERROR(INDEX('Combined Delivery Data'!$AB:$AB,MATCH($B$4,'Combined Delivery Data'!$B:$B,0)),""))</f>
        <v/>
      </c>
      <c r="C31" s="261"/>
      <c r="D31" s="261"/>
      <c r="E31" s="261"/>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1" topLeftCell="A498" activePane="bottomLeft" state="frozen"/>
      <selection pane="bottomLeft" activeCell="A40" sqref="A4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350</v>
      </c>
      <c r="C1" s="17" t="s">
        <v>351</v>
      </c>
      <c r="D1" s="17" t="s">
        <v>352</v>
      </c>
      <c r="E1" s="17" t="s">
        <v>353</v>
      </c>
      <c r="F1" s="17" t="s">
        <v>354</v>
      </c>
      <c r="G1" s="17" t="s">
        <v>355</v>
      </c>
      <c r="H1" s="56" t="s">
        <v>356</v>
      </c>
      <c r="I1" s="30" t="s">
        <v>357</v>
      </c>
      <c r="J1" s="30" t="s">
        <v>358</v>
      </c>
      <c r="K1" s="30" t="s">
        <v>359</v>
      </c>
      <c r="L1" s="30" t="s">
        <v>360</v>
      </c>
      <c r="M1" s="21" t="s">
        <v>361</v>
      </c>
      <c r="N1" s="21" t="s">
        <v>362</v>
      </c>
      <c r="P1" s="13" t="s">
        <v>1</v>
      </c>
      <c r="Q1" s="13" t="s">
        <v>346</v>
      </c>
      <c r="R1" s="13" t="s">
        <v>347</v>
      </c>
      <c r="S1" s="13" t="s">
        <v>348</v>
      </c>
      <c r="T1" s="13" t="s">
        <v>349</v>
      </c>
    </row>
    <row r="2" spans="1:20">
      <c r="A2" s="33" t="s">
        <v>143</v>
      </c>
      <c r="B2" s="36">
        <v>46230</v>
      </c>
      <c r="C2" s="33" t="s">
        <v>219</v>
      </c>
      <c r="D2" s="33" t="s">
        <v>262</v>
      </c>
      <c r="E2" s="33" t="s">
        <v>144</v>
      </c>
      <c r="F2" s="33" t="s">
        <v>363</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IF($P2="","",IF(SUMPRODUCT(MAX(($A$2:$A$497=$P2)*ROW($A$2:$A$497)))=0,"",INDEX($B:$B,SUMPRODUCT(MAX(($A$2:$A$497=$P2)*ROW($A$2:$A$497))))))</f>
        <v/>
      </c>
      <c r="T2" t="str">
        <f>IF($P2="","",IF(SUMPRODUCT(MAX(($A$2:$A$497=$P2)*ROW($A$2:$A$497)))=0,"",INDEX($C:$C,SUMPRODUCT(MAX(($A$2:$A$497=$P2)*ROW($A$2:$A$497))))&amp;" -&gt; "&amp;INDEX($D:$D,SUMPRODUCT(MAX(($A$2:$A$497=$P2)*ROW($A$2:$A$497))))))</f>
        <v/>
      </c>
    </row>
    <row r="3" spans="1:20">
      <c r="A3" s="31" t="s">
        <v>153</v>
      </c>
      <c r="B3" s="32">
        <v>46237</v>
      </c>
      <c r="C3" s="31" t="s">
        <v>219</v>
      </c>
      <c r="D3" s="31" t="s">
        <v>262</v>
      </c>
      <c r="E3" s="31" t="s">
        <v>144</v>
      </c>
      <c r="F3" s="31" t="s">
        <v>364</v>
      </c>
      <c r="G3" s="31" t="s">
        <v>50</v>
      </c>
      <c r="H3" s="32" t="s">
        <v>155</v>
      </c>
      <c r="I3" s="32"/>
      <c r="J3" s="32">
        <v>46247</v>
      </c>
      <c r="K3" s="31" t="s">
        <v>60</v>
      </c>
      <c r="L3" s="31" t="s">
        <v>365</v>
      </c>
      <c r="M3" s="3" t="str">
        <f t="shared" ref="M3:M64" ca="1" si="2">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IF($P3="","",IF(SUMPRODUCT(MAX(($A$2:$A$497=$P3)*ROW($A$2:$A$497)))=0,"",INDEX($B:$B,SUMPRODUCT(MAX(($A$2:$A$497=$P3)*ROW($A$2:$A$497))))))</f>
        <v/>
      </c>
      <c r="T3" t="str">
        <f>IF($P3="","",IF(SUMPRODUCT(MAX(($A$2:$A$497=$P3)*ROW($A$2:$A$497)))=0,"",INDEX($C:$C,SUMPRODUCT(MAX(($A$2:$A$497=$P3)*ROW($A$2:$A$497))))&amp;" -&gt; "&amp;INDEX($D:$D,SUMPRODUCT(MAX(($A$2:$A$497=$P3)*ROW($A$2:$A$497))))))</f>
        <v/>
      </c>
    </row>
    <row r="4" spans="1:20">
      <c r="A4" s="53" t="s">
        <v>127</v>
      </c>
      <c r="B4" s="32">
        <v>46238</v>
      </c>
      <c r="C4" s="31" t="s">
        <v>219</v>
      </c>
      <c r="D4" s="31" t="s">
        <v>262</v>
      </c>
      <c r="E4" s="31" t="s">
        <v>129</v>
      </c>
      <c r="F4" s="31" t="s">
        <v>366</v>
      </c>
      <c r="G4" s="31" t="s">
        <v>50</v>
      </c>
      <c r="H4" s="32" t="s">
        <v>76</v>
      </c>
      <c r="I4" s="32"/>
      <c r="J4" s="32">
        <v>46245</v>
      </c>
      <c r="K4" s="31"/>
      <c r="L4" s="31"/>
      <c r="M4" s="3" t="str">
        <f t="shared" ca="1" si="2"/>
        <v>Fixed</v>
      </c>
      <c r="N4" t="s">
        <v>50</v>
      </c>
      <c r="P4" t="e">
        <f>'Combined Delivery Data'!#REF!</f>
        <v>#REF!</v>
      </c>
      <c r="Q4" t="e">
        <f t="shared" si="0"/>
        <v>#REF!</v>
      </c>
      <c r="R4" t="e">
        <f t="shared" si="1"/>
        <v>#REF!</v>
      </c>
      <c r="S4" s="28" t="e">
        <f>IF($P4="","",IF(SUMPRODUCT(MAX(($A$2:$A$497=$P4)*ROW($A$2:$A$497)))=0,"",INDEX($B:$B,SUMPRODUCT(MAX(($A$2:$A$497=$P4)*ROW($A$2:$A$497))))))</f>
        <v>#REF!</v>
      </c>
      <c r="T4" t="e">
        <f>IF($P4="","",IF(SUMPRODUCT(MAX(($A$2:$A$497=$P4)*ROW($A$2:$A$497)))=0,"",INDEX($C:$C,SUMPRODUCT(MAX(($A$2:$A$497=$P4)*ROW($A$2:$A$497))))&amp;" -&gt; "&amp;INDEX($D:$D,SUMPRODUCT(MAX(($A$2:$A$497=$P4)*ROW($A$2:$A$497))))))</f>
        <v>#REF!</v>
      </c>
    </row>
    <row r="5" spans="1:20">
      <c r="A5" s="53" t="s">
        <v>141</v>
      </c>
      <c r="B5" s="32">
        <v>46234</v>
      </c>
      <c r="C5" s="31" t="s">
        <v>219</v>
      </c>
      <c r="D5" s="31" t="s">
        <v>262</v>
      </c>
      <c r="E5" s="31" t="s">
        <v>129</v>
      </c>
      <c r="F5" s="31" t="s">
        <v>367</v>
      </c>
      <c r="G5" s="31" t="s">
        <v>50</v>
      </c>
      <c r="H5" s="32" t="s">
        <v>103</v>
      </c>
      <c r="I5" s="32"/>
      <c r="J5" s="32">
        <v>46251</v>
      </c>
      <c r="K5" s="31"/>
      <c r="L5" s="31"/>
      <c r="M5" s="3" t="str">
        <f t="shared" ca="1" si="2"/>
        <v>Fixed</v>
      </c>
      <c r="N5" t="s">
        <v>50</v>
      </c>
      <c r="P5" t="str">
        <f>'Combined Delivery Data'!B4</f>
        <v>RPT_04_Leak Days Remaining</v>
      </c>
      <c r="Q5">
        <f t="shared" si="0"/>
        <v>0</v>
      </c>
      <c r="R5">
        <f t="shared" si="1"/>
        <v>0</v>
      </c>
      <c r="S5" s="28" t="str">
        <f>IF($P5="","",IF(SUMPRODUCT(MAX(($A$2:$A$497=$P5)*ROW($A$2:$A$497)))=0,"",INDEX($B:$B,SUMPRODUCT(MAX(($A$2:$A$497=$P5)*ROW($A$2:$A$497))))))</f>
        <v/>
      </c>
      <c r="T5" t="str">
        <f>IF($P5="","",IF(SUMPRODUCT(MAX(($A$2:$A$497=$P5)*ROW($A$2:$A$497)))=0,"",INDEX($C:$C,SUMPRODUCT(MAX(($A$2:$A$497=$P5)*ROW($A$2:$A$497))))&amp;" -&gt; "&amp;INDEX($D:$D,SUMPRODUCT(MAX(($A$2:$A$497=$P5)*ROW($A$2:$A$497))))))</f>
        <v/>
      </c>
    </row>
    <row r="6" spans="1:20">
      <c r="A6" s="53" t="s">
        <v>135</v>
      </c>
      <c r="B6" s="32">
        <v>46239</v>
      </c>
      <c r="C6" s="31" t="s">
        <v>219</v>
      </c>
      <c r="D6" s="31" t="s">
        <v>262</v>
      </c>
      <c r="E6" s="31" t="s">
        <v>129</v>
      </c>
      <c r="F6" s="31" t="s">
        <v>368</v>
      </c>
      <c r="G6" s="31" t="s">
        <v>50</v>
      </c>
      <c r="H6" s="32" t="s">
        <v>65</v>
      </c>
      <c r="I6" s="32"/>
      <c r="J6" s="32">
        <v>46251</v>
      </c>
      <c r="K6" s="31"/>
      <c r="L6" s="31"/>
      <c r="M6" s="3" t="str">
        <f t="shared" ca="1" si="2"/>
        <v>Fixed</v>
      </c>
      <c r="N6" t="s">
        <v>50</v>
      </c>
      <c r="P6" t="str">
        <f>'Combined Delivery Data'!B5</f>
        <v>RPT_04_Cleared Leaks</v>
      </c>
      <c r="Q6">
        <f t="shared" si="0"/>
        <v>0</v>
      </c>
      <c r="R6">
        <f t="shared" si="1"/>
        <v>0</v>
      </c>
      <c r="S6" s="28" t="str">
        <f>IF($P6="","",IF(SUMPRODUCT(MAX(($A$2:$A$497=$P6)*ROW($A$2:$A$497)))=0,"",INDEX($B:$B,SUMPRODUCT(MAX(($A$2:$A$497=$P6)*ROW($A$2:$A$497))))))</f>
        <v/>
      </c>
      <c r="T6" t="str">
        <f>IF($P6="","",IF(SUMPRODUCT(MAX(($A$2:$A$497=$P6)*ROW($A$2:$A$497)))=0,"",INDEX($C:$C,SUMPRODUCT(MAX(($A$2:$A$497=$P6)*ROW($A$2:$A$497))))&amp;" -&gt; "&amp;INDEX($D:$D,SUMPRODUCT(MAX(($A$2:$A$497=$P6)*ROW($A$2:$A$497))))))</f>
        <v/>
      </c>
    </row>
    <row r="7" spans="1:20">
      <c r="A7" s="53" t="s">
        <v>135</v>
      </c>
      <c r="B7" s="32">
        <v>46246</v>
      </c>
      <c r="C7" s="31" t="s">
        <v>219</v>
      </c>
      <c r="D7" s="31" t="s">
        <v>262</v>
      </c>
      <c r="E7" s="31" t="s">
        <v>129</v>
      </c>
      <c r="F7" s="31" t="s">
        <v>369</v>
      </c>
      <c r="G7" s="31" t="s">
        <v>50</v>
      </c>
      <c r="H7" s="32" t="s">
        <v>65</v>
      </c>
      <c r="I7" s="32"/>
      <c r="J7" s="32">
        <v>46251</v>
      </c>
      <c r="K7" s="31"/>
      <c r="L7" s="31"/>
      <c r="M7" s="3" t="str">
        <f t="shared" ca="1" si="2"/>
        <v>Fixed</v>
      </c>
      <c r="N7" t="s">
        <v>370</v>
      </c>
      <c r="P7" t="str">
        <f>'Combined Delivery Data'!B10</f>
        <v>RPT_04_Rechecks Completed less than 14 days</v>
      </c>
      <c r="Q7">
        <f t="shared" si="0"/>
        <v>0</v>
      </c>
      <c r="R7">
        <f t="shared" si="1"/>
        <v>0</v>
      </c>
      <c r="S7" s="28" t="str">
        <f>IF($P7="","",IF(SUMPRODUCT(MAX(($A$2:$A$497=$P7)*ROW($A$2:$A$497)))=0,"",INDEX($B:$B,SUMPRODUCT(MAX(($A$2:$A$497=$P7)*ROW($A$2:$A$497))))))</f>
        <v/>
      </c>
      <c r="T7" t="str">
        <f>IF($P7="","",IF(SUMPRODUCT(MAX(($A$2:$A$497=$P7)*ROW($A$2:$A$497)))=0,"",INDEX($C:$C,SUMPRODUCT(MAX(($A$2:$A$497=$P7)*ROW($A$2:$A$497))))&amp;" -&gt; "&amp;INDEX($D:$D,SUMPRODUCT(MAX(($A$2:$A$497=$P7)*ROW($A$2:$A$497))))))</f>
        <v/>
      </c>
    </row>
    <row r="8" spans="1:20">
      <c r="A8" s="31" t="s">
        <v>153</v>
      </c>
      <c r="B8" s="32">
        <v>46251</v>
      </c>
      <c r="C8" s="31" t="s">
        <v>219</v>
      </c>
      <c r="D8" s="31" t="s">
        <v>262</v>
      </c>
      <c r="E8" s="31" t="s">
        <v>144</v>
      </c>
      <c r="F8" s="31" t="s">
        <v>371</v>
      </c>
      <c r="G8" s="31" t="s">
        <v>50</v>
      </c>
      <c r="H8" s="32" t="s">
        <v>155</v>
      </c>
      <c r="I8" s="32"/>
      <c r="J8" s="32">
        <v>46254</v>
      </c>
      <c r="K8" s="31"/>
      <c r="L8" s="31"/>
      <c r="M8" s="3" t="str">
        <f t="shared" ca="1" si="2"/>
        <v>Fixed</v>
      </c>
      <c r="N8" t="s">
        <v>370</v>
      </c>
      <c r="P8" t="str">
        <f>'Combined Delivery Data'!B11</f>
        <v>RPT_04_SEI Leak Activity</v>
      </c>
      <c r="Q8">
        <f t="shared" si="0"/>
        <v>0</v>
      </c>
      <c r="R8">
        <f t="shared" si="1"/>
        <v>0</v>
      </c>
      <c r="S8" s="28" t="str">
        <f>IF($P8="","",IF(SUMPRODUCT(MAX(($A$2:$A$497=$P8)*ROW($A$2:$A$497)))=0,"",INDEX($B:$B,SUMPRODUCT(MAX(($A$2:$A$497=$P8)*ROW($A$2:$A$497))))))</f>
        <v/>
      </c>
      <c r="T8" t="str">
        <f>IF($P8="","",IF(SUMPRODUCT(MAX(($A$2:$A$497=$P8)*ROW($A$2:$A$497)))=0,"",INDEX($C:$C,SUMPRODUCT(MAX(($A$2:$A$497=$P8)*ROW($A$2:$A$497))))&amp;" -&gt; "&amp;INDEX($D:$D,SUMPRODUCT(MAX(($A$2:$A$497=$P8)*ROW($A$2:$A$497))))))</f>
        <v/>
      </c>
    </row>
    <row r="9" spans="1:20">
      <c r="A9" s="31" t="s">
        <v>143</v>
      </c>
      <c r="B9" s="32">
        <v>46237</v>
      </c>
      <c r="C9" s="31" t="s">
        <v>219</v>
      </c>
      <c r="D9" s="31" t="s">
        <v>262</v>
      </c>
      <c r="E9" s="31" t="s">
        <v>144</v>
      </c>
      <c r="F9" s="31" t="s">
        <v>364</v>
      </c>
      <c r="G9" s="31" t="s">
        <v>50</v>
      </c>
      <c r="H9" s="32" t="s">
        <v>84</v>
      </c>
      <c r="I9" s="32"/>
      <c r="J9" s="32">
        <v>46252</v>
      </c>
      <c r="K9" s="31"/>
      <c r="L9" s="31"/>
      <c r="M9" s="3" t="str">
        <f t="shared" ca="1" si="2"/>
        <v>Fixed</v>
      </c>
      <c r="N9" t="s">
        <v>370</v>
      </c>
      <c r="P9" t="str">
        <f>'Combined Delivery Data'!B12</f>
        <v>RPT_04_CMS Leak Productivity</v>
      </c>
      <c r="Q9">
        <f t="shared" si="0"/>
        <v>0</v>
      </c>
      <c r="R9">
        <f t="shared" si="1"/>
        <v>0</v>
      </c>
      <c r="S9" s="28" t="str">
        <f>IF($P9="","",IF(SUMPRODUCT(MAX(($A$2:$A$497=$P9)*ROW($A$2:$A$497)))=0,"",INDEX($B:$B,SUMPRODUCT(MAX(($A$2:$A$497=$P9)*ROW($A$2:$A$497))))))</f>
        <v/>
      </c>
      <c r="T9" t="str">
        <f>IF($P9="","",IF(SUMPRODUCT(MAX(($A$2:$A$497=$P9)*ROW($A$2:$A$497)))=0,"",INDEX($C:$C,SUMPRODUCT(MAX(($A$2:$A$497=$P9)*ROW($A$2:$A$497))))&amp;" -&gt; "&amp;INDEX($D:$D,SUMPRODUCT(MAX(($A$2:$A$497=$P9)*ROW($A$2:$A$497))))))</f>
        <v/>
      </c>
    </row>
    <row r="10" spans="1:20">
      <c r="A10" s="53" t="s">
        <v>135</v>
      </c>
      <c r="B10" s="32">
        <v>46254</v>
      </c>
      <c r="C10" s="31" t="s">
        <v>219</v>
      </c>
      <c r="D10" s="31" t="s">
        <v>262</v>
      </c>
      <c r="E10" s="31" t="s">
        <v>129</v>
      </c>
      <c r="F10" s="31" t="s">
        <v>366</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IF($P10="","",IF(SUMPRODUCT(MAX(($A$2:$A$497=$P10)*ROW($A$2:$A$497)))=0,"",INDEX($B:$B,SUMPRODUCT(MAX(($A$2:$A$497=$P10)*ROW($A$2:$A$497))))))</f>
        <v/>
      </c>
      <c r="T10" t="str">
        <f>IF($P10="","",IF(SUMPRODUCT(MAX(($A$2:$A$497=$P10)*ROW($A$2:$A$497)))=0,"",INDEX($C:$C,SUMPRODUCT(MAX(($A$2:$A$497=$P10)*ROW($A$2:$A$497))))&amp;" -&gt; "&amp;INDEX($D:$D,SUMPRODUCT(MAX(($A$2:$A$497=$P10)*ROW($A$2:$A$497))))))</f>
        <v/>
      </c>
    </row>
    <row r="11" spans="1:20">
      <c r="A11" s="53" t="s">
        <v>150</v>
      </c>
      <c r="B11" s="32">
        <v>46254</v>
      </c>
      <c r="C11" s="31" t="s">
        <v>219</v>
      </c>
      <c r="D11" s="31" t="s">
        <v>262</v>
      </c>
      <c r="E11" s="31" t="s">
        <v>144</v>
      </c>
      <c r="F11" s="31" t="s">
        <v>372</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373</v>
      </c>
      <c r="P11" t="str">
        <f>'Combined Delivery Data'!B14</f>
        <v>RPT_04_Leak Summary Status</v>
      </c>
      <c r="Q11">
        <f t="shared" si="0"/>
        <v>0</v>
      </c>
      <c r="R11">
        <f t="shared" si="1"/>
        <v>0</v>
      </c>
      <c r="S11" s="28" t="str">
        <f>IF($P11="","",IF(SUMPRODUCT(MAX(($A$2:$A$497=$P11)*ROW($A$2:$A$497)))=0,"",INDEX($B:$B,SUMPRODUCT(MAX(($A$2:$A$497=$P11)*ROW($A$2:$A$497))))))</f>
        <v/>
      </c>
      <c r="T11" t="str">
        <f>IF($P11="","",IF(SUMPRODUCT(MAX(($A$2:$A$497=$P11)*ROW($A$2:$A$497)))=0,"",INDEX($C:$C,SUMPRODUCT(MAX(($A$2:$A$497=$P11)*ROW($A$2:$A$497))))&amp;" -&gt; "&amp;INDEX($D:$D,SUMPRODUCT(MAX(($A$2:$A$497=$P11)*ROW($A$2:$A$497))))))</f>
        <v/>
      </c>
    </row>
    <row r="12" spans="1:20">
      <c r="A12" s="53" t="s">
        <v>139</v>
      </c>
      <c r="B12" s="32">
        <v>46258</v>
      </c>
      <c r="C12" s="31" t="s">
        <v>219</v>
      </c>
      <c r="D12" s="31" t="s">
        <v>262</v>
      </c>
      <c r="E12" s="31" t="s">
        <v>129</v>
      </c>
      <c r="F12" s="31" t="s">
        <v>374</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IF($P12="","",IF(SUMPRODUCT(MAX(($A$2:$A$497=$P12)*ROW($A$2:$A$497)))=0,"",INDEX($B:$B,SUMPRODUCT(MAX(($A$2:$A$497=$P12)*ROW($A$2:$A$497))))))</f>
        <v/>
      </c>
      <c r="T12" t="str">
        <f>IF($P12="","",IF(SUMPRODUCT(MAX(($A$2:$A$497=$P12)*ROW($A$2:$A$497)))=0,"",INDEX($C:$C,SUMPRODUCT(MAX(($A$2:$A$497=$P12)*ROW($A$2:$A$497))))&amp;" -&gt; "&amp;INDEX($D:$D,SUMPRODUCT(MAX(($A$2:$A$497=$P12)*ROW($A$2:$A$497))))))</f>
        <v/>
      </c>
    </row>
    <row r="13" spans="1:20">
      <c r="A13" s="31" t="s">
        <v>146</v>
      </c>
      <c r="B13" s="32">
        <v>46258</v>
      </c>
      <c r="C13" s="31" t="s">
        <v>219</v>
      </c>
      <c r="D13" s="31" t="s">
        <v>204</v>
      </c>
      <c r="E13" s="31" t="s">
        <v>144</v>
      </c>
      <c r="F13" s="31" t="s">
        <v>375</v>
      </c>
      <c r="G13" s="31" t="s">
        <v>50</v>
      </c>
      <c r="H13" s="32" t="s">
        <v>46</v>
      </c>
      <c r="I13" s="32"/>
      <c r="J13" s="32">
        <v>46258</v>
      </c>
      <c r="K13" s="31"/>
      <c r="L13" s="31"/>
      <c r="M13" s="3" t="str">
        <f t="shared" ca="1" si="2"/>
        <v>Fixed</v>
      </c>
      <c r="N13" t="s">
        <v>50</v>
      </c>
      <c r="P13" t="str">
        <f>'Combined Delivery Data'!B20</f>
        <v>RPT_04_Leak Control Report</v>
      </c>
      <c r="Q13">
        <f t="shared" si="0"/>
        <v>0</v>
      </c>
      <c r="R13">
        <f t="shared" si="1"/>
        <v>0</v>
      </c>
      <c r="S13" s="28" t="str">
        <f>IF($P13="","",IF(SUMPRODUCT(MAX(($A$2:$A$497=$P13)*ROW($A$2:$A$497)))=0,"",INDEX($B:$B,SUMPRODUCT(MAX(($A$2:$A$497=$P13)*ROW($A$2:$A$497))))))</f>
        <v/>
      </c>
      <c r="T13" t="str">
        <f>IF($P13="","",IF(SUMPRODUCT(MAX(($A$2:$A$497=$P13)*ROW($A$2:$A$497)))=0,"",INDEX($C:$C,SUMPRODUCT(MAX(($A$2:$A$497=$P13)*ROW($A$2:$A$497))))&amp;" -&gt; "&amp;INDEX($D:$D,SUMPRODUCT(MAX(($A$2:$A$497=$P13)*ROW($A$2:$A$497))))))</f>
        <v/>
      </c>
    </row>
    <row r="14" spans="1:20">
      <c r="A14" s="31" t="s">
        <v>156</v>
      </c>
      <c r="B14" s="32">
        <v>46258</v>
      </c>
      <c r="C14" s="31" t="s">
        <v>219</v>
      </c>
      <c r="D14" s="31" t="s">
        <v>204</v>
      </c>
      <c r="E14" s="31" t="s">
        <v>144</v>
      </c>
      <c r="F14" s="31" t="s">
        <v>376</v>
      </c>
      <c r="G14" s="31" t="s">
        <v>50</v>
      </c>
      <c r="H14" s="32" t="s">
        <v>77</v>
      </c>
      <c r="I14" s="32"/>
      <c r="J14" s="32">
        <v>46258</v>
      </c>
      <c r="K14" s="31"/>
      <c r="L14" s="31"/>
      <c r="M14" s="3" t="str">
        <f t="shared" ca="1" si="2"/>
        <v>Fixed</v>
      </c>
      <c r="N14" t="s">
        <v>50</v>
      </c>
      <c r="P14" t="str">
        <f>'Combined Delivery Data'!B21</f>
        <v>RPT_04_Leak Life Cycle</v>
      </c>
      <c r="Q14">
        <f t="shared" si="0"/>
        <v>0</v>
      </c>
      <c r="R14">
        <f t="shared" si="1"/>
        <v>0</v>
      </c>
      <c r="S14" s="28" t="str">
        <f>IF($P14="","",IF(SUMPRODUCT(MAX(($A$2:$A$497=$P14)*ROW($A$2:$A$497)))=0,"",INDEX($B:$B,SUMPRODUCT(MAX(($A$2:$A$497=$P14)*ROW($A$2:$A$497))))))</f>
        <v/>
      </c>
      <c r="T14" t="str">
        <f>IF($P14="","",IF(SUMPRODUCT(MAX(($A$2:$A$497=$P14)*ROW($A$2:$A$497)))=0,"",INDEX($C:$C,SUMPRODUCT(MAX(($A$2:$A$497=$P14)*ROW($A$2:$A$497))))&amp;" -&gt; "&amp;INDEX($D:$D,SUMPRODUCT(MAX(($A$2:$A$497=$P14)*ROW($A$2:$A$497))))))</f>
        <v/>
      </c>
    </row>
    <row r="15" spans="1:20">
      <c r="A15" s="31" t="s">
        <v>149</v>
      </c>
      <c r="B15" s="32">
        <v>46258</v>
      </c>
      <c r="C15" s="31" t="s">
        <v>219</v>
      </c>
      <c r="D15" s="31" t="s">
        <v>262</v>
      </c>
      <c r="E15" s="31" t="s">
        <v>144</v>
      </c>
      <c r="F15" s="31" t="s">
        <v>377</v>
      </c>
      <c r="G15" s="31" t="s">
        <v>50</v>
      </c>
      <c r="H15" s="32" t="s">
        <v>65</v>
      </c>
      <c r="I15" s="32"/>
      <c r="J15" s="32">
        <v>46258</v>
      </c>
      <c r="K15" s="31"/>
      <c r="L15" s="31"/>
      <c r="M15" s="3" t="str">
        <f t="shared" ca="1" si="2"/>
        <v>Fixed</v>
      </c>
      <c r="N15" t="s">
        <v>373</v>
      </c>
      <c r="P15" t="str">
        <f>'Combined Delivery Data'!B10</f>
        <v>RPT_04_Rechecks Completed less than 14 days</v>
      </c>
      <c r="Q15">
        <f t="shared" si="0"/>
        <v>0</v>
      </c>
      <c r="R15">
        <f t="shared" si="1"/>
        <v>0</v>
      </c>
      <c r="S15" s="28" t="str">
        <f>IF($P15="","",IF(SUMPRODUCT(MAX(($A$2:$A$497=$P15)*ROW($A$2:$A$497)))=0,"",INDEX($B:$B,SUMPRODUCT(MAX(($A$2:$A$497=$P15)*ROW($A$2:$A$497))))))</f>
        <v/>
      </c>
      <c r="T15" t="str">
        <f>IF($P15="","",IF(SUMPRODUCT(MAX(($A$2:$A$497=$P15)*ROW($A$2:$A$497)))=0,"",INDEX($C:$C,SUMPRODUCT(MAX(($A$2:$A$497=$P15)*ROW($A$2:$A$497))))&amp;" -&gt; "&amp;INDEX($D:$D,SUMPRODUCT(MAX(($A$2:$A$497=$P15)*ROW($A$2:$A$497))))))</f>
        <v/>
      </c>
    </row>
    <row r="16" spans="1:20">
      <c r="A16" s="31" t="s">
        <v>146</v>
      </c>
      <c r="B16" s="32">
        <v>46260</v>
      </c>
      <c r="C16" s="31" t="s">
        <v>219</v>
      </c>
      <c r="D16" s="31" t="s">
        <v>204</v>
      </c>
      <c r="E16" s="31" t="s">
        <v>144</v>
      </c>
      <c r="F16" s="31" t="s">
        <v>378</v>
      </c>
      <c r="G16" s="31" t="s">
        <v>50</v>
      </c>
      <c r="H16" s="32" t="s">
        <v>46</v>
      </c>
      <c r="I16" s="32"/>
      <c r="J16" s="32"/>
      <c r="K16" s="31"/>
      <c r="L16" s="31"/>
      <c r="M16" s="3"/>
      <c r="S16" s="28"/>
    </row>
    <row r="17" spans="1:20">
      <c r="A17" s="33" t="s">
        <v>181</v>
      </c>
      <c r="B17" s="32">
        <v>46261</v>
      </c>
      <c r="C17" s="31" t="s">
        <v>219</v>
      </c>
      <c r="D17" s="31" t="s">
        <v>262</v>
      </c>
      <c r="E17" s="31" t="s">
        <v>129</v>
      </c>
      <c r="F17" s="31" t="s">
        <v>379</v>
      </c>
      <c r="G17" s="31" t="s">
        <v>50</v>
      </c>
      <c r="H17" s="32" t="s">
        <v>155</v>
      </c>
      <c r="I17" s="32"/>
      <c r="J17" s="32">
        <v>46261</v>
      </c>
      <c r="K17" s="31" t="s">
        <v>155</v>
      </c>
      <c r="L17" s="31"/>
      <c r="M17" s="3" t="str">
        <f t="shared" ca="1" si="2"/>
        <v>Fixed</v>
      </c>
      <c r="N17" t="s">
        <v>50</v>
      </c>
      <c r="P17" t="str">
        <f>'Combined Delivery Data'!B12</f>
        <v>RPT_04_CMS Leak Productivity</v>
      </c>
      <c r="Q17">
        <f t="shared" ref="Q17:Q80" si="3">IF($P17="","",COUNTIF($A$2:$A$497,$P17))</f>
        <v>0</v>
      </c>
      <c r="R17">
        <f t="shared" ref="R17:R80" si="4">IF($P17="","",SUMPRODUCT(($A$2:$A$497=$P17)*($G$2:$G$497&lt;&gt;"Yes")*($G$2:$G$497&lt;&gt;"Did not pass re-test")))</f>
        <v>0</v>
      </c>
      <c r="S17" s="28" t="str">
        <f>IF($P17="","",IF(SUMPRODUCT(MAX(($A$2:$A$497=$P17)*ROW($A$2:$A$497)))=0,"",INDEX($B:$B,SUMPRODUCT(MAX(($A$2:$A$497=$P17)*ROW($A$2:$A$497))))))</f>
        <v/>
      </c>
      <c r="T17" t="str">
        <f>IF($P17="","",IF(SUMPRODUCT(MAX(($A$2:$A$497=$P17)*ROW($A$2:$A$497)))=0,"",INDEX($C:$C,SUMPRODUCT(MAX(($A$2:$A$497=$P17)*ROW($A$2:$A$497))))&amp;" -&gt; "&amp;INDEX($D:$D,SUMPRODUCT(MAX(($A$2:$A$497=$P17)*ROW($A$2:$A$497))))))</f>
        <v/>
      </c>
    </row>
    <row r="18" spans="1:20">
      <c r="A18" s="31" t="s">
        <v>146</v>
      </c>
      <c r="B18" s="32">
        <v>46262</v>
      </c>
      <c r="C18" s="31" t="s">
        <v>219</v>
      </c>
      <c r="D18" s="31" t="s">
        <v>204</v>
      </c>
      <c r="E18" s="31" t="s">
        <v>144</v>
      </c>
      <c r="F18" s="31" t="s">
        <v>380</v>
      </c>
      <c r="G18" s="31" t="s">
        <v>50</v>
      </c>
      <c r="H18" s="32" t="s">
        <v>46</v>
      </c>
      <c r="I18" s="32"/>
      <c r="J18" s="32">
        <v>46266</v>
      </c>
      <c r="K18" s="31"/>
      <c r="L18" s="31"/>
      <c r="M18" s="3" t="str">
        <f t="shared" ca="1" si="2"/>
        <v>Fixed</v>
      </c>
      <c r="N18" t="s">
        <v>370</v>
      </c>
      <c r="P18" t="str">
        <f>'Combined Delivery Data'!B13</f>
        <v>RPT_04_Main Break Corrosion and Leak Cluster</v>
      </c>
      <c r="Q18">
        <f t="shared" si="3"/>
        <v>0</v>
      </c>
      <c r="R18">
        <f t="shared" si="4"/>
        <v>0</v>
      </c>
      <c r="S18" s="28" t="str">
        <f>IF($P18="","",IF(SUMPRODUCT(MAX(($A$2:$A$497=$P18)*ROW($A$2:$A$497)))=0,"",INDEX($B:$B,SUMPRODUCT(MAX(($A$2:$A$497=$P18)*ROW($A$2:$A$497))))))</f>
        <v/>
      </c>
      <c r="T18" t="str">
        <f>IF($P18="","",IF(SUMPRODUCT(MAX(($A$2:$A$497=$P18)*ROW($A$2:$A$497)))=0,"",INDEX($C:$C,SUMPRODUCT(MAX(($A$2:$A$497=$P18)*ROW($A$2:$A$497))))&amp;" -&gt; "&amp;INDEX($D:$D,SUMPRODUCT(MAX(($A$2:$A$497=$P18)*ROW($A$2:$A$497))))))</f>
        <v/>
      </c>
    </row>
    <row r="19" spans="1:20">
      <c r="A19" s="31" t="s">
        <v>173</v>
      </c>
      <c r="B19" s="32">
        <v>46265</v>
      </c>
      <c r="C19" s="31" t="s">
        <v>219</v>
      </c>
      <c r="D19" s="31" t="s">
        <v>204</v>
      </c>
      <c r="E19" s="31" t="s">
        <v>47</v>
      </c>
      <c r="F19" s="31" t="s">
        <v>381</v>
      </c>
      <c r="G19" s="31" t="s">
        <v>50</v>
      </c>
      <c r="H19" s="32" t="s">
        <v>77</v>
      </c>
      <c r="I19" s="32">
        <v>46265</v>
      </c>
      <c r="J19" s="32">
        <v>46265</v>
      </c>
      <c r="K19" s="31" t="s">
        <v>77</v>
      </c>
      <c r="L19" s="31" t="s">
        <v>382</v>
      </c>
      <c r="M19" s="3" t="str">
        <f t="shared" ca="1" si="2"/>
        <v>Fixed</v>
      </c>
      <c r="N19" t="s">
        <v>373</v>
      </c>
      <c r="P19" t="str">
        <f>'Combined Delivery Data'!B14</f>
        <v>RPT_04_Leak Summary Status</v>
      </c>
      <c r="Q19">
        <f t="shared" si="3"/>
        <v>0</v>
      </c>
      <c r="R19">
        <f t="shared" si="4"/>
        <v>0</v>
      </c>
      <c r="S19" s="28" t="str">
        <f>IF($P19="","",IF(SUMPRODUCT(MAX(($A$2:$A$497=$P19)*ROW($A$2:$A$497)))=0,"",INDEX($B:$B,SUMPRODUCT(MAX(($A$2:$A$497=$P19)*ROW($A$2:$A$497))))))</f>
        <v/>
      </c>
      <c r="T19" t="str">
        <f>IF($P19="","",IF(SUMPRODUCT(MAX(($A$2:$A$497=$P19)*ROW($A$2:$A$497)))=0,"",INDEX($C:$C,SUMPRODUCT(MAX(($A$2:$A$497=$P19)*ROW($A$2:$A$497))))&amp;" -&gt; "&amp;INDEX($D:$D,SUMPRODUCT(MAX(($A$2:$A$497=$P19)*ROW($A$2:$A$497))))))</f>
        <v/>
      </c>
    </row>
    <row r="20" spans="1:20">
      <c r="A20" s="31" t="s">
        <v>175</v>
      </c>
      <c r="B20" s="32">
        <v>46265</v>
      </c>
      <c r="C20" s="31" t="s">
        <v>219</v>
      </c>
      <c r="D20" s="31" t="s">
        <v>262</v>
      </c>
      <c r="E20" s="31" t="s">
        <v>47</v>
      </c>
      <c r="F20" s="31" t="s">
        <v>383</v>
      </c>
      <c r="G20" s="31" t="s">
        <v>50</v>
      </c>
      <c r="H20" s="32" t="s">
        <v>84</v>
      </c>
      <c r="I20" s="32">
        <v>46266</v>
      </c>
      <c r="J20" s="32">
        <v>46266</v>
      </c>
      <c r="K20" s="31"/>
      <c r="L20" s="31" t="s">
        <v>384</v>
      </c>
      <c r="M20" s="3" t="str">
        <f t="shared" ca="1" si="2"/>
        <v>Fixed</v>
      </c>
      <c r="N20" t="s">
        <v>50</v>
      </c>
      <c r="P20" t="str">
        <f>'Combined Delivery Data'!B15</f>
        <v>RPT_04_PSC Leak Printout</v>
      </c>
      <c r="Q20">
        <f t="shared" si="3"/>
        <v>0</v>
      </c>
      <c r="R20">
        <f t="shared" si="4"/>
        <v>0</v>
      </c>
      <c r="S20" s="28" t="str">
        <f>IF($P20="","",IF(SUMPRODUCT(MAX(($A$2:$A$497=$P20)*ROW($A$2:$A$497)))=0,"",INDEX($B:$B,SUMPRODUCT(MAX(($A$2:$A$497=$P20)*ROW($A$2:$A$497))))))</f>
        <v/>
      </c>
      <c r="T20" t="str">
        <f>IF($P20="","",IF(SUMPRODUCT(MAX(($A$2:$A$497=$P20)*ROW($A$2:$A$497)))=0,"",INDEX($C:$C,SUMPRODUCT(MAX(($A$2:$A$497=$P20)*ROW($A$2:$A$497))))&amp;" -&gt; "&amp;INDEX($D:$D,SUMPRODUCT(MAX(($A$2:$A$497=$P20)*ROW($A$2:$A$497))))))</f>
        <v/>
      </c>
    </row>
    <row r="21" spans="1:20">
      <c r="A21" s="53" t="s">
        <v>139</v>
      </c>
      <c r="B21" s="32">
        <v>46265</v>
      </c>
      <c r="C21" s="31" t="s">
        <v>219</v>
      </c>
      <c r="D21" s="31" t="s">
        <v>262</v>
      </c>
      <c r="E21" s="31" t="s">
        <v>129</v>
      </c>
      <c r="F21" s="31" t="s">
        <v>385</v>
      </c>
      <c r="G21" s="31" t="s">
        <v>50</v>
      </c>
      <c r="H21" s="32" t="s">
        <v>59</v>
      </c>
      <c r="I21" s="32"/>
      <c r="J21" s="32">
        <v>46266</v>
      </c>
      <c r="K21" s="31" t="s">
        <v>59</v>
      </c>
      <c r="L21" s="31"/>
      <c r="M21" s="3" t="str">
        <f t="shared" ca="1" si="2"/>
        <v>Fixed</v>
      </c>
      <c r="N21" t="s">
        <v>373</v>
      </c>
      <c r="P21" t="str">
        <f>'Combined Delivery Data'!B21</f>
        <v>RPT_04_Leak Life Cycle</v>
      </c>
      <c r="Q21">
        <f t="shared" si="3"/>
        <v>0</v>
      </c>
      <c r="R21">
        <f t="shared" si="4"/>
        <v>0</v>
      </c>
      <c r="S21" s="28" t="str">
        <f>IF($P21="","",IF(SUMPRODUCT(MAX(($A$2:$A$497=$P21)*ROW($A$2:$A$497)))=0,"",INDEX($B:$B,SUMPRODUCT(MAX(($A$2:$A$497=$P21)*ROW($A$2:$A$497))))))</f>
        <v/>
      </c>
      <c r="T21" t="str">
        <f>IF($P21="","",IF(SUMPRODUCT(MAX(($A$2:$A$497=$P21)*ROW($A$2:$A$497)))=0,"",INDEX($C:$C,SUMPRODUCT(MAX(($A$2:$A$497=$P21)*ROW($A$2:$A$497))))&amp;" -&gt; "&amp;INDEX($D:$D,SUMPRODUCT(MAX(($A$2:$A$497=$P21)*ROW($A$2:$A$497))))))</f>
        <v/>
      </c>
    </row>
    <row r="22" spans="1:20">
      <c r="A22" s="31" t="s">
        <v>169</v>
      </c>
      <c r="B22" s="32">
        <v>46266</v>
      </c>
      <c r="C22" s="31" t="s">
        <v>219</v>
      </c>
      <c r="D22" s="31" t="s">
        <v>204</v>
      </c>
      <c r="E22" s="31" t="s">
        <v>47</v>
      </c>
      <c r="F22" s="31" t="s">
        <v>386</v>
      </c>
      <c r="G22" s="31" t="s">
        <v>50</v>
      </c>
      <c r="H22" s="32" t="s">
        <v>46</v>
      </c>
      <c r="I22" s="32">
        <v>46267</v>
      </c>
      <c r="J22" s="32">
        <v>46268</v>
      </c>
      <c r="K22" s="31" t="s">
        <v>46</v>
      </c>
      <c r="L22" s="31" t="s">
        <v>384</v>
      </c>
      <c r="M22" s="3" t="str">
        <f t="shared" ca="1" si="2"/>
        <v>Fixed</v>
      </c>
      <c r="N22" t="s">
        <v>50</v>
      </c>
      <c r="P22" t="str">
        <f>'Combined Delivery Data'!B22</f>
        <v>RPT_04_Leak Life Cycle Legacy LMS LI</v>
      </c>
      <c r="Q22">
        <f t="shared" si="3"/>
        <v>0</v>
      </c>
      <c r="R22">
        <f t="shared" si="4"/>
        <v>0</v>
      </c>
      <c r="S22" s="28" t="str">
        <f>IF($P22="","",IF(SUMPRODUCT(MAX(($A$2:$A$497=$P22)*ROW($A$2:$A$497)))=0,"",INDEX($B:$B,SUMPRODUCT(MAX(($A$2:$A$497=$P22)*ROW($A$2:$A$497))))))</f>
        <v/>
      </c>
      <c r="T22" t="str">
        <f>IF($P22="","",IF(SUMPRODUCT(MAX(($A$2:$A$497=$P22)*ROW($A$2:$A$497)))=0,"",INDEX($C:$C,SUMPRODUCT(MAX(($A$2:$A$497=$P22)*ROW($A$2:$A$497))))&amp;" -&gt; "&amp;INDEX($D:$D,SUMPRODUCT(MAX(($A$2:$A$497=$P22)*ROW($A$2:$A$497))))))</f>
        <v/>
      </c>
    </row>
    <row r="23" spans="1:20">
      <c r="A23" s="31" t="s">
        <v>169</v>
      </c>
      <c r="B23" s="32">
        <v>46266</v>
      </c>
      <c r="C23" s="31" t="s">
        <v>219</v>
      </c>
      <c r="D23" s="31" t="s">
        <v>204</v>
      </c>
      <c r="E23" s="31" t="s">
        <v>47</v>
      </c>
      <c r="F23" s="31" t="s">
        <v>387</v>
      </c>
      <c r="G23" s="31" t="s">
        <v>50</v>
      </c>
      <c r="H23" s="32" t="s">
        <v>46</v>
      </c>
      <c r="I23" s="167">
        <v>46267</v>
      </c>
      <c r="J23" s="32">
        <v>46268</v>
      </c>
      <c r="K23" s="31" t="s">
        <v>46</v>
      </c>
      <c r="L23" s="31" t="s">
        <v>384</v>
      </c>
      <c r="M23" s="3" t="str">
        <f t="shared" ca="1" si="2"/>
        <v>Fixed</v>
      </c>
      <c r="N23" t="s">
        <v>373</v>
      </c>
      <c r="P23" t="str">
        <f>'Combined Delivery Data'!B23</f>
        <v>RPT_04_Leak Increase Reads</v>
      </c>
      <c r="Q23">
        <f t="shared" si="3"/>
        <v>0</v>
      </c>
      <c r="R23">
        <f t="shared" si="4"/>
        <v>0</v>
      </c>
      <c r="S23" s="28" t="str">
        <f>IF($P23="","",IF(SUMPRODUCT(MAX(($A$2:$A$497=$P23)*ROW($A$2:$A$497)))=0,"",INDEX($B:$B,SUMPRODUCT(MAX(($A$2:$A$497=$P23)*ROW($A$2:$A$497))))))</f>
        <v/>
      </c>
      <c r="T23" t="str">
        <f>IF($P23="","",IF(SUMPRODUCT(MAX(($A$2:$A$497=$P23)*ROW($A$2:$A$497)))=0,"",INDEX($C:$C,SUMPRODUCT(MAX(($A$2:$A$497=$P23)*ROW($A$2:$A$497))))&amp;" -&gt; "&amp;INDEX($D:$D,SUMPRODUCT(MAX(($A$2:$A$497=$P23)*ROW($A$2:$A$497))))))</f>
        <v/>
      </c>
    </row>
    <row r="24" spans="1:20" ht="30" customHeight="1">
      <c r="A24" s="31" t="s">
        <v>169</v>
      </c>
      <c r="B24" s="32">
        <v>46267</v>
      </c>
      <c r="C24" s="31" t="s">
        <v>219</v>
      </c>
      <c r="D24" s="31" t="s">
        <v>204</v>
      </c>
      <c r="E24" s="31" t="s">
        <v>47</v>
      </c>
      <c r="F24" s="76" t="s">
        <v>388</v>
      </c>
      <c r="G24" s="31" t="s">
        <v>50</v>
      </c>
      <c r="H24" s="32" t="s">
        <v>46</v>
      </c>
      <c r="I24" s="32">
        <v>46267</v>
      </c>
      <c r="J24" s="32">
        <v>46268</v>
      </c>
      <c r="K24" s="31" t="s">
        <v>46</v>
      </c>
      <c r="L24" s="31" t="s">
        <v>384</v>
      </c>
      <c r="M24" s="3" t="str">
        <f t="shared" ca="1" si="2"/>
        <v>Fixed</v>
      </c>
      <c r="N24" s="33" t="s">
        <v>373</v>
      </c>
      <c r="P24" t="str">
        <f>'Combined Delivery Data'!B24</f>
        <v>Leak 360 Dashboard</v>
      </c>
      <c r="Q24">
        <f t="shared" si="3"/>
        <v>0</v>
      </c>
      <c r="R24">
        <f t="shared" si="4"/>
        <v>0</v>
      </c>
      <c r="S24" s="28" t="str">
        <f>IF($P24="","",IF(SUMPRODUCT(MAX(($A$2:$A$497=$P24)*ROW($A$2:$A$497)))=0,"",INDEX($B:$B,SUMPRODUCT(MAX(($A$2:$A$497=$P24)*ROW($A$2:$A$497))))))</f>
        <v/>
      </c>
      <c r="T24" t="str">
        <f>IF($P24="","",IF(SUMPRODUCT(MAX(($A$2:$A$497=$P24)*ROW($A$2:$A$497)))=0,"",INDEX($C:$C,SUMPRODUCT(MAX(($A$2:$A$497=$P24)*ROW($A$2:$A$497))))&amp;" -&gt; "&amp;INDEX($D:$D,SUMPRODUCT(MAX(($A$2:$A$497=$P24)*ROW($A$2:$A$497))))))</f>
        <v/>
      </c>
    </row>
    <row r="25" spans="1:20">
      <c r="A25" s="53" t="s">
        <v>186</v>
      </c>
      <c r="B25" s="32">
        <v>46267</v>
      </c>
      <c r="C25" s="31" t="s">
        <v>219</v>
      </c>
      <c r="D25" s="31" t="s">
        <v>204</v>
      </c>
      <c r="E25" s="31" t="s">
        <v>129</v>
      </c>
      <c r="F25" s="31" t="s">
        <v>389</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3"/>
        <v>0</v>
      </c>
      <c r="R25">
        <f t="shared" si="4"/>
        <v>0</v>
      </c>
      <c r="S25" s="28" t="str">
        <f>IF($P25="","",IF(SUMPRODUCT(MAX(($A$2:$A$497=$P25)*ROW($A$2:$A$497)))=0,"",INDEX($B:$B,SUMPRODUCT(MAX(($A$2:$A$497=$P25)*ROW($A$2:$A$497))))))</f>
        <v/>
      </c>
      <c r="T25" t="str">
        <f>IF($P25="","",IF(SUMPRODUCT(MAX(($A$2:$A$497=$P25)*ROW($A$2:$A$497)))=0,"",INDEX($C:$C,SUMPRODUCT(MAX(($A$2:$A$497=$P25)*ROW($A$2:$A$497))))&amp;" -&gt; "&amp;INDEX($D:$D,SUMPRODUCT(MAX(($A$2:$A$497=$P25)*ROW($A$2:$A$497))))))</f>
        <v/>
      </c>
    </row>
    <row r="26" spans="1:20">
      <c r="A26" s="53" t="s">
        <v>181</v>
      </c>
      <c r="B26" s="32">
        <v>46267</v>
      </c>
      <c r="C26" s="31" t="s">
        <v>219</v>
      </c>
      <c r="D26" s="31" t="s">
        <v>262</v>
      </c>
      <c r="E26" s="31" t="s">
        <v>129</v>
      </c>
      <c r="F26" s="31" t="s">
        <v>379</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373</v>
      </c>
      <c r="P26" t="str">
        <f>'Combined Delivery Data'!B26</f>
        <v>RPT_04_Main_Replacement Report</v>
      </c>
      <c r="Q26">
        <f t="shared" si="3"/>
        <v>0</v>
      </c>
      <c r="R26">
        <f t="shared" si="4"/>
        <v>0</v>
      </c>
      <c r="S26" s="28" t="str">
        <f>IF($P26="","",IF(SUMPRODUCT(MAX(($A$2:$A$497=$P26)*ROW($A$2:$A$497)))=0,"",INDEX($B:$B,SUMPRODUCT(MAX(($A$2:$A$497=$P26)*ROW($A$2:$A$497))))))</f>
        <v/>
      </c>
      <c r="T26" t="str">
        <f>IF($P26="","",IF(SUMPRODUCT(MAX(($A$2:$A$497=$P26)*ROW($A$2:$A$497)))=0,"",INDEX($C:$C,SUMPRODUCT(MAX(($A$2:$A$497=$P26)*ROW($A$2:$A$497))))&amp;" -&gt; "&amp;INDEX($D:$D,SUMPRODUCT(MAX(($A$2:$A$497=$P26)*ROW($A$2:$A$497))))))</f>
        <v/>
      </c>
    </row>
    <row r="27" spans="1:20">
      <c r="A27" s="31" t="s">
        <v>156</v>
      </c>
      <c r="B27" s="32">
        <v>46267</v>
      </c>
      <c r="C27" s="31" t="s">
        <v>219</v>
      </c>
      <c r="D27" s="31" t="s">
        <v>204</v>
      </c>
      <c r="E27" s="31" t="s">
        <v>144</v>
      </c>
      <c r="F27" s="31" t="s">
        <v>390</v>
      </c>
      <c r="G27" s="31" t="s">
        <v>50</v>
      </c>
      <c r="H27" s="32" t="s">
        <v>77</v>
      </c>
      <c r="I27" s="32"/>
      <c r="J27" s="32">
        <v>46267</v>
      </c>
      <c r="K27" s="31" t="s">
        <v>77</v>
      </c>
      <c r="L27" s="31" t="s">
        <v>391</v>
      </c>
      <c r="M27" s="3" t="str">
        <f t="shared" ca="1" si="2"/>
        <v>Fixed</v>
      </c>
      <c r="N27" t="s">
        <v>373</v>
      </c>
      <c r="P27" t="str">
        <f>'Combined Delivery Data'!B27</f>
        <v>New Report: Leak Repair Exception</v>
      </c>
      <c r="Q27">
        <f t="shared" si="3"/>
        <v>0</v>
      </c>
      <c r="R27">
        <f t="shared" si="4"/>
        <v>0</v>
      </c>
      <c r="S27" s="28" t="str">
        <f>IF($P27="","",IF(SUMPRODUCT(MAX(($A$2:$A$497=$P27)*ROW($A$2:$A$497)))=0,"",INDEX($B:$B,SUMPRODUCT(MAX(($A$2:$A$497=$P27)*ROW($A$2:$A$497))))))</f>
        <v/>
      </c>
      <c r="T27" t="str">
        <f>IF($P27="","",IF(SUMPRODUCT(MAX(($A$2:$A$497=$P27)*ROW($A$2:$A$497)))=0,"",INDEX($C:$C,SUMPRODUCT(MAX(($A$2:$A$497=$P27)*ROW($A$2:$A$497))))&amp;" -&gt; "&amp;INDEX($D:$D,SUMPRODUCT(MAX(($A$2:$A$497=$P27)*ROW($A$2:$A$497))))))</f>
        <v/>
      </c>
    </row>
    <row r="28" spans="1:20">
      <c r="A28" s="31" t="s">
        <v>137</v>
      </c>
      <c r="B28" s="32">
        <v>46267</v>
      </c>
      <c r="C28" s="31" t="s">
        <v>219</v>
      </c>
      <c r="D28" s="31" t="s">
        <v>204</v>
      </c>
      <c r="E28" s="31" t="s">
        <v>129</v>
      </c>
      <c r="F28" s="31" t="s">
        <v>390</v>
      </c>
      <c r="G28" s="31" t="s">
        <v>50</v>
      </c>
      <c r="H28" s="32" t="s">
        <v>77</v>
      </c>
      <c r="I28" s="32"/>
      <c r="J28" s="32">
        <v>46267</v>
      </c>
      <c r="K28" s="31" t="s">
        <v>77</v>
      </c>
      <c r="L28" s="113" t="s">
        <v>391</v>
      </c>
      <c r="M28" s="3" t="str">
        <f t="shared" ca="1" si="2"/>
        <v>Fixed</v>
      </c>
      <c r="N28" t="s">
        <v>50</v>
      </c>
      <c r="P28" t="str">
        <f>'Combined Delivery Data'!B28</f>
        <v>New Report: (Leak reading sample point mismatch ) Creating a new report that...</v>
      </c>
      <c r="Q28">
        <f t="shared" si="3"/>
        <v>0</v>
      </c>
      <c r="R28">
        <f t="shared" si="4"/>
        <v>0</v>
      </c>
      <c r="S28" s="28" t="str">
        <f>IF($P28="","",IF(SUMPRODUCT(MAX(($A$2:$A$497=$P28)*ROW($A$2:$A$497)))=0,"",INDEX($B:$B,SUMPRODUCT(MAX(($A$2:$A$497=$P28)*ROW($A$2:$A$497))))))</f>
        <v/>
      </c>
      <c r="T28" t="str">
        <f>IF($P28="","",IF(SUMPRODUCT(MAX(($A$2:$A$497=$P28)*ROW($A$2:$A$497)))=0,"",INDEX($C:$C,SUMPRODUCT(MAX(($A$2:$A$497=$P28)*ROW($A$2:$A$497))))&amp;" -&gt; "&amp;INDEX($D:$D,SUMPRODUCT(MAX(($A$2:$A$497=$P28)*ROW($A$2:$A$497))))))</f>
        <v/>
      </c>
    </row>
    <row r="29" spans="1:20">
      <c r="A29" s="31" t="s">
        <v>157</v>
      </c>
      <c r="B29" s="32">
        <v>46267</v>
      </c>
      <c r="C29" s="31" t="s">
        <v>219</v>
      </c>
      <c r="D29" s="31" t="s">
        <v>204</v>
      </c>
      <c r="E29" s="31" t="s">
        <v>129</v>
      </c>
      <c r="F29" s="31" t="s">
        <v>390</v>
      </c>
      <c r="G29" s="31" t="s">
        <v>50</v>
      </c>
      <c r="H29" s="32" t="s">
        <v>77</v>
      </c>
      <c r="I29" s="32"/>
      <c r="J29" s="32">
        <v>46267</v>
      </c>
      <c r="K29" s="31" t="s">
        <v>77</v>
      </c>
      <c r="L29" s="113" t="s">
        <v>391</v>
      </c>
      <c r="M29" s="3" t="str">
        <f t="shared" ca="1" si="2"/>
        <v>Fixed</v>
      </c>
      <c r="N29" t="s">
        <v>50</v>
      </c>
      <c r="P29" t="str">
        <f>'Combined Delivery Data'!B29</f>
        <v>RPT_02_CO Flue Warning Tag Control</v>
      </c>
      <c r="Q29">
        <f t="shared" si="3"/>
        <v>1</v>
      </c>
      <c r="R29">
        <f t="shared" si="4"/>
        <v>0</v>
      </c>
      <c r="S29" s="28">
        <f>IF($P29="","",IF(SUMPRODUCT(MAX(($A$2:$A$497=$P29)*ROW($A$2:$A$497)))=0,"",INDEX($B:$B,SUMPRODUCT(MAX(($A$2:$A$497=$P29)*ROW($A$2:$A$497))))))</f>
        <v>46238</v>
      </c>
      <c r="T29" t="str">
        <f>IF($P29="","",IF(SUMPRODUCT(MAX(($A$2:$A$497=$P29)*ROW($A$2:$A$497)))=0,"",INDEX($C:$C,SUMPRODUCT(MAX(($A$2:$A$497=$P29)*ROW($A$2:$A$497))))&amp;" -&gt; "&amp;INDEX($D:$D,SUMPRODUCT(MAX(($A$2:$A$497=$P29)*ROW($A$2:$A$497))))))</f>
        <v>QA -&gt; DB Dev</v>
      </c>
    </row>
    <row r="30" spans="1:20">
      <c r="A30" s="53" t="s">
        <v>181</v>
      </c>
      <c r="B30" s="32">
        <v>46267</v>
      </c>
      <c r="C30" s="31" t="s">
        <v>219</v>
      </c>
      <c r="D30" s="31" t="s">
        <v>262</v>
      </c>
      <c r="E30" s="31" t="s">
        <v>129</v>
      </c>
      <c r="F30" s="31" t="s">
        <v>392</v>
      </c>
      <c r="G30" s="31" t="s">
        <v>50</v>
      </c>
      <c r="H30" s="32" t="s">
        <v>155</v>
      </c>
      <c r="I30" s="32"/>
      <c r="J30" s="32">
        <v>46267</v>
      </c>
      <c r="K30" s="31" t="s">
        <v>155</v>
      </c>
      <c r="L30" s="31"/>
      <c r="M30" s="3" t="str">
        <f t="shared" ca="1" si="2"/>
        <v>Fixed</v>
      </c>
      <c r="N30" t="s">
        <v>373</v>
      </c>
      <c r="P30" t="str">
        <f>'Combined Delivery Data'!B30</f>
        <v>RPT_02_Warning Tag HEFPA</v>
      </c>
      <c r="Q30">
        <f t="shared" si="3"/>
        <v>3</v>
      </c>
      <c r="R30">
        <f t="shared" si="4"/>
        <v>0</v>
      </c>
      <c r="S30" s="28">
        <f>IF($P30="","",IF(SUMPRODUCT(MAX(($A$2:$A$497=$P30)*ROW($A$2:$A$497)))=0,"",INDEX($B:$B,SUMPRODUCT(MAX(($A$2:$A$497=$P30)*ROW($A$2:$A$497))))))</f>
        <v>46254</v>
      </c>
      <c r="T30" t="str">
        <f>IF($P30="","",IF(SUMPRODUCT(MAX(($A$2:$A$497=$P30)*ROW($A$2:$A$497)))=0,"",INDEX($C:$C,SUMPRODUCT(MAX(($A$2:$A$497=$P30)*ROW($A$2:$A$497))))&amp;" -&gt; "&amp;INDEX($D:$D,SUMPRODUCT(MAX(($A$2:$A$497=$P30)*ROW($A$2:$A$497))))))</f>
        <v>QA -&gt; DB Dev</v>
      </c>
    </row>
    <row r="31" spans="1:20">
      <c r="A31" s="31" t="s">
        <v>164</v>
      </c>
      <c r="B31" s="32">
        <v>46268</v>
      </c>
      <c r="C31" s="31" t="s">
        <v>219</v>
      </c>
      <c r="D31" s="31" t="s">
        <v>262</v>
      </c>
      <c r="E31" s="31" t="s">
        <v>47</v>
      </c>
      <c r="F31" s="31" t="s">
        <v>393</v>
      </c>
      <c r="G31" s="31" t="s">
        <v>50</v>
      </c>
      <c r="H31" s="32" t="s">
        <v>103</v>
      </c>
      <c r="I31" s="32">
        <v>46269</v>
      </c>
      <c r="J31" s="32">
        <v>46269</v>
      </c>
      <c r="K31" s="31"/>
      <c r="L31" s="31" t="s">
        <v>384</v>
      </c>
      <c r="M31" s="3" t="str">
        <f t="shared" ca="1" si="2"/>
        <v>Fixed</v>
      </c>
      <c r="N31" t="s">
        <v>50</v>
      </c>
      <c r="P31" t="str">
        <f>'Combined Delivery Data'!B31</f>
        <v>RPT_02_Warning tag Printout</v>
      </c>
      <c r="Q31">
        <f t="shared" si="3"/>
        <v>1</v>
      </c>
      <c r="R31">
        <f t="shared" si="4"/>
        <v>0</v>
      </c>
      <c r="S31" s="28">
        <f>IF($P31="","",IF(SUMPRODUCT(MAX(($A$2:$A$497=$P31)*ROW($A$2:$A$497)))=0,"",INDEX($B:$B,SUMPRODUCT(MAX(($A$2:$A$497=$P31)*ROW($A$2:$A$497))))))</f>
        <v>46267</v>
      </c>
      <c r="T31" t="str">
        <f>IF($P31="","",IF(SUMPRODUCT(MAX(($A$2:$A$497=$P31)*ROW($A$2:$A$497)))=0,"",INDEX($C:$C,SUMPRODUCT(MAX(($A$2:$A$497=$P31)*ROW($A$2:$A$497))))&amp;" -&gt; "&amp;INDEX($D:$D,SUMPRODUCT(MAX(($A$2:$A$497=$P31)*ROW($A$2:$A$497))))))</f>
        <v>QA -&gt; PBI Dev</v>
      </c>
    </row>
    <row r="32" spans="1:20">
      <c r="A32" s="31" t="s">
        <v>183</v>
      </c>
      <c r="B32" s="32">
        <v>46267</v>
      </c>
      <c r="C32" s="31" t="s">
        <v>219</v>
      </c>
      <c r="D32" s="31" t="s">
        <v>262</v>
      </c>
      <c r="E32" s="31" t="s">
        <v>199</v>
      </c>
      <c r="F32" s="31" t="s">
        <v>394</v>
      </c>
      <c r="G32" s="31" t="s">
        <v>50</v>
      </c>
      <c r="H32" s="32" t="s">
        <v>44</v>
      </c>
      <c r="I32" s="32"/>
      <c r="J32" s="32">
        <v>46268</v>
      </c>
      <c r="K32" s="31"/>
      <c r="L32" s="31"/>
      <c r="M32" s="3" t="str">
        <f t="shared" ca="1" si="2"/>
        <v>Fixed</v>
      </c>
      <c r="N32" t="s">
        <v>50</v>
      </c>
      <c r="P32" t="str">
        <f>'Combined Delivery Data'!B32</f>
        <v>RPT_02_Corrosion</v>
      </c>
      <c r="Q32">
        <f t="shared" si="3"/>
        <v>2</v>
      </c>
      <c r="R32">
        <f t="shared" si="4"/>
        <v>0</v>
      </c>
      <c r="S32" s="28">
        <f>IF($P32="","",IF(SUMPRODUCT(MAX(($A$2:$A$497=$P32)*ROW($A$2:$A$497)))=0,"",INDEX($B:$B,SUMPRODUCT(MAX(($A$2:$A$497=$P32)*ROW($A$2:$A$497))))))</f>
        <v>46265</v>
      </c>
      <c r="T32" t="str">
        <f>IF($P32="","",IF(SUMPRODUCT(MAX(($A$2:$A$497=$P32)*ROW($A$2:$A$497)))=0,"",INDEX($C:$C,SUMPRODUCT(MAX(($A$2:$A$497=$P32)*ROW($A$2:$A$497))))&amp;" -&gt; "&amp;INDEX($D:$D,SUMPRODUCT(MAX(($A$2:$A$497=$P32)*ROW($A$2:$A$497))))))</f>
        <v>QA -&gt; DB Dev</v>
      </c>
    </row>
    <row r="33" spans="1:20">
      <c r="A33" s="31" t="s">
        <v>164</v>
      </c>
      <c r="B33" s="32">
        <v>46273</v>
      </c>
      <c r="C33" s="31" t="s">
        <v>219</v>
      </c>
      <c r="D33" s="31" t="s">
        <v>262</v>
      </c>
      <c r="E33" s="31" t="s">
        <v>47</v>
      </c>
      <c r="F33" s="31" t="s">
        <v>395</v>
      </c>
      <c r="G33" s="31" t="s">
        <v>50</v>
      </c>
      <c r="H33" s="32" t="s">
        <v>103</v>
      </c>
      <c r="I33" s="32">
        <v>46274</v>
      </c>
      <c r="J33" s="32">
        <v>46274</v>
      </c>
      <c r="K33" s="31"/>
      <c r="L33" s="31" t="s">
        <v>384</v>
      </c>
      <c r="M33" s="3" t="str">
        <f t="shared" ca="1" si="2"/>
        <v>Fixed</v>
      </c>
      <c r="N33" t="s">
        <v>50</v>
      </c>
      <c r="P33" t="str">
        <f>'Combined Delivery Data'!B33</f>
        <v>RPT_02_House Pipe Test Comment Control</v>
      </c>
      <c r="Q33">
        <f t="shared" si="3"/>
        <v>1</v>
      </c>
      <c r="R33">
        <f t="shared" si="4"/>
        <v>0</v>
      </c>
      <c r="S33" s="28">
        <f>IF($P33="","",IF(SUMPRODUCT(MAX(($A$2:$A$497=$P33)*ROW($A$2:$A$497)))=0,"",INDEX($B:$B,SUMPRODUCT(MAX(($A$2:$A$497=$P33)*ROW($A$2:$A$497))))))</f>
        <v>46234</v>
      </c>
      <c r="T33" t="str">
        <f>IF($P33="","",IF(SUMPRODUCT(MAX(($A$2:$A$497=$P33)*ROW($A$2:$A$497)))=0,"",INDEX($C:$C,SUMPRODUCT(MAX(($A$2:$A$497=$P33)*ROW($A$2:$A$497))))&amp;" -&gt; "&amp;INDEX($D:$D,SUMPRODUCT(MAX(($A$2:$A$497=$P33)*ROW($A$2:$A$497))))))</f>
        <v>QA -&gt; DB Dev</v>
      </c>
    </row>
    <row r="34" spans="1:20" ht="25.5" customHeight="1">
      <c r="A34" s="31" t="s">
        <v>192</v>
      </c>
      <c r="B34" s="32">
        <v>46274</v>
      </c>
      <c r="C34" s="31" t="s">
        <v>219</v>
      </c>
      <c r="D34" s="31" t="s">
        <v>204</v>
      </c>
      <c r="E34" s="31" t="s">
        <v>47</v>
      </c>
      <c r="F34" s="76" t="s">
        <v>396</v>
      </c>
      <c r="G34" s="31" t="s">
        <v>50</v>
      </c>
      <c r="H34" s="32" t="s">
        <v>77</v>
      </c>
      <c r="I34" s="32">
        <v>46275</v>
      </c>
      <c r="J34" s="32">
        <v>46275</v>
      </c>
      <c r="K34" s="31" t="s">
        <v>77</v>
      </c>
      <c r="L34" s="31" t="s">
        <v>397</v>
      </c>
      <c r="M34" s="3" t="str">
        <f t="shared" ca="1" si="2"/>
        <v>Fixed</v>
      </c>
      <c r="N34" t="s">
        <v>50</v>
      </c>
      <c r="P34" t="str">
        <f>'Combined Delivery Data'!B34</f>
        <v>RPT_02_Required Regulator Inspection Performed Control</v>
      </c>
      <c r="Q34">
        <f t="shared" si="3"/>
        <v>2</v>
      </c>
      <c r="R34">
        <f t="shared" si="4"/>
        <v>0</v>
      </c>
      <c r="S34" s="28">
        <f>IF($P34="","",IF(SUMPRODUCT(MAX(($A$2:$A$497=$P34)*ROW($A$2:$A$497)))=0,"",INDEX($B:$B,SUMPRODUCT(MAX(($A$2:$A$497=$P34)*ROW($A$2:$A$497))))))</f>
        <v>46237</v>
      </c>
      <c r="T34" t="str">
        <f>IF($P34="","",IF(SUMPRODUCT(MAX(($A$2:$A$497=$P34)*ROW($A$2:$A$497)))=0,"",INDEX($C:$C,SUMPRODUCT(MAX(($A$2:$A$497=$P34)*ROW($A$2:$A$497))))&amp;" -&gt; "&amp;INDEX($D:$D,SUMPRODUCT(MAX(($A$2:$A$497=$P34)*ROW($A$2:$A$497))))))</f>
        <v>QA -&gt; DB Dev</v>
      </c>
    </row>
    <row r="35" spans="1:20">
      <c r="A35" s="33" t="s">
        <v>181</v>
      </c>
      <c r="B35" s="32">
        <v>46275</v>
      </c>
      <c r="C35" s="31" t="s">
        <v>219</v>
      </c>
      <c r="D35" s="31" t="s">
        <v>262</v>
      </c>
      <c r="E35" s="31" t="s">
        <v>129</v>
      </c>
      <c r="F35" s="31" t="s">
        <v>398</v>
      </c>
      <c r="G35" s="31" t="s">
        <v>50</v>
      </c>
      <c r="H35" s="32" t="s">
        <v>155</v>
      </c>
      <c r="I35" s="32"/>
      <c r="J35" s="32">
        <v>46276</v>
      </c>
      <c r="K35" s="31" t="s">
        <v>155</v>
      </c>
      <c r="L35" s="31"/>
      <c r="M35" s="3" t="str">
        <f t="shared" ca="1" si="2"/>
        <v>Fixed</v>
      </c>
      <c r="N35" t="s">
        <v>373</v>
      </c>
      <c r="P35" t="str">
        <f>'Combined Delivery Data'!B36</f>
        <v>RPT_02_Service Regulator Inspection Printout</v>
      </c>
      <c r="Q35">
        <f t="shared" si="3"/>
        <v>1</v>
      </c>
      <c r="R35">
        <f t="shared" si="4"/>
        <v>0</v>
      </c>
      <c r="S35" s="28">
        <f>IF($P35="","",IF(SUMPRODUCT(MAX(($A$2:$A$497=$P35)*ROW($A$2:$A$497)))=0,"",INDEX($B:$B,SUMPRODUCT(MAX(($A$2:$A$497=$P35)*ROW($A$2:$A$497))))))</f>
        <v>46258</v>
      </c>
      <c r="T35" t="str">
        <f>IF($P35="","",IF(SUMPRODUCT(MAX(($A$2:$A$497=$P35)*ROW($A$2:$A$497)))=0,"",INDEX($C:$C,SUMPRODUCT(MAX(($A$2:$A$497=$P35)*ROW($A$2:$A$497))))&amp;" -&gt; "&amp;INDEX($D:$D,SUMPRODUCT(MAX(($A$2:$A$497=$P35)*ROW($A$2:$A$497))))))</f>
        <v>QA -&gt; DB Dev</v>
      </c>
    </row>
    <row r="36" spans="1:20">
      <c r="A36" s="33" t="s">
        <v>186</v>
      </c>
      <c r="B36" s="32">
        <v>46275</v>
      </c>
      <c r="C36" s="31" t="s">
        <v>219</v>
      </c>
      <c r="D36" s="31" t="s">
        <v>262</v>
      </c>
      <c r="E36" s="31" t="s">
        <v>129</v>
      </c>
      <c r="F36" s="31" t="s">
        <v>399</v>
      </c>
      <c r="G36" s="31" t="s">
        <v>53</v>
      </c>
      <c r="H36" s="32" t="s">
        <v>65</v>
      </c>
      <c r="I36" s="32"/>
      <c r="J36" s="32">
        <v>46288</v>
      </c>
      <c r="K36" s="31"/>
      <c r="L36" s="31"/>
      <c r="M36" s="3" t="str">
        <f t="shared" ca="1" si="2"/>
        <v>Fixed</v>
      </c>
      <c r="N36" t="s">
        <v>373</v>
      </c>
      <c r="P36" t="str">
        <f>'Combined Delivery Data'!B37</f>
        <v>RPT_02_20 Year Regulator Inspection</v>
      </c>
      <c r="Q36">
        <f t="shared" si="3"/>
        <v>1</v>
      </c>
      <c r="R36">
        <f t="shared" si="4"/>
        <v>0</v>
      </c>
      <c r="S36" s="28">
        <f>IF($P36="","",IF(SUMPRODUCT(MAX(($A$2:$A$497=$P36)*ROW($A$2:$A$497)))=0,"",INDEX($B:$B,SUMPRODUCT(MAX(($A$2:$A$497=$P36)*ROW($A$2:$A$497))))))</f>
        <v>46254</v>
      </c>
      <c r="T36" t="str">
        <f>IF($P36="","",IF(SUMPRODUCT(MAX(($A$2:$A$497=$P36)*ROW($A$2:$A$497)))=0,"",INDEX($C:$C,SUMPRODUCT(MAX(($A$2:$A$497=$P36)*ROW($A$2:$A$497))))&amp;" -&gt; "&amp;INDEX($D:$D,SUMPRODUCT(MAX(($A$2:$A$497=$P36)*ROW($A$2:$A$497))))))</f>
        <v>QA -&gt; DB Dev</v>
      </c>
    </row>
    <row r="37" spans="1:20">
      <c r="A37" s="33" t="s">
        <v>181</v>
      </c>
      <c r="B37" s="32">
        <v>46279</v>
      </c>
      <c r="C37" s="31" t="s">
        <v>219</v>
      </c>
      <c r="D37" s="31" t="s">
        <v>262</v>
      </c>
      <c r="E37" s="31" t="s">
        <v>129</v>
      </c>
      <c r="F37" s="31" t="s">
        <v>400</v>
      </c>
      <c r="G37" s="31" t="s">
        <v>50</v>
      </c>
      <c r="H37" s="32" t="s">
        <v>155</v>
      </c>
      <c r="I37" s="32">
        <v>46282</v>
      </c>
      <c r="J37" s="32">
        <v>46282</v>
      </c>
      <c r="K37" s="31" t="s">
        <v>155</v>
      </c>
      <c r="L37" s="31" t="s">
        <v>401</v>
      </c>
      <c r="M37" s="3" t="str">
        <f t="shared" ca="1" si="2"/>
        <v>Fixed</v>
      </c>
      <c r="N37" t="s">
        <v>373</v>
      </c>
      <c r="P37" t="str">
        <f>'Combined Delivery Data'!B38</f>
        <v>RPT_02_Fixed Factor</v>
      </c>
      <c r="Q37">
        <f t="shared" si="3"/>
        <v>2</v>
      </c>
      <c r="R37">
        <f t="shared" si="4"/>
        <v>0</v>
      </c>
      <c r="S37" s="28">
        <f>IF($P37="","",IF(SUMPRODUCT(MAX(($A$2:$A$497=$P37)*ROW($A$2:$A$497)))=0,"",INDEX($B:$B,SUMPRODUCT(MAX(($A$2:$A$497=$P37)*ROW($A$2:$A$497))))))</f>
        <v>46251</v>
      </c>
      <c r="T37" t="str">
        <f>IF($P37="","",IF(SUMPRODUCT(MAX(($A$2:$A$497=$P37)*ROW($A$2:$A$497)))=0,"",INDEX($C:$C,SUMPRODUCT(MAX(($A$2:$A$497=$P37)*ROW($A$2:$A$497))))&amp;" -&gt; "&amp;INDEX($D:$D,SUMPRODUCT(MAX(($A$2:$A$497=$P37)*ROW($A$2:$A$497))))))</f>
        <v>QA -&gt; DB Dev</v>
      </c>
    </row>
    <row r="38" spans="1:20">
      <c r="A38" s="31" t="s">
        <v>189</v>
      </c>
      <c r="B38" s="32">
        <v>46279</v>
      </c>
      <c r="C38" s="31" t="s">
        <v>219</v>
      </c>
      <c r="D38" s="31" t="s">
        <v>204</v>
      </c>
      <c r="E38" s="31" t="s">
        <v>144</v>
      </c>
      <c r="F38" s="31" t="s">
        <v>402</v>
      </c>
      <c r="G38" s="31" t="s">
        <v>50</v>
      </c>
      <c r="H38" s="32" t="s">
        <v>77</v>
      </c>
      <c r="I38" s="32">
        <v>46281</v>
      </c>
      <c r="J38" s="32">
        <v>46281</v>
      </c>
      <c r="K38" s="31" t="s">
        <v>77</v>
      </c>
      <c r="L38" s="31" t="s">
        <v>403</v>
      </c>
      <c r="M38" s="3" t="str">
        <f t="shared" ca="1" si="2"/>
        <v>Fixed</v>
      </c>
      <c r="N38" t="s">
        <v>50</v>
      </c>
      <c r="P38" t="str">
        <f>'Combined Delivery Data'!B39</f>
        <v>RPT_02_Fixed Factor Printout</v>
      </c>
      <c r="Q38">
        <f t="shared" si="3"/>
        <v>2</v>
      </c>
      <c r="R38">
        <f t="shared" si="4"/>
        <v>0</v>
      </c>
      <c r="S38" s="28">
        <f>IF($P38="","",IF(SUMPRODUCT(MAX(($A$2:$A$497=$P38)*ROW($A$2:$A$497)))=0,"",INDEX($B:$B,SUMPRODUCT(MAX(($A$2:$A$497=$P38)*ROW($A$2:$A$497))))))</f>
        <v>46267</v>
      </c>
      <c r="T38" t="str">
        <f>IF($P38="","",IF(SUMPRODUCT(MAX(($A$2:$A$497=$P38)*ROW($A$2:$A$497)))=0,"",INDEX($C:$C,SUMPRODUCT(MAX(($A$2:$A$497=$P38)*ROW($A$2:$A$497))))&amp;" -&gt; "&amp;INDEX($D:$D,SUMPRODUCT(MAX(($A$2:$A$497=$P38)*ROW($A$2:$A$497))))))</f>
        <v>QA -&gt; PBI Dev</v>
      </c>
    </row>
    <row r="39" spans="1:20">
      <c r="A39" s="31" t="s">
        <v>207</v>
      </c>
      <c r="B39" s="32">
        <v>46280</v>
      </c>
      <c r="C39" s="31" t="s">
        <v>219</v>
      </c>
      <c r="D39" s="31" t="s">
        <v>262</v>
      </c>
      <c r="E39" s="31" t="s">
        <v>47</v>
      </c>
      <c r="F39" s="31" t="s">
        <v>404</v>
      </c>
      <c r="G39" s="31" t="s">
        <v>50</v>
      </c>
      <c r="H39" s="32" t="s">
        <v>44</v>
      </c>
      <c r="I39" s="32">
        <v>46283</v>
      </c>
      <c r="J39" s="32">
        <v>46283</v>
      </c>
      <c r="K39" s="31"/>
      <c r="L39" s="31" t="s">
        <v>405</v>
      </c>
      <c r="M39" s="3" t="str">
        <f t="shared" ca="1" si="2"/>
        <v>Fixed</v>
      </c>
      <c r="N39" t="s">
        <v>50</v>
      </c>
      <c r="P39" t="str">
        <f>'Combined Delivery Data'!B40</f>
        <v>RPT_02_Work Order Completion Printout</v>
      </c>
      <c r="Q39">
        <f t="shared" si="3"/>
        <v>1</v>
      </c>
      <c r="R39">
        <f t="shared" si="4"/>
        <v>0</v>
      </c>
      <c r="S39" s="28">
        <f>IF($P39="","",IF(SUMPRODUCT(MAX(($A$2:$A$497=$P39)*ROW($A$2:$A$497)))=0,"",INDEX($B:$B,SUMPRODUCT(MAX(($A$2:$A$497=$P39)*ROW($A$2:$A$497))))))</f>
        <v>46267</v>
      </c>
      <c r="T39" t="str">
        <f>IF($P39="","",IF(SUMPRODUCT(MAX(($A$2:$A$497=$P39)*ROW($A$2:$A$497)))=0,"",INDEX($C:$C,SUMPRODUCT(MAX(($A$2:$A$497=$P39)*ROW($A$2:$A$497))))&amp;" -&gt; "&amp;INDEX($D:$D,SUMPRODUCT(MAX(($A$2:$A$497=$P39)*ROW($A$2:$A$497))))))</f>
        <v>QA -&gt; PBI Dev</v>
      </c>
    </row>
    <row r="40" spans="1:20">
      <c r="A40" s="31" t="s">
        <v>202</v>
      </c>
      <c r="B40" s="32">
        <v>46281</v>
      </c>
      <c r="C40" s="31" t="s">
        <v>219</v>
      </c>
      <c r="D40" s="31" t="s">
        <v>204</v>
      </c>
      <c r="E40" s="31" t="s">
        <v>199</v>
      </c>
      <c r="F40" s="31" t="s">
        <v>406</v>
      </c>
      <c r="G40" s="31" t="s">
        <v>50</v>
      </c>
      <c r="H40" s="32" t="s">
        <v>46</v>
      </c>
      <c r="I40" s="32"/>
      <c r="J40" s="32"/>
      <c r="K40" s="31"/>
      <c r="L40" s="31"/>
      <c r="M40" s="3" t="str">
        <f t="shared" ca="1" si="2"/>
        <v>UNCLAIMED 21 d</v>
      </c>
      <c r="P40" t="str">
        <f>'Combined Delivery Data'!B41</f>
        <v>RPT_02_GRO Control</v>
      </c>
      <c r="Q40">
        <f t="shared" si="3"/>
        <v>0</v>
      </c>
      <c r="R40">
        <f t="shared" si="4"/>
        <v>0</v>
      </c>
      <c r="S40" s="28" t="str">
        <f>IF($P40="","",IF(SUMPRODUCT(MAX(($A$2:$A$497=$P40)*ROW($A$2:$A$497)))=0,"",INDEX($B:$B,SUMPRODUCT(MAX(($A$2:$A$497=$P40)*ROW($A$2:$A$497))))))</f>
        <v/>
      </c>
      <c r="T40" t="str">
        <f>IF($P40="","",IF(SUMPRODUCT(MAX(($A$2:$A$497=$P40)*ROW($A$2:$A$497)))=0,"",INDEX($C:$C,SUMPRODUCT(MAX(($A$2:$A$497=$P40)*ROW($A$2:$A$497))))&amp;" -&gt; "&amp;INDEX($D:$D,SUMPRODUCT(MAX(($A$2:$A$497=$P40)*ROW($A$2:$A$497))))))</f>
        <v/>
      </c>
    </row>
    <row r="41" spans="1:20">
      <c r="A41" s="31" t="s">
        <v>209</v>
      </c>
      <c r="B41" s="32">
        <v>46282</v>
      </c>
      <c r="C41" s="31" t="s">
        <v>219</v>
      </c>
      <c r="D41" s="31" t="s">
        <v>262</v>
      </c>
      <c r="E41" s="31" t="s">
        <v>47</v>
      </c>
      <c r="F41" s="31" t="s">
        <v>407</v>
      </c>
      <c r="G41" s="31" t="s">
        <v>50</v>
      </c>
      <c r="H41" s="32" t="s">
        <v>155</v>
      </c>
      <c r="I41" s="32">
        <v>46282</v>
      </c>
      <c r="J41" s="32">
        <v>46282</v>
      </c>
      <c r="K41" s="31"/>
      <c r="L41" s="31" t="s">
        <v>408</v>
      </c>
      <c r="M41" s="3" t="str">
        <f t="shared" ca="1" si="2"/>
        <v>Fixed</v>
      </c>
      <c r="P41" t="str">
        <f>'Combined Delivery Data'!B42</f>
        <v>RPT_02_GRO Monitor</v>
      </c>
      <c r="Q41">
        <f t="shared" si="3"/>
        <v>0</v>
      </c>
      <c r="R41">
        <f t="shared" si="4"/>
        <v>0</v>
      </c>
      <c r="S41" s="28" t="str">
        <f>IF($P41="","",IF(SUMPRODUCT(MAX(($A$2:$A$497=$P41)*ROW($A$2:$A$497)))=0,"",INDEX($B:$B,SUMPRODUCT(MAX(($A$2:$A$497=$P41)*ROW($A$2:$A$497))))))</f>
        <v/>
      </c>
      <c r="T41" t="str">
        <f>IF($P41="","",IF(SUMPRODUCT(MAX(($A$2:$A$497=$P41)*ROW($A$2:$A$497)))=0,"",INDEX($C:$C,SUMPRODUCT(MAX(($A$2:$A$497=$P41)*ROW($A$2:$A$497))))&amp;" -&gt; "&amp;INDEX($D:$D,SUMPRODUCT(MAX(($A$2:$A$497=$P41)*ROW($A$2:$A$497))))))</f>
        <v/>
      </c>
    </row>
    <row r="42" spans="1:20">
      <c r="A42" s="33" t="s">
        <v>211</v>
      </c>
      <c r="B42" s="32">
        <v>46287</v>
      </c>
      <c r="C42" s="31" t="s">
        <v>219</v>
      </c>
      <c r="D42" s="31" t="s">
        <v>262</v>
      </c>
      <c r="E42" s="31" t="s">
        <v>129</v>
      </c>
      <c r="F42" s="31" t="s">
        <v>409</v>
      </c>
      <c r="G42" s="31" t="s">
        <v>50</v>
      </c>
      <c r="H42" s="32" t="s">
        <v>44</v>
      </c>
      <c r="I42" s="32"/>
      <c r="J42" s="32"/>
      <c r="K42" s="31"/>
      <c r="L42" s="31"/>
      <c r="M42" s="3" t="str">
        <f t="shared" ca="1" si="2"/>
        <v>UNCLAIMED 15 d</v>
      </c>
      <c r="N42" t="s">
        <v>50</v>
      </c>
      <c r="P42" t="str">
        <f>'Combined Delivery Data'!B43</f>
        <v>RPT_02_Public Buildings Inspection</v>
      </c>
      <c r="Q42">
        <f t="shared" si="3"/>
        <v>3</v>
      </c>
      <c r="R42">
        <f t="shared" si="4"/>
        <v>0</v>
      </c>
      <c r="S42" s="28">
        <f>IF($P42="","",IF(SUMPRODUCT(MAX(($A$2:$A$497=$P42)*ROW($A$2:$A$497)))=0,"",INDEX($B:$B,SUMPRODUCT(MAX(($A$2:$A$497=$P42)*ROW($A$2:$A$497))))))</f>
        <v>46288</v>
      </c>
      <c r="T42" t="str">
        <f>IF($P42="","",IF(SUMPRODUCT(MAX(($A$2:$A$497=$P42)*ROW($A$2:$A$497)))=0,"",INDEX($C:$C,SUMPRODUCT(MAX(($A$2:$A$497=$P42)*ROW($A$2:$A$497))))&amp;" -&gt; "&amp;INDEX($D:$D,SUMPRODUCT(MAX(($A$2:$A$497=$P42)*ROW($A$2:$A$497))))))</f>
        <v>DPO Approval -&gt; PBI Dev</v>
      </c>
    </row>
    <row r="43" spans="1:20">
      <c r="A43" s="31" t="s">
        <v>164</v>
      </c>
      <c r="B43" s="32">
        <v>46288</v>
      </c>
      <c r="C43" s="31" t="s">
        <v>182</v>
      </c>
      <c r="D43" s="31" t="s">
        <v>204</v>
      </c>
      <c r="E43" s="31" t="s">
        <v>144</v>
      </c>
      <c r="F43" s="31" t="s">
        <v>410</v>
      </c>
      <c r="G43" s="31" t="s">
        <v>50</v>
      </c>
      <c r="H43" s="32" t="s">
        <v>60</v>
      </c>
      <c r="I43" s="32">
        <v>46294</v>
      </c>
      <c r="J43" s="32">
        <v>46295</v>
      </c>
      <c r="K43" s="31" t="s">
        <v>60</v>
      </c>
      <c r="L43" s="31" t="s">
        <v>411</v>
      </c>
      <c r="M43" s="3" t="str">
        <f t="shared" ca="1" si="2"/>
        <v>Fixed</v>
      </c>
      <c r="N43" t="s">
        <v>373</v>
      </c>
      <c r="P43" t="str">
        <f>'Combined Delivery Data'!B44</f>
        <v>RPT_02_Investigate Wall Check and Service Check</v>
      </c>
      <c r="Q43">
        <f t="shared" si="3"/>
        <v>3</v>
      </c>
      <c r="R43">
        <f t="shared" si="4"/>
        <v>0</v>
      </c>
      <c r="S43" s="28">
        <f>IF($P43="","",IF(SUMPRODUCT(MAX(($A$2:$A$497=$P43)*ROW($A$2:$A$497)))=0,"",INDEX($B:$B,SUMPRODUCT(MAX(($A$2:$A$497=$P43)*ROW($A$2:$A$497))))))</f>
        <v>46267</v>
      </c>
      <c r="T43" t="str">
        <f>IF($P43="","",IF(SUMPRODUCT(MAX(($A$2:$A$497=$P43)*ROW($A$2:$A$497)))=0,"",INDEX($C:$C,SUMPRODUCT(MAX(($A$2:$A$497=$P43)*ROW($A$2:$A$497))))&amp;" -&gt; "&amp;INDEX($D:$D,SUMPRODUCT(MAX(($A$2:$A$497=$P43)*ROW($A$2:$A$497))))))</f>
        <v>QA -&gt; PBI Dev</v>
      </c>
    </row>
    <row r="44" spans="1:20">
      <c r="A44" s="33" t="s">
        <v>223</v>
      </c>
      <c r="B44" s="32">
        <v>46295</v>
      </c>
      <c r="C44" s="31" t="s">
        <v>219</v>
      </c>
      <c r="D44" s="31" t="s">
        <v>262</v>
      </c>
      <c r="E44" s="31" t="s">
        <v>129</v>
      </c>
      <c r="F44" s="31" t="s">
        <v>412</v>
      </c>
      <c r="G44" s="31" t="s">
        <v>53</v>
      </c>
      <c r="H44" s="32" t="s">
        <v>44</v>
      </c>
      <c r="I44" s="32"/>
      <c r="J44" s="32"/>
      <c r="K44" s="31"/>
      <c r="L44" s="31"/>
      <c r="M44" s="3" t="str">
        <f t="shared" ca="1" si="2"/>
        <v>UNCLAIMED 7 d</v>
      </c>
      <c r="N44" t="s">
        <v>50</v>
      </c>
      <c r="P44" t="str">
        <f>'Combined Delivery Data'!B45</f>
        <v>RPT_02_Cut Out Orders</v>
      </c>
      <c r="Q44">
        <f t="shared" si="3"/>
        <v>1</v>
      </c>
      <c r="R44">
        <f t="shared" si="4"/>
        <v>0</v>
      </c>
      <c r="S44" s="28">
        <f>IF($P44="","",IF(SUMPRODUCT(MAX(($A$2:$A$497=$P44)*ROW($A$2:$A$497)))=0,"",INDEX($B:$B,SUMPRODUCT(MAX(($A$2:$A$497=$P44)*ROW($A$2:$A$497))))))</f>
        <v>46265</v>
      </c>
      <c r="T44" t="str">
        <f>IF($P44="","",IF(SUMPRODUCT(MAX(($A$2:$A$497=$P44)*ROW($A$2:$A$497)))=0,"",INDEX($C:$C,SUMPRODUCT(MAX(($A$2:$A$497=$P44)*ROW($A$2:$A$497))))&amp;" -&gt; "&amp;INDEX($D:$D,SUMPRODUCT(MAX(($A$2:$A$497=$P44)*ROW($A$2:$A$497))))))</f>
        <v>QA -&gt; PBI Dev</v>
      </c>
    </row>
    <row r="45" spans="1:20">
      <c r="A45" s="33" t="s">
        <v>216</v>
      </c>
      <c r="B45" s="32">
        <v>46297</v>
      </c>
      <c r="C45" s="31" t="s">
        <v>219</v>
      </c>
      <c r="D45" s="31" t="s">
        <v>262</v>
      </c>
      <c r="E45" s="31" t="s">
        <v>199</v>
      </c>
      <c r="F45" s="31" t="s">
        <v>413</v>
      </c>
      <c r="G45" s="31" t="s">
        <v>50</v>
      </c>
      <c r="H45" s="32" t="s">
        <v>84</v>
      </c>
      <c r="I45" s="32"/>
      <c r="J45" s="32">
        <v>46300</v>
      </c>
      <c r="K45" s="31" t="s">
        <v>84</v>
      </c>
      <c r="L45" s="31"/>
      <c r="M45" s="3" t="s">
        <v>414</v>
      </c>
      <c r="N45" t="s">
        <v>50</v>
      </c>
      <c r="S45" s="28"/>
    </row>
    <row r="46" spans="1:20">
      <c r="A46" s="31"/>
      <c r="B46" s="32"/>
      <c r="C46" s="31" t="s">
        <v>219</v>
      </c>
      <c r="D46" s="31"/>
      <c r="E46" s="31"/>
      <c r="F46" s="31"/>
      <c r="G46" s="31" t="s">
        <v>53</v>
      </c>
      <c r="H46" s="32"/>
      <c r="I46" s="32"/>
      <c r="J46" s="32"/>
      <c r="K46" s="31"/>
      <c r="L46" s="31"/>
      <c r="M46" s="3" t="str">
        <f t="shared" ca="1" si="2"/>
        <v/>
      </c>
      <c r="P46" t="str">
        <f>'Combined Delivery Data'!B47</f>
        <v>RPT_02_Wall Check Control</v>
      </c>
      <c r="Q46">
        <f t="shared" si="3"/>
        <v>0</v>
      </c>
      <c r="R46">
        <f t="shared" si="4"/>
        <v>0</v>
      </c>
      <c r="S46" s="28" t="str">
        <f>IF($P46="","",IF(SUMPRODUCT(MAX(($A$2:$A$497=$P46)*ROW($A$2:$A$497)))=0,"",INDEX($B:$B,SUMPRODUCT(MAX(($A$2:$A$497=$P46)*ROW($A$2:$A$497))))))</f>
        <v/>
      </c>
      <c r="T46" t="str">
        <f>IF($P46="","",IF(SUMPRODUCT(MAX(($A$2:$A$497=$P46)*ROW($A$2:$A$497)))=0,"",INDEX($C:$C,SUMPRODUCT(MAX(($A$2:$A$497=$P46)*ROW($A$2:$A$497))))&amp;" -&gt; "&amp;INDEX($D:$D,SUMPRODUCT(MAX(($A$2:$A$497=$P46)*ROW($A$2:$A$497))))))</f>
        <v/>
      </c>
    </row>
    <row r="47" spans="1:20">
      <c r="A47" s="31"/>
      <c r="B47" s="32"/>
      <c r="C47" s="31" t="s">
        <v>219</v>
      </c>
      <c r="D47" s="31"/>
      <c r="E47" s="31"/>
      <c r="F47" s="31"/>
      <c r="G47" s="31" t="s">
        <v>53</v>
      </c>
      <c r="H47" s="32"/>
      <c r="I47" s="32"/>
      <c r="J47" s="32"/>
      <c r="K47" s="31"/>
      <c r="L47" s="31"/>
      <c r="M47" s="3" t="str">
        <f t="shared" ca="1" si="2"/>
        <v/>
      </c>
      <c r="P47" t="str">
        <f>'Combined Delivery Data'!B48</f>
        <v>RPT_02_High Pressure Steel Inside Inspection</v>
      </c>
      <c r="Q47">
        <f t="shared" si="3"/>
        <v>0</v>
      </c>
      <c r="R47">
        <f t="shared" si="4"/>
        <v>0</v>
      </c>
      <c r="S47" s="28" t="str">
        <f>IF($P47="","",IF(SUMPRODUCT(MAX(($A$2:$A$497=$P47)*ROW($A$2:$A$497)))=0,"",INDEX($B:$B,SUMPRODUCT(MAX(($A$2:$A$497=$P47)*ROW($A$2:$A$497))))))</f>
        <v/>
      </c>
      <c r="T47" t="str">
        <f>IF($P47="","",IF(SUMPRODUCT(MAX(($A$2:$A$497=$P47)*ROW($A$2:$A$497)))=0,"",INDEX($C:$C,SUMPRODUCT(MAX(($A$2:$A$497=$P47)*ROW($A$2:$A$497))))&amp;" -&gt; "&amp;INDEX($D:$D,SUMPRODUCT(MAX(($A$2:$A$497=$P47)*ROW($A$2:$A$497))))))</f>
        <v/>
      </c>
    </row>
    <row r="48" spans="1:20">
      <c r="A48" s="31"/>
      <c r="B48" s="32"/>
      <c r="C48" s="31" t="s">
        <v>219</v>
      </c>
      <c r="D48" s="31"/>
      <c r="E48" s="31"/>
      <c r="F48" s="31"/>
      <c r="G48" s="31" t="s">
        <v>53</v>
      </c>
      <c r="H48" s="32"/>
      <c r="I48" s="32"/>
      <c r="J48" s="32"/>
      <c r="K48" s="31"/>
      <c r="L48" s="31"/>
      <c r="M48" s="3" t="str">
        <f t="shared" ca="1" si="2"/>
        <v/>
      </c>
      <c r="P48" t="str">
        <f>'Combined Delivery Data'!B49</f>
        <v>RPT_02_Large Gas Outage</v>
      </c>
      <c r="Q48">
        <f t="shared" si="3"/>
        <v>5</v>
      </c>
      <c r="R48">
        <f t="shared" si="4"/>
        <v>0</v>
      </c>
      <c r="S48" s="28">
        <f>IF($P48="","",IF(SUMPRODUCT(MAX(($A$2:$A$497=$P48)*ROW($A$2:$A$497)))=0,"",INDEX($B:$B,SUMPRODUCT(MAX(($A$2:$A$497=$P48)*ROW($A$2:$A$497))))))</f>
        <v>46279</v>
      </c>
      <c r="T48" t="str">
        <f>IF($P48="","",IF(SUMPRODUCT(MAX(($A$2:$A$497=$P48)*ROW($A$2:$A$497)))=0,"",INDEX($C:$C,SUMPRODUCT(MAX(($A$2:$A$497=$P48)*ROW($A$2:$A$497))))&amp;" -&gt; "&amp;INDEX($D:$D,SUMPRODUCT(MAX(($A$2:$A$497=$P48)*ROW($A$2:$A$497))))))</f>
        <v>QA -&gt; DB Dev</v>
      </c>
    </row>
    <row r="49" spans="1:20">
      <c r="A49" s="31"/>
      <c r="B49" s="32"/>
      <c r="C49" s="31" t="s">
        <v>219</v>
      </c>
      <c r="D49" s="31"/>
      <c r="E49" s="31"/>
      <c r="F49" s="31"/>
      <c r="G49" s="31" t="s">
        <v>53</v>
      </c>
      <c r="H49" s="32"/>
      <c r="I49" s="32"/>
      <c r="J49" s="32"/>
      <c r="K49" s="31"/>
      <c r="L49" s="31"/>
      <c r="M49" s="3" t="str">
        <f t="shared" ca="1" si="2"/>
        <v/>
      </c>
      <c r="P49" t="str">
        <f>'Combined Delivery Data'!B50</f>
        <v>RPT_02_Fitting Work</v>
      </c>
      <c r="Q49">
        <f t="shared" si="3"/>
        <v>1</v>
      </c>
      <c r="R49">
        <f t="shared" si="4"/>
        <v>0</v>
      </c>
      <c r="S49" s="28">
        <f>IF($P49="","",IF(SUMPRODUCT(MAX(($A$2:$A$497=$P49)*ROW($A$2:$A$497)))=0,"",INDEX($B:$B,SUMPRODUCT(MAX(($A$2:$A$497=$P49)*ROW($A$2:$A$497))))))</f>
        <v>46267</v>
      </c>
      <c r="T49" t="str">
        <f>IF($P49="","",IF(SUMPRODUCT(MAX(($A$2:$A$497=$P49)*ROW($A$2:$A$497)))=0,"",INDEX($C:$C,SUMPRODUCT(MAX(($A$2:$A$497=$P49)*ROW($A$2:$A$497))))&amp;" -&gt; "&amp;INDEX($D:$D,SUMPRODUCT(MAX(($A$2:$A$497=$P49)*ROW($A$2:$A$497))))))</f>
        <v>QA -&gt; DB Dev</v>
      </c>
    </row>
    <row r="50" spans="1:20">
      <c r="A50" s="31"/>
      <c r="B50" s="32"/>
      <c r="C50" s="31" t="s">
        <v>219</v>
      </c>
      <c r="D50" s="31"/>
      <c r="E50" s="31"/>
      <c r="F50" s="31"/>
      <c r="G50" s="31" t="s">
        <v>53</v>
      </c>
      <c r="H50" s="32"/>
      <c r="I50" s="32"/>
      <c r="J50" s="32"/>
      <c r="K50" s="31"/>
      <c r="L50" s="31"/>
      <c r="M50" s="3" t="str">
        <f t="shared" ca="1" si="2"/>
        <v/>
      </c>
      <c r="P50" t="str">
        <f>'Combined Delivery Data'!B51</f>
        <v>RPT_02_Field Collector Report</v>
      </c>
      <c r="Q50">
        <f t="shared" si="3"/>
        <v>0</v>
      </c>
      <c r="R50">
        <f t="shared" si="4"/>
        <v>0</v>
      </c>
      <c r="S50" s="28" t="str">
        <f>IF($P50="","",IF(SUMPRODUCT(MAX(($A$2:$A$497=$P50)*ROW($A$2:$A$497)))=0,"",INDEX($B:$B,SUMPRODUCT(MAX(($A$2:$A$497=$P50)*ROW($A$2:$A$497))))))</f>
        <v/>
      </c>
      <c r="T50" t="str">
        <f>IF($P50="","",IF(SUMPRODUCT(MAX(($A$2:$A$497=$P50)*ROW($A$2:$A$497)))=0,"",INDEX($C:$C,SUMPRODUCT(MAX(($A$2:$A$497=$P50)*ROW($A$2:$A$497))))&amp;" -&gt; "&amp;INDEX($D:$D,SUMPRODUCT(MAX(($A$2:$A$497=$P50)*ROW($A$2:$A$497))))))</f>
        <v/>
      </c>
    </row>
    <row r="51" spans="1:20">
      <c r="A51" s="31"/>
      <c r="B51" s="32"/>
      <c r="C51" s="31" t="s">
        <v>219</v>
      </c>
      <c r="D51" s="31"/>
      <c r="E51" s="31"/>
      <c r="F51" s="31"/>
      <c r="G51" s="31" t="s">
        <v>53</v>
      </c>
      <c r="H51" s="32"/>
      <c r="I51" s="32"/>
      <c r="J51" s="32"/>
      <c r="K51" s="31"/>
      <c r="L51" s="31"/>
      <c r="M51" s="3" t="str">
        <f t="shared" ca="1" si="2"/>
        <v/>
      </c>
      <c r="P51" t="str">
        <f>'Combined Delivery Data'!B52</f>
        <v>RPT_02_Turn On for Non-Payment</v>
      </c>
      <c r="Q51">
        <f t="shared" si="3"/>
        <v>2</v>
      </c>
      <c r="R51">
        <f t="shared" si="4"/>
        <v>1</v>
      </c>
      <c r="S51" s="28">
        <f>IF($P51="","",IF(SUMPRODUCT(MAX(($A$2:$A$497=$P51)*ROW($A$2:$A$497)))=0,"",INDEX($B:$B,SUMPRODUCT(MAX(($A$2:$A$497=$P51)*ROW($A$2:$A$497))))))</f>
        <v>46275</v>
      </c>
      <c r="T51" t="str">
        <f>IF($P51="","",IF(SUMPRODUCT(MAX(($A$2:$A$497=$P51)*ROW($A$2:$A$497)))=0,"",INDEX($C:$C,SUMPRODUCT(MAX(($A$2:$A$497=$P51)*ROW($A$2:$A$497))))&amp;" -&gt; "&amp;INDEX($D:$D,SUMPRODUCT(MAX(($A$2:$A$497=$P51)*ROW($A$2:$A$497))))))</f>
        <v>QA -&gt; DB Dev</v>
      </c>
    </row>
    <row r="52" spans="1:20">
      <c r="A52" s="31"/>
      <c r="B52" s="32"/>
      <c r="C52" s="31" t="s">
        <v>219</v>
      </c>
      <c r="D52" s="31"/>
      <c r="E52" s="31"/>
      <c r="F52" s="31"/>
      <c r="G52" s="31" t="s">
        <v>53</v>
      </c>
      <c r="H52" s="32"/>
      <c r="I52" s="32"/>
      <c r="J52" s="32"/>
      <c r="K52" s="31"/>
      <c r="L52" s="31"/>
      <c r="M52" s="3" t="str">
        <f t="shared" ca="1" si="2"/>
        <v/>
      </c>
      <c r="P52" t="str">
        <f>'Combined Delivery Data'!B53</f>
        <v>RPT_02_Collector Payment Recap</v>
      </c>
      <c r="Q52">
        <f t="shared" si="3"/>
        <v>1</v>
      </c>
      <c r="R52">
        <f t="shared" si="4"/>
        <v>0</v>
      </c>
      <c r="S52" s="28">
        <f>IF($P52="","",IF(SUMPRODUCT(MAX(($A$2:$A$497=$P52)*ROW($A$2:$A$497)))=0,"",INDEX($B:$B,SUMPRODUCT(MAX(($A$2:$A$497=$P52)*ROW($A$2:$A$497))))))</f>
        <v>46279</v>
      </c>
      <c r="T52" t="str">
        <f>IF($P52="","",IF(SUMPRODUCT(MAX(($A$2:$A$497=$P52)*ROW($A$2:$A$497)))=0,"",INDEX($C:$C,SUMPRODUCT(MAX(($A$2:$A$497=$P52)*ROW($A$2:$A$497))))&amp;" -&gt; "&amp;INDEX($D:$D,SUMPRODUCT(MAX(($A$2:$A$497=$P52)*ROW($A$2:$A$497))))))</f>
        <v>QA -&gt; PBI Dev</v>
      </c>
    </row>
    <row r="53" spans="1:20">
      <c r="A53" s="31"/>
      <c r="B53" s="32"/>
      <c r="C53" s="31" t="s">
        <v>219</v>
      </c>
      <c r="D53" s="31"/>
      <c r="E53" s="31"/>
      <c r="F53" s="31"/>
      <c r="G53" s="31" t="s">
        <v>53</v>
      </c>
      <c r="H53" s="32"/>
      <c r="I53" s="32"/>
      <c r="J53" s="32"/>
      <c r="K53" s="31"/>
      <c r="L53" s="31"/>
      <c r="M53" s="3" t="str">
        <f t="shared" ca="1" si="2"/>
        <v/>
      </c>
      <c r="P53" t="str">
        <f>'Combined Delivery Data'!B54</f>
        <v>RPT_02_Incentive Management</v>
      </c>
      <c r="Q53">
        <f t="shared" si="3"/>
        <v>0</v>
      </c>
      <c r="R53">
        <f t="shared" si="4"/>
        <v>0</v>
      </c>
      <c r="S53" s="28" t="str">
        <f>IF($P53="","",IF(SUMPRODUCT(MAX(($A$2:$A$497=$P53)*ROW($A$2:$A$497)))=0,"",INDEX($B:$B,SUMPRODUCT(MAX(($A$2:$A$497=$P53)*ROW($A$2:$A$497))))))</f>
        <v/>
      </c>
      <c r="T53" t="str">
        <f>IF($P53="","",IF(SUMPRODUCT(MAX(($A$2:$A$497=$P53)*ROW($A$2:$A$497)))=0,"",INDEX($C:$C,SUMPRODUCT(MAX(($A$2:$A$497=$P53)*ROW($A$2:$A$497))))&amp;" -&gt; "&amp;INDEX($D:$D,SUMPRODUCT(MAX(($A$2:$A$497=$P53)*ROW($A$2:$A$497))))))</f>
        <v/>
      </c>
    </row>
    <row r="54" spans="1:20">
      <c r="A54" s="31"/>
      <c r="B54" s="32"/>
      <c r="C54" s="31" t="s">
        <v>219</v>
      </c>
      <c r="D54" s="31"/>
      <c r="E54" s="31"/>
      <c r="F54" s="31"/>
      <c r="G54" s="31" t="s">
        <v>53</v>
      </c>
      <c r="H54" s="32"/>
      <c r="I54" s="32"/>
      <c r="J54" s="32"/>
      <c r="K54" s="31"/>
      <c r="L54" s="31"/>
      <c r="M54" s="3" t="str">
        <f t="shared" ca="1" si="2"/>
        <v/>
      </c>
      <c r="P54" t="str">
        <f>'Combined Delivery Data'!B55</f>
        <v>RPT_02_UTC Report</v>
      </c>
      <c r="Q54">
        <f t="shared" si="3"/>
        <v>1</v>
      </c>
      <c r="R54">
        <f t="shared" si="4"/>
        <v>0</v>
      </c>
      <c r="S54" s="28">
        <f>IF($P54="","",IF(SUMPRODUCT(MAX(($A$2:$A$497=$P54)*ROW($A$2:$A$497)))=0,"",INDEX($B:$B,SUMPRODUCT(MAX(($A$2:$A$497=$P54)*ROW($A$2:$A$497))))))</f>
        <v>46274</v>
      </c>
      <c r="T54" t="str">
        <f>IF($P54="","",IF(SUMPRODUCT(MAX(($A$2:$A$497=$P54)*ROW($A$2:$A$497)))=0,"",INDEX($C:$C,SUMPRODUCT(MAX(($A$2:$A$497=$P54)*ROW($A$2:$A$497))))&amp;" -&gt; "&amp;INDEX($D:$D,SUMPRODUCT(MAX(($A$2:$A$497=$P54)*ROW($A$2:$A$497))))))</f>
        <v>QA -&gt; PBI Dev</v>
      </c>
    </row>
    <row r="55" spans="1:20">
      <c r="A55" s="31"/>
      <c r="B55" s="32"/>
      <c r="C55" s="31" t="s">
        <v>219</v>
      </c>
      <c r="D55" s="31"/>
      <c r="E55" s="31"/>
      <c r="F55" s="31"/>
      <c r="G55" s="31" t="s">
        <v>53</v>
      </c>
      <c r="H55" s="32"/>
      <c r="I55" s="32"/>
      <c r="J55" s="32"/>
      <c r="K55" s="31"/>
      <c r="L55" s="31"/>
      <c r="M55" s="3" t="str">
        <f t="shared" ca="1" si="2"/>
        <v/>
      </c>
      <c r="P55" t="str">
        <f>'Combined Delivery Data'!B56</f>
        <v>RPT_02_Adjacent Property Checks</v>
      </c>
      <c r="Q55">
        <f t="shared" si="3"/>
        <v>0</v>
      </c>
      <c r="R55">
        <f t="shared" si="4"/>
        <v>0</v>
      </c>
      <c r="S55" s="28" t="str">
        <f>IF($P55="","",IF(SUMPRODUCT(MAX(($A$2:$A$497=$P55)*ROW($A$2:$A$497)))=0,"",INDEX($B:$B,SUMPRODUCT(MAX(($A$2:$A$497=$P55)*ROW($A$2:$A$497))))))</f>
        <v/>
      </c>
      <c r="T55" t="str">
        <f>IF($P55="","",IF(SUMPRODUCT(MAX(($A$2:$A$497=$P55)*ROW($A$2:$A$497)))=0,"",INDEX($C:$C,SUMPRODUCT(MAX(($A$2:$A$497=$P55)*ROW($A$2:$A$497))))&amp;" -&gt; "&amp;INDEX($D:$D,SUMPRODUCT(MAX(($A$2:$A$497=$P55)*ROW($A$2:$A$497))))))</f>
        <v/>
      </c>
    </row>
    <row r="56" spans="1:20">
      <c r="A56" s="31"/>
      <c r="B56" s="32"/>
      <c r="C56" s="31" t="s">
        <v>219</v>
      </c>
      <c r="D56" s="31"/>
      <c r="E56" s="31"/>
      <c r="F56" s="31"/>
      <c r="G56" s="31" t="s">
        <v>53</v>
      </c>
      <c r="H56" s="32"/>
      <c r="I56" s="32"/>
      <c r="J56" s="32"/>
      <c r="K56" s="31"/>
      <c r="L56" s="31"/>
      <c r="M56" s="3" t="str">
        <f t="shared" ca="1" si="2"/>
        <v/>
      </c>
      <c r="P56" t="str">
        <f>'Combined Delivery Data'!B57</f>
        <v>RPT_02_High Bill Investigations</v>
      </c>
      <c r="Q56">
        <f t="shared" si="3"/>
        <v>1</v>
      </c>
      <c r="R56">
        <f t="shared" si="4"/>
        <v>0</v>
      </c>
      <c r="S56" s="28">
        <f>IF($P56="","",IF(SUMPRODUCT(MAX(($A$2:$A$497=$P56)*ROW($A$2:$A$497)))=0,"",INDEX($B:$B,SUMPRODUCT(MAX(($A$2:$A$497=$P56)*ROW($A$2:$A$497))))))</f>
        <v>46281</v>
      </c>
      <c r="T56" t="str">
        <f>IF($P56="","",IF(SUMPRODUCT(MAX(($A$2:$A$497=$P56)*ROW($A$2:$A$497)))=0,"",INDEX($C:$C,SUMPRODUCT(MAX(($A$2:$A$497=$P56)*ROW($A$2:$A$497))))&amp;" -&gt; "&amp;INDEX($D:$D,SUMPRODUCT(MAX(($A$2:$A$497=$P56)*ROW($A$2:$A$497))))))</f>
        <v>QA -&gt; PBI Dev</v>
      </c>
    </row>
    <row r="57" spans="1:20">
      <c r="A57" s="31"/>
      <c r="B57" s="32"/>
      <c r="C57" s="31" t="s">
        <v>219</v>
      </c>
      <c r="D57" s="31"/>
      <c r="E57" s="31"/>
      <c r="F57" s="31"/>
      <c r="G57" s="31" t="s">
        <v>53</v>
      </c>
      <c r="H57" s="32"/>
      <c r="I57" s="32"/>
      <c r="J57" s="32"/>
      <c r="K57" s="31"/>
      <c r="L57" s="31"/>
      <c r="M57" s="3" t="str">
        <f t="shared" ca="1" si="2"/>
        <v/>
      </c>
      <c r="P57" t="str">
        <f>'Combined Delivery Data'!B58</f>
        <v>RPT_02_Emergency Order Type</v>
      </c>
      <c r="Q57">
        <f t="shared" si="3"/>
        <v>0</v>
      </c>
      <c r="R57">
        <f t="shared" si="4"/>
        <v>0</v>
      </c>
      <c r="S57" s="28" t="str">
        <f>IF($P57="","",IF(SUMPRODUCT(MAX(($A$2:$A$497=$P57)*ROW($A$2:$A$497)))=0,"",INDEX($B:$B,SUMPRODUCT(MAX(($A$2:$A$497=$P57)*ROW($A$2:$A$497))))))</f>
        <v/>
      </c>
      <c r="T57" t="str">
        <f>IF($P57="","",IF(SUMPRODUCT(MAX(($A$2:$A$497=$P57)*ROW($A$2:$A$497)))=0,"",INDEX($C:$C,SUMPRODUCT(MAX(($A$2:$A$497=$P57)*ROW($A$2:$A$497))))&amp;" -&gt; "&amp;INDEX($D:$D,SUMPRODUCT(MAX(($A$2:$A$497=$P57)*ROW($A$2:$A$497))))))</f>
        <v/>
      </c>
    </row>
    <row r="58" spans="1:20">
      <c r="A58" s="31"/>
      <c r="B58" s="32"/>
      <c r="C58" s="31" t="s">
        <v>219</v>
      </c>
      <c r="D58" s="31"/>
      <c r="E58" s="31"/>
      <c r="F58" s="31"/>
      <c r="G58" s="31" t="s">
        <v>53</v>
      </c>
      <c r="H58" s="32"/>
      <c r="I58" s="32"/>
      <c r="J58" s="32"/>
      <c r="K58" s="31"/>
      <c r="L58" s="31"/>
      <c r="M58" s="3" t="str">
        <f t="shared" ca="1" si="2"/>
        <v/>
      </c>
      <c r="P58" t="str">
        <f>'Combined Delivery Data'!B59</f>
        <v>RPT_02_Cut Out Curb Box</v>
      </c>
      <c r="Q58">
        <f t="shared" si="3"/>
        <v>1</v>
      </c>
      <c r="R58">
        <f t="shared" si="4"/>
        <v>0</v>
      </c>
      <c r="S58" s="28">
        <f>IF($P58="","",IF(SUMPRODUCT(MAX(($A$2:$A$497=$P58)*ROW($A$2:$A$497)))=0,"",INDEX($B:$B,SUMPRODUCT(MAX(($A$2:$A$497=$P58)*ROW($A$2:$A$497))))))</f>
        <v>46280</v>
      </c>
      <c r="T58" t="str">
        <f>IF($P58="","",IF(SUMPRODUCT(MAX(($A$2:$A$497=$P58)*ROW($A$2:$A$497)))=0,"",INDEX($C:$C,SUMPRODUCT(MAX(($A$2:$A$497=$P58)*ROW($A$2:$A$497))))&amp;" -&gt; "&amp;INDEX($D:$D,SUMPRODUCT(MAX(($A$2:$A$497=$P58)*ROW($A$2:$A$497))))))</f>
        <v>QA -&gt; DB Dev</v>
      </c>
    </row>
    <row r="59" spans="1:20">
      <c r="A59" s="31"/>
      <c r="B59" s="32"/>
      <c r="C59" s="31" t="s">
        <v>219</v>
      </c>
      <c r="D59" s="31"/>
      <c r="E59" s="31"/>
      <c r="F59" s="31"/>
      <c r="G59" s="31" t="s">
        <v>53</v>
      </c>
      <c r="H59" s="32"/>
      <c r="I59" s="32"/>
      <c r="J59" s="32"/>
      <c r="K59" s="31"/>
      <c r="L59" s="31"/>
      <c r="M59" s="3" t="str">
        <f t="shared" ca="1" si="2"/>
        <v/>
      </c>
      <c r="P59" t="str">
        <f>'Combined Delivery Data'!B60</f>
        <v>RPT_02_New York Incident</v>
      </c>
      <c r="Q59">
        <f t="shared" si="3"/>
        <v>1</v>
      </c>
      <c r="R59">
        <f t="shared" si="4"/>
        <v>0</v>
      </c>
      <c r="S59" s="28">
        <f>IF($P59="","",IF(SUMPRODUCT(MAX(($A$2:$A$497=$P59)*ROW($A$2:$A$497)))=0,"",INDEX($B:$B,SUMPRODUCT(MAX(($A$2:$A$497=$P59)*ROW($A$2:$A$497))))))</f>
        <v>46282</v>
      </c>
      <c r="T59" t="str">
        <f>IF($P59="","",IF(SUMPRODUCT(MAX(($A$2:$A$497=$P59)*ROW($A$2:$A$497)))=0,"",INDEX($C:$C,SUMPRODUCT(MAX(($A$2:$A$497=$P59)*ROW($A$2:$A$497))))&amp;" -&gt; "&amp;INDEX($D:$D,SUMPRODUCT(MAX(($A$2:$A$497=$P59)*ROW($A$2:$A$497))))))</f>
        <v>QA -&gt; DB Dev</v>
      </c>
    </row>
    <row r="60" spans="1:20">
      <c r="A60" s="31"/>
      <c r="B60" s="32"/>
      <c r="C60" s="31" t="s">
        <v>219</v>
      </c>
      <c r="D60" s="31"/>
      <c r="E60" s="31"/>
      <c r="F60" s="31"/>
      <c r="G60" s="31" t="s">
        <v>53</v>
      </c>
      <c r="H60" s="32"/>
      <c r="I60" s="32"/>
      <c r="J60" s="32"/>
      <c r="K60" s="31"/>
      <c r="L60" s="31"/>
      <c r="M60" s="3" t="str">
        <f t="shared" ca="1" si="2"/>
        <v/>
      </c>
      <c r="P60" t="str">
        <f>'Combined Delivery Data'!B61</f>
        <v>RPT_02_Outside Repeat Leaks</v>
      </c>
      <c r="Q60">
        <f t="shared" si="3"/>
        <v>1</v>
      </c>
      <c r="R60">
        <f t="shared" si="4"/>
        <v>0</v>
      </c>
      <c r="S60" s="28">
        <f>IF($P60="","",IF(SUMPRODUCT(MAX(($A$2:$A$497=$P60)*ROW($A$2:$A$497)))=0,"",INDEX($B:$B,SUMPRODUCT(MAX(($A$2:$A$497=$P60)*ROW($A$2:$A$497))))))</f>
        <v>46287</v>
      </c>
      <c r="T60" t="str">
        <f>IF($P60="","",IF(SUMPRODUCT(MAX(($A$2:$A$497=$P60)*ROW($A$2:$A$497)))=0,"",INDEX($C:$C,SUMPRODUCT(MAX(($A$2:$A$497=$P60)*ROW($A$2:$A$497))))&amp;" -&gt; "&amp;INDEX($D:$D,SUMPRODUCT(MAX(($A$2:$A$497=$P60)*ROW($A$2:$A$497))))))</f>
        <v>QA -&gt; DB Dev</v>
      </c>
    </row>
    <row r="61" spans="1:20">
      <c r="A61" s="31"/>
      <c r="B61" s="32"/>
      <c r="C61" s="31" t="s">
        <v>219</v>
      </c>
      <c r="D61" s="31"/>
      <c r="E61" s="31"/>
      <c r="F61" s="31"/>
      <c r="G61" s="31" t="s">
        <v>53</v>
      </c>
      <c r="H61" s="32"/>
      <c r="I61" s="32"/>
      <c r="J61" s="32"/>
      <c r="K61" s="31"/>
      <c r="L61" s="31"/>
      <c r="M61" s="3" t="str">
        <f t="shared" ca="1" si="2"/>
        <v/>
      </c>
      <c r="P61" t="str">
        <f>'Combined Delivery Data'!B62</f>
        <v>RPT_02_Meter Change</v>
      </c>
      <c r="Q61">
        <f t="shared" si="3"/>
        <v>0</v>
      </c>
      <c r="R61">
        <f t="shared" si="4"/>
        <v>0</v>
      </c>
      <c r="S61" s="28" t="str">
        <f>IF($P61="","",IF(SUMPRODUCT(MAX(($A$2:$A$497=$P61)*ROW($A$2:$A$497)))=0,"",INDEX($B:$B,SUMPRODUCT(MAX(($A$2:$A$497=$P61)*ROW($A$2:$A$497))))))</f>
        <v/>
      </c>
      <c r="T61" t="str">
        <f>IF($P61="","",IF(SUMPRODUCT(MAX(($A$2:$A$497=$P61)*ROW($A$2:$A$497)))=0,"",INDEX($C:$C,SUMPRODUCT(MAX(($A$2:$A$497=$P61)*ROW($A$2:$A$497))))&amp;" -&gt; "&amp;INDEX($D:$D,SUMPRODUCT(MAX(($A$2:$A$497=$P61)*ROW($A$2:$A$497))))))</f>
        <v/>
      </c>
    </row>
    <row r="62" spans="1:20">
      <c r="A62" s="31"/>
      <c r="B62" s="32"/>
      <c r="C62" s="31" t="s">
        <v>219</v>
      </c>
      <c r="D62" s="31"/>
      <c r="E62" s="31"/>
      <c r="F62" s="31"/>
      <c r="G62" s="31" t="s">
        <v>53</v>
      </c>
      <c r="H62" s="32"/>
      <c r="I62" s="32"/>
      <c r="J62" s="32"/>
      <c r="K62" s="31"/>
      <c r="L62" s="31"/>
      <c r="M62" s="3" t="str">
        <f t="shared" ca="1" si="2"/>
        <v/>
      </c>
      <c r="P62" t="str">
        <f>'Combined Delivery Data'!B63</f>
        <v>RPT_02_Field Order Value</v>
      </c>
      <c r="Q62">
        <f t="shared" si="3"/>
        <v>1</v>
      </c>
      <c r="R62">
        <f t="shared" si="4"/>
        <v>0</v>
      </c>
      <c r="S62" s="28">
        <f>IF($P62="","",IF(SUMPRODUCT(MAX(($A$2:$A$497=$P62)*ROW($A$2:$A$497)))=0,"",INDEX($B:$B,SUMPRODUCT(MAX(($A$2:$A$497=$P62)*ROW($A$2:$A$497))))))</f>
        <v>46297</v>
      </c>
      <c r="T62" t="str">
        <f>IF($P62="","",IF(SUMPRODUCT(MAX(($A$2:$A$497=$P62)*ROW($A$2:$A$497)))=0,"",INDEX($C:$C,SUMPRODUCT(MAX(($A$2:$A$497=$P62)*ROW($A$2:$A$497))))&amp;" -&gt; "&amp;INDEX($D:$D,SUMPRODUCT(MAX(($A$2:$A$497=$P62)*ROW($A$2:$A$497))))))</f>
        <v>QA -&gt; DB Dev</v>
      </c>
    </row>
    <row r="63" spans="1:20">
      <c r="A63" s="31"/>
      <c r="B63" s="32"/>
      <c r="C63" s="31" t="s">
        <v>219</v>
      </c>
      <c r="D63" s="31"/>
      <c r="E63" s="31"/>
      <c r="F63" s="31"/>
      <c r="G63" s="31" t="s">
        <v>53</v>
      </c>
      <c r="H63" s="32"/>
      <c r="I63" s="32"/>
      <c r="J63" s="32"/>
      <c r="K63" s="31"/>
      <c r="L63" s="31"/>
      <c r="M63" s="3" t="str">
        <f t="shared" ca="1" si="2"/>
        <v/>
      </c>
      <c r="P63" t="str">
        <f>'Combined Delivery Data'!B64</f>
        <v>RPT_02_Same Day Reconnect</v>
      </c>
      <c r="Q63">
        <f t="shared" si="3"/>
        <v>0</v>
      </c>
      <c r="R63">
        <f t="shared" si="4"/>
        <v>0</v>
      </c>
      <c r="S63" s="28" t="str">
        <f>IF($P63="","",IF(SUMPRODUCT(MAX(($A$2:$A$497=$P63)*ROW($A$2:$A$497)))=0,"",INDEX($B:$B,SUMPRODUCT(MAX(($A$2:$A$497=$P63)*ROW($A$2:$A$497))))))</f>
        <v/>
      </c>
      <c r="T63" t="str">
        <f>IF($P63="","",IF(SUMPRODUCT(MAX(($A$2:$A$497=$P63)*ROW($A$2:$A$497)))=0,"",INDEX($C:$C,SUMPRODUCT(MAX(($A$2:$A$497=$P63)*ROW($A$2:$A$497))))&amp;" -&gt; "&amp;INDEX($D:$D,SUMPRODUCT(MAX(($A$2:$A$497=$P63)*ROW($A$2:$A$497))))))</f>
        <v/>
      </c>
    </row>
    <row r="64" spans="1:20">
      <c r="A64" s="31"/>
      <c r="B64" s="32"/>
      <c r="C64" s="31" t="s">
        <v>219</v>
      </c>
      <c r="D64" s="31"/>
      <c r="E64" s="31"/>
      <c r="F64" s="31"/>
      <c r="G64" s="31" t="s">
        <v>53</v>
      </c>
      <c r="H64" s="32"/>
      <c r="I64" s="32"/>
      <c r="J64" s="32"/>
      <c r="K64" s="31"/>
      <c r="L64" s="31"/>
      <c r="M64" s="3" t="str">
        <f t="shared" ca="1" si="2"/>
        <v/>
      </c>
      <c r="P64" t="str">
        <f>'Combined Delivery Data'!B65</f>
        <v>RPT_02_Site Specific Analysis</v>
      </c>
      <c r="Q64">
        <f t="shared" si="3"/>
        <v>0</v>
      </c>
      <c r="R64">
        <f t="shared" si="4"/>
        <v>0</v>
      </c>
      <c r="S64" s="28" t="str">
        <f>IF($P64="","",IF(SUMPRODUCT(MAX(($A$2:$A$497=$P64)*ROW($A$2:$A$497)))=0,"",INDEX($B:$B,SUMPRODUCT(MAX(($A$2:$A$497=$P64)*ROW($A$2:$A$497))))))</f>
        <v/>
      </c>
      <c r="T64" t="str">
        <f>IF($P64="","",IF(SUMPRODUCT(MAX(($A$2:$A$497=$P64)*ROW($A$2:$A$497)))=0,"",INDEX($C:$C,SUMPRODUCT(MAX(($A$2:$A$497=$P64)*ROW($A$2:$A$497))))&amp;" -&gt; "&amp;INDEX($D:$D,SUMPRODUCT(MAX(($A$2:$A$497=$P64)*ROW($A$2:$A$497))))))</f>
        <v/>
      </c>
    </row>
    <row r="65" spans="1:20">
      <c r="A65" s="31"/>
      <c r="B65" s="32"/>
      <c r="C65" s="31" t="s">
        <v>219</v>
      </c>
      <c r="D65" s="31"/>
      <c r="E65" s="31"/>
      <c r="F65" s="31"/>
      <c r="G65" s="31" t="s">
        <v>53</v>
      </c>
      <c r="H65" s="32"/>
      <c r="I65" s="32"/>
      <c r="J65" s="32"/>
      <c r="K65" s="31"/>
      <c r="L65" s="31"/>
      <c r="M65" s="3" t="str">
        <f t="shared" ref="M65:M68" ca="1" si="5">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3"/>
        <v>0</v>
      </c>
      <c r="R65">
        <f t="shared" si="4"/>
        <v>0</v>
      </c>
      <c r="S65" s="28" t="str">
        <f>IF($P65="","",IF(SUMPRODUCT(MAX(($A$2:$A$497=$P65)*ROW($A$2:$A$497)))=0,"",INDEX($B:$B,SUMPRODUCT(MAX(($A$2:$A$497=$P65)*ROW($A$2:$A$497))))))</f>
        <v/>
      </c>
      <c r="T65" t="str">
        <f>IF($P65="","",IF(SUMPRODUCT(MAX(($A$2:$A$497=$P65)*ROW($A$2:$A$497)))=0,"",INDEX($C:$C,SUMPRODUCT(MAX(($A$2:$A$497=$P65)*ROW($A$2:$A$497))))&amp;" -&gt; "&amp;INDEX($D:$D,SUMPRODUCT(MAX(($A$2:$A$497=$P65)*ROW($A$2:$A$497))))))</f>
        <v/>
      </c>
    </row>
    <row r="66" spans="1:20">
      <c r="A66" s="31"/>
      <c r="B66" s="32"/>
      <c r="C66" s="31" t="s">
        <v>219</v>
      </c>
      <c r="D66" s="31"/>
      <c r="E66" s="31"/>
      <c r="F66" s="31"/>
      <c r="G66" s="31" t="s">
        <v>53</v>
      </c>
      <c r="H66" s="32"/>
      <c r="I66" s="32"/>
      <c r="J66" s="32"/>
      <c r="K66" s="31"/>
      <c r="L66" s="31"/>
      <c r="M66" s="3" t="str">
        <f t="shared" ca="1" si="5"/>
        <v/>
      </c>
      <c r="P66" t="str">
        <f>'Combined Delivery Data'!B67</f>
        <v>RPT_02_Hazardous Above Ground Leak</v>
      </c>
      <c r="Q66">
        <f t="shared" si="3"/>
        <v>1</v>
      </c>
      <c r="R66">
        <f t="shared" si="4"/>
        <v>1</v>
      </c>
      <c r="S66" s="28">
        <f>IF($P66="","",IF(SUMPRODUCT(MAX(($A$2:$A$497=$P66)*ROW($A$2:$A$497)))=0,"",INDEX($B:$B,SUMPRODUCT(MAX(($A$2:$A$497=$P66)*ROW($A$2:$A$497))))))</f>
        <v>46295</v>
      </c>
      <c r="T66" t="str">
        <f>IF($P66="","",IF(SUMPRODUCT(MAX(($A$2:$A$497=$P66)*ROW($A$2:$A$497)))=0,"",INDEX($C:$C,SUMPRODUCT(MAX(($A$2:$A$497=$P66)*ROW($A$2:$A$497))))&amp;" -&gt; "&amp;INDEX($D:$D,SUMPRODUCT(MAX(($A$2:$A$497=$P66)*ROW($A$2:$A$497))))))</f>
        <v>QA -&gt; DB Dev</v>
      </c>
    </row>
    <row r="67" spans="1:20">
      <c r="A67" s="31"/>
      <c r="B67" s="32"/>
      <c r="C67" s="31" t="s">
        <v>219</v>
      </c>
      <c r="D67" s="31"/>
      <c r="E67" s="31"/>
      <c r="F67" s="31"/>
      <c r="G67" s="31" t="s">
        <v>53</v>
      </c>
      <c r="H67" s="32"/>
      <c r="I67" s="32"/>
      <c r="J67" s="32"/>
      <c r="K67" s="31"/>
      <c r="L67" s="31"/>
      <c r="M67" s="3" t="str">
        <f t="shared" ca="1" si="5"/>
        <v/>
      </c>
      <c r="P67" t="str">
        <f>'Combined Delivery Data'!B68</f>
        <v>RPT_02_AMI Contractor Completion Report</v>
      </c>
      <c r="Q67">
        <f t="shared" si="3"/>
        <v>0</v>
      </c>
      <c r="R67">
        <f t="shared" si="4"/>
        <v>0</v>
      </c>
      <c r="S67" s="28" t="str">
        <f>IF($P67="","",IF(SUMPRODUCT(MAX(($A$2:$A$497=$P67)*ROW($A$2:$A$497)))=0,"",INDEX($B:$B,SUMPRODUCT(MAX(($A$2:$A$497=$P67)*ROW($A$2:$A$497))))))</f>
        <v/>
      </c>
      <c r="T67" t="str">
        <f>IF($P67="","",IF(SUMPRODUCT(MAX(($A$2:$A$497=$P67)*ROW($A$2:$A$497)))=0,"",INDEX($C:$C,SUMPRODUCT(MAX(($A$2:$A$497=$P67)*ROW($A$2:$A$497))))&amp;" -&gt; "&amp;INDEX($D:$D,SUMPRODUCT(MAX(($A$2:$A$497=$P67)*ROW($A$2:$A$497))))))</f>
        <v/>
      </c>
    </row>
    <row r="68" spans="1:20">
      <c r="A68" s="31"/>
      <c r="B68" s="32"/>
      <c r="C68" s="31" t="s">
        <v>219</v>
      </c>
      <c r="D68" s="31"/>
      <c r="E68" s="31"/>
      <c r="F68" s="31"/>
      <c r="G68" s="31" t="s">
        <v>53</v>
      </c>
      <c r="H68" s="32"/>
      <c r="I68" s="32"/>
      <c r="J68" s="32"/>
      <c r="K68" s="31"/>
      <c r="L68" s="31"/>
      <c r="M68" s="3" t="str">
        <f t="shared" ca="1" si="5"/>
        <v/>
      </c>
      <c r="P68" t="str">
        <f>'Combined Delivery Data'!B69</f>
        <v>RPT_02_Collection Statistic</v>
      </c>
      <c r="Q68">
        <f t="shared" si="3"/>
        <v>0</v>
      </c>
      <c r="R68">
        <f t="shared" si="4"/>
        <v>0</v>
      </c>
      <c r="S68" s="28" t="str">
        <f>IF($P68="","",IF(SUMPRODUCT(MAX(($A$2:$A$497=$P68)*ROW($A$2:$A$497)))=0,"",INDEX($B:$B,SUMPRODUCT(MAX(($A$2:$A$497=$P68)*ROW($A$2:$A$497))))))</f>
        <v/>
      </c>
      <c r="T68" t="str">
        <f>IF($P68="","",IF(SUMPRODUCT(MAX(($A$2:$A$497=$P68)*ROW($A$2:$A$497)))=0,"",INDEX($C:$C,SUMPRODUCT(MAX(($A$2:$A$497=$P68)*ROW($A$2:$A$497))))&amp;" -&gt; "&amp;INDEX($D:$D,SUMPRODUCT(MAX(($A$2:$A$497=$P68)*ROW($A$2:$A$497))))))</f>
        <v/>
      </c>
    </row>
    <row r="69" spans="1:20">
      <c r="A69" s="31"/>
      <c r="B69" s="32"/>
      <c r="C69" s="31" t="s">
        <v>219</v>
      </c>
      <c r="D69" s="31"/>
      <c r="E69" s="31"/>
      <c r="F69" s="31"/>
      <c r="G69" s="31" t="s">
        <v>53</v>
      </c>
      <c r="H69" s="32"/>
      <c r="I69" s="32"/>
      <c r="J69" s="32"/>
      <c r="K69" s="31"/>
      <c r="L69" s="31"/>
      <c r="M69" s="3" t="str">
        <f t="shared" ref="M69:M127" ca="1" si="6">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3"/>
        <v>0</v>
      </c>
      <c r="R69">
        <f t="shared" si="4"/>
        <v>0</v>
      </c>
      <c r="S69" s="28" t="str">
        <f>IF($P69="","",IF(SUMPRODUCT(MAX(($A$2:$A$497=$P69)*ROW($A$2:$A$497)))=0,"",INDEX($B:$B,SUMPRODUCT(MAX(($A$2:$A$497=$P69)*ROW($A$2:$A$497))))))</f>
        <v/>
      </c>
      <c r="T69" t="str">
        <f>IF($P69="","",IF(SUMPRODUCT(MAX(($A$2:$A$497=$P69)*ROW($A$2:$A$497)))=0,"",INDEX($C:$C,SUMPRODUCT(MAX(($A$2:$A$497=$P69)*ROW($A$2:$A$497))))&amp;" -&gt; "&amp;INDEX($D:$D,SUMPRODUCT(MAX(($A$2:$A$497=$P69)*ROW($A$2:$A$497))))))</f>
        <v/>
      </c>
    </row>
    <row r="70" spans="1:20">
      <c r="A70" s="31"/>
      <c r="B70" s="32"/>
      <c r="C70" s="31" t="s">
        <v>219</v>
      </c>
      <c r="D70" s="31"/>
      <c r="E70" s="31"/>
      <c r="F70" s="31"/>
      <c r="G70" s="31" t="s">
        <v>53</v>
      </c>
      <c r="H70" s="32"/>
      <c r="I70" s="32"/>
      <c r="J70" s="32"/>
      <c r="K70" s="31"/>
      <c r="L70" s="31"/>
      <c r="M70" s="3" t="str">
        <f t="shared" ca="1" si="6"/>
        <v/>
      </c>
      <c r="P70" t="str">
        <f>'Combined Delivery Data'!B71</f>
        <v>RPT_02_Rate Class</v>
      </c>
      <c r="Q70">
        <f t="shared" si="3"/>
        <v>0</v>
      </c>
      <c r="R70">
        <f t="shared" si="4"/>
        <v>0</v>
      </c>
      <c r="S70" s="28" t="str">
        <f>IF($P70="","",IF(SUMPRODUCT(MAX(($A$2:$A$497=$P70)*ROW($A$2:$A$497)))=0,"",INDEX($B:$B,SUMPRODUCT(MAX(($A$2:$A$497=$P70)*ROW($A$2:$A$497))))))</f>
        <v/>
      </c>
      <c r="T70" t="str">
        <f>IF($P70="","",IF(SUMPRODUCT(MAX(($A$2:$A$497=$P70)*ROW($A$2:$A$497)))=0,"",INDEX($C:$C,SUMPRODUCT(MAX(($A$2:$A$497=$P70)*ROW($A$2:$A$497))))&amp;" -&gt; "&amp;INDEX($D:$D,SUMPRODUCT(MAX(($A$2:$A$497=$P70)*ROW($A$2:$A$497))))))</f>
        <v/>
      </c>
    </row>
    <row r="71" spans="1:20">
      <c r="A71" s="31"/>
      <c r="B71" s="32"/>
      <c r="C71" s="31" t="s">
        <v>219</v>
      </c>
      <c r="D71" s="31"/>
      <c r="E71" s="31"/>
      <c r="F71" s="31"/>
      <c r="G71" s="31" t="s">
        <v>53</v>
      </c>
      <c r="H71" s="32"/>
      <c r="I71" s="32"/>
      <c r="J71" s="32"/>
      <c r="K71" s="31"/>
      <c r="L71" s="31"/>
      <c r="M71" s="3" t="str">
        <f t="shared" ca="1" si="6"/>
        <v/>
      </c>
      <c r="P71" t="str">
        <f>'Combined Delivery Data'!B72</f>
        <v>RPT_04_Leak Recheck Times</v>
      </c>
      <c r="Q71">
        <f t="shared" si="3"/>
        <v>0</v>
      </c>
      <c r="R71">
        <f t="shared" si="4"/>
        <v>0</v>
      </c>
      <c r="S71" s="28" t="str">
        <f>IF($P71="","",IF(SUMPRODUCT(MAX(($A$2:$A$497=$P71)*ROW($A$2:$A$497)))=0,"",INDEX($B:$B,SUMPRODUCT(MAX(($A$2:$A$497=$P71)*ROW($A$2:$A$497))))))</f>
        <v/>
      </c>
      <c r="T71" t="str">
        <f>IF($P71="","",IF(SUMPRODUCT(MAX(($A$2:$A$497=$P71)*ROW($A$2:$A$497)))=0,"",INDEX($C:$C,SUMPRODUCT(MAX(($A$2:$A$497=$P71)*ROW($A$2:$A$497))))&amp;" -&gt; "&amp;INDEX($D:$D,SUMPRODUCT(MAX(($A$2:$A$497=$P71)*ROW($A$2:$A$497))))))</f>
        <v/>
      </c>
    </row>
    <row r="72" spans="1:20">
      <c r="A72" s="31"/>
      <c r="B72" s="32"/>
      <c r="C72" s="31" t="s">
        <v>219</v>
      </c>
      <c r="D72" s="31"/>
      <c r="E72" s="31"/>
      <c r="F72" s="31"/>
      <c r="G72" s="31" t="s">
        <v>53</v>
      </c>
      <c r="H72" s="32"/>
      <c r="I72" s="32"/>
      <c r="J72" s="32"/>
      <c r="K72" s="31"/>
      <c r="L72" s="31"/>
      <c r="M72" s="3" t="str">
        <f t="shared" ca="1" si="6"/>
        <v/>
      </c>
      <c r="P72" t="str">
        <f>'Combined Delivery Data'!B73</f>
        <v>RPT_02_Service Resource Activity</v>
      </c>
      <c r="Q72">
        <f t="shared" si="3"/>
        <v>0</v>
      </c>
      <c r="R72">
        <f t="shared" si="4"/>
        <v>0</v>
      </c>
      <c r="S72" s="28" t="str">
        <f>IF($P72="","",IF(SUMPRODUCT(MAX(($A$2:$A$497=$P72)*ROW($A$2:$A$497)))=0,"",INDEX($B:$B,SUMPRODUCT(MAX(($A$2:$A$497=$P72)*ROW($A$2:$A$497))))))</f>
        <v/>
      </c>
      <c r="T72" t="str">
        <f>IF($P72="","",IF(SUMPRODUCT(MAX(($A$2:$A$497=$P72)*ROW($A$2:$A$497)))=0,"",INDEX($C:$C,SUMPRODUCT(MAX(($A$2:$A$497=$P72)*ROW($A$2:$A$497))))&amp;" -&gt; "&amp;INDEX($D:$D,SUMPRODUCT(MAX(($A$2:$A$497=$P72)*ROW($A$2:$A$497))))))</f>
        <v/>
      </c>
    </row>
    <row r="73" spans="1:20">
      <c r="A73" s="31"/>
      <c r="B73" s="32"/>
      <c r="C73" s="31" t="s">
        <v>219</v>
      </c>
      <c r="D73" s="31"/>
      <c r="E73" s="31"/>
      <c r="F73" s="31"/>
      <c r="G73" s="31" t="s">
        <v>53</v>
      </c>
      <c r="H73" s="32"/>
      <c r="I73" s="32"/>
      <c r="J73" s="32"/>
      <c r="K73" s="31"/>
      <c r="L73" s="31"/>
      <c r="M73" s="3" t="str">
        <f t="shared" ca="1" si="6"/>
        <v/>
      </c>
      <c r="P73" t="str">
        <f>'Combined Delivery Data'!B101</f>
        <v>RPT_05_Department of Transportation</v>
      </c>
      <c r="Q73">
        <f t="shared" si="3"/>
        <v>0</v>
      </c>
      <c r="R73">
        <f t="shared" si="4"/>
        <v>0</v>
      </c>
      <c r="S73" s="28" t="str">
        <f>IF($P73="","",IF(SUMPRODUCT(MAX(($A$2:$A$497=$P73)*ROW($A$2:$A$497)))=0,"",INDEX($B:$B,SUMPRODUCT(MAX(($A$2:$A$497=$P73)*ROW($A$2:$A$497))))))</f>
        <v/>
      </c>
      <c r="T73" t="str">
        <f>IF($P73="","",IF(SUMPRODUCT(MAX(($A$2:$A$497=$P73)*ROW($A$2:$A$497)))=0,"",INDEX($C:$C,SUMPRODUCT(MAX(($A$2:$A$497=$P73)*ROW($A$2:$A$497))))&amp;" -&gt; "&amp;INDEX($D:$D,SUMPRODUCT(MAX(($A$2:$A$497=$P73)*ROW($A$2:$A$497))))))</f>
        <v/>
      </c>
    </row>
    <row r="74" spans="1:20">
      <c r="A74" s="31"/>
      <c r="B74" s="32"/>
      <c r="C74" s="31" t="s">
        <v>219</v>
      </c>
      <c r="D74" s="31"/>
      <c r="E74" s="31"/>
      <c r="F74" s="31"/>
      <c r="G74" s="31" t="s">
        <v>53</v>
      </c>
      <c r="H74" s="32"/>
      <c r="I74" s="32"/>
      <c r="J74" s="32"/>
      <c r="K74" s="31"/>
      <c r="L74" s="31"/>
      <c r="M74" s="3" t="str">
        <f t="shared" ca="1" si="6"/>
        <v/>
      </c>
      <c r="P74" t="str">
        <f>'Combined Delivery Data'!B102</f>
        <v>RPT_05_ Inside Meter Relocation</v>
      </c>
      <c r="Q74">
        <f t="shared" si="3"/>
        <v>0</v>
      </c>
      <c r="R74">
        <f t="shared" si="4"/>
        <v>0</v>
      </c>
      <c r="S74" s="28" t="str">
        <f>IF($P74="","",IF(SUMPRODUCT(MAX(($A$2:$A$497=$P74)*ROW($A$2:$A$497)))=0,"",INDEX($B:$B,SUMPRODUCT(MAX(($A$2:$A$497=$P74)*ROW($A$2:$A$497))))))</f>
        <v/>
      </c>
      <c r="T74" t="str">
        <f>IF($P74="","",IF(SUMPRODUCT(MAX(($A$2:$A$497=$P74)*ROW($A$2:$A$497)))=0,"",INDEX($C:$C,SUMPRODUCT(MAX(($A$2:$A$497=$P74)*ROW($A$2:$A$497))))&amp;" -&gt; "&amp;INDEX($D:$D,SUMPRODUCT(MAX(($A$2:$A$497=$P74)*ROW($A$2:$A$497))))))</f>
        <v/>
      </c>
    </row>
    <row r="75" spans="1:20">
      <c r="A75" s="31"/>
      <c r="B75" s="32"/>
      <c r="C75" s="31" t="s">
        <v>219</v>
      </c>
      <c r="D75" s="31"/>
      <c r="E75" s="31"/>
      <c r="F75" s="31"/>
      <c r="G75" s="31" t="s">
        <v>53</v>
      </c>
      <c r="H75" s="32"/>
      <c r="I75" s="32"/>
      <c r="J75" s="32"/>
      <c r="K75" s="31"/>
      <c r="L75" s="31"/>
      <c r="M75" s="3" t="str">
        <f t="shared" ca="1" si="6"/>
        <v/>
      </c>
      <c r="P75" t="str">
        <f>'Combined Delivery Data'!B103</f>
        <v>RPT_05_Mapped Work Order Information</v>
      </c>
      <c r="Q75">
        <f t="shared" si="3"/>
        <v>0</v>
      </c>
      <c r="R75">
        <f t="shared" si="4"/>
        <v>0</v>
      </c>
      <c r="S75" s="28" t="str">
        <f>IF($P75="","",IF(SUMPRODUCT(MAX(($A$2:$A$497=$P75)*ROW($A$2:$A$497)))=0,"",INDEX($B:$B,SUMPRODUCT(MAX(($A$2:$A$497=$P75)*ROW($A$2:$A$497))))))</f>
        <v/>
      </c>
      <c r="T75" t="str">
        <f>IF($P75="","",IF(SUMPRODUCT(MAX(($A$2:$A$497=$P75)*ROW($A$2:$A$497)))=0,"",INDEX($C:$C,SUMPRODUCT(MAX(($A$2:$A$497=$P75)*ROW($A$2:$A$497))))&amp;" -&gt; "&amp;INDEX($D:$D,SUMPRODUCT(MAX(($A$2:$A$497=$P75)*ROW($A$2:$A$497))))))</f>
        <v/>
      </c>
    </row>
    <row r="76" spans="1:20">
      <c r="A76" s="31"/>
      <c r="B76" s="32"/>
      <c r="C76" s="31" t="s">
        <v>219</v>
      </c>
      <c r="D76" s="31"/>
      <c r="E76" s="31"/>
      <c r="F76" s="31"/>
      <c r="G76" s="31" t="s">
        <v>53</v>
      </c>
      <c r="H76" s="32"/>
      <c r="I76" s="32"/>
      <c r="J76" s="32"/>
      <c r="K76" s="31"/>
      <c r="L76" s="31"/>
      <c r="M76" s="3" t="str">
        <f t="shared" ca="1" si="6"/>
        <v/>
      </c>
      <c r="P76" t="str">
        <f>'Combined Delivery Data'!B104</f>
        <v>RPT_06_Retired Meters</v>
      </c>
      <c r="Q76">
        <f t="shared" si="3"/>
        <v>0</v>
      </c>
      <c r="R76">
        <f t="shared" si="4"/>
        <v>0</v>
      </c>
      <c r="S76" s="28" t="str">
        <f>IF($P76="","",IF(SUMPRODUCT(MAX(($A$2:$A$497=$P76)*ROW($A$2:$A$497)))=0,"",INDEX($B:$B,SUMPRODUCT(MAX(($A$2:$A$497=$P76)*ROW($A$2:$A$497))))))</f>
        <v/>
      </c>
      <c r="T76" t="str">
        <f>IF($P76="","",IF(SUMPRODUCT(MAX(($A$2:$A$497=$P76)*ROW($A$2:$A$497)))=0,"",INDEX($C:$C,SUMPRODUCT(MAX(($A$2:$A$497=$P76)*ROW($A$2:$A$497))))&amp;" -&gt; "&amp;INDEX($D:$D,SUMPRODUCT(MAX(($A$2:$A$497=$P76)*ROW($A$2:$A$497))))))</f>
        <v/>
      </c>
    </row>
    <row r="77" spans="1:20">
      <c r="A77" s="31"/>
      <c r="B77" s="32"/>
      <c r="C77" s="31" t="s">
        <v>219</v>
      </c>
      <c r="D77" s="31"/>
      <c r="E77" s="31"/>
      <c r="F77" s="31"/>
      <c r="G77" s="31" t="s">
        <v>53</v>
      </c>
      <c r="H77" s="32"/>
      <c r="I77" s="32"/>
      <c r="J77" s="32"/>
      <c r="K77" s="31"/>
      <c r="L77" s="31"/>
      <c r="M77" s="3" t="str">
        <f t="shared" ca="1" si="6"/>
        <v/>
      </c>
      <c r="P77" t="str">
        <f>'Combined Delivery Data'!B105</f>
        <v>RPT_13_Survey Book</v>
      </c>
      <c r="Q77">
        <f t="shared" si="3"/>
        <v>0</v>
      </c>
      <c r="R77">
        <f t="shared" si="4"/>
        <v>0</v>
      </c>
      <c r="S77" s="28" t="str">
        <f>IF($P77="","",IF(SUMPRODUCT(MAX(($A$2:$A$497=$P77)*ROW($A$2:$A$497)))=0,"",INDEX($B:$B,SUMPRODUCT(MAX(($A$2:$A$497=$P77)*ROW($A$2:$A$497))))))</f>
        <v/>
      </c>
      <c r="T77" t="str">
        <f>IF($P77="","",IF(SUMPRODUCT(MAX(($A$2:$A$497=$P77)*ROW($A$2:$A$497)))=0,"",INDEX($C:$C,SUMPRODUCT(MAX(($A$2:$A$497=$P77)*ROW($A$2:$A$497))))&amp;" -&gt; "&amp;INDEX($D:$D,SUMPRODUCT(MAX(($A$2:$A$497=$P77)*ROW($A$2:$A$497))))))</f>
        <v/>
      </c>
    </row>
    <row r="78" spans="1:20">
      <c r="A78" s="31"/>
      <c r="B78" s="32"/>
      <c r="C78" s="31" t="s">
        <v>219</v>
      </c>
      <c r="D78" s="31"/>
      <c r="E78" s="31"/>
      <c r="F78" s="31"/>
      <c r="G78" s="31" t="s">
        <v>53</v>
      </c>
      <c r="H78" s="32"/>
      <c r="I78" s="32"/>
      <c r="J78" s="32"/>
      <c r="K78" s="31"/>
      <c r="L78" s="31"/>
      <c r="M78" s="3" t="str">
        <f t="shared" ca="1" si="6"/>
        <v/>
      </c>
      <c r="P78" t="str">
        <f>'Combined Delivery Data'!B106</f>
        <v>RPT_05_Leak Survey Mains Summary</v>
      </c>
      <c r="Q78">
        <f t="shared" si="3"/>
        <v>0</v>
      </c>
      <c r="R78">
        <f t="shared" si="4"/>
        <v>0</v>
      </c>
      <c r="S78" s="28" t="str">
        <f>IF($P78="","",IF(SUMPRODUCT(MAX(($A$2:$A$497=$P78)*ROW($A$2:$A$497)))=0,"",INDEX($B:$B,SUMPRODUCT(MAX(($A$2:$A$497=$P78)*ROW($A$2:$A$497))))))</f>
        <v/>
      </c>
      <c r="T78" t="str">
        <f>IF($P78="","",IF(SUMPRODUCT(MAX(($A$2:$A$497=$P78)*ROW($A$2:$A$497)))=0,"",INDEX($C:$C,SUMPRODUCT(MAX(($A$2:$A$497=$P78)*ROW($A$2:$A$497))))&amp;" -&gt; "&amp;INDEX($D:$D,SUMPRODUCT(MAX(($A$2:$A$497=$P78)*ROW($A$2:$A$497))))))</f>
        <v/>
      </c>
    </row>
    <row r="79" spans="1:20">
      <c r="A79" s="31"/>
      <c r="B79" s="32"/>
      <c r="C79" s="31" t="s">
        <v>219</v>
      </c>
      <c r="D79" s="31"/>
      <c r="E79" s="31"/>
      <c r="F79" s="31"/>
      <c r="G79" s="31" t="s">
        <v>53</v>
      </c>
      <c r="H79" s="32"/>
      <c r="I79" s="32"/>
      <c r="J79" s="32"/>
      <c r="K79" s="31"/>
      <c r="L79" s="31"/>
      <c r="M79" s="3" t="str">
        <f t="shared" ca="1" si="6"/>
        <v/>
      </c>
      <c r="P79" t="str">
        <f>'Combined Delivery Data'!B107</f>
        <v>RPT_13_Customer Service Point</v>
      </c>
      <c r="Q79">
        <f t="shared" si="3"/>
        <v>0</v>
      </c>
      <c r="R79">
        <f t="shared" si="4"/>
        <v>0</v>
      </c>
      <c r="S79" s="28" t="str">
        <f>IF($P79="","",IF(SUMPRODUCT(MAX(($A$2:$A$497=$P79)*ROW($A$2:$A$497)))=0,"",INDEX($B:$B,SUMPRODUCT(MAX(($A$2:$A$497=$P79)*ROW($A$2:$A$497))))))</f>
        <v/>
      </c>
      <c r="T79" t="str">
        <f>IF($P79="","",IF(SUMPRODUCT(MAX(($A$2:$A$497=$P79)*ROW($A$2:$A$497)))=0,"",INDEX($C:$C,SUMPRODUCT(MAX(($A$2:$A$497=$P79)*ROW($A$2:$A$497))))&amp;" -&gt; "&amp;INDEX($D:$D,SUMPRODUCT(MAX(($A$2:$A$497=$P79)*ROW($A$2:$A$497))))))</f>
        <v/>
      </c>
    </row>
    <row r="80" spans="1:20">
      <c r="A80" s="31"/>
      <c r="B80" s="32"/>
      <c r="C80" s="31" t="s">
        <v>219</v>
      </c>
      <c r="D80" s="31"/>
      <c r="E80" s="31"/>
      <c r="F80" s="31"/>
      <c r="G80" s="31" t="s">
        <v>53</v>
      </c>
      <c r="H80" s="32"/>
      <c r="I80" s="32"/>
      <c r="J80" s="32"/>
      <c r="K80" s="31"/>
      <c r="L80" s="31"/>
      <c r="M80" s="3" t="str">
        <f t="shared" ca="1" si="6"/>
        <v/>
      </c>
      <c r="P80" t="str">
        <f>'Combined Delivery Data'!B108</f>
        <v>RPT_02_Emergency Operation Checklist</v>
      </c>
      <c r="Q80">
        <f t="shared" si="3"/>
        <v>0</v>
      </c>
      <c r="R80">
        <f t="shared" si="4"/>
        <v>0</v>
      </c>
      <c r="S80" s="28" t="str">
        <f>IF($P80="","",IF(SUMPRODUCT(MAX(($A$2:$A$497=$P80)*ROW($A$2:$A$497)))=0,"",INDEX($B:$B,SUMPRODUCT(MAX(($A$2:$A$497=$P80)*ROW($A$2:$A$497))))))</f>
        <v/>
      </c>
      <c r="T80" t="str">
        <f>IF($P80="","",IF(SUMPRODUCT(MAX(($A$2:$A$497=$P80)*ROW($A$2:$A$497)))=0,"",INDEX($C:$C,SUMPRODUCT(MAX(($A$2:$A$497=$P80)*ROW($A$2:$A$497))))&amp;" -&gt; "&amp;INDEX($D:$D,SUMPRODUCT(MAX(($A$2:$A$497=$P80)*ROW($A$2:$A$497))))))</f>
        <v/>
      </c>
    </row>
    <row r="81" spans="1:20">
      <c r="A81" s="31"/>
      <c r="B81" s="32"/>
      <c r="C81" s="31" t="s">
        <v>219</v>
      </c>
      <c r="D81" s="31"/>
      <c r="E81" s="31"/>
      <c r="F81" s="31"/>
      <c r="G81" s="31" t="s">
        <v>53</v>
      </c>
      <c r="H81" s="32"/>
      <c r="I81" s="32"/>
      <c r="J81" s="32"/>
      <c r="K81" s="31"/>
      <c r="L81" s="31"/>
      <c r="M81" s="3" t="str">
        <f t="shared" ca="1" si="6"/>
        <v/>
      </c>
      <c r="P81" t="str">
        <f>'Combined Delivery Data'!B109</f>
        <v>RPT_06_ERT List</v>
      </c>
      <c r="Q81">
        <f t="shared" ref="Q81:Q144" si="7">IF($P81="","",COUNTIF($A$2:$A$497,$P81))</f>
        <v>0</v>
      </c>
      <c r="R81">
        <f t="shared" ref="R81:R144" si="8">IF($P81="","",SUMPRODUCT(($A$2:$A$497=$P81)*($G$2:$G$497&lt;&gt;"Yes")*($G$2:$G$497&lt;&gt;"Did not pass re-test")))</f>
        <v>0</v>
      </c>
      <c r="S81" s="28" t="str">
        <f>IF($P81="","",IF(SUMPRODUCT(MAX(($A$2:$A$497=$P81)*ROW($A$2:$A$497)))=0,"",INDEX($B:$B,SUMPRODUCT(MAX(($A$2:$A$497=$P81)*ROW($A$2:$A$497))))))</f>
        <v/>
      </c>
      <c r="T81" t="str">
        <f>IF($P81="","",IF(SUMPRODUCT(MAX(($A$2:$A$497=$P81)*ROW($A$2:$A$497)))=0,"",INDEX($C:$C,SUMPRODUCT(MAX(($A$2:$A$497=$P81)*ROW($A$2:$A$497))))&amp;" -&gt; "&amp;INDEX($D:$D,SUMPRODUCT(MAX(($A$2:$A$497=$P81)*ROW($A$2:$A$497))))))</f>
        <v/>
      </c>
    </row>
    <row r="82" spans="1:20">
      <c r="A82" s="31"/>
      <c r="B82" s="32"/>
      <c r="C82" s="31" t="s">
        <v>219</v>
      </c>
      <c r="D82" s="31"/>
      <c r="E82" s="31"/>
      <c r="F82" s="31"/>
      <c r="G82" s="31" t="s">
        <v>53</v>
      </c>
      <c r="H82" s="32"/>
      <c r="I82" s="32"/>
      <c r="J82" s="32"/>
      <c r="K82" s="31"/>
      <c r="L82" s="31"/>
      <c r="M82" s="3" t="str">
        <f t="shared" ca="1" si="6"/>
        <v/>
      </c>
      <c r="P82" t="str">
        <f>'Combined Delivery Data'!B110</f>
        <v>RPT_13_Blue Card</v>
      </c>
      <c r="Q82">
        <f t="shared" si="7"/>
        <v>0</v>
      </c>
      <c r="R82">
        <f t="shared" si="8"/>
        <v>0</v>
      </c>
      <c r="S82" s="28" t="str">
        <f>IF($P82="","",IF(SUMPRODUCT(MAX(($A$2:$A$497=$P82)*ROW($A$2:$A$497)))=0,"",INDEX($B:$B,SUMPRODUCT(MAX(($A$2:$A$497=$P82)*ROW($A$2:$A$497))))))</f>
        <v/>
      </c>
      <c r="T82" t="str">
        <f>IF($P82="","",IF(SUMPRODUCT(MAX(($A$2:$A$497=$P82)*ROW($A$2:$A$497)))=0,"",INDEX($C:$C,SUMPRODUCT(MAX(($A$2:$A$497=$P82)*ROW($A$2:$A$497))))&amp;" -&gt; "&amp;INDEX($D:$D,SUMPRODUCT(MAX(($A$2:$A$497=$P82)*ROW($A$2:$A$497))))))</f>
        <v/>
      </c>
    </row>
    <row r="83" spans="1:20">
      <c r="A83" s="31"/>
      <c r="B83" s="32"/>
      <c r="C83" s="31" t="s">
        <v>219</v>
      </c>
      <c r="D83" s="31"/>
      <c r="E83" s="31"/>
      <c r="F83" s="31"/>
      <c r="G83" s="31" t="s">
        <v>53</v>
      </c>
      <c r="H83" s="32"/>
      <c r="I83" s="32"/>
      <c r="J83" s="32"/>
      <c r="K83" s="31"/>
      <c r="L83" s="31"/>
      <c r="M83" s="3" t="str">
        <f t="shared" ca="1" si="6"/>
        <v/>
      </c>
      <c r="P83" t="str">
        <f>'Combined Delivery Data'!B111</f>
        <v>RPT_06_Out of Route Meters Gas</v>
      </c>
      <c r="Q83">
        <f t="shared" si="7"/>
        <v>0</v>
      </c>
      <c r="R83">
        <f t="shared" si="8"/>
        <v>0</v>
      </c>
      <c r="S83" s="28" t="str">
        <f>IF($P83="","",IF(SUMPRODUCT(MAX(($A$2:$A$497=$P83)*ROW($A$2:$A$497)))=0,"",INDEX($B:$B,SUMPRODUCT(MAX(($A$2:$A$497=$P83)*ROW($A$2:$A$497))))))</f>
        <v/>
      </c>
      <c r="T83" t="str">
        <f>IF($P83="","",IF(SUMPRODUCT(MAX(($A$2:$A$497=$P83)*ROW($A$2:$A$497)))=0,"",INDEX($C:$C,SUMPRODUCT(MAX(($A$2:$A$497=$P83)*ROW($A$2:$A$497))))&amp;" -&gt; "&amp;INDEX($D:$D,SUMPRODUCT(MAX(($A$2:$A$497=$P83)*ROW($A$2:$A$497))))))</f>
        <v/>
      </c>
    </row>
    <row r="84" spans="1:20">
      <c r="A84" s="31"/>
      <c r="B84" s="32"/>
      <c r="C84" s="31" t="s">
        <v>219</v>
      </c>
      <c r="D84" s="31"/>
      <c r="E84" s="31"/>
      <c r="F84" s="31"/>
      <c r="G84" s="31" t="s">
        <v>53</v>
      </c>
      <c r="H84" s="32"/>
      <c r="I84" s="32"/>
      <c r="J84" s="32"/>
      <c r="K84" s="31"/>
      <c r="L84" s="31"/>
      <c r="M84" s="3" t="str">
        <f t="shared" ca="1" si="6"/>
        <v/>
      </c>
      <c r="P84" t="str">
        <f>'Combined Delivery Data'!B112</f>
        <v>RPT_06_Yard Meter Inventory</v>
      </c>
      <c r="Q84">
        <f t="shared" si="7"/>
        <v>0</v>
      </c>
      <c r="R84">
        <f t="shared" si="8"/>
        <v>0</v>
      </c>
      <c r="S84" s="28" t="str">
        <f>IF($P84="","",IF(SUMPRODUCT(MAX(($A$2:$A$497=$P84)*ROW($A$2:$A$497)))=0,"",INDEX($B:$B,SUMPRODUCT(MAX(($A$2:$A$497=$P84)*ROW($A$2:$A$497))))))</f>
        <v/>
      </c>
      <c r="T84" t="str">
        <f>IF($P84="","",IF(SUMPRODUCT(MAX(($A$2:$A$497=$P84)*ROW($A$2:$A$497)))=0,"",INDEX($C:$C,SUMPRODUCT(MAX(($A$2:$A$497=$P84)*ROW($A$2:$A$497))))&amp;" -&gt; "&amp;INDEX($D:$D,SUMPRODUCT(MAX(($A$2:$A$497=$P84)*ROW($A$2:$A$497))))))</f>
        <v/>
      </c>
    </row>
    <row r="85" spans="1:20">
      <c r="A85" s="31"/>
      <c r="B85" s="32"/>
      <c r="C85" s="31" t="s">
        <v>219</v>
      </c>
      <c r="D85" s="31"/>
      <c r="E85" s="31"/>
      <c r="F85" s="31"/>
      <c r="G85" s="31" t="s">
        <v>53</v>
      </c>
      <c r="H85" s="32"/>
      <c r="I85" s="32"/>
      <c r="J85" s="32"/>
      <c r="K85" s="31"/>
      <c r="L85" s="31"/>
      <c r="M85" s="3" t="str">
        <f t="shared" ca="1" si="6"/>
        <v/>
      </c>
      <c r="P85" t="str">
        <f>'Combined Delivery Data'!B113</f>
        <v>RPT_06_ERTtoEPSLoadReportbyReceiptNumber</v>
      </c>
      <c r="Q85">
        <f t="shared" si="7"/>
        <v>0</v>
      </c>
      <c r="R85">
        <f t="shared" si="8"/>
        <v>0</v>
      </c>
      <c r="S85" s="28" t="str">
        <f>IF($P85="","",IF(SUMPRODUCT(MAX(($A$2:$A$497=$P85)*ROW($A$2:$A$497)))=0,"",INDEX($B:$B,SUMPRODUCT(MAX(($A$2:$A$497=$P85)*ROW($A$2:$A$497))))))</f>
        <v/>
      </c>
      <c r="T85" t="str">
        <f>IF($P85="","",IF(SUMPRODUCT(MAX(($A$2:$A$497=$P85)*ROW($A$2:$A$497)))=0,"",INDEX($C:$C,SUMPRODUCT(MAX(($A$2:$A$497=$P85)*ROW($A$2:$A$497))))&amp;" -&gt; "&amp;INDEX($D:$D,SUMPRODUCT(MAX(($A$2:$A$497=$P85)*ROW($A$2:$A$497))))))</f>
        <v/>
      </c>
    </row>
    <row r="86" spans="1:20">
      <c r="A86" s="31"/>
      <c r="B86" s="32"/>
      <c r="C86" s="31" t="s">
        <v>219</v>
      </c>
      <c r="D86" s="31"/>
      <c r="E86" s="31"/>
      <c r="F86" s="31"/>
      <c r="G86" s="31" t="s">
        <v>53</v>
      </c>
      <c r="H86" s="32"/>
      <c r="I86" s="32"/>
      <c r="J86" s="32"/>
      <c r="K86" s="31"/>
      <c r="L86" s="31"/>
      <c r="M86" s="3" t="str">
        <f t="shared" ca="1" si="6"/>
        <v/>
      </c>
      <c r="P86" t="str">
        <f>'Combined Delivery Data'!B114</f>
        <v>RPT_06_Out of Route Meters Electric</v>
      </c>
      <c r="Q86">
        <f t="shared" si="7"/>
        <v>0</v>
      </c>
      <c r="R86">
        <f t="shared" si="8"/>
        <v>0</v>
      </c>
      <c r="S86" s="28" t="str">
        <f>IF($P86="","",IF(SUMPRODUCT(MAX(($A$2:$A$497=$P86)*ROW($A$2:$A$497)))=0,"",INDEX($B:$B,SUMPRODUCT(MAX(($A$2:$A$497=$P86)*ROW($A$2:$A$497))))))</f>
        <v/>
      </c>
      <c r="T86" t="str">
        <f>IF($P86="","",IF(SUMPRODUCT(MAX(($A$2:$A$497=$P86)*ROW($A$2:$A$497)))=0,"",INDEX($C:$C,SUMPRODUCT(MAX(($A$2:$A$497=$P86)*ROW($A$2:$A$497))))&amp;" -&gt; "&amp;INDEX($D:$D,SUMPRODUCT(MAX(($A$2:$A$497=$P86)*ROW($A$2:$A$497))))))</f>
        <v/>
      </c>
    </row>
    <row r="87" spans="1:20">
      <c r="A87" s="31"/>
      <c r="B87" s="32"/>
      <c r="C87" s="31" t="s">
        <v>219</v>
      </c>
      <c r="D87" s="31"/>
      <c r="E87" s="31"/>
      <c r="F87" s="31"/>
      <c r="G87" s="31" t="s">
        <v>53</v>
      </c>
      <c r="H87" s="32"/>
      <c r="I87" s="32"/>
      <c r="J87" s="32"/>
      <c r="K87" s="31"/>
      <c r="L87" s="31"/>
      <c r="M87" s="3" t="str">
        <f t="shared" ca="1" si="6"/>
        <v/>
      </c>
      <c r="P87" t="str">
        <f>'Combined Delivery Data'!B115</f>
        <v>RPT_06_Installed Meters</v>
      </c>
      <c r="Q87">
        <f t="shared" si="7"/>
        <v>0</v>
      </c>
      <c r="R87">
        <f t="shared" si="8"/>
        <v>0</v>
      </c>
      <c r="S87" s="28" t="str">
        <f>IF($P87="","",IF(SUMPRODUCT(MAX(($A$2:$A$497=$P87)*ROW($A$2:$A$497)))=0,"",INDEX($B:$B,SUMPRODUCT(MAX(($A$2:$A$497=$P87)*ROW($A$2:$A$497))))))</f>
        <v/>
      </c>
      <c r="T87" t="str">
        <f>IF($P87="","",IF(SUMPRODUCT(MAX(($A$2:$A$497=$P87)*ROW($A$2:$A$497)))=0,"",INDEX($C:$C,SUMPRODUCT(MAX(($A$2:$A$497=$P87)*ROW($A$2:$A$497))))&amp;" -&gt; "&amp;INDEX($D:$D,SUMPRODUCT(MAX(($A$2:$A$497=$P87)*ROW($A$2:$A$497))))))</f>
        <v/>
      </c>
    </row>
    <row r="88" spans="1:20">
      <c r="A88" s="31"/>
      <c r="B88" s="32"/>
      <c r="C88" s="31" t="s">
        <v>219</v>
      </c>
      <c r="D88" s="31"/>
      <c r="E88" s="31"/>
      <c r="F88" s="31"/>
      <c r="G88" s="31" t="s">
        <v>53</v>
      </c>
      <c r="H88" s="32"/>
      <c r="I88" s="32"/>
      <c r="J88" s="32"/>
      <c r="K88" s="31"/>
      <c r="L88" s="31"/>
      <c r="M88" s="3" t="str">
        <f t="shared" ca="1" si="6"/>
        <v/>
      </c>
      <c r="P88">
        <f>'Combined Delivery Data'!B117</f>
        <v>0</v>
      </c>
      <c r="Q88">
        <f t="shared" si="7"/>
        <v>0</v>
      </c>
      <c r="R88">
        <f t="shared" si="8"/>
        <v>452</v>
      </c>
      <c r="S88" s="28">
        <f>IF($P88="","",IF(SUMPRODUCT(MAX(($A$2:$A$497=$P88)*ROW($A$2:$A$497)))=0,"",INDEX($B:$B,SUMPRODUCT(MAX(($A$2:$A$497=$P88)*ROW($A$2:$A$497))))))</f>
        <v>0</v>
      </c>
      <c r="T88" t="str">
        <f>IF($P88="","",IF(SUMPRODUCT(MAX(($A$2:$A$497=$P88)*ROW($A$2:$A$497)))=0,"",INDEX($C:$C,SUMPRODUCT(MAX(($A$2:$A$497=$P88)*ROW($A$2:$A$497))))&amp;" -&gt; "&amp;INDEX($D:$D,SUMPRODUCT(MAX(($A$2:$A$497=$P88)*ROW($A$2:$A$497))))))</f>
        <v xml:space="preserve"> -&gt; </v>
      </c>
    </row>
    <row r="89" spans="1:20">
      <c r="A89" s="31"/>
      <c r="B89" s="32"/>
      <c r="C89" s="31" t="s">
        <v>219</v>
      </c>
      <c r="D89" s="31"/>
      <c r="E89" s="31"/>
      <c r="F89" s="31"/>
      <c r="G89" s="31" t="s">
        <v>53</v>
      </c>
      <c r="H89" s="32"/>
      <c r="I89" s="32"/>
      <c r="J89" s="32"/>
      <c r="K89" s="31"/>
      <c r="L89" s="31"/>
      <c r="M89" s="3" t="str">
        <f t="shared" ca="1" si="6"/>
        <v/>
      </c>
      <c r="P89">
        <f>'Combined Delivery Data'!B118</f>
        <v>0</v>
      </c>
      <c r="Q89">
        <f t="shared" si="7"/>
        <v>0</v>
      </c>
      <c r="R89">
        <f t="shared" si="8"/>
        <v>452</v>
      </c>
      <c r="S89" s="28">
        <f>IF($P89="","",IF(SUMPRODUCT(MAX(($A$2:$A$497=$P89)*ROW($A$2:$A$497)))=0,"",INDEX($B:$B,SUMPRODUCT(MAX(($A$2:$A$497=$P89)*ROW($A$2:$A$497))))))</f>
        <v>0</v>
      </c>
      <c r="T89" t="str">
        <f>IF($P89="","",IF(SUMPRODUCT(MAX(($A$2:$A$497=$P89)*ROW($A$2:$A$497)))=0,"",INDEX($C:$C,SUMPRODUCT(MAX(($A$2:$A$497=$P89)*ROW($A$2:$A$497))))&amp;" -&gt; "&amp;INDEX($D:$D,SUMPRODUCT(MAX(($A$2:$A$497=$P89)*ROW($A$2:$A$497))))))</f>
        <v xml:space="preserve"> -&gt; </v>
      </c>
    </row>
    <row r="90" spans="1:20">
      <c r="A90" s="31"/>
      <c r="B90" s="32"/>
      <c r="C90" s="31" t="s">
        <v>219</v>
      </c>
      <c r="D90" s="31"/>
      <c r="E90" s="31"/>
      <c r="F90" s="31"/>
      <c r="G90" s="31" t="s">
        <v>53</v>
      </c>
      <c r="H90" s="32"/>
      <c r="I90" s="32"/>
      <c r="J90" s="32"/>
      <c r="K90" s="31"/>
      <c r="L90" s="31"/>
      <c r="M90" s="3" t="str">
        <f t="shared" ca="1" si="6"/>
        <v/>
      </c>
      <c r="P90">
        <f>'Combined Delivery Data'!B119</f>
        <v>0</v>
      </c>
      <c r="Q90">
        <f t="shared" si="7"/>
        <v>0</v>
      </c>
      <c r="R90">
        <f t="shared" si="8"/>
        <v>452</v>
      </c>
      <c r="S90" s="28">
        <f>IF($P90="","",IF(SUMPRODUCT(MAX(($A$2:$A$497=$P90)*ROW($A$2:$A$497)))=0,"",INDEX($B:$B,SUMPRODUCT(MAX(($A$2:$A$497=$P90)*ROW($A$2:$A$497))))))</f>
        <v>0</v>
      </c>
      <c r="T90" t="str">
        <f>IF($P90="","",IF(SUMPRODUCT(MAX(($A$2:$A$497=$P90)*ROW($A$2:$A$497)))=0,"",INDEX($C:$C,SUMPRODUCT(MAX(($A$2:$A$497=$P90)*ROW($A$2:$A$497))))&amp;" -&gt; "&amp;INDEX($D:$D,SUMPRODUCT(MAX(($A$2:$A$497=$P90)*ROW($A$2:$A$497))))))</f>
        <v xml:space="preserve"> -&gt; </v>
      </c>
    </row>
    <row r="91" spans="1:20">
      <c r="A91" s="31"/>
      <c r="B91" s="32"/>
      <c r="C91" s="31" t="s">
        <v>219</v>
      </c>
      <c r="D91" s="31"/>
      <c r="E91" s="31"/>
      <c r="F91" s="31"/>
      <c r="G91" s="31" t="s">
        <v>53</v>
      </c>
      <c r="H91" s="32"/>
      <c r="I91" s="32"/>
      <c r="J91" s="32"/>
      <c r="K91" s="31"/>
      <c r="L91" s="31"/>
      <c r="M91" s="3" t="str">
        <f t="shared" ca="1" si="6"/>
        <v/>
      </c>
      <c r="P91">
        <f>'Combined Delivery Data'!B120</f>
        <v>0</v>
      </c>
      <c r="Q91">
        <f t="shared" si="7"/>
        <v>0</v>
      </c>
      <c r="R91">
        <f t="shared" si="8"/>
        <v>452</v>
      </c>
      <c r="S91" s="28">
        <f>IF($P91="","",IF(SUMPRODUCT(MAX(($A$2:$A$497=$P91)*ROW($A$2:$A$497)))=0,"",INDEX($B:$B,SUMPRODUCT(MAX(($A$2:$A$497=$P91)*ROW($A$2:$A$497))))))</f>
        <v>0</v>
      </c>
      <c r="T91" t="str">
        <f>IF($P91="","",IF(SUMPRODUCT(MAX(($A$2:$A$497=$P91)*ROW($A$2:$A$497)))=0,"",INDEX($C:$C,SUMPRODUCT(MAX(($A$2:$A$497=$P91)*ROW($A$2:$A$497))))&amp;" -&gt; "&amp;INDEX($D:$D,SUMPRODUCT(MAX(($A$2:$A$497=$P91)*ROW($A$2:$A$497))))))</f>
        <v xml:space="preserve"> -&gt; </v>
      </c>
    </row>
    <row r="92" spans="1:20">
      <c r="A92" s="31"/>
      <c r="B92" s="32"/>
      <c r="C92" s="31" t="s">
        <v>219</v>
      </c>
      <c r="D92" s="31"/>
      <c r="E92" s="31"/>
      <c r="F92" s="31"/>
      <c r="G92" s="31" t="s">
        <v>53</v>
      </c>
      <c r="H92" s="32"/>
      <c r="I92" s="32"/>
      <c r="J92" s="32"/>
      <c r="K92" s="31"/>
      <c r="L92" s="31"/>
      <c r="M92" s="3" t="str">
        <f t="shared" ca="1" si="6"/>
        <v/>
      </c>
      <c r="P92">
        <f>'Combined Delivery Data'!B121</f>
        <v>0</v>
      </c>
      <c r="Q92">
        <f t="shared" si="7"/>
        <v>0</v>
      </c>
      <c r="R92">
        <f t="shared" si="8"/>
        <v>452</v>
      </c>
      <c r="S92" s="28">
        <f>IF($P92="","",IF(SUMPRODUCT(MAX(($A$2:$A$497=$P92)*ROW($A$2:$A$497)))=0,"",INDEX($B:$B,SUMPRODUCT(MAX(($A$2:$A$497=$P92)*ROW($A$2:$A$497))))))</f>
        <v>0</v>
      </c>
      <c r="T92" t="str">
        <f>IF($P92="","",IF(SUMPRODUCT(MAX(($A$2:$A$497=$P92)*ROW($A$2:$A$497)))=0,"",INDEX($C:$C,SUMPRODUCT(MAX(($A$2:$A$497=$P92)*ROW($A$2:$A$497))))&amp;" -&gt; "&amp;INDEX($D:$D,SUMPRODUCT(MAX(($A$2:$A$497=$P92)*ROW($A$2:$A$497))))))</f>
        <v xml:space="preserve"> -&gt; </v>
      </c>
    </row>
    <row r="93" spans="1:20">
      <c r="A93" s="31"/>
      <c r="B93" s="32"/>
      <c r="C93" s="31" t="s">
        <v>219</v>
      </c>
      <c r="D93" s="31"/>
      <c r="E93" s="31"/>
      <c r="F93" s="31"/>
      <c r="G93" s="31" t="s">
        <v>53</v>
      </c>
      <c r="H93" s="32"/>
      <c r="I93" s="32"/>
      <c r="J93" s="32"/>
      <c r="K93" s="31"/>
      <c r="L93" s="31"/>
      <c r="M93" s="3" t="str">
        <f t="shared" ca="1" si="6"/>
        <v/>
      </c>
      <c r="P93">
        <f>'Combined Delivery Data'!B122</f>
        <v>0</v>
      </c>
      <c r="Q93">
        <f t="shared" si="7"/>
        <v>0</v>
      </c>
      <c r="R93">
        <f t="shared" si="8"/>
        <v>452</v>
      </c>
      <c r="S93" s="28">
        <f>IF($P93="","",IF(SUMPRODUCT(MAX(($A$2:$A$497=$P93)*ROW($A$2:$A$497)))=0,"",INDEX($B:$B,SUMPRODUCT(MAX(($A$2:$A$497=$P93)*ROW($A$2:$A$497))))))</f>
        <v>0</v>
      </c>
      <c r="T93" t="str">
        <f>IF($P93="","",IF(SUMPRODUCT(MAX(($A$2:$A$497=$P93)*ROW($A$2:$A$497)))=0,"",INDEX($C:$C,SUMPRODUCT(MAX(($A$2:$A$497=$P93)*ROW($A$2:$A$497))))&amp;" -&gt; "&amp;INDEX($D:$D,SUMPRODUCT(MAX(($A$2:$A$497=$P93)*ROW($A$2:$A$497))))))</f>
        <v xml:space="preserve"> -&gt; </v>
      </c>
    </row>
    <row r="94" spans="1:20">
      <c r="A94" s="31"/>
      <c r="B94" s="32"/>
      <c r="C94" s="31" t="s">
        <v>219</v>
      </c>
      <c r="D94" s="31"/>
      <c r="E94" s="31"/>
      <c r="F94" s="31"/>
      <c r="G94" s="31" t="s">
        <v>53</v>
      </c>
      <c r="H94" s="32"/>
      <c r="I94" s="32"/>
      <c r="J94" s="32"/>
      <c r="K94" s="31"/>
      <c r="L94" s="31"/>
      <c r="M94" s="3" t="str">
        <f t="shared" ca="1" si="6"/>
        <v/>
      </c>
      <c r="P94">
        <f>'Combined Delivery Data'!B123</f>
        <v>0</v>
      </c>
      <c r="Q94">
        <f t="shared" si="7"/>
        <v>0</v>
      </c>
      <c r="R94">
        <f t="shared" si="8"/>
        <v>452</v>
      </c>
      <c r="S94" s="28">
        <f>IF($P94="","",IF(SUMPRODUCT(MAX(($A$2:$A$497=$P94)*ROW($A$2:$A$497)))=0,"",INDEX($B:$B,SUMPRODUCT(MAX(($A$2:$A$497=$P94)*ROW($A$2:$A$497))))))</f>
        <v>0</v>
      </c>
      <c r="T94" t="str">
        <f>IF($P94="","",IF(SUMPRODUCT(MAX(($A$2:$A$497=$P94)*ROW($A$2:$A$497)))=0,"",INDEX($C:$C,SUMPRODUCT(MAX(($A$2:$A$497=$P94)*ROW($A$2:$A$497))))&amp;" -&gt; "&amp;INDEX($D:$D,SUMPRODUCT(MAX(($A$2:$A$497=$P94)*ROW($A$2:$A$497))))))</f>
        <v xml:space="preserve"> -&gt; </v>
      </c>
    </row>
    <row r="95" spans="1:20">
      <c r="A95" s="31"/>
      <c r="B95" s="32"/>
      <c r="C95" s="31" t="s">
        <v>219</v>
      </c>
      <c r="D95" s="31"/>
      <c r="E95" s="31"/>
      <c r="F95" s="31"/>
      <c r="G95" s="31" t="s">
        <v>53</v>
      </c>
      <c r="H95" s="32"/>
      <c r="I95" s="32"/>
      <c r="J95" s="32"/>
      <c r="K95" s="31"/>
      <c r="L95" s="31"/>
      <c r="M95" s="3" t="str">
        <f t="shared" ca="1" si="6"/>
        <v/>
      </c>
      <c r="P95">
        <f>'Combined Delivery Data'!B124</f>
        <v>0</v>
      </c>
      <c r="Q95">
        <f t="shared" si="7"/>
        <v>0</v>
      </c>
      <c r="R95">
        <f t="shared" si="8"/>
        <v>452</v>
      </c>
      <c r="S95" s="28">
        <f>IF($P95="","",IF(SUMPRODUCT(MAX(($A$2:$A$497=$P95)*ROW($A$2:$A$497)))=0,"",INDEX($B:$B,SUMPRODUCT(MAX(($A$2:$A$497=$P95)*ROW($A$2:$A$497))))))</f>
        <v>0</v>
      </c>
      <c r="T95" t="str">
        <f>IF($P95="","",IF(SUMPRODUCT(MAX(($A$2:$A$497=$P95)*ROW($A$2:$A$497)))=0,"",INDEX($C:$C,SUMPRODUCT(MAX(($A$2:$A$497=$P95)*ROW($A$2:$A$497))))&amp;" -&gt; "&amp;INDEX($D:$D,SUMPRODUCT(MAX(($A$2:$A$497=$P95)*ROW($A$2:$A$497))))))</f>
        <v xml:space="preserve"> -&gt; </v>
      </c>
    </row>
    <row r="96" spans="1:20">
      <c r="A96" s="31"/>
      <c r="B96" s="32"/>
      <c r="C96" s="31" t="s">
        <v>219</v>
      </c>
      <c r="D96" s="31"/>
      <c r="E96" s="31"/>
      <c r="F96" s="31"/>
      <c r="G96" s="31" t="s">
        <v>53</v>
      </c>
      <c r="H96" s="32"/>
      <c r="I96" s="32"/>
      <c r="J96" s="32"/>
      <c r="K96" s="31"/>
      <c r="L96" s="31"/>
      <c r="M96" s="3" t="str">
        <f t="shared" ca="1" si="6"/>
        <v/>
      </c>
      <c r="P96">
        <f>'Combined Delivery Data'!B125</f>
        <v>0</v>
      </c>
      <c r="Q96">
        <f t="shared" si="7"/>
        <v>0</v>
      </c>
      <c r="R96">
        <f t="shared" si="8"/>
        <v>452</v>
      </c>
      <c r="S96" s="28">
        <f>IF($P96="","",IF(SUMPRODUCT(MAX(($A$2:$A$497=$P96)*ROW($A$2:$A$497)))=0,"",INDEX($B:$B,SUMPRODUCT(MAX(($A$2:$A$497=$P96)*ROW($A$2:$A$497))))))</f>
        <v>0</v>
      </c>
      <c r="T96" t="str">
        <f>IF($P96="","",IF(SUMPRODUCT(MAX(($A$2:$A$497=$P96)*ROW($A$2:$A$497)))=0,"",INDEX($C:$C,SUMPRODUCT(MAX(($A$2:$A$497=$P96)*ROW($A$2:$A$497))))&amp;" -&gt; "&amp;INDEX($D:$D,SUMPRODUCT(MAX(($A$2:$A$497=$P96)*ROW($A$2:$A$497))))))</f>
        <v xml:space="preserve"> -&gt; </v>
      </c>
    </row>
    <row r="97" spans="1:20">
      <c r="A97" s="31"/>
      <c r="B97" s="32"/>
      <c r="C97" s="31" t="s">
        <v>219</v>
      </c>
      <c r="D97" s="31"/>
      <c r="E97" s="31"/>
      <c r="F97" s="31"/>
      <c r="G97" s="31" t="s">
        <v>53</v>
      </c>
      <c r="H97" s="32"/>
      <c r="I97" s="32"/>
      <c r="J97" s="32"/>
      <c r="K97" s="31"/>
      <c r="L97" s="31"/>
      <c r="M97" s="3" t="str">
        <f t="shared" ca="1" si="6"/>
        <v/>
      </c>
      <c r="P97">
        <f>'Combined Delivery Data'!B126</f>
        <v>0</v>
      </c>
      <c r="Q97">
        <f t="shared" si="7"/>
        <v>0</v>
      </c>
      <c r="R97">
        <f t="shared" si="8"/>
        <v>452</v>
      </c>
      <c r="S97" s="28">
        <f>IF($P97="","",IF(SUMPRODUCT(MAX(($A$2:$A$497=$P97)*ROW($A$2:$A$497)))=0,"",INDEX($B:$B,SUMPRODUCT(MAX(($A$2:$A$497=$P97)*ROW($A$2:$A$497))))))</f>
        <v>0</v>
      </c>
      <c r="T97" t="str">
        <f>IF($P97="","",IF(SUMPRODUCT(MAX(($A$2:$A$497=$P97)*ROW($A$2:$A$497)))=0,"",INDEX($C:$C,SUMPRODUCT(MAX(($A$2:$A$497=$P97)*ROW($A$2:$A$497))))&amp;" -&gt; "&amp;INDEX($D:$D,SUMPRODUCT(MAX(($A$2:$A$497=$P97)*ROW($A$2:$A$497))))))</f>
        <v xml:space="preserve"> -&gt; </v>
      </c>
    </row>
    <row r="98" spans="1:20">
      <c r="A98" s="31"/>
      <c r="B98" s="32"/>
      <c r="C98" s="31" t="s">
        <v>219</v>
      </c>
      <c r="D98" s="31"/>
      <c r="E98" s="31"/>
      <c r="F98" s="31"/>
      <c r="G98" s="31" t="s">
        <v>53</v>
      </c>
      <c r="H98" s="32"/>
      <c r="I98" s="32"/>
      <c r="J98" s="32"/>
      <c r="K98" s="31"/>
      <c r="L98" s="31"/>
      <c r="M98" s="3" t="str">
        <f t="shared" ca="1" si="6"/>
        <v/>
      </c>
      <c r="P98">
        <f>'Combined Delivery Data'!B127</f>
        <v>0</v>
      </c>
      <c r="Q98">
        <f t="shared" si="7"/>
        <v>0</v>
      </c>
      <c r="R98">
        <f t="shared" si="8"/>
        <v>452</v>
      </c>
      <c r="S98" s="28">
        <f>IF($P98="","",IF(SUMPRODUCT(MAX(($A$2:$A$497=$P98)*ROW($A$2:$A$497)))=0,"",INDEX($B:$B,SUMPRODUCT(MAX(($A$2:$A$497=$P98)*ROW($A$2:$A$497))))))</f>
        <v>0</v>
      </c>
      <c r="T98" t="str">
        <f>IF($P98="","",IF(SUMPRODUCT(MAX(($A$2:$A$497=$P98)*ROW($A$2:$A$497)))=0,"",INDEX($C:$C,SUMPRODUCT(MAX(($A$2:$A$497=$P98)*ROW($A$2:$A$497))))&amp;" -&gt; "&amp;INDEX($D:$D,SUMPRODUCT(MAX(($A$2:$A$497=$P98)*ROW($A$2:$A$497))))))</f>
        <v xml:space="preserve"> -&gt; </v>
      </c>
    </row>
    <row r="99" spans="1:20">
      <c r="A99" s="31"/>
      <c r="B99" s="32"/>
      <c r="C99" s="31" t="s">
        <v>219</v>
      </c>
      <c r="D99" s="31"/>
      <c r="E99" s="31"/>
      <c r="F99" s="31"/>
      <c r="G99" s="31" t="s">
        <v>53</v>
      </c>
      <c r="H99" s="32"/>
      <c r="I99" s="32"/>
      <c r="J99" s="32"/>
      <c r="K99" s="31"/>
      <c r="L99" s="31"/>
      <c r="M99" s="3" t="str">
        <f t="shared" ca="1" si="6"/>
        <v/>
      </c>
      <c r="P99">
        <f>'Combined Delivery Data'!B128</f>
        <v>0</v>
      </c>
      <c r="Q99">
        <f t="shared" si="7"/>
        <v>0</v>
      </c>
      <c r="R99">
        <f t="shared" si="8"/>
        <v>452</v>
      </c>
      <c r="S99" s="28">
        <f>IF($P99="","",IF(SUMPRODUCT(MAX(($A$2:$A$497=$P99)*ROW($A$2:$A$497)))=0,"",INDEX($B:$B,SUMPRODUCT(MAX(($A$2:$A$497=$P99)*ROW($A$2:$A$497))))))</f>
        <v>0</v>
      </c>
      <c r="T99" t="str">
        <f>IF($P99="","",IF(SUMPRODUCT(MAX(($A$2:$A$497=$P99)*ROW($A$2:$A$497)))=0,"",INDEX($C:$C,SUMPRODUCT(MAX(($A$2:$A$497=$P99)*ROW($A$2:$A$497))))&amp;" -&gt; "&amp;INDEX($D:$D,SUMPRODUCT(MAX(($A$2:$A$497=$P99)*ROW($A$2:$A$497))))))</f>
        <v xml:space="preserve"> -&gt; </v>
      </c>
    </row>
    <row r="100" spans="1:20">
      <c r="A100" s="31"/>
      <c r="B100" s="32"/>
      <c r="C100" s="31" t="s">
        <v>219</v>
      </c>
      <c r="D100" s="31"/>
      <c r="E100" s="31"/>
      <c r="F100" s="31"/>
      <c r="G100" s="31" t="s">
        <v>53</v>
      </c>
      <c r="H100" s="32"/>
      <c r="I100" s="32"/>
      <c r="J100" s="32"/>
      <c r="K100" s="31"/>
      <c r="L100" s="31"/>
      <c r="M100" s="3" t="str">
        <f t="shared" ca="1" si="6"/>
        <v/>
      </c>
      <c r="P100">
        <f>'Combined Delivery Data'!B129</f>
        <v>0</v>
      </c>
      <c r="Q100">
        <f t="shared" si="7"/>
        <v>0</v>
      </c>
      <c r="R100">
        <f t="shared" si="8"/>
        <v>452</v>
      </c>
      <c r="S100" s="28">
        <f>IF($P100="","",IF(SUMPRODUCT(MAX(($A$2:$A$497=$P100)*ROW($A$2:$A$497)))=0,"",INDEX($B:$B,SUMPRODUCT(MAX(($A$2:$A$497=$P100)*ROW($A$2:$A$497))))))</f>
        <v>0</v>
      </c>
      <c r="T100" t="str">
        <f>IF($P100="","",IF(SUMPRODUCT(MAX(($A$2:$A$497=$P100)*ROW($A$2:$A$497)))=0,"",INDEX($C:$C,SUMPRODUCT(MAX(($A$2:$A$497=$P100)*ROW($A$2:$A$497))))&amp;" -&gt; "&amp;INDEX($D:$D,SUMPRODUCT(MAX(($A$2:$A$497=$P100)*ROW($A$2:$A$497))))))</f>
        <v xml:space="preserve"> -&gt; </v>
      </c>
    </row>
    <row r="101" spans="1:20">
      <c r="A101" s="31"/>
      <c r="B101" s="32"/>
      <c r="C101" s="31" t="s">
        <v>219</v>
      </c>
      <c r="D101" s="31"/>
      <c r="E101" s="31"/>
      <c r="F101" s="31"/>
      <c r="G101" s="31" t="s">
        <v>53</v>
      </c>
      <c r="H101" s="32"/>
      <c r="I101" s="32"/>
      <c r="J101" s="32"/>
      <c r="K101" s="31"/>
      <c r="L101" s="31"/>
      <c r="M101" s="3" t="str">
        <f t="shared" ca="1" si="6"/>
        <v/>
      </c>
      <c r="P101">
        <f>'Combined Delivery Data'!B130</f>
        <v>0</v>
      </c>
      <c r="Q101">
        <f t="shared" si="7"/>
        <v>0</v>
      </c>
      <c r="R101">
        <f t="shared" si="8"/>
        <v>452</v>
      </c>
      <c r="S101" s="28">
        <f>IF($P101="","",IF(SUMPRODUCT(MAX(($A$2:$A$497=$P101)*ROW($A$2:$A$497)))=0,"",INDEX($B:$B,SUMPRODUCT(MAX(($A$2:$A$497=$P101)*ROW($A$2:$A$497))))))</f>
        <v>0</v>
      </c>
      <c r="T101" t="str">
        <f>IF($P101="","",IF(SUMPRODUCT(MAX(($A$2:$A$497=$P101)*ROW($A$2:$A$497)))=0,"",INDEX($C:$C,SUMPRODUCT(MAX(($A$2:$A$497=$P101)*ROW($A$2:$A$497))))&amp;" -&gt; "&amp;INDEX($D:$D,SUMPRODUCT(MAX(($A$2:$A$497=$P101)*ROW($A$2:$A$497))))))</f>
        <v xml:space="preserve"> -&gt; </v>
      </c>
    </row>
    <row r="102" spans="1:20">
      <c r="A102" s="31"/>
      <c r="B102" s="32"/>
      <c r="C102" s="31" t="s">
        <v>219</v>
      </c>
      <c r="D102" s="31"/>
      <c r="E102" s="31"/>
      <c r="F102" s="31"/>
      <c r="G102" s="31" t="s">
        <v>53</v>
      </c>
      <c r="H102" s="32"/>
      <c r="I102" s="32"/>
      <c r="J102" s="32"/>
      <c r="K102" s="31"/>
      <c r="L102" s="31"/>
      <c r="M102" s="3" t="str">
        <f t="shared" ca="1" si="6"/>
        <v/>
      </c>
      <c r="P102">
        <f>'Combined Delivery Data'!B131</f>
        <v>0</v>
      </c>
      <c r="Q102">
        <f t="shared" si="7"/>
        <v>0</v>
      </c>
      <c r="R102">
        <f t="shared" si="8"/>
        <v>452</v>
      </c>
      <c r="S102" s="28">
        <f>IF($P102="","",IF(SUMPRODUCT(MAX(($A$2:$A$497=$P102)*ROW($A$2:$A$497)))=0,"",INDEX($B:$B,SUMPRODUCT(MAX(($A$2:$A$497=$P102)*ROW($A$2:$A$497))))))</f>
        <v>0</v>
      </c>
      <c r="T102" t="str">
        <f>IF($P102="","",IF(SUMPRODUCT(MAX(($A$2:$A$497=$P102)*ROW($A$2:$A$497)))=0,"",INDEX($C:$C,SUMPRODUCT(MAX(($A$2:$A$497=$P102)*ROW($A$2:$A$497))))&amp;" -&gt; "&amp;INDEX($D:$D,SUMPRODUCT(MAX(($A$2:$A$497=$P102)*ROW($A$2:$A$497))))))</f>
        <v xml:space="preserve"> -&gt; </v>
      </c>
    </row>
    <row r="103" spans="1:20">
      <c r="A103" s="31"/>
      <c r="B103" s="32"/>
      <c r="C103" s="31" t="s">
        <v>219</v>
      </c>
      <c r="D103" s="31"/>
      <c r="E103" s="31"/>
      <c r="F103" s="31"/>
      <c r="G103" s="31" t="s">
        <v>53</v>
      </c>
      <c r="H103" s="32"/>
      <c r="I103" s="32"/>
      <c r="J103" s="32"/>
      <c r="K103" s="31"/>
      <c r="L103" s="31"/>
      <c r="M103" s="3" t="str">
        <f t="shared" ca="1" si="6"/>
        <v/>
      </c>
      <c r="P103">
        <f>'Combined Delivery Data'!B132</f>
        <v>0</v>
      </c>
      <c r="Q103">
        <f t="shared" si="7"/>
        <v>0</v>
      </c>
      <c r="R103">
        <f t="shared" si="8"/>
        <v>452</v>
      </c>
      <c r="S103" s="28">
        <f>IF($P103="","",IF(SUMPRODUCT(MAX(($A$2:$A$497=$P103)*ROW($A$2:$A$497)))=0,"",INDEX($B:$B,SUMPRODUCT(MAX(($A$2:$A$497=$P103)*ROW($A$2:$A$497))))))</f>
        <v>0</v>
      </c>
      <c r="T103" t="str">
        <f>IF($P103="","",IF(SUMPRODUCT(MAX(($A$2:$A$497=$P103)*ROW($A$2:$A$497)))=0,"",INDEX($C:$C,SUMPRODUCT(MAX(($A$2:$A$497=$P103)*ROW($A$2:$A$497))))&amp;" -&gt; "&amp;INDEX($D:$D,SUMPRODUCT(MAX(($A$2:$A$497=$P103)*ROW($A$2:$A$497))))))</f>
        <v xml:space="preserve"> -&gt; </v>
      </c>
    </row>
    <row r="104" spans="1:20">
      <c r="A104" s="31"/>
      <c r="B104" s="32"/>
      <c r="C104" s="31" t="s">
        <v>219</v>
      </c>
      <c r="D104" s="31"/>
      <c r="E104" s="31"/>
      <c r="F104" s="31"/>
      <c r="G104" s="31" t="s">
        <v>53</v>
      </c>
      <c r="H104" s="32"/>
      <c r="I104" s="32"/>
      <c r="J104" s="32"/>
      <c r="K104" s="31"/>
      <c r="L104" s="31"/>
      <c r="M104" s="3" t="str">
        <f t="shared" ca="1" si="6"/>
        <v/>
      </c>
      <c r="P104">
        <f>'Combined Delivery Data'!B134</f>
        <v>0</v>
      </c>
      <c r="Q104">
        <f t="shared" si="7"/>
        <v>0</v>
      </c>
      <c r="R104">
        <f t="shared" si="8"/>
        <v>452</v>
      </c>
      <c r="S104" s="28">
        <f>IF($P104="","",IF(SUMPRODUCT(MAX(($A$2:$A$497=$P104)*ROW($A$2:$A$497)))=0,"",INDEX($B:$B,SUMPRODUCT(MAX(($A$2:$A$497=$P104)*ROW($A$2:$A$497))))))</f>
        <v>0</v>
      </c>
      <c r="T104" t="str">
        <f>IF($P104="","",IF(SUMPRODUCT(MAX(($A$2:$A$497=$P104)*ROW($A$2:$A$497)))=0,"",INDEX($C:$C,SUMPRODUCT(MAX(($A$2:$A$497=$P104)*ROW($A$2:$A$497))))&amp;" -&gt; "&amp;INDEX($D:$D,SUMPRODUCT(MAX(($A$2:$A$497=$P104)*ROW($A$2:$A$497))))))</f>
        <v xml:space="preserve"> -&gt; </v>
      </c>
    </row>
    <row r="105" spans="1:20">
      <c r="A105" s="31"/>
      <c r="B105" s="32"/>
      <c r="C105" s="31" t="s">
        <v>219</v>
      </c>
      <c r="D105" s="31"/>
      <c r="E105" s="31"/>
      <c r="F105" s="31"/>
      <c r="G105" s="31" t="s">
        <v>53</v>
      </c>
      <c r="H105" s="32"/>
      <c r="I105" s="32"/>
      <c r="J105" s="32"/>
      <c r="K105" s="31"/>
      <c r="L105" s="31"/>
      <c r="M105" s="3" t="str">
        <f t="shared" ca="1" si="6"/>
        <v/>
      </c>
      <c r="P105">
        <f>'Combined Delivery Data'!B135</f>
        <v>0</v>
      </c>
      <c r="Q105">
        <f t="shared" si="7"/>
        <v>0</v>
      </c>
      <c r="R105">
        <f t="shared" si="8"/>
        <v>452</v>
      </c>
      <c r="S105" s="28">
        <f>IF($P105="","",IF(SUMPRODUCT(MAX(($A$2:$A$497=$P105)*ROW($A$2:$A$497)))=0,"",INDEX($B:$B,SUMPRODUCT(MAX(($A$2:$A$497=$P105)*ROW($A$2:$A$497))))))</f>
        <v>0</v>
      </c>
      <c r="T105" t="str">
        <f>IF($P105="","",IF(SUMPRODUCT(MAX(($A$2:$A$497=$P105)*ROW($A$2:$A$497)))=0,"",INDEX($C:$C,SUMPRODUCT(MAX(($A$2:$A$497=$P105)*ROW($A$2:$A$497))))&amp;" -&gt; "&amp;INDEX($D:$D,SUMPRODUCT(MAX(($A$2:$A$497=$P105)*ROW($A$2:$A$497))))))</f>
        <v xml:space="preserve"> -&gt; </v>
      </c>
    </row>
    <row r="106" spans="1:20">
      <c r="A106" s="31"/>
      <c r="B106" s="32"/>
      <c r="C106" s="31" t="s">
        <v>219</v>
      </c>
      <c r="D106" s="31"/>
      <c r="E106" s="31"/>
      <c r="F106" s="31"/>
      <c r="G106" s="31" t="s">
        <v>53</v>
      </c>
      <c r="H106" s="32"/>
      <c r="I106" s="32"/>
      <c r="J106" s="32"/>
      <c r="K106" s="31"/>
      <c r="L106" s="31"/>
      <c r="M106" s="3" t="str">
        <f t="shared" ca="1" si="6"/>
        <v/>
      </c>
      <c r="P106">
        <f>'Combined Delivery Data'!B136</f>
        <v>0</v>
      </c>
      <c r="Q106">
        <f t="shared" si="7"/>
        <v>0</v>
      </c>
      <c r="R106">
        <f t="shared" si="8"/>
        <v>452</v>
      </c>
      <c r="S106" s="28">
        <f>IF($P106="","",IF(SUMPRODUCT(MAX(($A$2:$A$497=$P106)*ROW($A$2:$A$497)))=0,"",INDEX($B:$B,SUMPRODUCT(MAX(($A$2:$A$497=$P106)*ROW($A$2:$A$497))))))</f>
        <v>0</v>
      </c>
      <c r="T106" t="str">
        <f>IF($P106="","",IF(SUMPRODUCT(MAX(($A$2:$A$497=$P106)*ROW($A$2:$A$497)))=0,"",INDEX($C:$C,SUMPRODUCT(MAX(($A$2:$A$497=$P106)*ROW($A$2:$A$497))))&amp;" -&gt; "&amp;INDEX($D:$D,SUMPRODUCT(MAX(($A$2:$A$497=$P106)*ROW($A$2:$A$497))))))</f>
        <v xml:space="preserve"> -&gt; </v>
      </c>
    </row>
    <row r="107" spans="1:20">
      <c r="A107" s="31"/>
      <c r="B107" s="32"/>
      <c r="C107" s="31" t="s">
        <v>219</v>
      </c>
      <c r="D107" s="31"/>
      <c r="E107" s="31"/>
      <c r="F107" s="31"/>
      <c r="G107" s="31" t="s">
        <v>53</v>
      </c>
      <c r="H107" s="32"/>
      <c r="I107" s="32"/>
      <c r="J107" s="32"/>
      <c r="K107" s="31"/>
      <c r="L107" s="31"/>
      <c r="M107" s="3" t="str">
        <f t="shared" ca="1" si="6"/>
        <v/>
      </c>
      <c r="P107">
        <f>'Combined Delivery Data'!B137</f>
        <v>0</v>
      </c>
      <c r="Q107">
        <f t="shared" si="7"/>
        <v>0</v>
      </c>
      <c r="R107">
        <f t="shared" si="8"/>
        <v>452</v>
      </c>
      <c r="S107" s="28">
        <f>IF($P107="","",IF(SUMPRODUCT(MAX(($A$2:$A$497=$P107)*ROW($A$2:$A$497)))=0,"",INDEX($B:$B,SUMPRODUCT(MAX(($A$2:$A$497=$P107)*ROW($A$2:$A$497))))))</f>
        <v>0</v>
      </c>
      <c r="T107" t="str">
        <f>IF($P107="","",IF(SUMPRODUCT(MAX(($A$2:$A$497=$P107)*ROW($A$2:$A$497)))=0,"",INDEX($C:$C,SUMPRODUCT(MAX(($A$2:$A$497=$P107)*ROW($A$2:$A$497))))&amp;" -&gt; "&amp;INDEX($D:$D,SUMPRODUCT(MAX(($A$2:$A$497=$P107)*ROW($A$2:$A$497))))))</f>
        <v xml:space="preserve"> -&gt; </v>
      </c>
    </row>
    <row r="108" spans="1:20">
      <c r="A108" s="31"/>
      <c r="B108" s="32"/>
      <c r="C108" s="31" t="s">
        <v>219</v>
      </c>
      <c r="D108" s="31"/>
      <c r="E108" s="31"/>
      <c r="F108" s="31"/>
      <c r="G108" s="31" t="s">
        <v>53</v>
      </c>
      <c r="H108" s="32"/>
      <c r="I108" s="32"/>
      <c r="J108" s="32"/>
      <c r="K108" s="31"/>
      <c r="L108" s="31"/>
      <c r="M108" s="3" t="str">
        <f t="shared" ca="1" si="6"/>
        <v/>
      </c>
      <c r="P108">
        <f>'Combined Delivery Data'!B138</f>
        <v>0</v>
      </c>
      <c r="Q108">
        <f t="shared" si="7"/>
        <v>0</v>
      </c>
      <c r="R108">
        <f t="shared" si="8"/>
        <v>452</v>
      </c>
      <c r="S108" s="28">
        <f>IF($P108="","",IF(SUMPRODUCT(MAX(($A$2:$A$497=$P108)*ROW($A$2:$A$497)))=0,"",INDEX($B:$B,SUMPRODUCT(MAX(($A$2:$A$497=$P108)*ROW($A$2:$A$497))))))</f>
        <v>0</v>
      </c>
      <c r="T108" t="str">
        <f>IF($P108="","",IF(SUMPRODUCT(MAX(($A$2:$A$497=$P108)*ROW($A$2:$A$497)))=0,"",INDEX($C:$C,SUMPRODUCT(MAX(($A$2:$A$497=$P108)*ROW($A$2:$A$497))))&amp;" -&gt; "&amp;INDEX($D:$D,SUMPRODUCT(MAX(($A$2:$A$497=$P108)*ROW($A$2:$A$497))))))</f>
        <v xml:space="preserve"> -&gt; </v>
      </c>
    </row>
    <row r="109" spans="1:20">
      <c r="A109" s="31"/>
      <c r="B109" s="32"/>
      <c r="C109" s="31" t="s">
        <v>219</v>
      </c>
      <c r="D109" s="31"/>
      <c r="E109" s="31"/>
      <c r="F109" s="31"/>
      <c r="G109" s="31" t="s">
        <v>53</v>
      </c>
      <c r="H109" s="32"/>
      <c r="I109" s="32"/>
      <c r="J109" s="32"/>
      <c r="K109" s="31"/>
      <c r="L109" s="31"/>
      <c r="M109" s="3" t="str">
        <f t="shared" ca="1" si="6"/>
        <v/>
      </c>
      <c r="P109">
        <f>'Combined Delivery Data'!B139</f>
        <v>0</v>
      </c>
      <c r="Q109">
        <f t="shared" si="7"/>
        <v>0</v>
      </c>
      <c r="R109">
        <f t="shared" si="8"/>
        <v>452</v>
      </c>
      <c r="S109" s="28">
        <f>IF($P109="","",IF(SUMPRODUCT(MAX(($A$2:$A$497=$P109)*ROW($A$2:$A$497)))=0,"",INDEX($B:$B,SUMPRODUCT(MAX(($A$2:$A$497=$P109)*ROW($A$2:$A$497))))))</f>
        <v>0</v>
      </c>
      <c r="T109" t="str">
        <f>IF($P109="","",IF(SUMPRODUCT(MAX(($A$2:$A$497=$P109)*ROW($A$2:$A$497)))=0,"",INDEX($C:$C,SUMPRODUCT(MAX(($A$2:$A$497=$P109)*ROW($A$2:$A$497))))&amp;" -&gt; "&amp;INDEX($D:$D,SUMPRODUCT(MAX(($A$2:$A$497=$P109)*ROW($A$2:$A$497))))))</f>
        <v xml:space="preserve"> -&gt; </v>
      </c>
    </row>
    <row r="110" spans="1:20">
      <c r="A110" s="31"/>
      <c r="B110" s="32"/>
      <c r="C110" s="31" t="s">
        <v>219</v>
      </c>
      <c r="D110" s="31"/>
      <c r="E110" s="31"/>
      <c r="F110" s="31"/>
      <c r="G110" s="31" t="s">
        <v>53</v>
      </c>
      <c r="H110" s="32"/>
      <c r="I110" s="32"/>
      <c r="J110" s="32"/>
      <c r="K110" s="31"/>
      <c r="L110" s="31"/>
      <c r="M110" s="3" t="str">
        <f t="shared" ca="1" si="6"/>
        <v/>
      </c>
      <c r="P110">
        <f>'Combined Delivery Data'!B140</f>
        <v>0</v>
      </c>
      <c r="Q110">
        <f t="shared" si="7"/>
        <v>0</v>
      </c>
      <c r="R110">
        <f t="shared" si="8"/>
        <v>452</v>
      </c>
      <c r="S110" s="28">
        <f>IF($P110="","",IF(SUMPRODUCT(MAX(($A$2:$A$497=$P110)*ROW($A$2:$A$497)))=0,"",INDEX($B:$B,SUMPRODUCT(MAX(($A$2:$A$497=$P110)*ROW($A$2:$A$497))))))</f>
        <v>0</v>
      </c>
      <c r="T110" t="str">
        <f>IF($P110="","",IF(SUMPRODUCT(MAX(($A$2:$A$497=$P110)*ROW($A$2:$A$497)))=0,"",INDEX($C:$C,SUMPRODUCT(MAX(($A$2:$A$497=$P110)*ROW($A$2:$A$497))))&amp;" -&gt; "&amp;INDEX($D:$D,SUMPRODUCT(MAX(($A$2:$A$497=$P110)*ROW($A$2:$A$497))))))</f>
        <v xml:space="preserve"> -&gt; </v>
      </c>
    </row>
    <row r="111" spans="1:20">
      <c r="A111" s="31"/>
      <c r="B111" s="32"/>
      <c r="C111" s="31" t="s">
        <v>219</v>
      </c>
      <c r="D111" s="31"/>
      <c r="E111" s="31"/>
      <c r="F111" s="31"/>
      <c r="G111" s="31" t="s">
        <v>53</v>
      </c>
      <c r="H111" s="32"/>
      <c r="I111" s="32"/>
      <c r="J111" s="32"/>
      <c r="K111" s="31"/>
      <c r="L111" s="31"/>
      <c r="M111" s="3" t="str">
        <f t="shared" ca="1" si="6"/>
        <v/>
      </c>
      <c r="P111">
        <f>'Combined Delivery Data'!B141</f>
        <v>0</v>
      </c>
      <c r="Q111">
        <f t="shared" si="7"/>
        <v>0</v>
      </c>
      <c r="R111">
        <f t="shared" si="8"/>
        <v>452</v>
      </c>
      <c r="S111" s="28">
        <f>IF($P111="","",IF(SUMPRODUCT(MAX(($A$2:$A$497=$P111)*ROW($A$2:$A$497)))=0,"",INDEX($B:$B,SUMPRODUCT(MAX(($A$2:$A$497=$P111)*ROW($A$2:$A$497))))))</f>
        <v>0</v>
      </c>
      <c r="T111" t="str">
        <f>IF($P111="","",IF(SUMPRODUCT(MAX(($A$2:$A$497=$P111)*ROW($A$2:$A$497)))=0,"",INDEX($C:$C,SUMPRODUCT(MAX(($A$2:$A$497=$P111)*ROW($A$2:$A$497))))&amp;" -&gt; "&amp;INDEX($D:$D,SUMPRODUCT(MAX(($A$2:$A$497=$P111)*ROW($A$2:$A$497))))))</f>
        <v xml:space="preserve"> -&gt; </v>
      </c>
    </row>
    <row r="112" spans="1:20">
      <c r="A112" s="31"/>
      <c r="B112" s="32"/>
      <c r="C112" s="31" t="s">
        <v>219</v>
      </c>
      <c r="D112" s="31"/>
      <c r="E112" s="31"/>
      <c r="F112" s="31"/>
      <c r="G112" s="31" t="s">
        <v>53</v>
      </c>
      <c r="H112" s="32"/>
      <c r="I112" s="32"/>
      <c r="J112" s="32"/>
      <c r="K112" s="31"/>
      <c r="L112" s="31"/>
      <c r="M112" s="3" t="str">
        <f t="shared" ca="1" si="6"/>
        <v/>
      </c>
      <c r="P112">
        <f>'Combined Delivery Data'!B142</f>
        <v>0</v>
      </c>
      <c r="Q112">
        <f t="shared" si="7"/>
        <v>0</v>
      </c>
      <c r="R112">
        <f t="shared" si="8"/>
        <v>452</v>
      </c>
      <c r="S112" s="28">
        <f>IF($P112="","",IF(SUMPRODUCT(MAX(($A$2:$A$497=$P112)*ROW($A$2:$A$497)))=0,"",INDEX($B:$B,SUMPRODUCT(MAX(($A$2:$A$497=$P112)*ROW($A$2:$A$497))))))</f>
        <v>0</v>
      </c>
      <c r="T112" t="str">
        <f>IF($P112="","",IF(SUMPRODUCT(MAX(($A$2:$A$497=$P112)*ROW($A$2:$A$497)))=0,"",INDEX($C:$C,SUMPRODUCT(MAX(($A$2:$A$497=$P112)*ROW($A$2:$A$497))))&amp;" -&gt; "&amp;INDEX($D:$D,SUMPRODUCT(MAX(($A$2:$A$497=$P112)*ROW($A$2:$A$497))))))</f>
        <v xml:space="preserve"> -&gt; </v>
      </c>
    </row>
    <row r="113" spans="1:20">
      <c r="A113" s="31"/>
      <c r="B113" s="32"/>
      <c r="C113" s="31" t="s">
        <v>219</v>
      </c>
      <c r="D113" s="31"/>
      <c r="E113" s="31"/>
      <c r="F113" s="31"/>
      <c r="G113" s="31" t="s">
        <v>53</v>
      </c>
      <c r="H113" s="32"/>
      <c r="I113" s="32"/>
      <c r="J113" s="32"/>
      <c r="K113" s="31"/>
      <c r="L113" s="31"/>
      <c r="M113" s="3" t="str">
        <f t="shared" ca="1" si="6"/>
        <v/>
      </c>
      <c r="P113">
        <f>'Combined Delivery Data'!B143</f>
        <v>0</v>
      </c>
      <c r="Q113">
        <f t="shared" si="7"/>
        <v>0</v>
      </c>
      <c r="R113">
        <f t="shared" si="8"/>
        <v>452</v>
      </c>
      <c r="S113" s="28">
        <f>IF($P113="","",IF(SUMPRODUCT(MAX(($A$2:$A$497=$P113)*ROW($A$2:$A$497)))=0,"",INDEX($B:$B,SUMPRODUCT(MAX(($A$2:$A$497=$P113)*ROW($A$2:$A$497))))))</f>
        <v>0</v>
      </c>
      <c r="T113" t="str">
        <f>IF($P113="","",IF(SUMPRODUCT(MAX(($A$2:$A$497=$P113)*ROW($A$2:$A$497)))=0,"",INDEX($C:$C,SUMPRODUCT(MAX(($A$2:$A$497=$P113)*ROW($A$2:$A$497))))&amp;" -&gt; "&amp;INDEX($D:$D,SUMPRODUCT(MAX(($A$2:$A$497=$P113)*ROW($A$2:$A$497))))))</f>
        <v xml:space="preserve"> -&gt; </v>
      </c>
    </row>
    <row r="114" spans="1:20">
      <c r="A114" s="31"/>
      <c r="B114" s="32"/>
      <c r="C114" s="31" t="s">
        <v>219</v>
      </c>
      <c r="D114" s="31"/>
      <c r="E114" s="31"/>
      <c r="F114" s="31"/>
      <c r="G114" s="31" t="s">
        <v>53</v>
      </c>
      <c r="H114" s="32"/>
      <c r="I114" s="32"/>
      <c r="J114" s="32"/>
      <c r="K114" s="31"/>
      <c r="L114" s="31"/>
      <c r="M114" s="3" t="str">
        <f t="shared" ca="1" si="6"/>
        <v/>
      </c>
      <c r="P114">
        <f>'Combined Delivery Data'!B144</f>
        <v>0</v>
      </c>
      <c r="Q114">
        <f t="shared" si="7"/>
        <v>0</v>
      </c>
      <c r="R114">
        <f t="shared" si="8"/>
        <v>452</v>
      </c>
      <c r="S114" s="28">
        <f>IF($P114="","",IF(SUMPRODUCT(MAX(($A$2:$A$497=$P114)*ROW($A$2:$A$497)))=0,"",INDEX($B:$B,SUMPRODUCT(MAX(($A$2:$A$497=$P114)*ROW($A$2:$A$497))))))</f>
        <v>0</v>
      </c>
      <c r="T114" t="str">
        <f>IF($P114="","",IF(SUMPRODUCT(MAX(($A$2:$A$497=$P114)*ROW($A$2:$A$497)))=0,"",INDEX($C:$C,SUMPRODUCT(MAX(($A$2:$A$497=$P114)*ROW($A$2:$A$497))))&amp;" -&gt; "&amp;INDEX($D:$D,SUMPRODUCT(MAX(($A$2:$A$497=$P114)*ROW($A$2:$A$497))))))</f>
        <v xml:space="preserve"> -&gt; </v>
      </c>
    </row>
    <row r="115" spans="1:20">
      <c r="A115" s="31"/>
      <c r="B115" s="32"/>
      <c r="C115" s="31" t="s">
        <v>219</v>
      </c>
      <c r="D115" s="31"/>
      <c r="E115" s="31"/>
      <c r="F115" s="31"/>
      <c r="G115" s="31" t="s">
        <v>53</v>
      </c>
      <c r="H115" s="32"/>
      <c r="I115" s="32"/>
      <c r="J115" s="32"/>
      <c r="K115" s="31"/>
      <c r="L115" s="31"/>
      <c r="M115" s="3" t="str">
        <f t="shared" ca="1" si="6"/>
        <v/>
      </c>
      <c r="P115">
        <f>'Combined Delivery Data'!B145</f>
        <v>0</v>
      </c>
      <c r="Q115">
        <f t="shared" si="7"/>
        <v>0</v>
      </c>
      <c r="R115">
        <f t="shared" si="8"/>
        <v>452</v>
      </c>
      <c r="S115" s="28">
        <f>IF($P115="","",IF(SUMPRODUCT(MAX(($A$2:$A$497=$P115)*ROW($A$2:$A$497)))=0,"",INDEX($B:$B,SUMPRODUCT(MAX(($A$2:$A$497=$P115)*ROW($A$2:$A$497))))))</f>
        <v>0</v>
      </c>
      <c r="T115" t="str">
        <f>IF($P115="","",IF(SUMPRODUCT(MAX(($A$2:$A$497=$P115)*ROW($A$2:$A$497)))=0,"",INDEX($C:$C,SUMPRODUCT(MAX(($A$2:$A$497=$P115)*ROW($A$2:$A$497))))&amp;" -&gt; "&amp;INDEX($D:$D,SUMPRODUCT(MAX(($A$2:$A$497=$P115)*ROW($A$2:$A$497))))))</f>
        <v xml:space="preserve"> -&gt; </v>
      </c>
    </row>
    <row r="116" spans="1:20">
      <c r="A116" s="31"/>
      <c r="B116" s="32"/>
      <c r="C116" s="31" t="s">
        <v>219</v>
      </c>
      <c r="D116" s="31"/>
      <c r="E116" s="31"/>
      <c r="F116" s="31"/>
      <c r="G116" s="31" t="s">
        <v>53</v>
      </c>
      <c r="H116" s="32"/>
      <c r="I116" s="32"/>
      <c r="J116" s="32"/>
      <c r="K116" s="31"/>
      <c r="L116" s="31"/>
      <c r="M116" s="3" t="str">
        <f t="shared" ca="1" si="6"/>
        <v/>
      </c>
      <c r="P116">
        <f>'Combined Delivery Data'!B146</f>
        <v>0</v>
      </c>
      <c r="Q116">
        <f t="shared" si="7"/>
        <v>0</v>
      </c>
      <c r="R116">
        <f t="shared" si="8"/>
        <v>452</v>
      </c>
      <c r="S116" s="28">
        <f>IF($P116="","",IF(SUMPRODUCT(MAX(($A$2:$A$497=$P116)*ROW($A$2:$A$497)))=0,"",INDEX($B:$B,SUMPRODUCT(MAX(($A$2:$A$497=$P116)*ROW($A$2:$A$497))))))</f>
        <v>0</v>
      </c>
      <c r="T116" t="str">
        <f>IF($P116="","",IF(SUMPRODUCT(MAX(($A$2:$A$497=$P116)*ROW($A$2:$A$497)))=0,"",INDEX($C:$C,SUMPRODUCT(MAX(($A$2:$A$497=$P116)*ROW($A$2:$A$497))))&amp;" -&gt; "&amp;INDEX($D:$D,SUMPRODUCT(MAX(($A$2:$A$497=$P116)*ROW($A$2:$A$497))))))</f>
        <v xml:space="preserve"> -&gt; </v>
      </c>
    </row>
    <row r="117" spans="1:20">
      <c r="A117" s="31"/>
      <c r="B117" s="32"/>
      <c r="C117" s="31" t="s">
        <v>219</v>
      </c>
      <c r="D117" s="31"/>
      <c r="E117" s="31"/>
      <c r="F117" s="31"/>
      <c r="G117" s="31" t="s">
        <v>53</v>
      </c>
      <c r="H117" s="32"/>
      <c r="I117" s="32"/>
      <c r="J117" s="32"/>
      <c r="K117" s="31"/>
      <c r="L117" s="31"/>
      <c r="M117" s="3" t="str">
        <f t="shared" ca="1" si="6"/>
        <v/>
      </c>
      <c r="P117">
        <f>'Combined Delivery Data'!B147</f>
        <v>0</v>
      </c>
      <c r="Q117">
        <f t="shared" si="7"/>
        <v>0</v>
      </c>
      <c r="R117">
        <f t="shared" si="8"/>
        <v>452</v>
      </c>
      <c r="S117" s="28">
        <f>IF($P117="","",IF(SUMPRODUCT(MAX(($A$2:$A$497=$P117)*ROW($A$2:$A$497)))=0,"",INDEX($B:$B,SUMPRODUCT(MAX(($A$2:$A$497=$P117)*ROW($A$2:$A$497))))))</f>
        <v>0</v>
      </c>
      <c r="T117" t="str">
        <f>IF($P117="","",IF(SUMPRODUCT(MAX(($A$2:$A$497=$P117)*ROW($A$2:$A$497)))=0,"",INDEX($C:$C,SUMPRODUCT(MAX(($A$2:$A$497=$P117)*ROW($A$2:$A$497))))&amp;" -&gt; "&amp;INDEX($D:$D,SUMPRODUCT(MAX(($A$2:$A$497=$P117)*ROW($A$2:$A$497))))))</f>
        <v xml:space="preserve"> -&gt; </v>
      </c>
    </row>
    <row r="118" spans="1:20">
      <c r="A118" s="31"/>
      <c r="B118" s="32"/>
      <c r="C118" s="31" t="s">
        <v>219</v>
      </c>
      <c r="D118" s="31"/>
      <c r="E118" s="31"/>
      <c r="F118" s="31"/>
      <c r="G118" s="31" t="s">
        <v>53</v>
      </c>
      <c r="H118" s="32"/>
      <c r="I118" s="32"/>
      <c r="J118" s="32"/>
      <c r="K118" s="31"/>
      <c r="L118" s="31"/>
      <c r="M118" s="3" t="str">
        <f t="shared" ca="1" si="6"/>
        <v/>
      </c>
      <c r="P118">
        <f>'Combined Delivery Data'!B148</f>
        <v>0</v>
      </c>
      <c r="Q118">
        <f t="shared" si="7"/>
        <v>0</v>
      </c>
      <c r="R118">
        <f t="shared" si="8"/>
        <v>452</v>
      </c>
      <c r="S118" s="28">
        <f>IF($P118="","",IF(SUMPRODUCT(MAX(($A$2:$A$497=$P118)*ROW($A$2:$A$497)))=0,"",INDEX($B:$B,SUMPRODUCT(MAX(($A$2:$A$497=$P118)*ROW($A$2:$A$497))))))</f>
        <v>0</v>
      </c>
      <c r="T118" t="str">
        <f>IF($P118="","",IF(SUMPRODUCT(MAX(($A$2:$A$497=$P118)*ROW($A$2:$A$497)))=0,"",INDEX($C:$C,SUMPRODUCT(MAX(($A$2:$A$497=$P118)*ROW($A$2:$A$497))))&amp;" -&gt; "&amp;INDEX($D:$D,SUMPRODUCT(MAX(($A$2:$A$497=$P118)*ROW($A$2:$A$497))))))</f>
        <v xml:space="preserve"> -&gt; </v>
      </c>
    </row>
    <row r="119" spans="1:20">
      <c r="A119" s="31"/>
      <c r="B119" s="32"/>
      <c r="C119" s="31" t="s">
        <v>219</v>
      </c>
      <c r="D119" s="31"/>
      <c r="E119" s="31"/>
      <c r="F119" s="31"/>
      <c r="G119" s="31" t="s">
        <v>53</v>
      </c>
      <c r="H119" s="32"/>
      <c r="I119" s="32"/>
      <c r="J119" s="32"/>
      <c r="K119" s="31"/>
      <c r="L119" s="31"/>
      <c r="M119" s="3" t="str">
        <f t="shared" ca="1" si="6"/>
        <v/>
      </c>
      <c r="P119">
        <f>'Combined Delivery Data'!B149</f>
        <v>0</v>
      </c>
      <c r="Q119">
        <f t="shared" si="7"/>
        <v>0</v>
      </c>
      <c r="R119">
        <f t="shared" si="8"/>
        <v>452</v>
      </c>
      <c r="S119" s="28">
        <f>IF($P119="","",IF(SUMPRODUCT(MAX(($A$2:$A$497=$P119)*ROW($A$2:$A$497)))=0,"",INDEX($B:$B,SUMPRODUCT(MAX(($A$2:$A$497=$P119)*ROW($A$2:$A$497))))))</f>
        <v>0</v>
      </c>
      <c r="T119" t="str">
        <f>IF($P119="","",IF(SUMPRODUCT(MAX(($A$2:$A$497=$P119)*ROW($A$2:$A$497)))=0,"",INDEX($C:$C,SUMPRODUCT(MAX(($A$2:$A$497=$P119)*ROW($A$2:$A$497))))&amp;" -&gt; "&amp;INDEX($D:$D,SUMPRODUCT(MAX(($A$2:$A$497=$P119)*ROW($A$2:$A$497))))))</f>
        <v xml:space="preserve"> -&gt; </v>
      </c>
    </row>
    <row r="120" spans="1:20">
      <c r="A120" s="31"/>
      <c r="B120" s="32"/>
      <c r="C120" s="31" t="s">
        <v>219</v>
      </c>
      <c r="D120" s="31"/>
      <c r="E120" s="31"/>
      <c r="F120" s="31"/>
      <c r="G120" s="31" t="s">
        <v>53</v>
      </c>
      <c r="H120" s="32"/>
      <c r="I120" s="32"/>
      <c r="J120" s="32"/>
      <c r="K120" s="31"/>
      <c r="L120" s="31"/>
      <c r="M120" s="3" t="str">
        <f t="shared" ca="1" si="6"/>
        <v/>
      </c>
      <c r="P120">
        <f>'Combined Delivery Data'!B150</f>
        <v>0</v>
      </c>
      <c r="Q120">
        <f t="shared" si="7"/>
        <v>0</v>
      </c>
      <c r="R120">
        <f t="shared" si="8"/>
        <v>452</v>
      </c>
      <c r="S120" s="28">
        <f>IF($P120="","",IF(SUMPRODUCT(MAX(($A$2:$A$497=$P120)*ROW($A$2:$A$497)))=0,"",INDEX($B:$B,SUMPRODUCT(MAX(($A$2:$A$497=$P120)*ROW($A$2:$A$497))))))</f>
        <v>0</v>
      </c>
      <c r="T120" t="str">
        <f>IF($P120="","",IF(SUMPRODUCT(MAX(($A$2:$A$497=$P120)*ROW($A$2:$A$497)))=0,"",INDEX($C:$C,SUMPRODUCT(MAX(($A$2:$A$497=$P120)*ROW($A$2:$A$497))))&amp;" -&gt; "&amp;INDEX($D:$D,SUMPRODUCT(MAX(($A$2:$A$497=$P120)*ROW($A$2:$A$497))))))</f>
        <v xml:space="preserve"> -&gt; </v>
      </c>
    </row>
    <row r="121" spans="1:20">
      <c r="A121" s="31"/>
      <c r="B121" s="32"/>
      <c r="C121" s="31" t="s">
        <v>219</v>
      </c>
      <c r="D121" s="31"/>
      <c r="E121" s="31"/>
      <c r="F121" s="31"/>
      <c r="G121" s="31" t="s">
        <v>53</v>
      </c>
      <c r="H121" s="32"/>
      <c r="I121" s="32"/>
      <c r="J121" s="32"/>
      <c r="K121" s="31"/>
      <c r="L121" s="31"/>
      <c r="M121" s="3" t="str">
        <f t="shared" ca="1" si="6"/>
        <v/>
      </c>
      <c r="P121">
        <f>'Combined Delivery Data'!B151</f>
        <v>0</v>
      </c>
      <c r="Q121">
        <f t="shared" si="7"/>
        <v>0</v>
      </c>
      <c r="R121">
        <f t="shared" si="8"/>
        <v>452</v>
      </c>
      <c r="S121" s="28">
        <f>IF($P121="","",IF(SUMPRODUCT(MAX(($A$2:$A$497=$P121)*ROW($A$2:$A$497)))=0,"",INDEX($B:$B,SUMPRODUCT(MAX(($A$2:$A$497=$P121)*ROW($A$2:$A$497))))))</f>
        <v>0</v>
      </c>
      <c r="T121" t="str">
        <f>IF($P121="","",IF(SUMPRODUCT(MAX(($A$2:$A$497=$P121)*ROW($A$2:$A$497)))=0,"",INDEX($C:$C,SUMPRODUCT(MAX(($A$2:$A$497=$P121)*ROW($A$2:$A$497))))&amp;" -&gt; "&amp;INDEX($D:$D,SUMPRODUCT(MAX(($A$2:$A$497=$P121)*ROW($A$2:$A$497))))))</f>
        <v xml:space="preserve"> -&gt; </v>
      </c>
    </row>
    <row r="122" spans="1:20">
      <c r="A122" s="31"/>
      <c r="B122" s="32"/>
      <c r="C122" s="31" t="s">
        <v>219</v>
      </c>
      <c r="D122" s="31"/>
      <c r="E122" s="31"/>
      <c r="F122" s="31"/>
      <c r="G122" s="31" t="s">
        <v>53</v>
      </c>
      <c r="H122" s="32"/>
      <c r="I122" s="32"/>
      <c r="J122" s="32"/>
      <c r="K122" s="31"/>
      <c r="L122" s="31"/>
      <c r="M122" s="3" t="str">
        <f t="shared" ca="1" si="6"/>
        <v/>
      </c>
      <c r="P122">
        <f>'Combined Delivery Data'!B152</f>
        <v>0</v>
      </c>
      <c r="Q122">
        <f t="shared" si="7"/>
        <v>0</v>
      </c>
      <c r="R122">
        <f t="shared" si="8"/>
        <v>452</v>
      </c>
      <c r="S122" s="28">
        <f>IF($P122="","",IF(SUMPRODUCT(MAX(($A$2:$A$497=$P122)*ROW($A$2:$A$497)))=0,"",INDEX($B:$B,SUMPRODUCT(MAX(($A$2:$A$497=$P122)*ROW($A$2:$A$497))))))</f>
        <v>0</v>
      </c>
      <c r="T122" t="str">
        <f>IF($P122="","",IF(SUMPRODUCT(MAX(($A$2:$A$497=$P122)*ROW($A$2:$A$497)))=0,"",INDEX($C:$C,SUMPRODUCT(MAX(($A$2:$A$497=$P122)*ROW($A$2:$A$497))))&amp;" -&gt; "&amp;INDEX($D:$D,SUMPRODUCT(MAX(($A$2:$A$497=$P122)*ROW($A$2:$A$497))))))</f>
        <v xml:space="preserve"> -&gt; </v>
      </c>
    </row>
    <row r="123" spans="1:20">
      <c r="A123" s="31"/>
      <c r="B123" s="32"/>
      <c r="C123" s="31" t="s">
        <v>219</v>
      </c>
      <c r="D123" s="31"/>
      <c r="E123" s="31"/>
      <c r="F123" s="31"/>
      <c r="G123" s="31" t="s">
        <v>53</v>
      </c>
      <c r="H123" s="32"/>
      <c r="I123" s="32"/>
      <c r="J123" s="32"/>
      <c r="K123" s="31"/>
      <c r="L123" s="31"/>
      <c r="M123" s="3" t="str">
        <f t="shared" ca="1" si="6"/>
        <v/>
      </c>
      <c r="P123">
        <f>'Combined Delivery Data'!B153</f>
        <v>0</v>
      </c>
      <c r="Q123">
        <f t="shared" si="7"/>
        <v>0</v>
      </c>
      <c r="R123">
        <f t="shared" si="8"/>
        <v>452</v>
      </c>
      <c r="S123" s="28">
        <f>IF($P123="","",IF(SUMPRODUCT(MAX(($A$2:$A$497=$P123)*ROW($A$2:$A$497)))=0,"",INDEX($B:$B,SUMPRODUCT(MAX(($A$2:$A$497=$P123)*ROW($A$2:$A$497))))))</f>
        <v>0</v>
      </c>
      <c r="T123" t="str">
        <f>IF($P123="","",IF(SUMPRODUCT(MAX(($A$2:$A$497=$P123)*ROW($A$2:$A$497)))=0,"",INDEX($C:$C,SUMPRODUCT(MAX(($A$2:$A$497=$P123)*ROW($A$2:$A$497))))&amp;" -&gt; "&amp;INDEX($D:$D,SUMPRODUCT(MAX(($A$2:$A$497=$P123)*ROW($A$2:$A$497))))))</f>
        <v xml:space="preserve"> -&gt; </v>
      </c>
    </row>
    <row r="124" spans="1:20">
      <c r="A124" s="31"/>
      <c r="B124" s="32"/>
      <c r="C124" s="31" t="s">
        <v>219</v>
      </c>
      <c r="D124" s="31"/>
      <c r="E124" s="31"/>
      <c r="F124" s="31"/>
      <c r="G124" s="31" t="s">
        <v>53</v>
      </c>
      <c r="H124" s="32"/>
      <c r="I124" s="32"/>
      <c r="J124" s="32"/>
      <c r="K124" s="31"/>
      <c r="L124" s="31"/>
      <c r="M124" s="3" t="str">
        <f t="shared" ca="1" si="6"/>
        <v/>
      </c>
      <c r="P124">
        <f>'Combined Delivery Data'!B154</f>
        <v>0</v>
      </c>
      <c r="Q124">
        <f t="shared" si="7"/>
        <v>0</v>
      </c>
      <c r="R124">
        <f t="shared" si="8"/>
        <v>452</v>
      </c>
      <c r="S124" s="28">
        <f>IF($P124="","",IF(SUMPRODUCT(MAX(($A$2:$A$497=$P124)*ROW($A$2:$A$497)))=0,"",INDEX($B:$B,SUMPRODUCT(MAX(($A$2:$A$497=$P124)*ROW($A$2:$A$497))))))</f>
        <v>0</v>
      </c>
      <c r="T124" t="str">
        <f>IF($P124="","",IF(SUMPRODUCT(MAX(($A$2:$A$497=$P124)*ROW($A$2:$A$497)))=0,"",INDEX($C:$C,SUMPRODUCT(MAX(($A$2:$A$497=$P124)*ROW($A$2:$A$497))))&amp;" -&gt; "&amp;INDEX($D:$D,SUMPRODUCT(MAX(($A$2:$A$497=$P124)*ROW($A$2:$A$497))))))</f>
        <v xml:space="preserve"> -&gt; </v>
      </c>
    </row>
    <row r="125" spans="1:20">
      <c r="A125" s="31"/>
      <c r="B125" s="32"/>
      <c r="C125" s="31" t="s">
        <v>219</v>
      </c>
      <c r="D125" s="31"/>
      <c r="E125" s="31"/>
      <c r="F125" s="31"/>
      <c r="G125" s="31" t="s">
        <v>53</v>
      </c>
      <c r="H125" s="32"/>
      <c r="I125" s="32"/>
      <c r="J125" s="32"/>
      <c r="K125" s="31"/>
      <c r="L125" s="31"/>
      <c r="M125" s="3" t="str">
        <f t="shared" ca="1" si="6"/>
        <v/>
      </c>
      <c r="P125">
        <f>'Combined Delivery Data'!B155</f>
        <v>0</v>
      </c>
      <c r="Q125">
        <f t="shared" si="7"/>
        <v>0</v>
      </c>
      <c r="R125">
        <f t="shared" si="8"/>
        <v>452</v>
      </c>
      <c r="S125" s="28">
        <f>IF($P125="","",IF(SUMPRODUCT(MAX(($A$2:$A$497=$P125)*ROW($A$2:$A$497)))=0,"",INDEX($B:$B,SUMPRODUCT(MAX(($A$2:$A$497=$P125)*ROW($A$2:$A$497))))))</f>
        <v>0</v>
      </c>
      <c r="T125" t="str">
        <f>IF($P125="","",IF(SUMPRODUCT(MAX(($A$2:$A$497=$P125)*ROW($A$2:$A$497)))=0,"",INDEX($C:$C,SUMPRODUCT(MAX(($A$2:$A$497=$P125)*ROW($A$2:$A$497))))&amp;" -&gt; "&amp;INDEX($D:$D,SUMPRODUCT(MAX(($A$2:$A$497=$P125)*ROW($A$2:$A$497))))))</f>
        <v xml:space="preserve"> -&gt; </v>
      </c>
    </row>
    <row r="126" spans="1:20">
      <c r="A126" s="31"/>
      <c r="B126" s="32"/>
      <c r="C126" s="31" t="s">
        <v>219</v>
      </c>
      <c r="D126" s="31"/>
      <c r="E126" s="31"/>
      <c r="F126" s="31"/>
      <c r="G126" s="31" t="s">
        <v>53</v>
      </c>
      <c r="H126" s="32"/>
      <c r="I126" s="32"/>
      <c r="J126" s="32"/>
      <c r="K126" s="31"/>
      <c r="L126" s="31"/>
      <c r="M126" s="3" t="str">
        <f t="shared" ca="1" si="6"/>
        <v/>
      </c>
      <c r="P126">
        <f>'Combined Delivery Data'!B156</f>
        <v>0</v>
      </c>
      <c r="Q126">
        <f t="shared" si="7"/>
        <v>0</v>
      </c>
      <c r="R126">
        <f t="shared" si="8"/>
        <v>452</v>
      </c>
      <c r="S126" s="28">
        <f>IF($P126="","",IF(SUMPRODUCT(MAX(($A$2:$A$497=$P126)*ROW($A$2:$A$497)))=0,"",INDEX($B:$B,SUMPRODUCT(MAX(($A$2:$A$497=$P126)*ROW($A$2:$A$497))))))</f>
        <v>0</v>
      </c>
      <c r="T126" t="str">
        <f>IF($P126="","",IF(SUMPRODUCT(MAX(($A$2:$A$497=$P126)*ROW($A$2:$A$497)))=0,"",INDEX($C:$C,SUMPRODUCT(MAX(($A$2:$A$497=$P126)*ROW($A$2:$A$497))))&amp;" -&gt; "&amp;INDEX($D:$D,SUMPRODUCT(MAX(($A$2:$A$497=$P126)*ROW($A$2:$A$497))))))</f>
        <v xml:space="preserve"> -&gt; </v>
      </c>
    </row>
    <row r="127" spans="1:20">
      <c r="A127" s="31"/>
      <c r="B127" s="32"/>
      <c r="C127" s="31" t="s">
        <v>219</v>
      </c>
      <c r="D127" s="31"/>
      <c r="E127" s="31"/>
      <c r="F127" s="31"/>
      <c r="G127" s="31" t="s">
        <v>53</v>
      </c>
      <c r="H127" s="32"/>
      <c r="I127" s="32"/>
      <c r="J127" s="32"/>
      <c r="K127" s="31"/>
      <c r="L127" s="31"/>
      <c r="M127" s="3" t="str">
        <f t="shared" ca="1" si="6"/>
        <v/>
      </c>
      <c r="P127">
        <f>'Combined Delivery Data'!B157</f>
        <v>0</v>
      </c>
      <c r="Q127">
        <f t="shared" si="7"/>
        <v>0</v>
      </c>
      <c r="R127">
        <f t="shared" si="8"/>
        <v>452</v>
      </c>
      <c r="S127" s="28">
        <f>IF($P127="","",IF(SUMPRODUCT(MAX(($A$2:$A$497=$P127)*ROW($A$2:$A$497)))=0,"",INDEX($B:$B,SUMPRODUCT(MAX(($A$2:$A$497=$P127)*ROW($A$2:$A$497))))))</f>
        <v>0</v>
      </c>
      <c r="T127" t="str">
        <f>IF($P127="","",IF(SUMPRODUCT(MAX(($A$2:$A$497=$P127)*ROW($A$2:$A$497)))=0,"",INDEX($C:$C,SUMPRODUCT(MAX(($A$2:$A$497=$P127)*ROW($A$2:$A$497))))&amp;" -&gt; "&amp;INDEX($D:$D,SUMPRODUCT(MAX(($A$2:$A$497=$P127)*ROW($A$2:$A$497))))))</f>
        <v xml:space="preserve"> -&gt; </v>
      </c>
    </row>
    <row r="128" spans="1:20">
      <c r="A128" s="31"/>
      <c r="B128" s="32"/>
      <c r="C128" s="31" t="s">
        <v>219</v>
      </c>
      <c r="D128" s="31"/>
      <c r="E128" s="31"/>
      <c r="F128" s="31"/>
      <c r="G128" s="31" t="s">
        <v>53</v>
      </c>
      <c r="H128" s="32"/>
      <c r="I128" s="32"/>
      <c r="J128" s="32"/>
      <c r="K128" s="31"/>
      <c r="L128" s="31"/>
      <c r="M128" s="3" t="str">
        <f t="shared" ref="M128:M191" ca="1" si="9">IF($A128="","",IF($G128="Did not pass re-test","Sent back again",IF(NOT(ISNUMBER($B128)),"Missing sent-back date",IF(ISNUMBER($J128),"Fixed in "&amp;($J128-$B128)&amp;" d",IF($I128="","UNCLAIMED "&amp;(TODAY()-$B128)&amp;" d",IF(TODAY()&gt;$I128,(TODAY()-$I128)&amp;" d LATE","Open "&amp;(TODAY()-$B128)&amp;" d"))))))</f>
        <v/>
      </c>
      <c r="P128">
        <f>'Combined Delivery Data'!B158</f>
        <v>0</v>
      </c>
      <c r="Q128">
        <f t="shared" si="7"/>
        <v>0</v>
      </c>
      <c r="R128">
        <f t="shared" si="8"/>
        <v>452</v>
      </c>
      <c r="S128" s="28">
        <f>IF($P128="","",IF(SUMPRODUCT(MAX(($A$2:$A$497=$P128)*ROW($A$2:$A$497)))=0,"",INDEX($B:$B,SUMPRODUCT(MAX(($A$2:$A$497=$P128)*ROW($A$2:$A$497))))))</f>
        <v>0</v>
      </c>
      <c r="T128" t="str">
        <f>IF($P128="","",IF(SUMPRODUCT(MAX(($A$2:$A$497=$P128)*ROW($A$2:$A$497)))=0,"",INDEX($C:$C,SUMPRODUCT(MAX(($A$2:$A$497=$P128)*ROW($A$2:$A$497))))&amp;" -&gt; "&amp;INDEX($D:$D,SUMPRODUCT(MAX(($A$2:$A$497=$P128)*ROW($A$2:$A$497))))))</f>
        <v xml:space="preserve"> -&gt; </v>
      </c>
    </row>
    <row r="129" spans="1:20">
      <c r="A129" s="31"/>
      <c r="B129" s="32"/>
      <c r="C129" s="31" t="s">
        <v>219</v>
      </c>
      <c r="D129" s="31"/>
      <c r="E129" s="31"/>
      <c r="F129" s="31"/>
      <c r="G129" s="31" t="s">
        <v>53</v>
      </c>
      <c r="H129" s="32"/>
      <c r="I129" s="32"/>
      <c r="J129" s="32"/>
      <c r="K129" s="31"/>
      <c r="L129" s="31"/>
      <c r="M129" s="3" t="str">
        <f t="shared" ca="1" si="9"/>
        <v/>
      </c>
      <c r="P129">
        <f>'Combined Delivery Data'!B159</f>
        <v>0</v>
      </c>
      <c r="Q129">
        <f t="shared" si="7"/>
        <v>0</v>
      </c>
      <c r="R129">
        <f t="shared" si="8"/>
        <v>452</v>
      </c>
      <c r="S129" s="28">
        <f>IF($P129="","",IF(SUMPRODUCT(MAX(($A$2:$A$497=$P129)*ROW($A$2:$A$497)))=0,"",INDEX($B:$B,SUMPRODUCT(MAX(($A$2:$A$497=$P129)*ROW($A$2:$A$497))))))</f>
        <v>0</v>
      </c>
      <c r="T129" t="str">
        <f>IF($P129="","",IF(SUMPRODUCT(MAX(($A$2:$A$497=$P129)*ROW($A$2:$A$497)))=0,"",INDEX($C:$C,SUMPRODUCT(MAX(($A$2:$A$497=$P129)*ROW($A$2:$A$497))))&amp;" -&gt; "&amp;INDEX($D:$D,SUMPRODUCT(MAX(($A$2:$A$497=$P129)*ROW($A$2:$A$497))))))</f>
        <v xml:space="preserve"> -&gt; </v>
      </c>
    </row>
    <row r="130" spans="1:20">
      <c r="A130" s="31"/>
      <c r="B130" s="32"/>
      <c r="C130" s="31" t="s">
        <v>219</v>
      </c>
      <c r="D130" s="31"/>
      <c r="E130" s="31"/>
      <c r="F130" s="31"/>
      <c r="G130" s="31" t="s">
        <v>53</v>
      </c>
      <c r="H130" s="32"/>
      <c r="I130" s="32"/>
      <c r="J130" s="32"/>
      <c r="K130" s="31"/>
      <c r="L130" s="31"/>
      <c r="M130" s="3" t="str">
        <f t="shared" ca="1" si="9"/>
        <v/>
      </c>
      <c r="P130">
        <f>'Combined Delivery Data'!B160</f>
        <v>0</v>
      </c>
      <c r="Q130">
        <f t="shared" si="7"/>
        <v>0</v>
      </c>
      <c r="R130">
        <f t="shared" si="8"/>
        <v>452</v>
      </c>
      <c r="S130" s="28">
        <f>IF($P130="","",IF(SUMPRODUCT(MAX(($A$2:$A$497=$P130)*ROW($A$2:$A$497)))=0,"",INDEX($B:$B,SUMPRODUCT(MAX(($A$2:$A$497=$P130)*ROW($A$2:$A$497))))))</f>
        <v>0</v>
      </c>
      <c r="T130" t="str">
        <f>IF($P130="","",IF(SUMPRODUCT(MAX(($A$2:$A$497=$P130)*ROW($A$2:$A$497)))=0,"",INDEX($C:$C,SUMPRODUCT(MAX(($A$2:$A$497=$P130)*ROW($A$2:$A$497))))&amp;" -&gt; "&amp;INDEX($D:$D,SUMPRODUCT(MAX(($A$2:$A$497=$P130)*ROW($A$2:$A$497))))))</f>
        <v xml:space="preserve"> -&gt; </v>
      </c>
    </row>
    <row r="131" spans="1:20">
      <c r="A131" s="31"/>
      <c r="B131" s="32"/>
      <c r="C131" s="31" t="s">
        <v>219</v>
      </c>
      <c r="D131" s="31"/>
      <c r="E131" s="31"/>
      <c r="F131" s="31"/>
      <c r="G131" s="31" t="s">
        <v>53</v>
      </c>
      <c r="H131" s="32"/>
      <c r="I131" s="32"/>
      <c r="J131" s="32"/>
      <c r="K131" s="31"/>
      <c r="L131" s="31"/>
      <c r="M131" s="3" t="str">
        <f t="shared" ca="1" si="9"/>
        <v/>
      </c>
      <c r="P131">
        <f>'Combined Delivery Data'!B161</f>
        <v>0</v>
      </c>
      <c r="Q131">
        <f t="shared" si="7"/>
        <v>0</v>
      </c>
      <c r="R131">
        <f t="shared" si="8"/>
        <v>452</v>
      </c>
      <c r="S131" s="28">
        <f>IF($P131="","",IF(SUMPRODUCT(MAX(($A$2:$A$497=$P131)*ROW($A$2:$A$497)))=0,"",INDEX($B:$B,SUMPRODUCT(MAX(($A$2:$A$497=$P131)*ROW($A$2:$A$497))))))</f>
        <v>0</v>
      </c>
      <c r="T131" t="str">
        <f>IF($P131="","",IF(SUMPRODUCT(MAX(($A$2:$A$497=$P131)*ROW($A$2:$A$497)))=0,"",INDEX($C:$C,SUMPRODUCT(MAX(($A$2:$A$497=$P131)*ROW($A$2:$A$497))))&amp;" -&gt; "&amp;INDEX($D:$D,SUMPRODUCT(MAX(($A$2:$A$497=$P131)*ROW($A$2:$A$497))))))</f>
        <v xml:space="preserve"> -&gt; </v>
      </c>
    </row>
    <row r="132" spans="1:20">
      <c r="A132" s="31"/>
      <c r="B132" s="32"/>
      <c r="C132" s="31" t="s">
        <v>219</v>
      </c>
      <c r="D132" s="31"/>
      <c r="E132" s="31"/>
      <c r="F132" s="31"/>
      <c r="G132" s="31" t="s">
        <v>53</v>
      </c>
      <c r="H132" s="32"/>
      <c r="I132" s="32"/>
      <c r="J132" s="32"/>
      <c r="K132" s="31"/>
      <c r="L132" s="31"/>
      <c r="M132" s="3" t="str">
        <f t="shared" ca="1" si="9"/>
        <v/>
      </c>
      <c r="P132">
        <f>'Combined Delivery Data'!B162</f>
        <v>0</v>
      </c>
      <c r="Q132">
        <f t="shared" si="7"/>
        <v>0</v>
      </c>
      <c r="R132">
        <f t="shared" si="8"/>
        <v>452</v>
      </c>
      <c r="S132" s="28">
        <f>IF($P132="","",IF(SUMPRODUCT(MAX(($A$2:$A$497=$P132)*ROW($A$2:$A$497)))=0,"",INDEX($B:$B,SUMPRODUCT(MAX(($A$2:$A$497=$P132)*ROW($A$2:$A$497))))))</f>
        <v>0</v>
      </c>
      <c r="T132" t="str">
        <f>IF($P132="","",IF(SUMPRODUCT(MAX(($A$2:$A$497=$P132)*ROW($A$2:$A$497)))=0,"",INDEX($C:$C,SUMPRODUCT(MAX(($A$2:$A$497=$P132)*ROW($A$2:$A$497))))&amp;" -&gt; "&amp;INDEX($D:$D,SUMPRODUCT(MAX(($A$2:$A$497=$P132)*ROW($A$2:$A$497))))))</f>
        <v xml:space="preserve"> -&gt; </v>
      </c>
    </row>
    <row r="133" spans="1:20">
      <c r="A133" s="31"/>
      <c r="B133" s="32"/>
      <c r="C133" s="31" t="s">
        <v>219</v>
      </c>
      <c r="D133" s="31"/>
      <c r="E133" s="31"/>
      <c r="F133" s="31"/>
      <c r="G133" s="31" t="s">
        <v>53</v>
      </c>
      <c r="H133" s="32"/>
      <c r="I133" s="32"/>
      <c r="J133" s="32"/>
      <c r="K133" s="31"/>
      <c r="L133" s="31"/>
      <c r="M133" s="3" t="str">
        <f t="shared" ca="1" si="9"/>
        <v/>
      </c>
      <c r="P133">
        <f>'Combined Delivery Data'!B163</f>
        <v>0</v>
      </c>
      <c r="Q133">
        <f t="shared" si="7"/>
        <v>0</v>
      </c>
      <c r="R133">
        <f t="shared" si="8"/>
        <v>452</v>
      </c>
      <c r="S133" s="28">
        <f>IF($P133="","",IF(SUMPRODUCT(MAX(($A$2:$A$497=$P133)*ROW($A$2:$A$497)))=0,"",INDEX($B:$B,SUMPRODUCT(MAX(($A$2:$A$497=$P133)*ROW($A$2:$A$497))))))</f>
        <v>0</v>
      </c>
      <c r="T133" t="str">
        <f>IF($P133="","",IF(SUMPRODUCT(MAX(($A$2:$A$497=$P133)*ROW($A$2:$A$497)))=0,"",INDEX($C:$C,SUMPRODUCT(MAX(($A$2:$A$497=$P133)*ROW($A$2:$A$497))))&amp;" -&gt; "&amp;INDEX($D:$D,SUMPRODUCT(MAX(($A$2:$A$497=$P133)*ROW($A$2:$A$497))))))</f>
        <v xml:space="preserve"> -&gt; </v>
      </c>
    </row>
    <row r="134" spans="1:20">
      <c r="A134" s="31"/>
      <c r="B134" s="32"/>
      <c r="C134" s="31" t="s">
        <v>219</v>
      </c>
      <c r="D134" s="31"/>
      <c r="E134" s="31"/>
      <c r="F134" s="31"/>
      <c r="G134" s="31" t="s">
        <v>53</v>
      </c>
      <c r="H134" s="32"/>
      <c r="I134" s="32"/>
      <c r="J134" s="32"/>
      <c r="K134" s="31"/>
      <c r="L134" s="31"/>
      <c r="M134" s="3" t="str">
        <f t="shared" ca="1" si="9"/>
        <v/>
      </c>
      <c r="P134">
        <f>'Combined Delivery Data'!B164</f>
        <v>0</v>
      </c>
      <c r="Q134">
        <f t="shared" si="7"/>
        <v>0</v>
      </c>
      <c r="R134">
        <f t="shared" si="8"/>
        <v>452</v>
      </c>
      <c r="S134" s="28">
        <f>IF($P134="","",IF(SUMPRODUCT(MAX(($A$2:$A$497=$P134)*ROW($A$2:$A$497)))=0,"",INDEX($B:$B,SUMPRODUCT(MAX(($A$2:$A$497=$P134)*ROW($A$2:$A$497))))))</f>
        <v>0</v>
      </c>
      <c r="T134" t="str">
        <f>IF($P134="","",IF(SUMPRODUCT(MAX(($A$2:$A$497=$P134)*ROW($A$2:$A$497)))=0,"",INDEX($C:$C,SUMPRODUCT(MAX(($A$2:$A$497=$P134)*ROW($A$2:$A$497))))&amp;" -&gt; "&amp;INDEX($D:$D,SUMPRODUCT(MAX(($A$2:$A$497=$P134)*ROW($A$2:$A$497))))))</f>
        <v xml:space="preserve"> -&gt; </v>
      </c>
    </row>
    <row r="135" spans="1:20">
      <c r="A135" s="31"/>
      <c r="B135" s="32"/>
      <c r="C135" s="31" t="s">
        <v>219</v>
      </c>
      <c r="D135" s="31"/>
      <c r="E135" s="31"/>
      <c r="F135" s="31"/>
      <c r="G135" s="31" t="s">
        <v>53</v>
      </c>
      <c r="H135" s="32"/>
      <c r="I135" s="32"/>
      <c r="J135" s="32"/>
      <c r="K135" s="31"/>
      <c r="L135" s="31"/>
      <c r="M135" s="3" t="str">
        <f t="shared" ca="1" si="9"/>
        <v/>
      </c>
      <c r="P135">
        <f>'Combined Delivery Data'!B165</f>
        <v>0</v>
      </c>
      <c r="Q135">
        <f t="shared" si="7"/>
        <v>0</v>
      </c>
      <c r="R135">
        <f t="shared" si="8"/>
        <v>452</v>
      </c>
      <c r="S135" s="28">
        <f>IF($P135="","",IF(SUMPRODUCT(MAX(($A$2:$A$497=$P135)*ROW($A$2:$A$497)))=0,"",INDEX($B:$B,SUMPRODUCT(MAX(($A$2:$A$497=$P135)*ROW($A$2:$A$497))))))</f>
        <v>0</v>
      </c>
      <c r="T135" t="str">
        <f>IF($P135="","",IF(SUMPRODUCT(MAX(($A$2:$A$497=$P135)*ROW($A$2:$A$497)))=0,"",INDEX($C:$C,SUMPRODUCT(MAX(($A$2:$A$497=$P135)*ROW($A$2:$A$497))))&amp;" -&gt; "&amp;INDEX($D:$D,SUMPRODUCT(MAX(($A$2:$A$497=$P135)*ROW($A$2:$A$497))))))</f>
        <v xml:space="preserve"> -&gt; </v>
      </c>
    </row>
    <row r="136" spans="1:20">
      <c r="A136" s="31"/>
      <c r="B136" s="32"/>
      <c r="C136" s="31" t="s">
        <v>219</v>
      </c>
      <c r="D136" s="31"/>
      <c r="E136" s="31"/>
      <c r="F136" s="31"/>
      <c r="G136" s="31" t="s">
        <v>53</v>
      </c>
      <c r="H136" s="32"/>
      <c r="I136" s="32"/>
      <c r="J136" s="32"/>
      <c r="K136" s="31"/>
      <c r="L136" s="31"/>
      <c r="M136" s="3" t="str">
        <f t="shared" ca="1" si="9"/>
        <v/>
      </c>
      <c r="P136">
        <f>'Combined Delivery Data'!B166</f>
        <v>0</v>
      </c>
      <c r="Q136">
        <f t="shared" si="7"/>
        <v>0</v>
      </c>
      <c r="R136">
        <f t="shared" si="8"/>
        <v>452</v>
      </c>
      <c r="S136" s="28">
        <f>IF($P136="","",IF(SUMPRODUCT(MAX(($A$2:$A$497=$P136)*ROW($A$2:$A$497)))=0,"",INDEX($B:$B,SUMPRODUCT(MAX(($A$2:$A$497=$P136)*ROW($A$2:$A$497))))))</f>
        <v>0</v>
      </c>
      <c r="T136" t="str">
        <f>IF($P136="","",IF(SUMPRODUCT(MAX(($A$2:$A$497=$P136)*ROW($A$2:$A$497)))=0,"",INDEX($C:$C,SUMPRODUCT(MAX(($A$2:$A$497=$P136)*ROW($A$2:$A$497))))&amp;" -&gt; "&amp;INDEX($D:$D,SUMPRODUCT(MAX(($A$2:$A$497=$P136)*ROW($A$2:$A$497))))))</f>
        <v xml:space="preserve"> -&gt; </v>
      </c>
    </row>
    <row r="137" spans="1:20">
      <c r="A137" s="31"/>
      <c r="B137" s="32"/>
      <c r="C137" s="31" t="s">
        <v>219</v>
      </c>
      <c r="D137" s="31"/>
      <c r="E137" s="31"/>
      <c r="F137" s="31"/>
      <c r="G137" s="31" t="s">
        <v>53</v>
      </c>
      <c r="H137" s="32"/>
      <c r="I137" s="32"/>
      <c r="J137" s="32"/>
      <c r="K137" s="31"/>
      <c r="L137" s="31"/>
      <c r="M137" s="3" t="str">
        <f t="shared" ca="1" si="9"/>
        <v/>
      </c>
      <c r="P137">
        <f>'Combined Delivery Data'!B167</f>
        <v>0</v>
      </c>
      <c r="Q137">
        <f t="shared" si="7"/>
        <v>0</v>
      </c>
      <c r="R137">
        <f t="shared" si="8"/>
        <v>452</v>
      </c>
      <c r="S137" s="28">
        <f>IF($P137="","",IF(SUMPRODUCT(MAX(($A$2:$A$497=$P137)*ROW($A$2:$A$497)))=0,"",INDEX($B:$B,SUMPRODUCT(MAX(($A$2:$A$497=$P137)*ROW($A$2:$A$497))))))</f>
        <v>0</v>
      </c>
      <c r="T137" t="str">
        <f>IF($P137="","",IF(SUMPRODUCT(MAX(($A$2:$A$497=$P137)*ROW($A$2:$A$497)))=0,"",INDEX($C:$C,SUMPRODUCT(MAX(($A$2:$A$497=$P137)*ROW($A$2:$A$497))))&amp;" -&gt; "&amp;INDEX($D:$D,SUMPRODUCT(MAX(($A$2:$A$497=$P137)*ROW($A$2:$A$497))))))</f>
        <v xml:space="preserve"> -&gt; </v>
      </c>
    </row>
    <row r="138" spans="1:20">
      <c r="A138" s="31"/>
      <c r="B138" s="32"/>
      <c r="C138" s="31" t="s">
        <v>219</v>
      </c>
      <c r="D138" s="31"/>
      <c r="E138" s="31"/>
      <c r="F138" s="31"/>
      <c r="G138" s="31" t="s">
        <v>53</v>
      </c>
      <c r="H138" s="32"/>
      <c r="I138" s="32"/>
      <c r="J138" s="32"/>
      <c r="K138" s="31"/>
      <c r="L138" s="31"/>
      <c r="M138" s="3" t="str">
        <f t="shared" ca="1" si="9"/>
        <v/>
      </c>
      <c r="P138">
        <f>'Combined Delivery Data'!B168</f>
        <v>0</v>
      </c>
      <c r="Q138">
        <f t="shared" si="7"/>
        <v>0</v>
      </c>
      <c r="R138">
        <f t="shared" si="8"/>
        <v>452</v>
      </c>
      <c r="S138" s="28">
        <f>IF($P138="","",IF(SUMPRODUCT(MAX(($A$2:$A$497=$P138)*ROW($A$2:$A$497)))=0,"",INDEX($B:$B,SUMPRODUCT(MAX(($A$2:$A$497=$P138)*ROW($A$2:$A$497))))))</f>
        <v>0</v>
      </c>
      <c r="T138" t="str">
        <f>IF($P138="","",IF(SUMPRODUCT(MAX(($A$2:$A$497=$P138)*ROW($A$2:$A$497)))=0,"",INDEX($C:$C,SUMPRODUCT(MAX(($A$2:$A$497=$P138)*ROW($A$2:$A$497))))&amp;" -&gt; "&amp;INDEX($D:$D,SUMPRODUCT(MAX(($A$2:$A$497=$P138)*ROW($A$2:$A$497))))))</f>
        <v xml:space="preserve"> -&gt; </v>
      </c>
    </row>
    <row r="139" spans="1:20">
      <c r="A139" s="31"/>
      <c r="B139" s="32"/>
      <c r="C139" s="31" t="s">
        <v>219</v>
      </c>
      <c r="D139" s="31"/>
      <c r="E139" s="31"/>
      <c r="F139" s="31"/>
      <c r="G139" s="31" t="s">
        <v>53</v>
      </c>
      <c r="H139" s="32"/>
      <c r="I139" s="32"/>
      <c r="J139" s="32"/>
      <c r="K139" s="31"/>
      <c r="L139" s="31"/>
      <c r="M139" s="3" t="str">
        <f t="shared" ca="1" si="9"/>
        <v/>
      </c>
      <c r="P139">
        <f>'Combined Delivery Data'!B169</f>
        <v>0</v>
      </c>
      <c r="Q139">
        <f t="shared" si="7"/>
        <v>0</v>
      </c>
      <c r="R139">
        <f t="shared" si="8"/>
        <v>452</v>
      </c>
      <c r="S139" s="28">
        <f>IF($P139="","",IF(SUMPRODUCT(MAX(($A$2:$A$497=$P139)*ROW($A$2:$A$497)))=0,"",INDEX($B:$B,SUMPRODUCT(MAX(($A$2:$A$497=$P139)*ROW($A$2:$A$497))))))</f>
        <v>0</v>
      </c>
      <c r="T139" t="str">
        <f>IF($P139="","",IF(SUMPRODUCT(MAX(($A$2:$A$497=$P139)*ROW($A$2:$A$497)))=0,"",INDEX($C:$C,SUMPRODUCT(MAX(($A$2:$A$497=$P139)*ROW($A$2:$A$497))))&amp;" -&gt; "&amp;INDEX($D:$D,SUMPRODUCT(MAX(($A$2:$A$497=$P139)*ROW($A$2:$A$497))))))</f>
        <v xml:space="preserve"> -&gt; </v>
      </c>
    </row>
    <row r="140" spans="1:20">
      <c r="A140" s="31"/>
      <c r="B140" s="32"/>
      <c r="C140" s="31" t="s">
        <v>219</v>
      </c>
      <c r="D140" s="31"/>
      <c r="E140" s="31"/>
      <c r="F140" s="31"/>
      <c r="G140" s="31" t="s">
        <v>53</v>
      </c>
      <c r="H140" s="32"/>
      <c r="I140" s="32"/>
      <c r="J140" s="32"/>
      <c r="K140" s="31"/>
      <c r="L140" s="31"/>
      <c r="M140" s="3" t="str">
        <f t="shared" ca="1" si="9"/>
        <v/>
      </c>
      <c r="P140">
        <f>'Combined Delivery Data'!B170</f>
        <v>0</v>
      </c>
      <c r="Q140">
        <f t="shared" si="7"/>
        <v>0</v>
      </c>
      <c r="R140">
        <f t="shared" si="8"/>
        <v>452</v>
      </c>
      <c r="S140" s="28">
        <f>IF($P140="","",IF(SUMPRODUCT(MAX(($A$2:$A$497=$P140)*ROW($A$2:$A$497)))=0,"",INDEX($B:$B,SUMPRODUCT(MAX(($A$2:$A$497=$P140)*ROW($A$2:$A$497))))))</f>
        <v>0</v>
      </c>
      <c r="T140" t="str">
        <f>IF($P140="","",IF(SUMPRODUCT(MAX(($A$2:$A$497=$P140)*ROW($A$2:$A$497)))=0,"",INDEX($C:$C,SUMPRODUCT(MAX(($A$2:$A$497=$P140)*ROW($A$2:$A$497))))&amp;" -&gt; "&amp;INDEX($D:$D,SUMPRODUCT(MAX(($A$2:$A$497=$P140)*ROW($A$2:$A$497))))))</f>
        <v xml:space="preserve"> -&gt; </v>
      </c>
    </row>
    <row r="141" spans="1:20">
      <c r="A141" s="31"/>
      <c r="B141" s="32"/>
      <c r="C141" s="31" t="s">
        <v>219</v>
      </c>
      <c r="D141" s="31"/>
      <c r="E141" s="31"/>
      <c r="F141" s="31"/>
      <c r="G141" s="31" t="s">
        <v>53</v>
      </c>
      <c r="H141" s="32"/>
      <c r="I141" s="32"/>
      <c r="J141" s="32"/>
      <c r="K141" s="31"/>
      <c r="L141" s="31"/>
      <c r="M141" s="3" t="str">
        <f t="shared" ca="1" si="9"/>
        <v/>
      </c>
      <c r="P141">
        <f>'Combined Delivery Data'!B171</f>
        <v>0</v>
      </c>
      <c r="Q141">
        <f t="shared" si="7"/>
        <v>0</v>
      </c>
      <c r="R141">
        <f t="shared" si="8"/>
        <v>452</v>
      </c>
      <c r="S141" s="28">
        <f>IF($P141="","",IF(SUMPRODUCT(MAX(($A$2:$A$497=$P141)*ROW($A$2:$A$497)))=0,"",INDEX($B:$B,SUMPRODUCT(MAX(($A$2:$A$497=$P141)*ROW($A$2:$A$497))))))</f>
        <v>0</v>
      </c>
      <c r="T141" t="str">
        <f>IF($P141="","",IF(SUMPRODUCT(MAX(($A$2:$A$497=$P141)*ROW($A$2:$A$497)))=0,"",INDEX($C:$C,SUMPRODUCT(MAX(($A$2:$A$497=$P141)*ROW($A$2:$A$497))))&amp;" -&gt; "&amp;INDEX($D:$D,SUMPRODUCT(MAX(($A$2:$A$497=$P141)*ROW($A$2:$A$497))))))</f>
        <v xml:space="preserve"> -&gt; </v>
      </c>
    </row>
    <row r="142" spans="1:20">
      <c r="A142" s="31"/>
      <c r="B142" s="32"/>
      <c r="C142" s="31" t="s">
        <v>219</v>
      </c>
      <c r="D142" s="31"/>
      <c r="E142" s="31"/>
      <c r="F142" s="31"/>
      <c r="G142" s="31" t="s">
        <v>53</v>
      </c>
      <c r="H142" s="32"/>
      <c r="I142" s="32"/>
      <c r="J142" s="32"/>
      <c r="K142" s="31"/>
      <c r="L142" s="31"/>
      <c r="M142" s="3" t="str">
        <f t="shared" ca="1" si="9"/>
        <v/>
      </c>
      <c r="P142">
        <f>'Combined Delivery Data'!B172</f>
        <v>0</v>
      </c>
      <c r="Q142">
        <f t="shared" si="7"/>
        <v>0</v>
      </c>
      <c r="R142">
        <f t="shared" si="8"/>
        <v>452</v>
      </c>
      <c r="S142" s="28">
        <f>IF($P142="","",IF(SUMPRODUCT(MAX(($A$2:$A$497=$P142)*ROW($A$2:$A$497)))=0,"",INDEX($B:$B,SUMPRODUCT(MAX(($A$2:$A$497=$P142)*ROW($A$2:$A$497))))))</f>
        <v>0</v>
      </c>
      <c r="T142" t="str">
        <f>IF($P142="","",IF(SUMPRODUCT(MAX(($A$2:$A$497=$P142)*ROW($A$2:$A$497)))=0,"",INDEX($C:$C,SUMPRODUCT(MAX(($A$2:$A$497=$P142)*ROW($A$2:$A$497))))&amp;" -&gt; "&amp;INDEX($D:$D,SUMPRODUCT(MAX(($A$2:$A$497=$P142)*ROW($A$2:$A$497))))))</f>
        <v xml:space="preserve"> -&gt; </v>
      </c>
    </row>
    <row r="143" spans="1:20">
      <c r="A143" s="31"/>
      <c r="B143" s="32"/>
      <c r="C143" s="31" t="s">
        <v>219</v>
      </c>
      <c r="D143" s="31"/>
      <c r="E143" s="31"/>
      <c r="F143" s="31"/>
      <c r="G143" s="31" t="s">
        <v>53</v>
      </c>
      <c r="H143" s="32"/>
      <c r="I143" s="32"/>
      <c r="J143" s="32"/>
      <c r="K143" s="31"/>
      <c r="L143" s="31"/>
      <c r="M143" s="3" t="str">
        <f t="shared" ca="1" si="9"/>
        <v/>
      </c>
      <c r="P143">
        <f>'Combined Delivery Data'!B173</f>
        <v>0</v>
      </c>
      <c r="Q143">
        <f t="shared" si="7"/>
        <v>0</v>
      </c>
      <c r="R143">
        <f t="shared" si="8"/>
        <v>452</v>
      </c>
      <c r="S143" s="28">
        <f>IF($P143="","",IF(SUMPRODUCT(MAX(($A$2:$A$497=$P143)*ROW($A$2:$A$497)))=0,"",INDEX($B:$B,SUMPRODUCT(MAX(($A$2:$A$497=$P143)*ROW($A$2:$A$497))))))</f>
        <v>0</v>
      </c>
      <c r="T143" t="str">
        <f>IF($P143="","",IF(SUMPRODUCT(MAX(($A$2:$A$497=$P143)*ROW($A$2:$A$497)))=0,"",INDEX($C:$C,SUMPRODUCT(MAX(($A$2:$A$497=$P143)*ROW($A$2:$A$497))))&amp;" -&gt; "&amp;INDEX($D:$D,SUMPRODUCT(MAX(($A$2:$A$497=$P143)*ROW($A$2:$A$497))))))</f>
        <v xml:space="preserve"> -&gt; </v>
      </c>
    </row>
    <row r="144" spans="1:20">
      <c r="A144" s="31"/>
      <c r="B144" s="32"/>
      <c r="C144" s="31" t="s">
        <v>219</v>
      </c>
      <c r="D144" s="31"/>
      <c r="E144" s="31"/>
      <c r="F144" s="31"/>
      <c r="G144" s="31" t="s">
        <v>53</v>
      </c>
      <c r="H144" s="32"/>
      <c r="I144" s="32"/>
      <c r="J144" s="32"/>
      <c r="K144" s="31"/>
      <c r="L144" s="31"/>
      <c r="M144" s="3" t="str">
        <f t="shared" ca="1" si="9"/>
        <v/>
      </c>
      <c r="P144">
        <f>'Combined Delivery Data'!B174</f>
        <v>0</v>
      </c>
      <c r="Q144">
        <f t="shared" si="7"/>
        <v>0</v>
      </c>
      <c r="R144">
        <f t="shared" si="8"/>
        <v>452</v>
      </c>
      <c r="S144" s="28">
        <f>IF($P144="","",IF(SUMPRODUCT(MAX(($A$2:$A$497=$P144)*ROW($A$2:$A$497)))=0,"",INDEX($B:$B,SUMPRODUCT(MAX(($A$2:$A$497=$P144)*ROW($A$2:$A$497))))))</f>
        <v>0</v>
      </c>
      <c r="T144" t="str">
        <f>IF($P144="","",IF(SUMPRODUCT(MAX(($A$2:$A$497=$P144)*ROW($A$2:$A$497)))=0,"",INDEX($C:$C,SUMPRODUCT(MAX(($A$2:$A$497=$P144)*ROW($A$2:$A$497))))&amp;" -&gt; "&amp;INDEX($D:$D,SUMPRODUCT(MAX(($A$2:$A$497=$P144)*ROW($A$2:$A$497))))))</f>
        <v xml:space="preserve"> -&gt; </v>
      </c>
    </row>
    <row r="145" spans="1:20">
      <c r="A145" s="31"/>
      <c r="B145" s="32"/>
      <c r="C145" s="31" t="s">
        <v>219</v>
      </c>
      <c r="D145" s="31"/>
      <c r="E145" s="31"/>
      <c r="F145" s="31"/>
      <c r="G145" s="31" t="s">
        <v>53</v>
      </c>
      <c r="H145" s="32"/>
      <c r="I145" s="32"/>
      <c r="J145" s="32"/>
      <c r="K145" s="31"/>
      <c r="L145" s="31"/>
      <c r="M145" s="3" t="str">
        <f t="shared" ca="1" si="9"/>
        <v/>
      </c>
      <c r="P145">
        <f>'Combined Delivery Data'!B175</f>
        <v>0</v>
      </c>
      <c r="Q145">
        <f t="shared" ref="Q145:Q208" si="10">IF($P145="","",COUNTIF($A$2:$A$497,$P145))</f>
        <v>0</v>
      </c>
      <c r="R145">
        <f t="shared" ref="R145:R208" si="11">IF($P145="","",SUMPRODUCT(($A$2:$A$497=$P145)*($G$2:$G$497&lt;&gt;"Yes")*($G$2:$G$497&lt;&gt;"Did not pass re-test")))</f>
        <v>452</v>
      </c>
      <c r="S145" s="28">
        <f>IF($P145="","",IF(SUMPRODUCT(MAX(($A$2:$A$497=$P145)*ROW($A$2:$A$497)))=0,"",INDEX($B:$B,SUMPRODUCT(MAX(($A$2:$A$497=$P145)*ROW($A$2:$A$497))))))</f>
        <v>0</v>
      </c>
      <c r="T145" t="str">
        <f>IF($P145="","",IF(SUMPRODUCT(MAX(($A$2:$A$497=$P145)*ROW($A$2:$A$497)))=0,"",INDEX($C:$C,SUMPRODUCT(MAX(($A$2:$A$497=$P145)*ROW($A$2:$A$497))))&amp;" -&gt; "&amp;INDEX($D:$D,SUMPRODUCT(MAX(($A$2:$A$497=$P145)*ROW($A$2:$A$497))))))</f>
        <v xml:space="preserve"> -&gt; </v>
      </c>
    </row>
    <row r="146" spans="1:20">
      <c r="A146" s="31"/>
      <c r="B146" s="32"/>
      <c r="C146" s="31" t="s">
        <v>219</v>
      </c>
      <c r="D146" s="31"/>
      <c r="E146" s="31"/>
      <c r="F146" s="31"/>
      <c r="G146" s="31" t="s">
        <v>53</v>
      </c>
      <c r="H146" s="32"/>
      <c r="I146" s="32"/>
      <c r="J146" s="32"/>
      <c r="K146" s="31"/>
      <c r="L146" s="31"/>
      <c r="M146" s="3" t="str">
        <f t="shared" ca="1" si="9"/>
        <v/>
      </c>
      <c r="P146">
        <f>'Combined Delivery Data'!B176</f>
        <v>0</v>
      </c>
      <c r="Q146">
        <f t="shared" si="10"/>
        <v>0</v>
      </c>
      <c r="R146">
        <f t="shared" si="11"/>
        <v>452</v>
      </c>
      <c r="S146" s="28">
        <f>IF($P146="","",IF(SUMPRODUCT(MAX(($A$2:$A$497=$P146)*ROW($A$2:$A$497)))=0,"",INDEX($B:$B,SUMPRODUCT(MAX(($A$2:$A$497=$P146)*ROW($A$2:$A$497))))))</f>
        <v>0</v>
      </c>
      <c r="T146" t="str">
        <f>IF($P146="","",IF(SUMPRODUCT(MAX(($A$2:$A$497=$P146)*ROW($A$2:$A$497)))=0,"",INDEX($C:$C,SUMPRODUCT(MAX(($A$2:$A$497=$P146)*ROW($A$2:$A$497))))&amp;" -&gt; "&amp;INDEX($D:$D,SUMPRODUCT(MAX(($A$2:$A$497=$P146)*ROW($A$2:$A$497))))))</f>
        <v xml:space="preserve"> -&gt; </v>
      </c>
    </row>
    <row r="147" spans="1:20">
      <c r="A147" s="31"/>
      <c r="B147" s="32"/>
      <c r="C147" s="31" t="s">
        <v>219</v>
      </c>
      <c r="D147" s="31"/>
      <c r="E147" s="31"/>
      <c r="F147" s="31"/>
      <c r="G147" s="31" t="s">
        <v>53</v>
      </c>
      <c r="H147" s="32"/>
      <c r="I147" s="32"/>
      <c r="J147" s="32"/>
      <c r="K147" s="31"/>
      <c r="L147" s="31"/>
      <c r="M147" s="3" t="str">
        <f t="shared" ca="1" si="9"/>
        <v/>
      </c>
      <c r="P147">
        <f>'Combined Delivery Data'!B177</f>
        <v>0</v>
      </c>
      <c r="Q147">
        <f t="shared" si="10"/>
        <v>0</v>
      </c>
      <c r="R147">
        <f t="shared" si="11"/>
        <v>452</v>
      </c>
      <c r="S147" s="28">
        <f>IF($P147="","",IF(SUMPRODUCT(MAX(($A$2:$A$497=$P147)*ROW($A$2:$A$497)))=0,"",INDEX($B:$B,SUMPRODUCT(MAX(($A$2:$A$497=$P147)*ROW($A$2:$A$497))))))</f>
        <v>0</v>
      </c>
      <c r="T147" t="str">
        <f>IF($P147="","",IF(SUMPRODUCT(MAX(($A$2:$A$497=$P147)*ROW($A$2:$A$497)))=0,"",INDEX($C:$C,SUMPRODUCT(MAX(($A$2:$A$497=$P147)*ROW($A$2:$A$497))))&amp;" -&gt; "&amp;INDEX($D:$D,SUMPRODUCT(MAX(($A$2:$A$497=$P147)*ROW($A$2:$A$497))))))</f>
        <v xml:space="preserve"> -&gt; </v>
      </c>
    </row>
    <row r="148" spans="1:20">
      <c r="A148" s="31"/>
      <c r="B148" s="32"/>
      <c r="C148" s="31" t="s">
        <v>219</v>
      </c>
      <c r="D148" s="31"/>
      <c r="E148" s="31"/>
      <c r="F148" s="31"/>
      <c r="G148" s="31" t="s">
        <v>53</v>
      </c>
      <c r="H148" s="32"/>
      <c r="I148" s="32"/>
      <c r="J148" s="32"/>
      <c r="K148" s="31"/>
      <c r="L148" s="31"/>
      <c r="M148" s="3" t="str">
        <f t="shared" ca="1" si="9"/>
        <v/>
      </c>
      <c r="P148">
        <f>'Combined Delivery Data'!B178</f>
        <v>0</v>
      </c>
      <c r="Q148">
        <f t="shared" si="10"/>
        <v>0</v>
      </c>
      <c r="R148">
        <f t="shared" si="11"/>
        <v>452</v>
      </c>
      <c r="S148" s="28">
        <f>IF($P148="","",IF(SUMPRODUCT(MAX(($A$2:$A$497=$P148)*ROW($A$2:$A$497)))=0,"",INDEX($B:$B,SUMPRODUCT(MAX(($A$2:$A$497=$P148)*ROW($A$2:$A$497))))))</f>
        <v>0</v>
      </c>
      <c r="T148" t="str">
        <f>IF($P148="","",IF(SUMPRODUCT(MAX(($A$2:$A$497=$P148)*ROW($A$2:$A$497)))=0,"",INDEX($C:$C,SUMPRODUCT(MAX(($A$2:$A$497=$P148)*ROW($A$2:$A$497))))&amp;" -&gt; "&amp;INDEX($D:$D,SUMPRODUCT(MAX(($A$2:$A$497=$P148)*ROW($A$2:$A$497))))))</f>
        <v xml:space="preserve"> -&gt; </v>
      </c>
    </row>
    <row r="149" spans="1:20">
      <c r="A149" s="31"/>
      <c r="B149" s="32"/>
      <c r="C149" s="31" t="s">
        <v>219</v>
      </c>
      <c r="D149" s="31"/>
      <c r="E149" s="31"/>
      <c r="F149" s="31"/>
      <c r="G149" s="31" t="s">
        <v>53</v>
      </c>
      <c r="H149" s="32"/>
      <c r="I149" s="32"/>
      <c r="J149" s="32"/>
      <c r="K149" s="31"/>
      <c r="L149" s="31"/>
      <c r="M149" s="3" t="str">
        <f t="shared" ca="1" si="9"/>
        <v/>
      </c>
      <c r="P149">
        <f>'Combined Delivery Data'!B179</f>
        <v>0</v>
      </c>
      <c r="Q149">
        <f t="shared" si="10"/>
        <v>0</v>
      </c>
      <c r="R149">
        <f t="shared" si="11"/>
        <v>452</v>
      </c>
      <c r="S149" s="28">
        <f>IF($P149="","",IF(SUMPRODUCT(MAX(($A$2:$A$497=$P149)*ROW($A$2:$A$497)))=0,"",INDEX($B:$B,SUMPRODUCT(MAX(($A$2:$A$497=$P149)*ROW($A$2:$A$497))))))</f>
        <v>0</v>
      </c>
      <c r="T149" t="str">
        <f>IF($P149="","",IF(SUMPRODUCT(MAX(($A$2:$A$497=$P149)*ROW($A$2:$A$497)))=0,"",INDEX($C:$C,SUMPRODUCT(MAX(($A$2:$A$497=$P149)*ROW($A$2:$A$497))))&amp;" -&gt; "&amp;INDEX($D:$D,SUMPRODUCT(MAX(($A$2:$A$497=$P149)*ROW($A$2:$A$497))))))</f>
        <v xml:space="preserve"> -&gt; </v>
      </c>
    </row>
    <row r="150" spans="1:20">
      <c r="A150" s="31"/>
      <c r="B150" s="32"/>
      <c r="C150" s="31" t="s">
        <v>219</v>
      </c>
      <c r="D150" s="31"/>
      <c r="E150" s="31"/>
      <c r="F150" s="31"/>
      <c r="G150" s="31" t="s">
        <v>53</v>
      </c>
      <c r="H150" s="32"/>
      <c r="I150" s="32"/>
      <c r="J150" s="32"/>
      <c r="K150" s="31"/>
      <c r="L150" s="31"/>
      <c r="M150" s="3" t="str">
        <f t="shared" ca="1" si="9"/>
        <v/>
      </c>
      <c r="P150">
        <f>'Combined Delivery Data'!B180</f>
        <v>0</v>
      </c>
      <c r="Q150">
        <f t="shared" si="10"/>
        <v>0</v>
      </c>
      <c r="R150">
        <f t="shared" si="11"/>
        <v>452</v>
      </c>
      <c r="S150" s="28">
        <f>IF($P150="","",IF(SUMPRODUCT(MAX(($A$2:$A$497=$P150)*ROW($A$2:$A$497)))=0,"",INDEX($B:$B,SUMPRODUCT(MAX(($A$2:$A$497=$P150)*ROW($A$2:$A$497))))))</f>
        <v>0</v>
      </c>
      <c r="T150" t="str">
        <f>IF($P150="","",IF(SUMPRODUCT(MAX(($A$2:$A$497=$P150)*ROW($A$2:$A$497)))=0,"",INDEX($C:$C,SUMPRODUCT(MAX(($A$2:$A$497=$P150)*ROW($A$2:$A$497))))&amp;" -&gt; "&amp;INDEX($D:$D,SUMPRODUCT(MAX(($A$2:$A$497=$P150)*ROW($A$2:$A$497))))))</f>
        <v xml:space="preserve"> -&gt; </v>
      </c>
    </row>
    <row r="151" spans="1:20">
      <c r="A151" s="31"/>
      <c r="B151" s="32"/>
      <c r="C151" s="31" t="s">
        <v>219</v>
      </c>
      <c r="D151" s="31"/>
      <c r="E151" s="31"/>
      <c r="F151" s="31"/>
      <c r="G151" s="31" t="s">
        <v>53</v>
      </c>
      <c r="H151" s="32"/>
      <c r="I151" s="32"/>
      <c r="J151" s="32"/>
      <c r="K151" s="31"/>
      <c r="L151" s="31"/>
      <c r="M151" s="3" t="str">
        <f t="shared" ca="1" si="9"/>
        <v/>
      </c>
      <c r="P151">
        <f>'Combined Delivery Data'!B181</f>
        <v>0</v>
      </c>
      <c r="Q151">
        <f t="shared" si="10"/>
        <v>0</v>
      </c>
      <c r="R151">
        <f t="shared" si="11"/>
        <v>452</v>
      </c>
      <c r="S151" s="28">
        <f>IF($P151="","",IF(SUMPRODUCT(MAX(($A$2:$A$497=$P151)*ROW($A$2:$A$497)))=0,"",INDEX($B:$B,SUMPRODUCT(MAX(($A$2:$A$497=$P151)*ROW($A$2:$A$497))))))</f>
        <v>0</v>
      </c>
      <c r="T151" t="str">
        <f>IF($P151="","",IF(SUMPRODUCT(MAX(($A$2:$A$497=$P151)*ROW($A$2:$A$497)))=0,"",INDEX($C:$C,SUMPRODUCT(MAX(($A$2:$A$497=$P151)*ROW($A$2:$A$497))))&amp;" -&gt; "&amp;INDEX($D:$D,SUMPRODUCT(MAX(($A$2:$A$497=$P151)*ROW($A$2:$A$497))))))</f>
        <v xml:space="preserve"> -&gt; </v>
      </c>
    </row>
    <row r="152" spans="1:20">
      <c r="A152" s="31"/>
      <c r="B152" s="32"/>
      <c r="C152" s="31" t="s">
        <v>219</v>
      </c>
      <c r="D152" s="31"/>
      <c r="E152" s="31"/>
      <c r="F152" s="31"/>
      <c r="G152" s="31" t="s">
        <v>53</v>
      </c>
      <c r="H152" s="32"/>
      <c r="I152" s="32"/>
      <c r="J152" s="32"/>
      <c r="K152" s="31"/>
      <c r="L152" s="31"/>
      <c r="M152" s="3" t="str">
        <f t="shared" ca="1" si="9"/>
        <v/>
      </c>
      <c r="P152">
        <f>'Combined Delivery Data'!B182</f>
        <v>0</v>
      </c>
      <c r="Q152">
        <f t="shared" si="10"/>
        <v>0</v>
      </c>
      <c r="R152">
        <f t="shared" si="11"/>
        <v>452</v>
      </c>
      <c r="S152" s="28">
        <f>IF($P152="","",IF(SUMPRODUCT(MAX(($A$2:$A$497=$P152)*ROW($A$2:$A$497)))=0,"",INDEX($B:$B,SUMPRODUCT(MAX(($A$2:$A$497=$P152)*ROW($A$2:$A$497))))))</f>
        <v>0</v>
      </c>
      <c r="T152" t="str">
        <f>IF($P152="","",IF(SUMPRODUCT(MAX(($A$2:$A$497=$P152)*ROW($A$2:$A$497)))=0,"",INDEX($C:$C,SUMPRODUCT(MAX(($A$2:$A$497=$P152)*ROW($A$2:$A$497))))&amp;" -&gt; "&amp;INDEX($D:$D,SUMPRODUCT(MAX(($A$2:$A$497=$P152)*ROW($A$2:$A$497))))))</f>
        <v xml:space="preserve"> -&gt; </v>
      </c>
    </row>
    <row r="153" spans="1:20">
      <c r="A153" s="31"/>
      <c r="B153" s="32"/>
      <c r="C153" s="31" t="s">
        <v>219</v>
      </c>
      <c r="D153" s="31"/>
      <c r="E153" s="31"/>
      <c r="F153" s="31"/>
      <c r="G153" s="31" t="s">
        <v>53</v>
      </c>
      <c r="H153" s="32"/>
      <c r="I153" s="32"/>
      <c r="J153" s="32"/>
      <c r="K153" s="31"/>
      <c r="L153" s="31"/>
      <c r="M153" s="3" t="str">
        <f t="shared" ca="1" si="9"/>
        <v/>
      </c>
      <c r="P153">
        <f>'Combined Delivery Data'!B183</f>
        <v>0</v>
      </c>
      <c r="Q153">
        <f t="shared" si="10"/>
        <v>0</v>
      </c>
      <c r="R153">
        <f t="shared" si="11"/>
        <v>452</v>
      </c>
      <c r="S153" s="28">
        <f>IF($P153="","",IF(SUMPRODUCT(MAX(($A$2:$A$497=$P153)*ROW($A$2:$A$497)))=0,"",INDEX($B:$B,SUMPRODUCT(MAX(($A$2:$A$497=$P153)*ROW($A$2:$A$497))))))</f>
        <v>0</v>
      </c>
      <c r="T153" t="str">
        <f>IF($P153="","",IF(SUMPRODUCT(MAX(($A$2:$A$497=$P153)*ROW($A$2:$A$497)))=0,"",INDEX($C:$C,SUMPRODUCT(MAX(($A$2:$A$497=$P153)*ROW($A$2:$A$497))))&amp;" -&gt; "&amp;INDEX($D:$D,SUMPRODUCT(MAX(($A$2:$A$497=$P153)*ROW($A$2:$A$497))))))</f>
        <v xml:space="preserve"> -&gt; </v>
      </c>
    </row>
    <row r="154" spans="1:20">
      <c r="A154" s="31"/>
      <c r="B154" s="32"/>
      <c r="C154" s="31" t="s">
        <v>219</v>
      </c>
      <c r="D154" s="31"/>
      <c r="E154" s="31"/>
      <c r="F154" s="31"/>
      <c r="G154" s="31" t="s">
        <v>53</v>
      </c>
      <c r="H154" s="32"/>
      <c r="I154" s="32"/>
      <c r="J154" s="32"/>
      <c r="K154" s="31"/>
      <c r="L154" s="31"/>
      <c r="M154" s="3" t="str">
        <f t="shared" ca="1" si="9"/>
        <v/>
      </c>
      <c r="P154">
        <f>'Combined Delivery Data'!B184</f>
        <v>0</v>
      </c>
      <c r="Q154">
        <f t="shared" si="10"/>
        <v>0</v>
      </c>
      <c r="R154">
        <f t="shared" si="11"/>
        <v>452</v>
      </c>
      <c r="S154" s="28">
        <f>IF($P154="","",IF(SUMPRODUCT(MAX(($A$2:$A$497=$P154)*ROW($A$2:$A$497)))=0,"",INDEX($B:$B,SUMPRODUCT(MAX(($A$2:$A$497=$P154)*ROW($A$2:$A$497))))))</f>
        <v>0</v>
      </c>
      <c r="T154" t="str">
        <f>IF($P154="","",IF(SUMPRODUCT(MAX(($A$2:$A$497=$P154)*ROW($A$2:$A$497)))=0,"",INDEX($C:$C,SUMPRODUCT(MAX(($A$2:$A$497=$P154)*ROW($A$2:$A$497))))&amp;" -&gt; "&amp;INDEX($D:$D,SUMPRODUCT(MAX(($A$2:$A$497=$P154)*ROW($A$2:$A$497))))))</f>
        <v xml:space="preserve"> -&gt; </v>
      </c>
    </row>
    <row r="155" spans="1:20">
      <c r="A155" s="31"/>
      <c r="B155" s="32"/>
      <c r="C155" s="31" t="s">
        <v>219</v>
      </c>
      <c r="D155" s="31"/>
      <c r="E155" s="31"/>
      <c r="F155" s="31"/>
      <c r="G155" s="31" t="s">
        <v>53</v>
      </c>
      <c r="H155" s="32"/>
      <c r="I155" s="32"/>
      <c r="J155" s="32"/>
      <c r="K155" s="31"/>
      <c r="L155" s="31"/>
      <c r="M155" s="3" t="str">
        <f t="shared" ca="1" si="9"/>
        <v/>
      </c>
      <c r="P155">
        <f>'Combined Delivery Data'!B185</f>
        <v>0</v>
      </c>
      <c r="Q155">
        <f t="shared" si="10"/>
        <v>0</v>
      </c>
      <c r="R155">
        <f t="shared" si="11"/>
        <v>452</v>
      </c>
      <c r="S155" s="28">
        <f>IF($P155="","",IF(SUMPRODUCT(MAX(($A$2:$A$497=$P155)*ROW($A$2:$A$497)))=0,"",INDEX($B:$B,SUMPRODUCT(MAX(($A$2:$A$497=$P155)*ROW($A$2:$A$497))))))</f>
        <v>0</v>
      </c>
      <c r="T155" t="str">
        <f>IF($P155="","",IF(SUMPRODUCT(MAX(($A$2:$A$497=$P155)*ROW($A$2:$A$497)))=0,"",INDEX($C:$C,SUMPRODUCT(MAX(($A$2:$A$497=$P155)*ROW($A$2:$A$497))))&amp;" -&gt; "&amp;INDEX($D:$D,SUMPRODUCT(MAX(($A$2:$A$497=$P155)*ROW($A$2:$A$497))))))</f>
        <v xml:space="preserve"> -&gt; </v>
      </c>
    </row>
    <row r="156" spans="1:20">
      <c r="A156" s="31"/>
      <c r="B156" s="32"/>
      <c r="C156" s="31" t="s">
        <v>219</v>
      </c>
      <c r="D156" s="31"/>
      <c r="E156" s="31"/>
      <c r="F156" s="31"/>
      <c r="G156" s="31" t="s">
        <v>53</v>
      </c>
      <c r="H156" s="32"/>
      <c r="I156" s="32"/>
      <c r="J156" s="32"/>
      <c r="K156" s="31"/>
      <c r="L156" s="31"/>
      <c r="M156" s="3" t="str">
        <f t="shared" ca="1" si="9"/>
        <v/>
      </c>
      <c r="P156">
        <f>'Combined Delivery Data'!B186</f>
        <v>0</v>
      </c>
      <c r="Q156">
        <f t="shared" si="10"/>
        <v>0</v>
      </c>
      <c r="R156">
        <f t="shared" si="11"/>
        <v>452</v>
      </c>
      <c r="S156" s="28">
        <f>IF($P156="","",IF(SUMPRODUCT(MAX(($A$2:$A$497=$P156)*ROW($A$2:$A$497)))=0,"",INDEX($B:$B,SUMPRODUCT(MAX(($A$2:$A$497=$P156)*ROW($A$2:$A$497))))))</f>
        <v>0</v>
      </c>
      <c r="T156" t="str">
        <f>IF($P156="","",IF(SUMPRODUCT(MAX(($A$2:$A$497=$P156)*ROW($A$2:$A$497)))=0,"",INDEX($C:$C,SUMPRODUCT(MAX(($A$2:$A$497=$P156)*ROW($A$2:$A$497))))&amp;" -&gt; "&amp;INDEX($D:$D,SUMPRODUCT(MAX(($A$2:$A$497=$P156)*ROW($A$2:$A$497))))))</f>
        <v xml:space="preserve"> -&gt; </v>
      </c>
    </row>
    <row r="157" spans="1:20">
      <c r="A157" s="31"/>
      <c r="B157" s="32"/>
      <c r="C157" s="31" t="s">
        <v>219</v>
      </c>
      <c r="D157" s="31"/>
      <c r="E157" s="31"/>
      <c r="F157" s="31"/>
      <c r="G157" s="31" t="s">
        <v>53</v>
      </c>
      <c r="H157" s="32"/>
      <c r="I157" s="32"/>
      <c r="J157" s="32"/>
      <c r="K157" s="31"/>
      <c r="L157" s="31"/>
      <c r="M157" s="3" t="str">
        <f t="shared" ca="1" si="9"/>
        <v/>
      </c>
      <c r="P157">
        <f>'Combined Delivery Data'!B187</f>
        <v>0</v>
      </c>
      <c r="Q157">
        <f t="shared" si="10"/>
        <v>0</v>
      </c>
      <c r="R157">
        <f t="shared" si="11"/>
        <v>452</v>
      </c>
      <c r="S157" s="28">
        <f>IF($P157="","",IF(SUMPRODUCT(MAX(($A$2:$A$497=$P157)*ROW($A$2:$A$497)))=0,"",INDEX($B:$B,SUMPRODUCT(MAX(($A$2:$A$497=$P157)*ROW($A$2:$A$497))))))</f>
        <v>0</v>
      </c>
      <c r="T157" t="str">
        <f>IF($P157="","",IF(SUMPRODUCT(MAX(($A$2:$A$497=$P157)*ROW($A$2:$A$497)))=0,"",INDEX($C:$C,SUMPRODUCT(MAX(($A$2:$A$497=$P157)*ROW($A$2:$A$497))))&amp;" -&gt; "&amp;INDEX($D:$D,SUMPRODUCT(MAX(($A$2:$A$497=$P157)*ROW($A$2:$A$497))))))</f>
        <v xml:space="preserve"> -&gt; </v>
      </c>
    </row>
    <row r="158" spans="1:20">
      <c r="A158" s="31"/>
      <c r="B158" s="32"/>
      <c r="C158" s="31" t="s">
        <v>219</v>
      </c>
      <c r="D158" s="31"/>
      <c r="E158" s="31"/>
      <c r="F158" s="31"/>
      <c r="G158" s="31" t="s">
        <v>53</v>
      </c>
      <c r="H158" s="32"/>
      <c r="I158" s="32"/>
      <c r="J158" s="32"/>
      <c r="K158" s="31"/>
      <c r="L158" s="31"/>
      <c r="M158" s="3" t="str">
        <f t="shared" ca="1" si="9"/>
        <v/>
      </c>
      <c r="P158">
        <f>'Combined Delivery Data'!B188</f>
        <v>0</v>
      </c>
      <c r="Q158">
        <f t="shared" si="10"/>
        <v>0</v>
      </c>
      <c r="R158">
        <f t="shared" si="11"/>
        <v>452</v>
      </c>
      <c r="S158" s="28">
        <f>IF($P158="","",IF(SUMPRODUCT(MAX(($A$2:$A$497=$P158)*ROW($A$2:$A$497)))=0,"",INDEX($B:$B,SUMPRODUCT(MAX(($A$2:$A$497=$P158)*ROW($A$2:$A$497))))))</f>
        <v>0</v>
      </c>
      <c r="T158" t="str">
        <f>IF($P158="","",IF(SUMPRODUCT(MAX(($A$2:$A$497=$P158)*ROW($A$2:$A$497)))=0,"",INDEX($C:$C,SUMPRODUCT(MAX(($A$2:$A$497=$P158)*ROW($A$2:$A$497))))&amp;" -&gt; "&amp;INDEX($D:$D,SUMPRODUCT(MAX(($A$2:$A$497=$P158)*ROW($A$2:$A$497))))))</f>
        <v xml:space="preserve"> -&gt; </v>
      </c>
    </row>
    <row r="159" spans="1:20">
      <c r="A159" s="31"/>
      <c r="B159" s="32"/>
      <c r="C159" s="31" t="s">
        <v>219</v>
      </c>
      <c r="D159" s="31"/>
      <c r="E159" s="31"/>
      <c r="F159" s="31"/>
      <c r="G159" s="31" t="s">
        <v>53</v>
      </c>
      <c r="H159" s="32"/>
      <c r="I159" s="32"/>
      <c r="J159" s="32"/>
      <c r="K159" s="31"/>
      <c r="L159" s="31"/>
      <c r="M159" s="3" t="str">
        <f t="shared" ca="1" si="9"/>
        <v/>
      </c>
      <c r="P159">
        <f>'Combined Delivery Data'!B189</f>
        <v>0</v>
      </c>
      <c r="Q159">
        <f t="shared" si="10"/>
        <v>0</v>
      </c>
      <c r="R159">
        <f t="shared" si="11"/>
        <v>452</v>
      </c>
      <c r="S159" s="28">
        <f>IF($P159="","",IF(SUMPRODUCT(MAX(($A$2:$A$497=$P159)*ROW($A$2:$A$497)))=0,"",INDEX($B:$B,SUMPRODUCT(MAX(($A$2:$A$497=$P159)*ROW($A$2:$A$497))))))</f>
        <v>0</v>
      </c>
      <c r="T159" t="str">
        <f>IF($P159="","",IF(SUMPRODUCT(MAX(($A$2:$A$497=$P159)*ROW($A$2:$A$497)))=0,"",INDEX($C:$C,SUMPRODUCT(MAX(($A$2:$A$497=$P159)*ROW($A$2:$A$497))))&amp;" -&gt; "&amp;INDEX($D:$D,SUMPRODUCT(MAX(($A$2:$A$497=$P159)*ROW($A$2:$A$497))))))</f>
        <v xml:space="preserve"> -&gt; </v>
      </c>
    </row>
    <row r="160" spans="1:20">
      <c r="A160" s="31"/>
      <c r="B160" s="32"/>
      <c r="C160" s="31" t="s">
        <v>219</v>
      </c>
      <c r="D160" s="31"/>
      <c r="E160" s="31"/>
      <c r="F160" s="31"/>
      <c r="G160" s="31" t="s">
        <v>53</v>
      </c>
      <c r="H160" s="32"/>
      <c r="I160" s="32"/>
      <c r="J160" s="32"/>
      <c r="K160" s="31"/>
      <c r="L160" s="31"/>
      <c r="M160" s="3" t="str">
        <f t="shared" ca="1" si="9"/>
        <v/>
      </c>
      <c r="P160">
        <f>'Combined Delivery Data'!B190</f>
        <v>0</v>
      </c>
      <c r="Q160">
        <f t="shared" si="10"/>
        <v>0</v>
      </c>
      <c r="R160">
        <f t="shared" si="11"/>
        <v>452</v>
      </c>
      <c r="S160" s="28">
        <f>IF($P160="","",IF(SUMPRODUCT(MAX(($A$2:$A$497=$P160)*ROW($A$2:$A$497)))=0,"",INDEX($B:$B,SUMPRODUCT(MAX(($A$2:$A$497=$P160)*ROW($A$2:$A$497))))))</f>
        <v>0</v>
      </c>
      <c r="T160" t="str">
        <f>IF($P160="","",IF(SUMPRODUCT(MAX(($A$2:$A$497=$P160)*ROW($A$2:$A$497)))=0,"",INDEX($C:$C,SUMPRODUCT(MAX(($A$2:$A$497=$P160)*ROW($A$2:$A$497))))&amp;" -&gt; "&amp;INDEX($D:$D,SUMPRODUCT(MAX(($A$2:$A$497=$P160)*ROW($A$2:$A$497))))))</f>
        <v xml:space="preserve"> -&gt; </v>
      </c>
    </row>
    <row r="161" spans="1:20">
      <c r="A161" s="31"/>
      <c r="B161" s="32"/>
      <c r="C161" s="31" t="s">
        <v>219</v>
      </c>
      <c r="D161" s="31"/>
      <c r="E161" s="31"/>
      <c r="F161" s="31"/>
      <c r="G161" s="31" t="s">
        <v>53</v>
      </c>
      <c r="H161" s="32"/>
      <c r="I161" s="32"/>
      <c r="J161" s="32"/>
      <c r="K161" s="31"/>
      <c r="L161" s="31"/>
      <c r="M161" s="3" t="str">
        <f t="shared" ca="1" si="9"/>
        <v/>
      </c>
      <c r="P161">
        <f>'Combined Delivery Data'!B191</f>
        <v>0</v>
      </c>
      <c r="Q161">
        <f t="shared" si="10"/>
        <v>0</v>
      </c>
      <c r="R161">
        <f t="shared" si="11"/>
        <v>452</v>
      </c>
      <c r="S161" s="28">
        <f>IF($P161="","",IF(SUMPRODUCT(MAX(($A$2:$A$497=$P161)*ROW($A$2:$A$497)))=0,"",INDEX($B:$B,SUMPRODUCT(MAX(($A$2:$A$497=$P161)*ROW($A$2:$A$497))))))</f>
        <v>0</v>
      </c>
      <c r="T161" t="str">
        <f>IF($P161="","",IF(SUMPRODUCT(MAX(($A$2:$A$497=$P161)*ROW($A$2:$A$497)))=0,"",INDEX($C:$C,SUMPRODUCT(MAX(($A$2:$A$497=$P161)*ROW($A$2:$A$497))))&amp;" -&gt; "&amp;INDEX($D:$D,SUMPRODUCT(MAX(($A$2:$A$497=$P161)*ROW($A$2:$A$497))))))</f>
        <v xml:space="preserve"> -&gt; </v>
      </c>
    </row>
    <row r="162" spans="1:20">
      <c r="A162" s="31"/>
      <c r="B162" s="32"/>
      <c r="C162" s="31" t="s">
        <v>219</v>
      </c>
      <c r="D162" s="31"/>
      <c r="E162" s="31"/>
      <c r="F162" s="31"/>
      <c r="G162" s="31" t="s">
        <v>53</v>
      </c>
      <c r="H162" s="32"/>
      <c r="I162" s="32"/>
      <c r="J162" s="32"/>
      <c r="K162" s="31"/>
      <c r="L162" s="31"/>
      <c r="M162" s="3" t="str">
        <f t="shared" ca="1" si="9"/>
        <v/>
      </c>
      <c r="P162">
        <f>'Combined Delivery Data'!B192</f>
        <v>0</v>
      </c>
      <c r="Q162">
        <f t="shared" si="10"/>
        <v>0</v>
      </c>
      <c r="R162">
        <f t="shared" si="11"/>
        <v>452</v>
      </c>
      <c r="S162" s="28">
        <f>IF($P162="","",IF(SUMPRODUCT(MAX(($A$2:$A$497=$P162)*ROW($A$2:$A$497)))=0,"",INDEX($B:$B,SUMPRODUCT(MAX(($A$2:$A$497=$P162)*ROW($A$2:$A$497))))))</f>
        <v>0</v>
      </c>
      <c r="T162" t="str">
        <f>IF($P162="","",IF(SUMPRODUCT(MAX(($A$2:$A$497=$P162)*ROW($A$2:$A$497)))=0,"",INDEX($C:$C,SUMPRODUCT(MAX(($A$2:$A$497=$P162)*ROW($A$2:$A$497))))&amp;" -&gt; "&amp;INDEX($D:$D,SUMPRODUCT(MAX(($A$2:$A$497=$P162)*ROW($A$2:$A$497))))))</f>
        <v xml:space="preserve"> -&gt; </v>
      </c>
    </row>
    <row r="163" spans="1:20">
      <c r="A163" s="31"/>
      <c r="B163" s="32"/>
      <c r="C163" s="31" t="s">
        <v>219</v>
      </c>
      <c r="D163" s="31"/>
      <c r="E163" s="31"/>
      <c r="F163" s="31"/>
      <c r="G163" s="31" t="s">
        <v>53</v>
      </c>
      <c r="H163" s="32"/>
      <c r="I163" s="32"/>
      <c r="J163" s="32"/>
      <c r="K163" s="31"/>
      <c r="L163" s="31"/>
      <c r="M163" s="3" t="str">
        <f t="shared" ca="1" si="9"/>
        <v/>
      </c>
      <c r="P163">
        <f>'Combined Delivery Data'!B193</f>
        <v>0</v>
      </c>
      <c r="Q163">
        <f t="shared" si="10"/>
        <v>0</v>
      </c>
      <c r="R163">
        <f t="shared" si="11"/>
        <v>452</v>
      </c>
      <c r="S163" s="28">
        <f>IF($P163="","",IF(SUMPRODUCT(MAX(($A$2:$A$497=$P163)*ROW($A$2:$A$497)))=0,"",INDEX($B:$B,SUMPRODUCT(MAX(($A$2:$A$497=$P163)*ROW($A$2:$A$497))))))</f>
        <v>0</v>
      </c>
      <c r="T163" t="str">
        <f>IF($P163="","",IF(SUMPRODUCT(MAX(($A$2:$A$497=$P163)*ROW($A$2:$A$497)))=0,"",INDEX($C:$C,SUMPRODUCT(MAX(($A$2:$A$497=$P163)*ROW($A$2:$A$497))))&amp;" -&gt; "&amp;INDEX($D:$D,SUMPRODUCT(MAX(($A$2:$A$497=$P163)*ROW($A$2:$A$497))))))</f>
        <v xml:space="preserve"> -&gt; </v>
      </c>
    </row>
    <row r="164" spans="1:20">
      <c r="A164" s="31"/>
      <c r="B164" s="32"/>
      <c r="C164" s="31" t="s">
        <v>219</v>
      </c>
      <c r="D164" s="31"/>
      <c r="E164" s="31"/>
      <c r="F164" s="31"/>
      <c r="G164" s="31" t="s">
        <v>53</v>
      </c>
      <c r="H164" s="32"/>
      <c r="I164" s="32"/>
      <c r="J164" s="32"/>
      <c r="K164" s="31"/>
      <c r="L164" s="31"/>
      <c r="M164" s="3" t="str">
        <f t="shared" ca="1" si="9"/>
        <v/>
      </c>
      <c r="P164">
        <f>'Combined Delivery Data'!B194</f>
        <v>0</v>
      </c>
      <c r="Q164">
        <f t="shared" si="10"/>
        <v>0</v>
      </c>
      <c r="R164">
        <f t="shared" si="11"/>
        <v>452</v>
      </c>
      <c r="S164" s="28">
        <f>IF($P164="","",IF(SUMPRODUCT(MAX(($A$2:$A$497=$P164)*ROW($A$2:$A$497)))=0,"",INDEX($B:$B,SUMPRODUCT(MAX(($A$2:$A$497=$P164)*ROW($A$2:$A$497))))))</f>
        <v>0</v>
      </c>
      <c r="T164" t="str">
        <f>IF($P164="","",IF(SUMPRODUCT(MAX(($A$2:$A$497=$P164)*ROW($A$2:$A$497)))=0,"",INDEX($C:$C,SUMPRODUCT(MAX(($A$2:$A$497=$P164)*ROW($A$2:$A$497))))&amp;" -&gt; "&amp;INDEX($D:$D,SUMPRODUCT(MAX(($A$2:$A$497=$P164)*ROW($A$2:$A$497))))))</f>
        <v xml:space="preserve"> -&gt; </v>
      </c>
    </row>
    <row r="165" spans="1:20">
      <c r="A165" s="31"/>
      <c r="B165" s="32"/>
      <c r="C165" s="31" t="s">
        <v>219</v>
      </c>
      <c r="D165" s="31"/>
      <c r="E165" s="31"/>
      <c r="F165" s="31"/>
      <c r="G165" s="31" t="s">
        <v>53</v>
      </c>
      <c r="H165" s="32"/>
      <c r="I165" s="32"/>
      <c r="J165" s="32"/>
      <c r="K165" s="31"/>
      <c r="L165" s="31"/>
      <c r="M165" s="3" t="str">
        <f t="shared" ca="1" si="9"/>
        <v/>
      </c>
      <c r="P165">
        <f>'Combined Delivery Data'!B195</f>
        <v>0</v>
      </c>
      <c r="Q165">
        <f t="shared" si="10"/>
        <v>0</v>
      </c>
      <c r="R165">
        <f t="shared" si="11"/>
        <v>452</v>
      </c>
      <c r="S165" s="28">
        <f>IF($P165="","",IF(SUMPRODUCT(MAX(($A$2:$A$497=$P165)*ROW($A$2:$A$497)))=0,"",INDEX($B:$B,SUMPRODUCT(MAX(($A$2:$A$497=$P165)*ROW($A$2:$A$497))))))</f>
        <v>0</v>
      </c>
      <c r="T165" t="str">
        <f>IF($P165="","",IF(SUMPRODUCT(MAX(($A$2:$A$497=$P165)*ROW($A$2:$A$497)))=0,"",INDEX($C:$C,SUMPRODUCT(MAX(($A$2:$A$497=$P165)*ROW($A$2:$A$497))))&amp;" -&gt; "&amp;INDEX($D:$D,SUMPRODUCT(MAX(($A$2:$A$497=$P165)*ROW($A$2:$A$497))))))</f>
        <v xml:space="preserve"> -&gt; </v>
      </c>
    </row>
    <row r="166" spans="1:20">
      <c r="A166" s="31"/>
      <c r="B166" s="32"/>
      <c r="C166" s="31" t="s">
        <v>219</v>
      </c>
      <c r="D166" s="31"/>
      <c r="E166" s="31"/>
      <c r="F166" s="31"/>
      <c r="G166" s="31" t="s">
        <v>53</v>
      </c>
      <c r="H166" s="32"/>
      <c r="I166" s="32"/>
      <c r="J166" s="32"/>
      <c r="K166" s="31"/>
      <c r="L166" s="31"/>
      <c r="M166" s="3" t="str">
        <f t="shared" ca="1" si="9"/>
        <v/>
      </c>
      <c r="P166">
        <f>'Combined Delivery Data'!B196</f>
        <v>0</v>
      </c>
      <c r="Q166">
        <f t="shared" si="10"/>
        <v>0</v>
      </c>
      <c r="R166">
        <f t="shared" si="11"/>
        <v>452</v>
      </c>
      <c r="S166" s="28">
        <f>IF($P166="","",IF(SUMPRODUCT(MAX(($A$2:$A$497=$P166)*ROW($A$2:$A$497)))=0,"",INDEX($B:$B,SUMPRODUCT(MAX(($A$2:$A$497=$P166)*ROW($A$2:$A$497))))))</f>
        <v>0</v>
      </c>
      <c r="T166" t="str">
        <f>IF($P166="","",IF(SUMPRODUCT(MAX(($A$2:$A$497=$P166)*ROW($A$2:$A$497)))=0,"",INDEX($C:$C,SUMPRODUCT(MAX(($A$2:$A$497=$P166)*ROW($A$2:$A$497))))&amp;" -&gt; "&amp;INDEX($D:$D,SUMPRODUCT(MAX(($A$2:$A$497=$P166)*ROW($A$2:$A$497))))))</f>
        <v xml:space="preserve"> -&gt; </v>
      </c>
    </row>
    <row r="167" spans="1:20">
      <c r="A167" s="31"/>
      <c r="B167" s="32"/>
      <c r="C167" s="31" t="s">
        <v>219</v>
      </c>
      <c r="D167" s="31"/>
      <c r="E167" s="31"/>
      <c r="F167" s="31"/>
      <c r="G167" s="31" t="s">
        <v>53</v>
      </c>
      <c r="H167" s="32"/>
      <c r="I167" s="32"/>
      <c r="J167" s="32"/>
      <c r="K167" s="31"/>
      <c r="L167" s="31"/>
      <c r="M167" s="3" t="str">
        <f t="shared" ca="1" si="9"/>
        <v/>
      </c>
      <c r="P167">
        <f>'Combined Delivery Data'!B197</f>
        <v>0</v>
      </c>
      <c r="Q167">
        <f t="shared" si="10"/>
        <v>0</v>
      </c>
      <c r="R167">
        <f t="shared" si="11"/>
        <v>452</v>
      </c>
      <c r="S167" s="28">
        <f>IF($P167="","",IF(SUMPRODUCT(MAX(($A$2:$A$497=$P167)*ROW($A$2:$A$497)))=0,"",INDEX($B:$B,SUMPRODUCT(MAX(($A$2:$A$497=$P167)*ROW($A$2:$A$497))))))</f>
        <v>0</v>
      </c>
      <c r="T167" t="str">
        <f>IF($P167="","",IF(SUMPRODUCT(MAX(($A$2:$A$497=$P167)*ROW($A$2:$A$497)))=0,"",INDEX($C:$C,SUMPRODUCT(MAX(($A$2:$A$497=$P167)*ROW($A$2:$A$497))))&amp;" -&gt; "&amp;INDEX($D:$D,SUMPRODUCT(MAX(($A$2:$A$497=$P167)*ROW($A$2:$A$497))))))</f>
        <v xml:space="preserve"> -&gt; </v>
      </c>
    </row>
    <row r="168" spans="1:20">
      <c r="A168" s="31"/>
      <c r="B168" s="32"/>
      <c r="C168" s="31" t="s">
        <v>219</v>
      </c>
      <c r="D168" s="31"/>
      <c r="E168" s="31"/>
      <c r="F168" s="31"/>
      <c r="G168" s="31" t="s">
        <v>53</v>
      </c>
      <c r="H168" s="32"/>
      <c r="I168" s="32"/>
      <c r="J168" s="32"/>
      <c r="K168" s="31"/>
      <c r="L168" s="31"/>
      <c r="M168" s="3" t="str">
        <f t="shared" ca="1" si="9"/>
        <v/>
      </c>
      <c r="P168">
        <f>'Combined Delivery Data'!B198</f>
        <v>0</v>
      </c>
      <c r="Q168">
        <f t="shared" si="10"/>
        <v>0</v>
      </c>
      <c r="R168">
        <f t="shared" si="11"/>
        <v>452</v>
      </c>
      <c r="S168" s="28">
        <f>IF($P168="","",IF(SUMPRODUCT(MAX(($A$2:$A$497=$P168)*ROW($A$2:$A$497)))=0,"",INDEX($B:$B,SUMPRODUCT(MAX(($A$2:$A$497=$P168)*ROW($A$2:$A$497))))))</f>
        <v>0</v>
      </c>
      <c r="T168" t="str">
        <f>IF($P168="","",IF(SUMPRODUCT(MAX(($A$2:$A$497=$P168)*ROW($A$2:$A$497)))=0,"",INDEX($C:$C,SUMPRODUCT(MAX(($A$2:$A$497=$P168)*ROW($A$2:$A$497))))&amp;" -&gt; "&amp;INDEX($D:$D,SUMPRODUCT(MAX(($A$2:$A$497=$P168)*ROW($A$2:$A$497))))))</f>
        <v xml:space="preserve"> -&gt; </v>
      </c>
    </row>
    <row r="169" spans="1:20">
      <c r="A169" s="31"/>
      <c r="B169" s="32"/>
      <c r="C169" s="31" t="s">
        <v>219</v>
      </c>
      <c r="D169" s="31"/>
      <c r="E169" s="31"/>
      <c r="F169" s="31"/>
      <c r="G169" s="31" t="s">
        <v>53</v>
      </c>
      <c r="H169" s="32"/>
      <c r="I169" s="32"/>
      <c r="J169" s="32"/>
      <c r="K169" s="31"/>
      <c r="L169" s="31"/>
      <c r="M169" s="3" t="str">
        <f t="shared" ca="1" si="9"/>
        <v/>
      </c>
      <c r="P169">
        <f>'Combined Delivery Data'!B199</f>
        <v>0</v>
      </c>
      <c r="Q169">
        <f t="shared" si="10"/>
        <v>0</v>
      </c>
      <c r="R169">
        <f t="shared" si="11"/>
        <v>452</v>
      </c>
      <c r="S169" s="28">
        <f>IF($P169="","",IF(SUMPRODUCT(MAX(($A$2:$A$497=$P169)*ROW($A$2:$A$497)))=0,"",INDEX($B:$B,SUMPRODUCT(MAX(($A$2:$A$497=$P169)*ROW($A$2:$A$497))))))</f>
        <v>0</v>
      </c>
      <c r="T169" t="str">
        <f>IF($P169="","",IF(SUMPRODUCT(MAX(($A$2:$A$497=$P169)*ROW($A$2:$A$497)))=0,"",INDEX($C:$C,SUMPRODUCT(MAX(($A$2:$A$497=$P169)*ROW($A$2:$A$497))))&amp;" -&gt; "&amp;INDEX($D:$D,SUMPRODUCT(MAX(($A$2:$A$497=$P169)*ROW($A$2:$A$497))))))</f>
        <v xml:space="preserve"> -&gt; </v>
      </c>
    </row>
    <row r="170" spans="1:20">
      <c r="A170" s="31"/>
      <c r="B170" s="32"/>
      <c r="C170" s="31" t="s">
        <v>219</v>
      </c>
      <c r="D170" s="31"/>
      <c r="E170" s="31"/>
      <c r="F170" s="31"/>
      <c r="G170" s="31" t="s">
        <v>53</v>
      </c>
      <c r="H170" s="32"/>
      <c r="I170" s="32"/>
      <c r="J170" s="32"/>
      <c r="K170" s="31"/>
      <c r="L170" s="31"/>
      <c r="M170" s="3" t="str">
        <f t="shared" ca="1" si="9"/>
        <v/>
      </c>
      <c r="P170">
        <f>'Combined Delivery Data'!B200</f>
        <v>0</v>
      </c>
      <c r="Q170">
        <f t="shared" si="10"/>
        <v>0</v>
      </c>
      <c r="R170">
        <f t="shared" si="11"/>
        <v>452</v>
      </c>
      <c r="S170" s="28">
        <f>IF($P170="","",IF(SUMPRODUCT(MAX(($A$2:$A$497=$P170)*ROW($A$2:$A$497)))=0,"",INDEX($B:$B,SUMPRODUCT(MAX(($A$2:$A$497=$P170)*ROW($A$2:$A$497))))))</f>
        <v>0</v>
      </c>
      <c r="T170" t="str">
        <f>IF($P170="","",IF(SUMPRODUCT(MAX(($A$2:$A$497=$P170)*ROW($A$2:$A$497)))=0,"",INDEX($C:$C,SUMPRODUCT(MAX(($A$2:$A$497=$P170)*ROW($A$2:$A$497))))&amp;" -&gt; "&amp;INDEX($D:$D,SUMPRODUCT(MAX(($A$2:$A$497=$P170)*ROW($A$2:$A$497))))))</f>
        <v xml:space="preserve"> -&gt; </v>
      </c>
    </row>
    <row r="171" spans="1:20">
      <c r="A171" s="31"/>
      <c r="B171" s="32"/>
      <c r="C171" s="31" t="s">
        <v>219</v>
      </c>
      <c r="D171" s="31"/>
      <c r="E171" s="31"/>
      <c r="F171" s="31"/>
      <c r="G171" s="31" t="s">
        <v>53</v>
      </c>
      <c r="H171" s="32"/>
      <c r="I171" s="32"/>
      <c r="J171" s="32"/>
      <c r="K171" s="31"/>
      <c r="L171" s="31"/>
      <c r="M171" s="3" t="str">
        <f t="shared" ca="1" si="9"/>
        <v/>
      </c>
      <c r="P171">
        <f>'Combined Delivery Data'!B201</f>
        <v>0</v>
      </c>
      <c r="Q171">
        <f t="shared" si="10"/>
        <v>0</v>
      </c>
      <c r="R171">
        <f t="shared" si="11"/>
        <v>452</v>
      </c>
      <c r="S171" s="28">
        <f>IF($P171="","",IF(SUMPRODUCT(MAX(($A$2:$A$497=$P171)*ROW($A$2:$A$497)))=0,"",INDEX($B:$B,SUMPRODUCT(MAX(($A$2:$A$497=$P171)*ROW($A$2:$A$497))))))</f>
        <v>0</v>
      </c>
      <c r="T171" t="str">
        <f>IF($P171="","",IF(SUMPRODUCT(MAX(($A$2:$A$497=$P171)*ROW($A$2:$A$497)))=0,"",INDEX($C:$C,SUMPRODUCT(MAX(($A$2:$A$497=$P171)*ROW($A$2:$A$497))))&amp;" -&gt; "&amp;INDEX($D:$D,SUMPRODUCT(MAX(($A$2:$A$497=$P171)*ROW($A$2:$A$497))))))</f>
        <v xml:space="preserve"> -&gt; </v>
      </c>
    </row>
    <row r="172" spans="1:20">
      <c r="A172" s="31"/>
      <c r="B172" s="32"/>
      <c r="C172" s="31" t="s">
        <v>219</v>
      </c>
      <c r="D172" s="31"/>
      <c r="E172" s="31"/>
      <c r="F172" s="31"/>
      <c r="G172" s="31" t="s">
        <v>53</v>
      </c>
      <c r="H172" s="32"/>
      <c r="I172" s="32"/>
      <c r="J172" s="32"/>
      <c r="K172" s="31"/>
      <c r="L172" s="31"/>
      <c r="M172" s="3" t="str">
        <f t="shared" ca="1" si="9"/>
        <v/>
      </c>
      <c r="P172">
        <f>'Combined Delivery Data'!B202</f>
        <v>0</v>
      </c>
      <c r="Q172">
        <f t="shared" si="10"/>
        <v>0</v>
      </c>
      <c r="R172">
        <f t="shared" si="11"/>
        <v>452</v>
      </c>
      <c r="S172" s="28">
        <f>IF($P172="","",IF(SUMPRODUCT(MAX(($A$2:$A$497=$P172)*ROW($A$2:$A$497)))=0,"",INDEX($B:$B,SUMPRODUCT(MAX(($A$2:$A$497=$P172)*ROW($A$2:$A$497))))))</f>
        <v>0</v>
      </c>
      <c r="T172" t="str">
        <f>IF($P172="","",IF(SUMPRODUCT(MAX(($A$2:$A$497=$P172)*ROW($A$2:$A$497)))=0,"",INDEX($C:$C,SUMPRODUCT(MAX(($A$2:$A$497=$P172)*ROW($A$2:$A$497))))&amp;" -&gt; "&amp;INDEX($D:$D,SUMPRODUCT(MAX(($A$2:$A$497=$P172)*ROW($A$2:$A$497))))))</f>
        <v xml:space="preserve"> -&gt; </v>
      </c>
    </row>
    <row r="173" spans="1:20">
      <c r="A173" s="31"/>
      <c r="B173" s="32"/>
      <c r="C173" s="31" t="s">
        <v>219</v>
      </c>
      <c r="D173" s="31"/>
      <c r="E173" s="31"/>
      <c r="F173" s="31"/>
      <c r="G173" s="31" t="s">
        <v>53</v>
      </c>
      <c r="H173" s="32"/>
      <c r="I173" s="32"/>
      <c r="J173" s="32"/>
      <c r="K173" s="31"/>
      <c r="L173" s="31"/>
      <c r="M173" s="3" t="str">
        <f t="shared" ca="1" si="9"/>
        <v/>
      </c>
      <c r="P173">
        <f>'Combined Delivery Data'!B203</f>
        <v>0</v>
      </c>
      <c r="Q173">
        <f t="shared" si="10"/>
        <v>0</v>
      </c>
      <c r="R173">
        <f t="shared" si="11"/>
        <v>452</v>
      </c>
      <c r="S173" s="28">
        <f>IF($P173="","",IF(SUMPRODUCT(MAX(($A$2:$A$497=$P173)*ROW($A$2:$A$497)))=0,"",INDEX($B:$B,SUMPRODUCT(MAX(($A$2:$A$497=$P173)*ROW($A$2:$A$497))))))</f>
        <v>0</v>
      </c>
      <c r="T173" t="str">
        <f>IF($P173="","",IF(SUMPRODUCT(MAX(($A$2:$A$497=$P173)*ROW($A$2:$A$497)))=0,"",INDEX($C:$C,SUMPRODUCT(MAX(($A$2:$A$497=$P173)*ROW($A$2:$A$497))))&amp;" -&gt; "&amp;INDEX($D:$D,SUMPRODUCT(MAX(($A$2:$A$497=$P173)*ROW($A$2:$A$497))))))</f>
        <v xml:space="preserve"> -&gt; </v>
      </c>
    </row>
    <row r="174" spans="1:20">
      <c r="A174" s="31"/>
      <c r="B174" s="32"/>
      <c r="C174" s="31" t="s">
        <v>219</v>
      </c>
      <c r="D174" s="31"/>
      <c r="E174" s="31"/>
      <c r="F174" s="31"/>
      <c r="G174" s="31" t="s">
        <v>53</v>
      </c>
      <c r="H174" s="32"/>
      <c r="I174" s="32"/>
      <c r="J174" s="32"/>
      <c r="K174" s="31"/>
      <c r="L174" s="31"/>
      <c r="M174" s="3" t="str">
        <f t="shared" ca="1" si="9"/>
        <v/>
      </c>
      <c r="P174">
        <f>'Combined Delivery Data'!B204</f>
        <v>0</v>
      </c>
      <c r="Q174">
        <f t="shared" si="10"/>
        <v>0</v>
      </c>
      <c r="R174">
        <f t="shared" si="11"/>
        <v>452</v>
      </c>
      <c r="S174" s="28">
        <f>IF($P174="","",IF(SUMPRODUCT(MAX(($A$2:$A$497=$P174)*ROW($A$2:$A$497)))=0,"",INDEX($B:$B,SUMPRODUCT(MAX(($A$2:$A$497=$P174)*ROW($A$2:$A$497))))))</f>
        <v>0</v>
      </c>
      <c r="T174" t="str">
        <f>IF($P174="","",IF(SUMPRODUCT(MAX(($A$2:$A$497=$P174)*ROW($A$2:$A$497)))=0,"",INDEX($C:$C,SUMPRODUCT(MAX(($A$2:$A$497=$P174)*ROW($A$2:$A$497))))&amp;" -&gt; "&amp;INDEX($D:$D,SUMPRODUCT(MAX(($A$2:$A$497=$P174)*ROW($A$2:$A$497))))))</f>
        <v xml:space="preserve"> -&gt; </v>
      </c>
    </row>
    <row r="175" spans="1:20">
      <c r="A175" s="31"/>
      <c r="B175" s="32"/>
      <c r="C175" s="31" t="s">
        <v>219</v>
      </c>
      <c r="D175" s="31"/>
      <c r="E175" s="31"/>
      <c r="F175" s="31"/>
      <c r="G175" s="31" t="s">
        <v>53</v>
      </c>
      <c r="H175" s="32"/>
      <c r="I175" s="32"/>
      <c r="J175" s="32"/>
      <c r="K175" s="31"/>
      <c r="L175" s="31"/>
      <c r="M175" s="3" t="str">
        <f t="shared" ca="1" si="9"/>
        <v/>
      </c>
      <c r="P175">
        <f>'Combined Delivery Data'!B205</f>
        <v>0</v>
      </c>
      <c r="Q175">
        <f t="shared" si="10"/>
        <v>0</v>
      </c>
      <c r="R175">
        <f t="shared" si="11"/>
        <v>452</v>
      </c>
      <c r="S175" s="28">
        <f>IF($P175="","",IF(SUMPRODUCT(MAX(($A$2:$A$497=$P175)*ROW($A$2:$A$497)))=0,"",INDEX($B:$B,SUMPRODUCT(MAX(($A$2:$A$497=$P175)*ROW($A$2:$A$497))))))</f>
        <v>0</v>
      </c>
      <c r="T175" t="str">
        <f>IF($P175="","",IF(SUMPRODUCT(MAX(($A$2:$A$497=$P175)*ROW($A$2:$A$497)))=0,"",INDEX($C:$C,SUMPRODUCT(MAX(($A$2:$A$497=$P175)*ROW($A$2:$A$497))))&amp;" -&gt; "&amp;INDEX($D:$D,SUMPRODUCT(MAX(($A$2:$A$497=$P175)*ROW($A$2:$A$497))))))</f>
        <v xml:space="preserve"> -&gt; </v>
      </c>
    </row>
    <row r="176" spans="1:20">
      <c r="A176" s="31"/>
      <c r="B176" s="32"/>
      <c r="C176" s="31" t="s">
        <v>219</v>
      </c>
      <c r="D176" s="31"/>
      <c r="E176" s="31"/>
      <c r="F176" s="31"/>
      <c r="G176" s="31" t="s">
        <v>53</v>
      </c>
      <c r="H176" s="32"/>
      <c r="I176" s="32"/>
      <c r="J176" s="32"/>
      <c r="K176" s="31"/>
      <c r="L176" s="31"/>
      <c r="M176" s="3" t="str">
        <f t="shared" ca="1" si="9"/>
        <v/>
      </c>
      <c r="P176">
        <f>'Combined Delivery Data'!B206</f>
        <v>0</v>
      </c>
      <c r="Q176">
        <f t="shared" si="10"/>
        <v>0</v>
      </c>
      <c r="R176">
        <f t="shared" si="11"/>
        <v>452</v>
      </c>
      <c r="S176" s="28">
        <f>IF($P176="","",IF(SUMPRODUCT(MAX(($A$2:$A$497=$P176)*ROW($A$2:$A$497)))=0,"",INDEX($B:$B,SUMPRODUCT(MAX(($A$2:$A$497=$P176)*ROW($A$2:$A$497))))))</f>
        <v>0</v>
      </c>
      <c r="T176" t="str">
        <f>IF($P176="","",IF(SUMPRODUCT(MAX(($A$2:$A$497=$P176)*ROW($A$2:$A$497)))=0,"",INDEX($C:$C,SUMPRODUCT(MAX(($A$2:$A$497=$P176)*ROW($A$2:$A$497))))&amp;" -&gt; "&amp;INDEX($D:$D,SUMPRODUCT(MAX(($A$2:$A$497=$P176)*ROW($A$2:$A$497))))))</f>
        <v xml:space="preserve"> -&gt; </v>
      </c>
    </row>
    <row r="177" spans="1:20">
      <c r="A177" s="31"/>
      <c r="B177" s="32"/>
      <c r="C177" s="31" t="s">
        <v>219</v>
      </c>
      <c r="D177" s="31"/>
      <c r="E177" s="31"/>
      <c r="F177" s="31"/>
      <c r="G177" s="31" t="s">
        <v>53</v>
      </c>
      <c r="H177" s="32"/>
      <c r="I177" s="32"/>
      <c r="J177" s="32"/>
      <c r="K177" s="31"/>
      <c r="L177" s="31"/>
      <c r="M177" s="3" t="str">
        <f t="shared" ca="1" si="9"/>
        <v/>
      </c>
      <c r="P177">
        <f>'Combined Delivery Data'!B207</f>
        <v>0</v>
      </c>
      <c r="Q177">
        <f t="shared" si="10"/>
        <v>0</v>
      </c>
      <c r="R177">
        <f t="shared" si="11"/>
        <v>452</v>
      </c>
      <c r="S177" s="28">
        <f>IF($P177="","",IF(SUMPRODUCT(MAX(($A$2:$A$497=$P177)*ROW($A$2:$A$497)))=0,"",INDEX($B:$B,SUMPRODUCT(MAX(($A$2:$A$497=$P177)*ROW($A$2:$A$497))))))</f>
        <v>0</v>
      </c>
      <c r="T177" t="str">
        <f>IF($P177="","",IF(SUMPRODUCT(MAX(($A$2:$A$497=$P177)*ROW($A$2:$A$497)))=0,"",INDEX($C:$C,SUMPRODUCT(MAX(($A$2:$A$497=$P177)*ROW($A$2:$A$497))))&amp;" -&gt; "&amp;INDEX($D:$D,SUMPRODUCT(MAX(($A$2:$A$497=$P177)*ROW($A$2:$A$497))))))</f>
        <v xml:space="preserve"> -&gt; </v>
      </c>
    </row>
    <row r="178" spans="1:20">
      <c r="A178" s="31"/>
      <c r="B178" s="32"/>
      <c r="C178" s="31" t="s">
        <v>219</v>
      </c>
      <c r="D178" s="31"/>
      <c r="E178" s="31"/>
      <c r="F178" s="31"/>
      <c r="G178" s="31" t="s">
        <v>53</v>
      </c>
      <c r="H178" s="32"/>
      <c r="I178" s="32"/>
      <c r="J178" s="32"/>
      <c r="K178" s="31"/>
      <c r="L178" s="31"/>
      <c r="M178" s="3" t="str">
        <f t="shared" ca="1" si="9"/>
        <v/>
      </c>
      <c r="P178">
        <f>'Combined Delivery Data'!B208</f>
        <v>0</v>
      </c>
      <c r="Q178">
        <f t="shared" si="10"/>
        <v>0</v>
      </c>
      <c r="R178">
        <f t="shared" si="11"/>
        <v>452</v>
      </c>
      <c r="S178" s="28">
        <f>IF($P178="","",IF(SUMPRODUCT(MAX(($A$2:$A$497=$P178)*ROW($A$2:$A$497)))=0,"",INDEX($B:$B,SUMPRODUCT(MAX(($A$2:$A$497=$P178)*ROW($A$2:$A$497))))))</f>
        <v>0</v>
      </c>
      <c r="T178" t="str">
        <f>IF($P178="","",IF(SUMPRODUCT(MAX(($A$2:$A$497=$P178)*ROW($A$2:$A$497)))=0,"",INDEX($C:$C,SUMPRODUCT(MAX(($A$2:$A$497=$P178)*ROW($A$2:$A$497))))&amp;" -&gt; "&amp;INDEX($D:$D,SUMPRODUCT(MAX(($A$2:$A$497=$P178)*ROW($A$2:$A$497))))))</f>
        <v xml:space="preserve"> -&gt; </v>
      </c>
    </row>
    <row r="179" spans="1:20">
      <c r="A179" s="31"/>
      <c r="B179" s="32"/>
      <c r="C179" s="31" t="s">
        <v>219</v>
      </c>
      <c r="D179" s="31"/>
      <c r="E179" s="31"/>
      <c r="F179" s="31"/>
      <c r="G179" s="31" t="s">
        <v>53</v>
      </c>
      <c r="H179" s="32"/>
      <c r="I179" s="32"/>
      <c r="J179" s="32"/>
      <c r="K179" s="31"/>
      <c r="L179" s="31"/>
      <c r="M179" s="3" t="str">
        <f t="shared" ca="1" si="9"/>
        <v/>
      </c>
      <c r="P179">
        <f>'Combined Delivery Data'!B209</f>
        <v>0</v>
      </c>
      <c r="Q179">
        <f t="shared" si="10"/>
        <v>0</v>
      </c>
      <c r="R179">
        <f t="shared" si="11"/>
        <v>452</v>
      </c>
      <c r="S179" s="28">
        <f>IF($P179="","",IF(SUMPRODUCT(MAX(($A$2:$A$497=$P179)*ROW($A$2:$A$497)))=0,"",INDEX($B:$B,SUMPRODUCT(MAX(($A$2:$A$497=$P179)*ROW($A$2:$A$497))))))</f>
        <v>0</v>
      </c>
      <c r="T179" t="str">
        <f>IF($P179="","",IF(SUMPRODUCT(MAX(($A$2:$A$497=$P179)*ROW($A$2:$A$497)))=0,"",INDEX($C:$C,SUMPRODUCT(MAX(($A$2:$A$497=$P179)*ROW($A$2:$A$497))))&amp;" -&gt; "&amp;INDEX($D:$D,SUMPRODUCT(MAX(($A$2:$A$497=$P179)*ROW($A$2:$A$497))))))</f>
        <v xml:space="preserve"> -&gt; </v>
      </c>
    </row>
    <row r="180" spans="1:20">
      <c r="A180" s="31"/>
      <c r="B180" s="32"/>
      <c r="C180" s="31" t="s">
        <v>219</v>
      </c>
      <c r="D180" s="31"/>
      <c r="E180" s="31"/>
      <c r="F180" s="31"/>
      <c r="G180" s="31" t="s">
        <v>53</v>
      </c>
      <c r="H180" s="32"/>
      <c r="I180" s="32"/>
      <c r="J180" s="32"/>
      <c r="K180" s="31"/>
      <c r="L180" s="31"/>
      <c r="M180" s="3" t="str">
        <f t="shared" ca="1" si="9"/>
        <v/>
      </c>
      <c r="P180">
        <f>'Combined Delivery Data'!B210</f>
        <v>0</v>
      </c>
      <c r="Q180">
        <f t="shared" si="10"/>
        <v>0</v>
      </c>
      <c r="R180">
        <f t="shared" si="11"/>
        <v>452</v>
      </c>
      <c r="S180" s="28">
        <f>IF($P180="","",IF(SUMPRODUCT(MAX(($A$2:$A$497=$P180)*ROW($A$2:$A$497)))=0,"",INDEX($B:$B,SUMPRODUCT(MAX(($A$2:$A$497=$P180)*ROW($A$2:$A$497))))))</f>
        <v>0</v>
      </c>
      <c r="T180" t="str">
        <f>IF($P180="","",IF(SUMPRODUCT(MAX(($A$2:$A$497=$P180)*ROW($A$2:$A$497)))=0,"",INDEX($C:$C,SUMPRODUCT(MAX(($A$2:$A$497=$P180)*ROW($A$2:$A$497))))&amp;" -&gt; "&amp;INDEX($D:$D,SUMPRODUCT(MAX(($A$2:$A$497=$P180)*ROW($A$2:$A$497))))))</f>
        <v xml:space="preserve"> -&gt; </v>
      </c>
    </row>
    <row r="181" spans="1:20">
      <c r="A181" s="31"/>
      <c r="B181" s="32"/>
      <c r="C181" s="31" t="s">
        <v>219</v>
      </c>
      <c r="D181" s="31"/>
      <c r="E181" s="31"/>
      <c r="F181" s="31"/>
      <c r="G181" s="31" t="s">
        <v>53</v>
      </c>
      <c r="H181" s="32"/>
      <c r="I181" s="32"/>
      <c r="J181" s="32"/>
      <c r="K181" s="31"/>
      <c r="L181" s="31"/>
      <c r="M181" s="3" t="str">
        <f t="shared" ca="1" si="9"/>
        <v/>
      </c>
      <c r="P181">
        <f>'Combined Delivery Data'!B211</f>
        <v>0</v>
      </c>
      <c r="Q181">
        <f t="shared" si="10"/>
        <v>0</v>
      </c>
      <c r="R181">
        <f t="shared" si="11"/>
        <v>452</v>
      </c>
      <c r="S181" s="28">
        <f>IF($P181="","",IF(SUMPRODUCT(MAX(($A$2:$A$497=$P181)*ROW($A$2:$A$497)))=0,"",INDEX($B:$B,SUMPRODUCT(MAX(($A$2:$A$497=$P181)*ROW($A$2:$A$497))))))</f>
        <v>0</v>
      </c>
      <c r="T181" t="str">
        <f>IF($P181="","",IF(SUMPRODUCT(MAX(($A$2:$A$497=$P181)*ROW($A$2:$A$497)))=0,"",INDEX($C:$C,SUMPRODUCT(MAX(($A$2:$A$497=$P181)*ROW($A$2:$A$497))))&amp;" -&gt; "&amp;INDEX($D:$D,SUMPRODUCT(MAX(($A$2:$A$497=$P181)*ROW($A$2:$A$497))))))</f>
        <v xml:space="preserve"> -&gt; </v>
      </c>
    </row>
    <row r="182" spans="1:20">
      <c r="A182" s="31"/>
      <c r="B182" s="32"/>
      <c r="C182" s="31" t="s">
        <v>219</v>
      </c>
      <c r="D182" s="31"/>
      <c r="E182" s="31"/>
      <c r="F182" s="31"/>
      <c r="G182" s="31" t="s">
        <v>53</v>
      </c>
      <c r="H182" s="32"/>
      <c r="I182" s="32"/>
      <c r="J182" s="32"/>
      <c r="K182" s="31"/>
      <c r="L182" s="31"/>
      <c r="M182" s="3" t="str">
        <f t="shared" ca="1" si="9"/>
        <v/>
      </c>
      <c r="P182">
        <f>'Combined Delivery Data'!B212</f>
        <v>0</v>
      </c>
      <c r="Q182">
        <f t="shared" si="10"/>
        <v>0</v>
      </c>
      <c r="R182">
        <f t="shared" si="11"/>
        <v>452</v>
      </c>
      <c r="S182" s="28">
        <f>IF($P182="","",IF(SUMPRODUCT(MAX(($A$2:$A$497=$P182)*ROW($A$2:$A$497)))=0,"",INDEX($B:$B,SUMPRODUCT(MAX(($A$2:$A$497=$P182)*ROW($A$2:$A$497))))))</f>
        <v>0</v>
      </c>
      <c r="T182" t="str">
        <f>IF($P182="","",IF(SUMPRODUCT(MAX(($A$2:$A$497=$P182)*ROW($A$2:$A$497)))=0,"",INDEX($C:$C,SUMPRODUCT(MAX(($A$2:$A$497=$P182)*ROW($A$2:$A$497))))&amp;" -&gt; "&amp;INDEX($D:$D,SUMPRODUCT(MAX(($A$2:$A$497=$P182)*ROW($A$2:$A$497))))))</f>
        <v xml:space="preserve"> -&gt; </v>
      </c>
    </row>
    <row r="183" spans="1:20">
      <c r="A183" s="31"/>
      <c r="B183" s="32"/>
      <c r="C183" s="31" t="s">
        <v>219</v>
      </c>
      <c r="D183" s="31"/>
      <c r="E183" s="31"/>
      <c r="F183" s="31"/>
      <c r="G183" s="31" t="s">
        <v>53</v>
      </c>
      <c r="H183" s="32"/>
      <c r="I183" s="32"/>
      <c r="J183" s="32"/>
      <c r="K183" s="31"/>
      <c r="L183" s="31"/>
      <c r="M183" s="3" t="str">
        <f t="shared" ca="1" si="9"/>
        <v/>
      </c>
      <c r="P183">
        <f>'Combined Delivery Data'!B213</f>
        <v>0</v>
      </c>
      <c r="Q183">
        <f t="shared" si="10"/>
        <v>0</v>
      </c>
      <c r="R183">
        <f t="shared" si="11"/>
        <v>452</v>
      </c>
      <c r="S183" s="28">
        <f>IF($P183="","",IF(SUMPRODUCT(MAX(($A$2:$A$497=$P183)*ROW($A$2:$A$497)))=0,"",INDEX($B:$B,SUMPRODUCT(MAX(($A$2:$A$497=$P183)*ROW($A$2:$A$497))))))</f>
        <v>0</v>
      </c>
      <c r="T183" t="str">
        <f>IF($P183="","",IF(SUMPRODUCT(MAX(($A$2:$A$497=$P183)*ROW($A$2:$A$497)))=0,"",INDEX($C:$C,SUMPRODUCT(MAX(($A$2:$A$497=$P183)*ROW($A$2:$A$497))))&amp;" -&gt; "&amp;INDEX($D:$D,SUMPRODUCT(MAX(($A$2:$A$497=$P183)*ROW($A$2:$A$497))))))</f>
        <v xml:space="preserve"> -&gt; </v>
      </c>
    </row>
    <row r="184" spans="1:20">
      <c r="A184" s="31"/>
      <c r="B184" s="32"/>
      <c r="C184" s="31" t="s">
        <v>219</v>
      </c>
      <c r="D184" s="31"/>
      <c r="E184" s="31"/>
      <c r="F184" s="31"/>
      <c r="G184" s="31" t="s">
        <v>53</v>
      </c>
      <c r="H184" s="32"/>
      <c r="I184" s="32"/>
      <c r="J184" s="32"/>
      <c r="K184" s="31"/>
      <c r="L184" s="31"/>
      <c r="M184" s="3" t="str">
        <f t="shared" ca="1" si="9"/>
        <v/>
      </c>
      <c r="P184">
        <f>'Combined Delivery Data'!B214</f>
        <v>0</v>
      </c>
      <c r="Q184">
        <f t="shared" si="10"/>
        <v>0</v>
      </c>
      <c r="R184">
        <f t="shared" si="11"/>
        <v>452</v>
      </c>
      <c r="S184" s="28">
        <f>IF($P184="","",IF(SUMPRODUCT(MAX(($A$2:$A$497=$P184)*ROW($A$2:$A$497)))=0,"",INDEX($B:$B,SUMPRODUCT(MAX(($A$2:$A$497=$P184)*ROW($A$2:$A$497))))))</f>
        <v>0</v>
      </c>
      <c r="T184" t="str">
        <f>IF($P184="","",IF(SUMPRODUCT(MAX(($A$2:$A$497=$P184)*ROW($A$2:$A$497)))=0,"",INDEX($C:$C,SUMPRODUCT(MAX(($A$2:$A$497=$P184)*ROW($A$2:$A$497))))&amp;" -&gt; "&amp;INDEX($D:$D,SUMPRODUCT(MAX(($A$2:$A$497=$P184)*ROW($A$2:$A$497))))))</f>
        <v xml:space="preserve"> -&gt; </v>
      </c>
    </row>
    <row r="185" spans="1:20">
      <c r="A185" s="31"/>
      <c r="B185" s="32"/>
      <c r="C185" s="31" t="s">
        <v>219</v>
      </c>
      <c r="D185" s="31"/>
      <c r="E185" s="31"/>
      <c r="F185" s="31"/>
      <c r="G185" s="31" t="s">
        <v>53</v>
      </c>
      <c r="H185" s="32"/>
      <c r="I185" s="32"/>
      <c r="J185" s="32"/>
      <c r="K185" s="31"/>
      <c r="L185" s="31"/>
      <c r="M185" s="3" t="str">
        <f t="shared" ca="1" si="9"/>
        <v/>
      </c>
      <c r="P185">
        <f>'Combined Delivery Data'!B215</f>
        <v>0</v>
      </c>
      <c r="Q185">
        <f t="shared" si="10"/>
        <v>0</v>
      </c>
      <c r="R185">
        <f t="shared" si="11"/>
        <v>452</v>
      </c>
      <c r="S185" s="28">
        <f>IF($P185="","",IF(SUMPRODUCT(MAX(($A$2:$A$497=$P185)*ROW($A$2:$A$497)))=0,"",INDEX($B:$B,SUMPRODUCT(MAX(($A$2:$A$497=$P185)*ROW($A$2:$A$497))))))</f>
        <v>0</v>
      </c>
      <c r="T185" t="str">
        <f>IF($P185="","",IF(SUMPRODUCT(MAX(($A$2:$A$497=$P185)*ROW($A$2:$A$497)))=0,"",INDEX($C:$C,SUMPRODUCT(MAX(($A$2:$A$497=$P185)*ROW($A$2:$A$497))))&amp;" -&gt; "&amp;INDEX($D:$D,SUMPRODUCT(MAX(($A$2:$A$497=$P185)*ROW($A$2:$A$497))))))</f>
        <v xml:space="preserve"> -&gt; </v>
      </c>
    </row>
    <row r="186" spans="1:20">
      <c r="A186" s="31"/>
      <c r="B186" s="32"/>
      <c r="C186" s="31" t="s">
        <v>219</v>
      </c>
      <c r="D186" s="31"/>
      <c r="E186" s="31"/>
      <c r="F186" s="31"/>
      <c r="G186" s="31" t="s">
        <v>53</v>
      </c>
      <c r="H186" s="32"/>
      <c r="I186" s="32"/>
      <c r="J186" s="32"/>
      <c r="K186" s="31"/>
      <c r="L186" s="31"/>
      <c r="M186" s="3" t="str">
        <f t="shared" ca="1" si="9"/>
        <v/>
      </c>
      <c r="P186">
        <f>'Combined Delivery Data'!B216</f>
        <v>0</v>
      </c>
      <c r="Q186">
        <f t="shared" si="10"/>
        <v>0</v>
      </c>
      <c r="R186">
        <f t="shared" si="11"/>
        <v>452</v>
      </c>
      <c r="S186" s="28">
        <f>IF($P186="","",IF(SUMPRODUCT(MAX(($A$2:$A$497=$P186)*ROW($A$2:$A$497)))=0,"",INDEX($B:$B,SUMPRODUCT(MAX(($A$2:$A$497=$P186)*ROW($A$2:$A$497))))))</f>
        <v>0</v>
      </c>
      <c r="T186" t="str">
        <f>IF($P186="","",IF(SUMPRODUCT(MAX(($A$2:$A$497=$P186)*ROW($A$2:$A$497)))=0,"",INDEX($C:$C,SUMPRODUCT(MAX(($A$2:$A$497=$P186)*ROW($A$2:$A$497))))&amp;" -&gt; "&amp;INDEX($D:$D,SUMPRODUCT(MAX(($A$2:$A$497=$P186)*ROW($A$2:$A$497))))))</f>
        <v xml:space="preserve"> -&gt; </v>
      </c>
    </row>
    <row r="187" spans="1:20">
      <c r="A187" s="31"/>
      <c r="B187" s="32"/>
      <c r="C187" s="31" t="s">
        <v>219</v>
      </c>
      <c r="D187" s="31"/>
      <c r="E187" s="31"/>
      <c r="F187" s="31"/>
      <c r="G187" s="31" t="s">
        <v>53</v>
      </c>
      <c r="H187" s="32"/>
      <c r="I187" s="32"/>
      <c r="J187" s="32"/>
      <c r="K187" s="31"/>
      <c r="L187" s="31"/>
      <c r="M187" s="3" t="str">
        <f t="shared" ca="1" si="9"/>
        <v/>
      </c>
      <c r="P187">
        <f>'Combined Delivery Data'!B217</f>
        <v>0</v>
      </c>
      <c r="Q187">
        <f t="shared" si="10"/>
        <v>0</v>
      </c>
      <c r="R187">
        <f t="shared" si="11"/>
        <v>452</v>
      </c>
      <c r="S187" s="28">
        <f>IF($P187="","",IF(SUMPRODUCT(MAX(($A$2:$A$497=$P187)*ROW($A$2:$A$497)))=0,"",INDEX($B:$B,SUMPRODUCT(MAX(($A$2:$A$497=$P187)*ROW($A$2:$A$497))))))</f>
        <v>0</v>
      </c>
      <c r="T187" t="str">
        <f>IF($P187="","",IF(SUMPRODUCT(MAX(($A$2:$A$497=$P187)*ROW($A$2:$A$497)))=0,"",INDEX($C:$C,SUMPRODUCT(MAX(($A$2:$A$497=$P187)*ROW($A$2:$A$497))))&amp;" -&gt; "&amp;INDEX($D:$D,SUMPRODUCT(MAX(($A$2:$A$497=$P187)*ROW($A$2:$A$497))))))</f>
        <v xml:space="preserve"> -&gt; </v>
      </c>
    </row>
    <row r="188" spans="1:20">
      <c r="A188" s="31"/>
      <c r="B188" s="32"/>
      <c r="C188" s="31" t="s">
        <v>219</v>
      </c>
      <c r="D188" s="31"/>
      <c r="E188" s="31"/>
      <c r="F188" s="31"/>
      <c r="G188" s="31" t="s">
        <v>53</v>
      </c>
      <c r="H188" s="32"/>
      <c r="I188" s="32"/>
      <c r="J188" s="32"/>
      <c r="K188" s="31"/>
      <c r="L188" s="31"/>
      <c r="M188" s="3" t="str">
        <f t="shared" ca="1" si="9"/>
        <v/>
      </c>
      <c r="P188">
        <f>'Combined Delivery Data'!B218</f>
        <v>0</v>
      </c>
      <c r="Q188">
        <f t="shared" si="10"/>
        <v>0</v>
      </c>
      <c r="R188">
        <f t="shared" si="11"/>
        <v>452</v>
      </c>
      <c r="S188" s="28">
        <f>IF($P188="","",IF(SUMPRODUCT(MAX(($A$2:$A$497=$P188)*ROW($A$2:$A$497)))=0,"",INDEX($B:$B,SUMPRODUCT(MAX(($A$2:$A$497=$P188)*ROW($A$2:$A$497))))))</f>
        <v>0</v>
      </c>
      <c r="T188" t="str">
        <f>IF($P188="","",IF(SUMPRODUCT(MAX(($A$2:$A$497=$P188)*ROW($A$2:$A$497)))=0,"",INDEX($C:$C,SUMPRODUCT(MAX(($A$2:$A$497=$P188)*ROW($A$2:$A$497))))&amp;" -&gt; "&amp;INDEX($D:$D,SUMPRODUCT(MAX(($A$2:$A$497=$P188)*ROW($A$2:$A$497))))))</f>
        <v xml:space="preserve"> -&gt; </v>
      </c>
    </row>
    <row r="189" spans="1:20">
      <c r="A189" s="31"/>
      <c r="B189" s="32"/>
      <c r="C189" s="31" t="s">
        <v>219</v>
      </c>
      <c r="D189" s="31"/>
      <c r="E189" s="31"/>
      <c r="F189" s="31"/>
      <c r="G189" s="31" t="s">
        <v>53</v>
      </c>
      <c r="H189" s="32"/>
      <c r="I189" s="32"/>
      <c r="J189" s="32"/>
      <c r="K189" s="31"/>
      <c r="L189" s="31"/>
      <c r="M189" s="3" t="str">
        <f t="shared" ca="1" si="9"/>
        <v/>
      </c>
      <c r="P189">
        <f>'Combined Delivery Data'!B219</f>
        <v>0</v>
      </c>
      <c r="Q189">
        <f t="shared" si="10"/>
        <v>0</v>
      </c>
      <c r="R189">
        <f t="shared" si="11"/>
        <v>452</v>
      </c>
      <c r="S189" s="28">
        <f>IF($P189="","",IF(SUMPRODUCT(MAX(($A$2:$A$497=$P189)*ROW($A$2:$A$497)))=0,"",INDEX($B:$B,SUMPRODUCT(MAX(($A$2:$A$497=$P189)*ROW($A$2:$A$497))))))</f>
        <v>0</v>
      </c>
      <c r="T189" t="str">
        <f>IF($P189="","",IF(SUMPRODUCT(MAX(($A$2:$A$497=$P189)*ROW($A$2:$A$497)))=0,"",INDEX($C:$C,SUMPRODUCT(MAX(($A$2:$A$497=$P189)*ROW($A$2:$A$497))))&amp;" -&gt; "&amp;INDEX($D:$D,SUMPRODUCT(MAX(($A$2:$A$497=$P189)*ROW($A$2:$A$497))))))</f>
        <v xml:space="preserve"> -&gt; </v>
      </c>
    </row>
    <row r="190" spans="1:20">
      <c r="A190" s="31"/>
      <c r="B190" s="32"/>
      <c r="C190" s="31" t="s">
        <v>219</v>
      </c>
      <c r="D190" s="31"/>
      <c r="E190" s="31"/>
      <c r="F190" s="31"/>
      <c r="G190" s="31" t="s">
        <v>53</v>
      </c>
      <c r="H190" s="32"/>
      <c r="I190" s="32"/>
      <c r="J190" s="32"/>
      <c r="K190" s="31"/>
      <c r="L190" s="31"/>
      <c r="M190" s="3" t="str">
        <f t="shared" ca="1" si="9"/>
        <v/>
      </c>
      <c r="P190">
        <f>'Combined Delivery Data'!B220</f>
        <v>0</v>
      </c>
      <c r="Q190">
        <f t="shared" si="10"/>
        <v>0</v>
      </c>
      <c r="R190">
        <f t="shared" si="11"/>
        <v>452</v>
      </c>
      <c r="S190" s="28">
        <f>IF($P190="","",IF(SUMPRODUCT(MAX(($A$2:$A$497=$P190)*ROW($A$2:$A$497)))=0,"",INDEX($B:$B,SUMPRODUCT(MAX(($A$2:$A$497=$P190)*ROW($A$2:$A$497))))))</f>
        <v>0</v>
      </c>
      <c r="T190" t="str">
        <f>IF($P190="","",IF(SUMPRODUCT(MAX(($A$2:$A$497=$P190)*ROW($A$2:$A$497)))=0,"",INDEX($C:$C,SUMPRODUCT(MAX(($A$2:$A$497=$P190)*ROW($A$2:$A$497))))&amp;" -&gt; "&amp;INDEX($D:$D,SUMPRODUCT(MAX(($A$2:$A$497=$P190)*ROW($A$2:$A$497))))))</f>
        <v xml:space="preserve"> -&gt; </v>
      </c>
    </row>
    <row r="191" spans="1:20">
      <c r="A191" s="31"/>
      <c r="B191" s="32"/>
      <c r="C191" s="31" t="s">
        <v>219</v>
      </c>
      <c r="D191" s="31"/>
      <c r="E191" s="31"/>
      <c r="F191" s="31"/>
      <c r="G191" s="31" t="s">
        <v>53</v>
      </c>
      <c r="H191" s="32"/>
      <c r="I191" s="32"/>
      <c r="J191" s="32"/>
      <c r="K191" s="31"/>
      <c r="L191" s="31"/>
      <c r="M191" s="3" t="str">
        <f t="shared" ca="1" si="9"/>
        <v/>
      </c>
      <c r="P191">
        <f>'Combined Delivery Data'!B221</f>
        <v>0</v>
      </c>
      <c r="Q191">
        <f t="shared" si="10"/>
        <v>0</v>
      </c>
      <c r="R191">
        <f t="shared" si="11"/>
        <v>452</v>
      </c>
      <c r="S191" s="28">
        <f>IF($P191="","",IF(SUMPRODUCT(MAX(($A$2:$A$497=$P191)*ROW($A$2:$A$497)))=0,"",INDEX($B:$B,SUMPRODUCT(MAX(($A$2:$A$497=$P191)*ROW($A$2:$A$497))))))</f>
        <v>0</v>
      </c>
      <c r="T191" t="str">
        <f>IF($P191="","",IF(SUMPRODUCT(MAX(($A$2:$A$497=$P191)*ROW($A$2:$A$497)))=0,"",INDEX($C:$C,SUMPRODUCT(MAX(($A$2:$A$497=$P191)*ROW($A$2:$A$497))))&amp;" -&gt; "&amp;INDEX($D:$D,SUMPRODUCT(MAX(($A$2:$A$497=$P191)*ROW($A$2:$A$497))))))</f>
        <v xml:space="preserve"> -&gt; </v>
      </c>
    </row>
    <row r="192" spans="1:20">
      <c r="A192" s="31"/>
      <c r="B192" s="32"/>
      <c r="C192" s="31" t="s">
        <v>219</v>
      </c>
      <c r="D192" s="31"/>
      <c r="E192" s="31"/>
      <c r="F192" s="31"/>
      <c r="G192" s="31" t="s">
        <v>53</v>
      </c>
      <c r="H192" s="32"/>
      <c r="I192" s="32"/>
      <c r="J192" s="32"/>
      <c r="K192" s="31"/>
      <c r="L192" s="31"/>
      <c r="M192" s="3" t="str">
        <f t="shared" ref="M192:M255" ca="1" si="1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0"/>
        <v>0</v>
      </c>
      <c r="R192">
        <f t="shared" si="11"/>
        <v>452</v>
      </c>
      <c r="S192" s="28">
        <f>IF($P192="","",IF(SUMPRODUCT(MAX(($A$2:$A$497=$P192)*ROW($A$2:$A$497)))=0,"",INDEX($B:$B,SUMPRODUCT(MAX(($A$2:$A$497=$P192)*ROW($A$2:$A$497))))))</f>
        <v>0</v>
      </c>
      <c r="T192" t="str">
        <f>IF($P192="","",IF(SUMPRODUCT(MAX(($A$2:$A$497=$P192)*ROW($A$2:$A$497)))=0,"",INDEX($C:$C,SUMPRODUCT(MAX(($A$2:$A$497=$P192)*ROW($A$2:$A$497))))&amp;" -&gt; "&amp;INDEX($D:$D,SUMPRODUCT(MAX(($A$2:$A$497=$P192)*ROW($A$2:$A$497))))))</f>
        <v xml:space="preserve"> -&gt; </v>
      </c>
    </row>
    <row r="193" spans="1:20">
      <c r="A193" s="31"/>
      <c r="B193" s="32"/>
      <c r="C193" s="31" t="s">
        <v>219</v>
      </c>
      <c r="D193" s="31"/>
      <c r="E193" s="31"/>
      <c r="F193" s="31"/>
      <c r="G193" s="31" t="s">
        <v>53</v>
      </c>
      <c r="H193" s="32"/>
      <c r="I193" s="32"/>
      <c r="J193" s="32"/>
      <c r="K193" s="31"/>
      <c r="L193" s="31"/>
      <c r="M193" s="3" t="str">
        <f t="shared" ca="1" si="12"/>
        <v/>
      </c>
      <c r="P193">
        <f>'Combined Delivery Data'!B223</f>
        <v>0</v>
      </c>
      <c r="Q193">
        <f t="shared" si="10"/>
        <v>0</v>
      </c>
      <c r="R193">
        <f t="shared" si="11"/>
        <v>452</v>
      </c>
      <c r="S193" s="28">
        <f>IF($P193="","",IF(SUMPRODUCT(MAX(($A$2:$A$497=$P193)*ROW($A$2:$A$497)))=0,"",INDEX($B:$B,SUMPRODUCT(MAX(($A$2:$A$497=$P193)*ROW($A$2:$A$497))))))</f>
        <v>0</v>
      </c>
      <c r="T193" t="str">
        <f>IF($P193="","",IF(SUMPRODUCT(MAX(($A$2:$A$497=$P193)*ROW($A$2:$A$497)))=0,"",INDEX($C:$C,SUMPRODUCT(MAX(($A$2:$A$497=$P193)*ROW($A$2:$A$497))))&amp;" -&gt; "&amp;INDEX($D:$D,SUMPRODUCT(MAX(($A$2:$A$497=$P193)*ROW($A$2:$A$497))))))</f>
        <v xml:space="preserve"> -&gt; </v>
      </c>
    </row>
    <row r="194" spans="1:20">
      <c r="A194" s="31"/>
      <c r="B194" s="32"/>
      <c r="C194" s="31" t="s">
        <v>219</v>
      </c>
      <c r="D194" s="31"/>
      <c r="E194" s="31"/>
      <c r="F194" s="31"/>
      <c r="G194" s="31" t="s">
        <v>53</v>
      </c>
      <c r="H194" s="32"/>
      <c r="I194" s="32"/>
      <c r="J194" s="32"/>
      <c r="K194" s="31"/>
      <c r="L194" s="31"/>
      <c r="M194" s="3" t="str">
        <f t="shared" ca="1" si="12"/>
        <v/>
      </c>
      <c r="P194">
        <f>'Combined Delivery Data'!B224</f>
        <v>0</v>
      </c>
      <c r="Q194">
        <f t="shared" si="10"/>
        <v>0</v>
      </c>
      <c r="R194">
        <f t="shared" si="11"/>
        <v>452</v>
      </c>
      <c r="S194" s="28">
        <f>IF($P194="","",IF(SUMPRODUCT(MAX(($A$2:$A$497=$P194)*ROW($A$2:$A$497)))=0,"",INDEX($B:$B,SUMPRODUCT(MAX(($A$2:$A$497=$P194)*ROW($A$2:$A$497))))))</f>
        <v>0</v>
      </c>
      <c r="T194" t="str">
        <f>IF($P194="","",IF(SUMPRODUCT(MAX(($A$2:$A$497=$P194)*ROW($A$2:$A$497)))=0,"",INDEX($C:$C,SUMPRODUCT(MAX(($A$2:$A$497=$P194)*ROW($A$2:$A$497))))&amp;" -&gt; "&amp;INDEX($D:$D,SUMPRODUCT(MAX(($A$2:$A$497=$P194)*ROW($A$2:$A$497))))))</f>
        <v xml:space="preserve"> -&gt; </v>
      </c>
    </row>
    <row r="195" spans="1:20">
      <c r="A195" s="31"/>
      <c r="B195" s="32"/>
      <c r="C195" s="31" t="s">
        <v>219</v>
      </c>
      <c r="D195" s="31"/>
      <c r="E195" s="31"/>
      <c r="F195" s="31"/>
      <c r="G195" s="31" t="s">
        <v>53</v>
      </c>
      <c r="H195" s="32"/>
      <c r="I195" s="32"/>
      <c r="J195" s="32"/>
      <c r="K195" s="31"/>
      <c r="L195" s="31"/>
      <c r="M195" s="3" t="str">
        <f t="shared" ca="1" si="12"/>
        <v/>
      </c>
      <c r="P195">
        <f>'Combined Delivery Data'!B225</f>
        <v>0</v>
      </c>
      <c r="Q195">
        <f t="shared" si="10"/>
        <v>0</v>
      </c>
      <c r="R195">
        <f t="shared" si="11"/>
        <v>452</v>
      </c>
      <c r="S195" s="28">
        <f>IF($P195="","",IF(SUMPRODUCT(MAX(($A$2:$A$497=$P195)*ROW($A$2:$A$497)))=0,"",INDEX($B:$B,SUMPRODUCT(MAX(($A$2:$A$497=$P195)*ROW($A$2:$A$497))))))</f>
        <v>0</v>
      </c>
      <c r="T195" t="str">
        <f>IF($P195="","",IF(SUMPRODUCT(MAX(($A$2:$A$497=$P195)*ROW($A$2:$A$497)))=0,"",INDEX($C:$C,SUMPRODUCT(MAX(($A$2:$A$497=$P195)*ROW($A$2:$A$497))))&amp;" -&gt; "&amp;INDEX($D:$D,SUMPRODUCT(MAX(($A$2:$A$497=$P195)*ROW($A$2:$A$497))))))</f>
        <v xml:space="preserve"> -&gt; </v>
      </c>
    </row>
    <row r="196" spans="1:20">
      <c r="A196" s="31"/>
      <c r="B196" s="32"/>
      <c r="C196" s="31" t="s">
        <v>219</v>
      </c>
      <c r="D196" s="31"/>
      <c r="E196" s="31"/>
      <c r="F196" s="31"/>
      <c r="G196" s="31" t="s">
        <v>53</v>
      </c>
      <c r="H196" s="32"/>
      <c r="I196" s="32"/>
      <c r="J196" s="32"/>
      <c r="K196" s="31"/>
      <c r="L196" s="31"/>
      <c r="M196" s="3" t="str">
        <f t="shared" ca="1" si="12"/>
        <v/>
      </c>
      <c r="P196">
        <f>'Combined Delivery Data'!B226</f>
        <v>0</v>
      </c>
      <c r="Q196">
        <f t="shared" si="10"/>
        <v>0</v>
      </c>
      <c r="R196">
        <f t="shared" si="11"/>
        <v>452</v>
      </c>
      <c r="S196" s="28">
        <f>IF($P196="","",IF(SUMPRODUCT(MAX(($A$2:$A$497=$P196)*ROW($A$2:$A$497)))=0,"",INDEX($B:$B,SUMPRODUCT(MAX(($A$2:$A$497=$P196)*ROW($A$2:$A$497))))))</f>
        <v>0</v>
      </c>
      <c r="T196" t="str">
        <f>IF($P196="","",IF(SUMPRODUCT(MAX(($A$2:$A$497=$P196)*ROW($A$2:$A$497)))=0,"",INDEX($C:$C,SUMPRODUCT(MAX(($A$2:$A$497=$P196)*ROW($A$2:$A$497))))&amp;" -&gt; "&amp;INDEX($D:$D,SUMPRODUCT(MAX(($A$2:$A$497=$P196)*ROW($A$2:$A$497))))))</f>
        <v xml:space="preserve"> -&gt; </v>
      </c>
    </row>
    <row r="197" spans="1:20">
      <c r="A197" s="31"/>
      <c r="B197" s="32"/>
      <c r="C197" s="31" t="s">
        <v>219</v>
      </c>
      <c r="D197" s="31"/>
      <c r="E197" s="31"/>
      <c r="F197" s="31"/>
      <c r="G197" s="31" t="s">
        <v>53</v>
      </c>
      <c r="H197" s="32"/>
      <c r="I197" s="32"/>
      <c r="J197" s="32"/>
      <c r="K197" s="31"/>
      <c r="L197" s="31"/>
      <c r="M197" s="3" t="str">
        <f t="shared" ca="1" si="12"/>
        <v/>
      </c>
      <c r="P197">
        <f>'Combined Delivery Data'!B227</f>
        <v>0</v>
      </c>
      <c r="Q197">
        <f t="shared" si="10"/>
        <v>0</v>
      </c>
      <c r="R197">
        <f t="shared" si="11"/>
        <v>452</v>
      </c>
      <c r="S197" s="28">
        <f>IF($P197="","",IF(SUMPRODUCT(MAX(($A$2:$A$497=$P197)*ROW($A$2:$A$497)))=0,"",INDEX($B:$B,SUMPRODUCT(MAX(($A$2:$A$497=$P197)*ROW($A$2:$A$497))))))</f>
        <v>0</v>
      </c>
      <c r="T197" t="str">
        <f>IF($P197="","",IF(SUMPRODUCT(MAX(($A$2:$A$497=$P197)*ROW($A$2:$A$497)))=0,"",INDEX($C:$C,SUMPRODUCT(MAX(($A$2:$A$497=$P197)*ROW($A$2:$A$497))))&amp;" -&gt; "&amp;INDEX($D:$D,SUMPRODUCT(MAX(($A$2:$A$497=$P197)*ROW($A$2:$A$497))))))</f>
        <v xml:space="preserve"> -&gt; </v>
      </c>
    </row>
    <row r="198" spans="1:20">
      <c r="A198" s="31"/>
      <c r="B198" s="32"/>
      <c r="C198" s="31"/>
      <c r="D198" s="31"/>
      <c r="E198" s="31"/>
      <c r="F198" s="31"/>
      <c r="G198" s="31"/>
      <c r="H198" s="32"/>
      <c r="I198" s="32"/>
      <c r="J198" s="32"/>
      <c r="K198" s="31"/>
      <c r="L198" s="31"/>
      <c r="M198" s="3" t="str">
        <f t="shared" ca="1" si="12"/>
        <v/>
      </c>
      <c r="P198">
        <f>'Combined Delivery Data'!B228</f>
        <v>0</v>
      </c>
      <c r="Q198">
        <f t="shared" si="10"/>
        <v>0</v>
      </c>
      <c r="R198">
        <f t="shared" si="11"/>
        <v>452</v>
      </c>
      <c r="S198" s="28">
        <f>IF($P198="","",IF(SUMPRODUCT(MAX(($A$2:$A$497=$P198)*ROW($A$2:$A$497)))=0,"",INDEX($B:$B,SUMPRODUCT(MAX(($A$2:$A$497=$P198)*ROW($A$2:$A$497))))))</f>
        <v>0</v>
      </c>
      <c r="T198" t="str">
        <f>IF($P198="","",IF(SUMPRODUCT(MAX(($A$2:$A$497=$P198)*ROW($A$2:$A$497)))=0,"",INDEX($C:$C,SUMPRODUCT(MAX(($A$2:$A$497=$P198)*ROW($A$2:$A$497))))&amp;" -&gt; "&amp;INDEX($D:$D,SUMPRODUCT(MAX(($A$2:$A$497=$P198)*ROW($A$2:$A$497))))))</f>
        <v xml:space="preserve"> -&gt; </v>
      </c>
    </row>
    <row r="199" spans="1:20">
      <c r="A199" s="31"/>
      <c r="B199" s="32"/>
      <c r="C199" s="31"/>
      <c r="D199" s="31"/>
      <c r="E199" s="31"/>
      <c r="F199" s="31"/>
      <c r="G199" s="31"/>
      <c r="H199" s="32"/>
      <c r="I199" s="32"/>
      <c r="J199" s="32"/>
      <c r="K199" s="31"/>
      <c r="L199" s="31"/>
      <c r="M199" s="3" t="str">
        <f t="shared" ca="1" si="12"/>
        <v/>
      </c>
      <c r="P199">
        <f>'Combined Delivery Data'!B229</f>
        <v>0</v>
      </c>
      <c r="Q199">
        <f t="shared" si="10"/>
        <v>0</v>
      </c>
      <c r="R199">
        <f t="shared" si="11"/>
        <v>452</v>
      </c>
      <c r="S199" s="28">
        <f>IF($P199="","",IF(SUMPRODUCT(MAX(($A$2:$A$497=$P199)*ROW($A$2:$A$497)))=0,"",INDEX($B:$B,SUMPRODUCT(MAX(($A$2:$A$497=$P199)*ROW($A$2:$A$497))))))</f>
        <v>0</v>
      </c>
      <c r="T199" t="str">
        <f>IF($P199="","",IF(SUMPRODUCT(MAX(($A$2:$A$497=$P199)*ROW($A$2:$A$497)))=0,"",INDEX($C:$C,SUMPRODUCT(MAX(($A$2:$A$497=$P199)*ROW($A$2:$A$497))))&amp;" -&gt; "&amp;INDEX($D:$D,SUMPRODUCT(MAX(($A$2:$A$497=$P199)*ROW($A$2:$A$497))))))</f>
        <v xml:space="preserve"> -&gt; </v>
      </c>
    </row>
    <row r="200" spans="1:20">
      <c r="A200" s="31"/>
      <c r="B200" s="32"/>
      <c r="C200" s="31"/>
      <c r="D200" s="31"/>
      <c r="E200" s="31"/>
      <c r="F200" s="31"/>
      <c r="G200" s="31"/>
      <c r="H200" s="32"/>
      <c r="I200" s="32"/>
      <c r="J200" s="32"/>
      <c r="K200" s="31"/>
      <c r="L200" s="31"/>
      <c r="M200" s="3" t="str">
        <f t="shared" ca="1" si="12"/>
        <v/>
      </c>
      <c r="P200">
        <f>'Combined Delivery Data'!B230</f>
        <v>0</v>
      </c>
      <c r="Q200">
        <f t="shared" si="10"/>
        <v>0</v>
      </c>
      <c r="R200">
        <f t="shared" si="11"/>
        <v>452</v>
      </c>
      <c r="S200" s="28">
        <f>IF($P200="","",IF(SUMPRODUCT(MAX(($A$2:$A$497=$P200)*ROW($A$2:$A$497)))=0,"",INDEX($B:$B,SUMPRODUCT(MAX(($A$2:$A$497=$P200)*ROW($A$2:$A$497))))))</f>
        <v>0</v>
      </c>
      <c r="T200" t="str">
        <f>IF($P200="","",IF(SUMPRODUCT(MAX(($A$2:$A$497=$P200)*ROW($A$2:$A$497)))=0,"",INDEX($C:$C,SUMPRODUCT(MAX(($A$2:$A$497=$P200)*ROW($A$2:$A$497))))&amp;" -&gt; "&amp;INDEX($D:$D,SUMPRODUCT(MAX(($A$2:$A$497=$P200)*ROW($A$2:$A$497))))))</f>
        <v xml:space="preserve"> -&gt; </v>
      </c>
    </row>
    <row r="201" spans="1:20">
      <c r="A201" s="31"/>
      <c r="B201" s="32"/>
      <c r="C201" s="31"/>
      <c r="D201" s="31"/>
      <c r="E201" s="31"/>
      <c r="F201" s="31"/>
      <c r="G201" s="31"/>
      <c r="H201" s="32"/>
      <c r="I201" s="32"/>
      <c r="J201" s="32"/>
      <c r="K201" s="31"/>
      <c r="L201" s="31"/>
      <c r="M201" s="3" t="str">
        <f t="shared" ca="1" si="12"/>
        <v/>
      </c>
      <c r="P201">
        <f>'Combined Delivery Data'!B231</f>
        <v>0</v>
      </c>
      <c r="Q201">
        <f t="shared" si="10"/>
        <v>0</v>
      </c>
      <c r="R201">
        <f t="shared" si="11"/>
        <v>452</v>
      </c>
      <c r="S201" s="28">
        <f>IF($P201="","",IF(SUMPRODUCT(MAX(($A$2:$A$497=$P201)*ROW($A$2:$A$497)))=0,"",INDEX($B:$B,SUMPRODUCT(MAX(($A$2:$A$497=$P201)*ROW($A$2:$A$497))))))</f>
        <v>0</v>
      </c>
      <c r="T201" t="str">
        <f>IF($P201="","",IF(SUMPRODUCT(MAX(($A$2:$A$497=$P201)*ROW($A$2:$A$497)))=0,"",INDEX($C:$C,SUMPRODUCT(MAX(($A$2:$A$497=$P201)*ROW($A$2:$A$497))))&amp;" -&gt; "&amp;INDEX($D:$D,SUMPRODUCT(MAX(($A$2:$A$497=$P201)*ROW($A$2:$A$497))))))</f>
        <v xml:space="preserve"> -&gt; </v>
      </c>
    </row>
    <row r="202" spans="1:20">
      <c r="A202" s="31"/>
      <c r="B202" s="32"/>
      <c r="C202" s="31"/>
      <c r="D202" s="31"/>
      <c r="E202" s="31"/>
      <c r="F202" s="31"/>
      <c r="G202" s="31"/>
      <c r="H202" s="32"/>
      <c r="I202" s="32"/>
      <c r="J202" s="32"/>
      <c r="K202" s="31"/>
      <c r="L202" s="31"/>
      <c r="M202" s="3" t="str">
        <f t="shared" ca="1" si="12"/>
        <v/>
      </c>
      <c r="P202">
        <f>'Combined Delivery Data'!B232</f>
        <v>0</v>
      </c>
      <c r="Q202">
        <f t="shared" si="10"/>
        <v>0</v>
      </c>
      <c r="R202">
        <f t="shared" si="11"/>
        <v>452</v>
      </c>
      <c r="S202" s="28">
        <f>IF($P202="","",IF(SUMPRODUCT(MAX(($A$2:$A$497=$P202)*ROW($A$2:$A$497)))=0,"",INDEX($B:$B,SUMPRODUCT(MAX(($A$2:$A$497=$P202)*ROW($A$2:$A$497))))))</f>
        <v>0</v>
      </c>
      <c r="T202" t="str">
        <f>IF($P202="","",IF(SUMPRODUCT(MAX(($A$2:$A$497=$P202)*ROW($A$2:$A$497)))=0,"",INDEX($C:$C,SUMPRODUCT(MAX(($A$2:$A$497=$P202)*ROW($A$2:$A$497))))&amp;" -&gt; "&amp;INDEX($D:$D,SUMPRODUCT(MAX(($A$2:$A$497=$P202)*ROW($A$2:$A$497))))))</f>
        <v xml:space="preserve"> -&gt; </v>
      </c>
    </row>
    <row r="203" spans="1:20">
      <c r="A203" s="31"/>
      <c r="B203" s="32"/>
      <c r="C203" s="31"/>
      <c r="D203" s="31"/>
      <c r="E203" s="31"/>
      <c r="F203" s="31"/>
      <c r="G203" s="31"/>
      <c r="H203" s="32"/>
      <c r="I203" s="32"/>
      <c r="J203" s="32"/>
      <c r="K203" s="31"/>
      <c r="L203" s="31"/>
      <c r="M203" s="3" t="str">
        <f t="shared" ca="1" si="12"/>
        <v/>
      </c>
      <c r="P203">
        <f>'Combined Delivery Data'!B233</f>
        <v>0</v>
      </c>
      <c r="Q203">
        <f t="shared" si="10"/>
        <v>0</v>
      </c>
      <c r="R203">
        <f t="shared" si="11"/>
        <v>452</v>
      </c>
      <c r="S203" s="28">
        <f>IF($P203="","",IF(SUMPRODUCT(MAX(($A$2:$A$497=$P203)*ROW($A$2:$A$497)))=0,"",INDEX($B:$B,SUMPRODUCT(MAX(($A$2:$A$497=$P203)*ROW($A$2:$A$497))))))</f>
        <v>0</v>
      </c>
      <c r="T203" t="str">
        <f>IF($P203="","",IF(SUMPRODUCT(MAX(($A$2:$A$497=$P203)*ROW($A$2:$A$497)))=0,"",INDEX($C:$C,SUMPRODUCT(MAX(($A$2:$A$497=$P203)*ROW($A$2:$A$497))))&amp;" -&gt; "&amp;INDEX($D:$D,SUMPRODUCT(MAX(($A$2:$A$497=$P203)*ROW($A$2:$A$497))))))</f>
        <v xml:space="preserve"> -&gt; </v>
      </c>
    </row>
    <row r="204" spans="1:20">
      <c r="A204" s="31"/>
      <c r="B204" s="32"/>
      <c r="C204" s="31"/>
      <c r="D204" s="31"/>
      <c r="E204" s="31"/>
      <c r="F204" s="31"/>
      <c r="G204" s="31"/>
      <c r="H204" s="32"/>
      <c r="I204" s="32"/>
      <c r="J204" s="32"/>
      <c r="K204" s="31"/>
      <c r="L204" s="31"/>
      <c r="M204" s="3" t="str">
        <f t="shared" ca="1" si="12"/>
        <v/>
      </c>
      <c r="P204">
        <f>'Combined Delivery Data'!B234</f>
        <v>0</v>
      </c>
      <c r="Q204">
        <f t="shared" si="10"/>
        <v>0</v>
      </c>
      <c r="R204">
        <f t="shared" si="11"/>
        <v>452</v>
      </c>
      <c r="S204" s="28">
        <f>IF($P204="","",IF(SUMPRODUCT(MAX(($A$2:$A$497=$P204)*ROW($A$2:$A$497)))=0,"",INDEX($B:$B,SUMPRODUCT(MAX(($A$2:$A$497=$P204)*ROW($A$2:$A$497))))))</f>
        <v>0</v>
      </c>
      <c r="T204" t="str">
        <f>IF($P204="","",IF(SUMPRODUCT(MAX(($A$2:$A$497=$P204)*ROW($A$2:$A$497)))=0,"",INDEX($C:$C,SUMPRODUCT(MAX(($A$2:$A$497=$P204)*ROW($A$2:$A$497))))&amp;" -&gt; "&amp;INDEX($D:$D,SUMPRODUCT(MAX(($A$2:$A$497=$P204)*ROW($A$2:$A$497))))))</f>
        <v xml:space="preserve"> -&gt; </v>
      </c>
    </row>
    <row r="205" spans="1:20">
      <c r="A205" s="31"/>
      <c r="B205" s="32"/>
      <c r="C205" s="31"/>
      <c r="D205" s="31"/>
      <c r="E205" s="31"/>
      <c r="F205" s="31"/>
      <c r="G205" s="31"/>
      <c r="H205" s="32"/>
      <c r="I205" s="32"/>
      <c r="J205" s="32"/>
      <c r="K205" s="31"/>
      <c r="L205" s="31"/>
      <c r="M205" s="3" t="str">
        <f t="shared" ca="1" si="12"/>
        <v/>
      </c>
      <c r="P205">
        <f>'Combined Delivery Data'!B235</f>
        <v>0</v>
      </c>
      <c r="Q205">
        <f t="shared" si="10"/>
        <v>0</v>
      </c>
      <c r="R205">
        <f t="shared" si="11"/>
        <v>452</v>
      </c>
      <c r="S205" s="28">
        <f>IF($P205="","",IF(SUMPRODUCT(MAX(($A$2:$A$497=$P205)*ROW($A$2:$A$497)))=0,"",INDEX($B:$B,SUMPRODUCT(MAX(($A$2:$A$497=$P205)*ROW($A$2:$A$497))))))</f>
        <v>0</v>
      </c>
      <c r="T205" t="str">
        <f>IF($P205="","",IF(SUMPRODUCT(MAX(($A$2:$A$497=$P205)*ROW($A$2:$A$497)))=0,"",INDEX($C:$C,SUMPRODUCT(MAX(($A$2:$A$497=$P205)*ROW($A$2:$A$497))))&amp;" -&gt; "&amp;INDEX($D:$D,SUMPRODUCT(MAX(($A$2:$A$497=$P205)*ROW($A$2:$A$497))))))</f>
        <v xml:space="preserve"> -&gt; </v>
      </c>
    </row>
    <row r="206" spans="1:20">
      <c r="A206" s="31"/>
      <c r="B206" s="32"/>
      <c r="C206" s="31"/>
      <c r="D206" s="31"/>
      <c r="E206" s="31"/>
      <c r="F206" s="31"/>
      <c r="G206" s="31"/>
      <c r="H206" s="32"/>
      <c r="I206" s="32"/>
      <c r="J206" s="32"/>
      <c r="K206" s="31"/>
      <c r="L206" s="31"/>
      <c r="M206" s="3" t="str">
        <f t="shared" ca="1" si="12"/>
        <v/>
      </c>
      <c r="P206">
        <f>'Combined Delivery Data'!B236</f>
        <v>0</v>
      </c>
      <c r="Q206">
        <f t="shared" si="10"/>
        <v>0</v>
      </c>
      <c r="R206">
        <f t="shared" si="11"/>
        <v>452</v>
      </c>
      <c r="S206" s="28">
        <f>IF($P206="","",IF(SUMPRODUCT(MAX(($A$2:$A$497=$P206)*ROW($A$2:$A$497)))=0,"",INDEX($B:$B,SUMPRODUCT(MAX(($A$2:$A$497=$P206)*ROW($A$2:$A$497))))))</f>
        <v>0</v>
      </c>
      <c r="T206" t="str">
        <f>IF($P206="","",IF(SUMPRODUCT(MAX(($A$2:$A$497=$P206)*ROW($A$2:$A$497)))=0,"",INDEX($C:$C,SUMPRODUCT(MAX(($A$2:$A$497=$P206)*ROW($A$2:$A$497))))&amp;" -&gt; "&amp;INDEX($D:$D,SUMPRODUCT(MAX(($A$2:$A$497=$P206)*ROW($A$2:$A$497))))))</f>
        <v xml:space="preserve"> -&gt; </v>
      </c>
    </row>
    <row r="207" spans="1:20">
      <c r="A207" s="31"/>
      <c r="B207" s="32"/>
      <c r="C207" s="31"/>
      <c r="D207" s="31"/>
      <c r="E207" s="31"/>
      <c r="F207" s="31"/>
      <c r="G207" s="31"/>
      <c r="H207" s="32"/>
      <c r="I207" s="32"/>
      <c r="J207" s="32"/>
      <c r="K207" s="31"/>
      <c r="L207" s="31"/>
      <c r="M207" s="3" t="str">
        <f t="shared" ca="1" si="12"/>
        <v/>
      </c>
      <c r="P207">
        <f>'Combined Delivery Data'!B237</f>
        <v>0</v>
      </c>
      <c r="Q207">
        <f t="shared" si="10"/>
        <v>0</v>
      </c>
      <c r="R207">
        <f t="shared" si="11"/>
        <v>452</v>
      </c>
      <c r="S207" s="28">
        <f>IF($P207="","",IF(SUMPRODUCT(MAX(($A$2:$A$497=$P207)*ROW($A$2:$A$497)))=0,"",INDEX($B:$B,SUMPRODUCT(MAX(($A$2:$A$497=$P207)*ROW($A$2:$A$497))))))</f>
        <v>0</v>
      </c>
      <c r="T207" t="str">
        <f>IF($P207="","",IF(SUMPRODUCT(MAX(($A$2:$A$497=$P207)*ROW($A$2:$A$497)))=0,"",INDEX($C:$C,SUMPRODUCT(MAX(($A$2:$A$497=$P207)*ROW($A$2:$A$497))))&amp;" -&gt; "&amp;INDEX($D:$D,SUMPRODUCT(MAX(($A$2:$A$497=$P207)*ROW($A$2:$A$497))))))</f>
        <v xml:space="preserve"> -&gt; </v>
      </c>
    </row>
    <row r="208" spans="1:20">
      <c r="A208" s="31"/>
      <c r="B208" s="32"/>
      <c r="C208" s="31"/>
      <c r="D208" s="31"/>
      <c r="E208" s="31"/>
      <c r="F208" s="31"/>
      <c r="G208" s="31"/>
      <c r="H208" s="32"/>
      <c r="I208" s="32"/>
      <c r="J208" s="32"/>
      <c r="K208" s="31"/>
      <c r="L208" s="31"/>
      <c r="M208" s="3" t="str">
        <f t="shared" ca="1" si="12"/>
        <v/>
      </c>
      <c r="P208">
        <f>'Combined Delivery Data'!B238</f>
        <v>0</v>
      </c>
      <c r="Q208">
        <f t="shared" si="10"/>
        <v>0</v>
      </c>
      <c r="R208">
        <f t="shared" si="11"/>
        <v>452</v>
      </c>
      <c r="S208" s="28">
        <f>IF($P208="","",IF(SUMPRODUCT(MAX(($A$2:$A$497=$P208)*ROW($A$2:$A$497)))=0,"",INDEX($B:$B,SUMPRODUCT(MAX(($A$2:$A$497=$P208)*ROW($A$2:$A$497))))))</f>
        <v>0</v>
      </c>
      <c r="T208" t="str">
        <f>IF($P208="","",IF(SUMPRODUCT(MAX(($A$2:$A$497=$P208)*ROW($A$2:$A$497)))=0,"",INDEX($C:$C,SUMPRODUCT(MAX(($A$2:$A$497=$P208)*ROW($A$2:$A$497))))&amp;" -&gt; "&amp;INDEX($D:$D,SUMPRODUCT(MAX(($A$2:$A$497=$P208)*ROW($A$2:$A$497))))))</f>
        <v xml:space="preserve"> -&gt; </v>
      </c>
    </row>
    <row r="209" spans="1:20">
      <c r="A209" s="31"/>
      <c r="B209" s="32"/>
      <c r="C209" s="31"/>
      <c r="D209" s="31"/>
      <c r="E209" s="31"/>
      <c r="F209" s="31"/>
      <c r="G209" s="31"/>
      <c r="H209" s="32"/>
      <c r="I209" s="32"/>
      <c r="J209" s="32"/>
      <c r="K209" s="31"/>
      <c r="L209" s="31"/>
      <c r="M209" s="3" t="str">
        <f t="shared" ca="1" si="12"/>
        <v/>
      </c>
      <c r="P209">
        <f>'Combined Delivery Data'!B239</f>
        <v>0</v>
      </c>
      <c r="Q209">
        <f t="shared" ref="Q209:Q272" si="13">IF($P209="","",COUNTIF($A$2:$A$497,$P209))</f>
        <v>0</v>
      </c>
      <c r="R209">
        <f t="shared" ref="R209:R272" si="14">IF($P209="","",SUMPRODUCT(($A$2:$A$497=$P209)*($G$2:$G$497&lt;&gt;"Yes")*($G$2:$G$497&lt;&gt;"Did not pass re-test")))</f>
        <v>452</v>
      </c>
      <c r="S209" s="28">
        <f>IF($P209="","",IF(SUMPRODUCT(MAX(($A$2:$A$497=$P209)*ROW($A$2:$A$497)))=0,"",INDEX($B:$B,SUMPRODUCT(MAX(($A$2:$A$497=$P209)*ROW($A$2:$A$497))))))</f>
        <v>0</v>
      </c>
      <c r="T209" t="str">
        <f>IF($P209="","",IF(SUMPRODUCT(MAX(($A$2:$A$497=$P209)*ROW($A$2:$A$497)))=0,"",INDEX($C:$C,SUMPRODUCT(MAX(($A$2:$A$497=$P209)*ROW($A$2:$A$497))))&amp;" -&gt; "&amp;INDEX($D:$D,SUMPRODUCT(MAX(($A$2:$A$497=$P209)*ROW($A$2:$A$497))))))</f>
        <v xml:space="preserve"> -&gt; </v>
      </c>
    </row>
    <row r="210" spans="1:20">
      <c r="A210" s="31"/>
      <c r="B210" s="32"/>
      <c r="C210" s="31"/>
      <c r="D210" s="31"/>
      <c r="E210" s="31"/>
      <c r="F210" s="31"/>
      <c r="G210" s="31"/>
      <c r="H210" s="32"/>
      <c r="I210" s="32"/>
      <c r="J210" s="32"/>
      <c r="K210" s="31"/>
      <c r="L210" s="31"/>
      <c r="M210" s="3" t="str">
        <f t="shared" ca="1" si="12"/>
        <v/>
      </c>
      <c r="P210">
        <f>'Combined Delivery Data'!B240</f>
        <v>0</v>
      </c>
      <c r="Q210">
        <f t="shared" si="13"/>
        <v>0</v>
      </c>
      <c r="R210">
        <f t="shared" si="14"/>
        <v>452</v>
      </c>
      <c r="S210" s="28">
        <f>IF($P210="","",IF(SUMPRODUCT(MAX(($A$2:$A$497=$P210)*ROW($A$2:$A$497)))=0,"",INDEX($B:$B,SUMPRODUCT(MAX(($A$2:$A$497=$P210)*ROW($A$2:$A$497))))))</f>
        <v>0</v>
      </c>
      <c r="T210" t="str">
        <f>IF($P210="","",IF(SUMPRODUCT(MAX(($A$2:$A$497=$P210)*ROW($A$2:$A$497)))=0,"",INDEX($C:$C,SUMPRODUCT(MAX(($A$2:$A$497=$P210)*ROW($A$2:$A$497))))&amp;" -&gt; "&amp;INDEX($D:$D,SUMPRODUCT(MAX(($A$2:$A$497=$P210)*ROW($A$2:$A$497))))))</f>
        <v xml:space="preserve"> -&gt; </v>
      </c>
    </row>
    <row r="211" spans="1:20">
      <c r="A211" s="31"/>
      <c r="B211" s="32"/>
      <c r="C211" s="31"/>
      <c r="D211" s="31"/>
      <c r="E211" s="31"/>
      <c r="F211" s="31"/>
      <c r="G211" s="31"/>
      <c r="H211" s="32"/>
      <c r="I211" s="32"/>
      <c r="J211" s="32"/>
      <c r="K211" s="31"/>
      <c r="L211" s="31"/>
      <c r="M211" s="3" t="str">
        <f t="shared" ca="1" si="12"/>
        <v/>
      </c>
      <c r="P211">
        <f>'Combined Delivery Data'!B241</f>
        <v>0</v>
      </c>
      <c r="Q211">
        <f t="shared" si="13"/>
        <v>0</v>
      </c>
      <c r="R211">
        <f t="shared" si="14"/>
        <v>452</v>
      </c>
      <c r="S211" s="28">
        <f>IF($P211="","",IF(SUMPRODUCT(MAX(($A$2:$A$497=$P211)*ROW($A$2:$A$497)))=0,"",INDEX($B:$B,SUMPRODUCT(MAX(($A$2:$A$497=$P211)*ROW($A$2:$A$497))))))</f>
        <v>0</v>
      </c>
      <c r="T211" t="str">
        <f>IF($P211="","",IF(SUMPRODUCT(MAX(($A$2:$A$497=$P211)*ROW($A$2:$A$497)))=0,"",INDEX($C:$C,SUMPRODUCT(MAX(($A$2:$A$497=$P211)*ROW($A$2:$A$497))))&amp;" -&gt; "&amp;INDEX($D:$D,SUMPRODUCT(MAX(($A$2:$A$497=$P211)*ROW($A$2:$A$497))))))</f>
        <v xml:space="preserve"> -&gt; </v>
      </c>
    </row>
    <row r="212" spans="1:20">
      <c r="A212" s="31"/>
      <c r="B212" s="32"/>
      <c r="C212" s="31"/>
      <c r="D212" s="31"/>
      <c r="E212" s="31"/>
      <c r="F212" s="31"/>
      <c r="G212" s="31"/>
      <c r="H212" s="32"/>
      <c r="I212" s="32"/>
      <c r="J212" s="32"/>
      <c r="K212" s="31"/>
      <c r="L212" s="31"/>
      <c r="M212" s="3" t="str">
        <f t="shared" ca="1" si="12"/>
        <v/>
      </c>
      <c r="P212">
        <f>'Combined Delivery Data'!B242</f>
        <v>0</v>
      </c>
      <c r="Q212">
        <f t="shared" si="13"/>
        <v>0</v>
      </c>
      <c r="R212">
        <f t="shared" si="14"/>
        <v>452</v>
      </c>
      <c r="S212" s="28">
        <f>IF($P212="","",IF(SUMPRODUCT(MAX(($A$2:$A$497=$P212)*ROW($A$2:$A$497)))=0,"",INDEX($B:$B,SUMPRODUCT(MAX(($A$2:$A$497=$P212)*ROW($A$2:$A$497))))))</f>
        <v>0</v>
      </c>
      <c r="T212" t="str">
        <f>IF($P212="","",IF(SUMPRODUCT(MAX(($A$2:$A$497=$P212)*ROW($A$2:$A$497)))=0,"",INDEX($C:$C,SUMPRODUCT(MAX(($A$2:$A$497=$P212)*ROW($A$2:$A$497))))&amp;" -&gt; "&amp;INDEX($D:$D,SUMPRODUCT(MAX(($A$2:$A$497=$P212)*ROW($A$2:$A$497))))))</f>
        <v xml:space="preserve"> -&gt; </v>
      </c>
    </row>
    <row r="213" spans="1:20">
      <c r="A213" s="31"/>
      <c r="B213" s="32"/>
      <c r="C213" s="31"/>
      <c r="D213" s="31"/>
      <c r="E213" s="31"/>
      <c r="F213" s="31"/>
      <c r="G213" s="31"/>
      <c r="H213" s="32"/>
      <c r="I213" s="32"/>
      <c r="J213" s="32"/>
      <c r="K213" s="31"/>
      <c r="L213" s="31"/>
      <c r="M213" s="3" t="str">
        <f t="shared" ca="1" si="12"/>
        <v/>
      </c>
      <c r="P213">
        <f>'Combined Delivery Data'!B243</f>
        <v>0</v>
      </c>
      <c r="Q213">
        <f t="shared" si="13"/>
        <v>0</v>
      </c>
      <c r="R213">
        <f t="shared" si="14"/>
        <v>452</v>
      </c>
      <c r="S213" s="28">
        <f>IF($P213="","",IF(SUMPRODUCT(MAX(($A$2:$A$497=$P213)*ROW($A$2:$A$497)))=0,"",INDEX($B:$B,SUMPRODUCT(MAX(($A$2:$A$497=$P213)*ROW($A$2:$A$497))))))</f>
        <v>0</v>
      </c>
      <c r="T213" t="str">
        <f>IF($P213="","",IF(SUMPRODUCT(MAX(($A$2:$A$497=$P213)*ROW($A$2:$A$497)))=0,"",INDEX($C:$C,SUMPRODUCT(MAX(($A$2:$A$497=$P213)*ROW($A$2:$A$497))))&amp;" -&gt; "&amp;INDEX($D:$D,SUMPRODUCT(MAX(($A$2:$A$497=$P213)*ROW($A$2:$A$497))))))</f>
        <v xml:space="preserve"> -&gt; </v>
      </c>
    </row>
    <row r="214" spans="1:20">
      <c r="A214" s="31"/>
      <c r="B214" s="32"/>
      <c r="C214" s="31"/>
      <c r="D214" s="31"/>
      <c r="E214" s="31"/>
      <c r="F214" s="31"/>
      <c r="G214" s="31"/>
      <c r="H214" s="32"/>
      <c r="I214" s="32"/>
      <c r="J214" s="32"/>
      <c r="K214" s="31"/>
      <c r="L214" s="31"/>
      <c r="M214" s="3" t="str">
        <f t="shared" ca="1" si="12"/>
        <v/>
      </c>
      <c r="P214">
        <f>'Combined Delivery Data'!B244</f>
        <v>0</v>
      </c>
      <c r="Q214">
        <f t="shared" si="13"/>
        <v>0</v>
      </c>
      <c r="R214">
        <f t="shared" si="14"/>
        <v>452</v>
      </c>
      <c r="S214" s="28">
        <f>IF($P214="","",IF(SUMPRODUCT(MAX(($A$2:$A$497=$P214)*ROW($A$2:$A$497)))=0,"",INDEX($B:$B,SUMPRODUCT(MAX(($A$2:$A$497=$P214)*ROW($A$2:$A$497))))))</f>
        <v>0</v>
      </c>
      <c r="T214" t="str">
        <f>IF($P214="","",IF(SUMPRODUCT(MAX(($A$2:$A$497=$P214)*ROW($A$2:$A$497)))=0,"",INDEX($C:$C,SUMPRODUCT(MAX(($A$2:$A$497=$P214)*ROW($A$2:$A$497))))&amp;" -&gt; "&amp;INDEX($D:$D,SUMPRODUCT(MAX(($A$2:$A$497=$P214)*ROW($A$2:$A$497))))))</f>
        <v xml:space="preserve"> -&gt; </v>
      </c>
    </row>
    <row r="215" spans="1:20">
      <c r="A215" s="31"/>
      <c r="B215" s="32"/>
      <c r="C215" s="31"/>
      <c r="D215" s="31"/>
      <c r="E215" s="31"/>
      <c r="F215" s="31"/>
      <c r="G215" s="31"/>
      <c r="H215" s="32"/>
      <c r="I215" s="32"/>
      <c r="J215" s="32"/>
      <c r="K215" s="31"/>
      <c r="L215" s="31"/>
      <c r="M215" s="3" t="str">
        <f t="shared" ca="1" si="12"/>
        <v/>
      </c>
      <c r="P215">
        <f>'Combined Delivery Data'!B245</f>
        <v>0</v>
      </c>
      <c r="Q215">
        <f t="shared" si="13"/>
        <v>0</v>
      </c>
      <c r="R215">
        <f t="shared" si="14"/>
        <v>452</v>
      </c>
      <c r="S215" s="28">
        <f>IF($P215="","",IF(SUMPRODUCT(MAX(($A$2:$A$497=$P215)*ROW($A$2:$A$497)))=0,"",INDEX($B:$B,SUMPRODUCT(MAX(($A$2:$A$497=$P215)*ROW($A$2:$A$497))))))</f>
        <v>0</v>
      </c>
      <c r="T215" t="str">
        <f>IF($P215="","",IF(SUMPRODUCT(MAX(($A$2:$A$497=$P215)*ROW($A$2:$A$497)))=0,"",INDEX($C:$C,SUMPRODUCT(MAX(($A$2:$A$497=$P215)*ROW($A$2:$A$497))))&amp;" -&gt; "&amp;INDEX($D:$D,SUMPRODUCT(MAX(($A$2:$A$497=$P215)*ROW($A$2:$A$497))))))</f>
        <v xml:space="preserve"> -&gt; </v>
      </c>
    </row>
    <row r="216" spans="1:20">
      <c r="A216" s="31"/>
      <c r="B216" s="32"/>
      <c r="C216" s="31"/>
      <c r="D216" s="31"/>
      <c r="E216" s="31"/>
      <c r="F216" s="31"/>
      <c r="G216" s="31"/>
      <c r="H216" s="32"/>
      <c r="I216" s="32"/>
      <c r="J216" s="32"/>
      <c r="K216" s="31"/>
      <c r="L216" s="31"/>
      <c r="M216" s="3" t="str">
        <f t="shared" ca="1" si="12"/>
        <v/>
      </c>
      <c r="P216">
        <f>'Combined Delivery Data'!B246</f>
        <v>0</v>
      </c>
      <c r="Q216">
        <f t="shared" si="13"/>
        <v>0</v>
      </c>
      <c r="R216">
        <f t="shared" si="14"/>
        <v>452</v>
      </c>
      <c r="S216" s="28">
        <f>IF($P216="","",IF(SUMPRODUCT(MAX(($A$2:$A$497=$P216)*ROW($A$2:$A$497)))=0,"",INDEX($B:$B,SUMPRODUCT(MAX(($A$2:$A$497=$P216)*ROW($A$2:$A$497))))))</f>
        <v>0</v>
      </c>
      <c r="T216" t="str">
        <f>IF($P216="","",IF(SUMPRODUCT(MAX(($A$2:$A$497=$P216)*ROW($A$2:$A$497)))=0,"",INDEX($C:$C,SUMPRODUCT(MAX(($A$2:$A$497=$P216)*ROW($A$2:$A$497))))&amp;" -&gt; "&amp;INDEX($D:$D,SUMPRODUCT(MAX(($A$2:$A$497=$P216)*ROW($A$2:$A$497))))))</f>
        <v xml:space="preserve"> -&gt; </v>
      </c>
    </row>
    <row r="217" spans="1:20">
      <c r="A217" s="31"/>
      <c r="B217" s="32"/>
      <c r="C217" s="31"/>
      <c r="D217" s="31"/>
      <c r="E217" s="31"/>
      <c r="F217" s="31"/>
      <c r="G217" s="31"/>
      <c r="H217" s="32"/>
      <c r="I217" s="32"/>
      <c r="J217" s="32"/>
      <c r="K217" s="31"/>
      <c r="L217" s="31"/>
      <c r="M217" s="3" t="str">
        <f t="shared" ca="1" si="12"/>
        <v/>
      </c>
      <c r="P217">
        <f>'Combined Delivery Data'!B247</f>
        <v>0</v>
      </c>
      <c r="Q217">
        <f t="shared" si="13"/>
        <v>0</v>
      </c>
      <c r="R217">
        <f t="shared" si="14"/>
        <v>452</v>
      </c>
      <c r="S217" s="28">
        <f>IF($P217="","",IF(SUMPRODUCT(MAX(($A$2:$A$497=$P217)*ROW($A$2:$A$497)))=0,"",INDEX($B:$B,SUMPRODUCT(MAX(($A$2:$A$497=$P217)*ROW($A$2:$A$497))))))</f>
        <v>0</v>
      </c>
      <c r="T217" t="str">
        <f>IF($P217="","",IF(SUMPRODUCT(MAX(($A$2:$A$497=$P217)*ROW($A$2:$A$497)))=0,"",INDEX($C:$C,SUMPRODUCT(MAX(($A$2:$A$497=$P217)*ROW($A$2:$A$497))))&amp;" -&gt; "&amp;INDEX($D:$D,SUMPRODUCT(MAX(($A$2:$A$497=$P217)*ROW($A$2:$A$497))))))</f>
        <v xml:space="preserve"> -&gt; </v>
      </c>
    </row>
    <row r="218" spans="1:20">
      <c r="A218" s="31"/>
      <c r="B218" s="32"/>
      <c r="C218" s="31"/>
      <c r="D218" s="31"/>
      <c r="E218" s="31"/>
      <c r="F218" s="31"/>
      <c r="G218" s="31"/>
      <c r="H218" s="32"/>
      <c r="I218" s="32"/>
      <c r="J218" s="32"/>
      <c r="K218" s="31"/>
      <c r="L218" s="31"/>
      <c r="M218" s="3" t="str">
        <f t="shared" ca="1" si="12"/>
        <v/>
      </c>
      <c r="P218">
        <f>'Combined Delivery Data'!B248</f>
        <v>0</v>
      </c>
      <c r="Q218">
        <f t="shared" si="13"/>
        <v>0</v>
      </c>
      <c r="R218">
        <f t="shared" si="14"/>
        <v>452</v>
      </c>
      <c r="S218" s="28">
        <f>IF($P218="","",IF(SUMPRODUCT(MAX(($A$2:$A$497=$P218)*ROW($A$2:$A$497)))=0,"",INDEX($B:$B,SUMPRODUCT(MAX(($A$2:$A$497=$P218)*ROW($A$2:$A$497))))))</f>
        <v>0</v>
      </c>
      <c r="T218" t="str">
        <f>IF($P218="","",IF(SUMPRODUCT(MAX(($A$2:$A$497=$P218)*ROW($A$2:$A$497)))=0,"",INDEX($C:$C,SUMPRODUCT(MAX(($A$2:$A$497=$P218)*ROW($A$2:$A$497))))&amp;" -&gt; "&amp;INDEX($D:$D,SUMPRODUCT(MAX(($A$2:$A$497=$P218)*ROW($A$2:$A$497))))))</f>
        <v xml:space="preserve"> -&gt; </v>
      </c>
    </row>
    <row r="219" spans="1:20">
      <c r="A219" s="31"/>
      <c r="B219" s="32"/>
      <c r="C219" s="31"/>
      <c r="D219" s="31"/>
      <c r="E219" s="31"/>
      <c r="F219" s="31"/>
      <c r="G219" s="31"/>
      <c r="H219" s="32"/>
      <c r="I219" s="32"/>
      <c r="J219" s="32"/>
      <c r="K219" s="31"/>
      <c r="L219" s="31"/>
      <c r="M219" s="3" t="str">
        <f t="shared" ca="1" si="12"/>
        <v/>
      </c>
      <c r="P219">
        <f>'Combined Delivery Data'!B249</f>
        <v>0</v>
      </c>
      <c r="Q219">
        <f t="shared" si="13"/>
        <v>0</v>
      </c>
      <c r="R219">
        <f t="shared" si="14"/>
        <v>452</v>
      </c>
      <c r="S219" s="28">
        <f>IF($P219="","",IF(SUMPRODUCT(MAX(($A$2:$A$497=$P219)*ROW($A$2:$A$497)))=0,"",INDEX($B:$B,SUMPRODUCT(MAX(($A$2:$A$497=$P219)*ROW($A$2:$A$497))))))</f>
        <v>0</v>
      </c>
      <c r="T219" t="str">
        <f>IF($P219="","",IF(SUMPRODUCT(MAX(($A$2:$A$497=$P219)*ROW($A$2:$A$497)))=0,"",INDEX($C:$C,SUMPRODUCT(MAX(($A$2:$A$497=$P219)*ROW($A$2:$A$497))))&amp;" -&gt; "&amp;INDEX($D:$D,SUMPRODUCT(MAX(($A$2:$A$497=$P219)*ROW($A$2:$A$497))))))</f>
        <v xml:space="preserve"> -&gt; </v>
      </c>
    </row>
    <row r="220" spans="1:20">
      <c r="A220" s="31"/>
      <c r="B220" s="32"/>
      <c r="C220" s="31"/>
      <c r="D220" s="31"/>
      <c r="E220" s="31"/>
      <c r="F220" s="31"/>
      <c r="G220" s="31"/>
      <c r="H220" s="32"/>
      <c r="I220" s="32"/>
      <c r="J220" s="32"/>
      <c r="K220" s="31"/>
      <c r="L220" s="31"/>
      <c r="M220" s="3" t="str">
        <f t="shared" ca="1" si="12"/>
        <v/>
      </c>
      <c r="P220">
        <f>'Combined Delivery Data'!B250</f>
        <v>0</v>
      </c>
      <c r="Q220">
        <f t="shared" si="13"/>
        <v>0</v>
      </c>
      <c r="R220">
        <f t="shared" si="14"/>
        <v>452</v>
      </c>
      <c r="S220" s="28">
        <f>IF($P220="","",IF(SUMPRODUCT(MAX(($A$2:$A$497=$P220)*ROW($A$2:$A$497)))=0,"",INDEX($B:$B,SUMPRODUCT(MAX(($A$2:$A$497=$P220)*ROW($A$2:$A$497))))))</f>
        <v>0</v>
      </c>
      <c r="T220" t="str">
        <f>IF($P220="","",IF(SUMPRODUCT(MAX(($A$2:$A$497=$P220)*ROW($A$2:$A$497)))=0,"",INDEX($C:$C,SUMPRODUCT(MAX(($A$2:$A$497=$P220)*ROW($A$2:$A$497))))&amp;" -&gt; "&amp;INDEX($D:$D,SUMPRODUCT(MAX(($A$2:$A$497=$P220)*ROW($A$2:$A$497))))))</f>
        <v xml:space="preserve"> -&gt; </v>
      </c>
    </row>
    <row r="221" spans="1:20">
      <c r="A221" s="31"/>
      <c r="B221" s="32"/>
      <c r="C221" s="31"/>
      <c r="D221" s="31"/>
      <c r="E221" s="31"/>
      <c r="F221" s="31"/>
      <c r="G221" s="31"/>
      <c r="H221" s="32"/>
      <c r="I221" s="32"/>
      <c r="J221" s="32"/>
      <c r="K221" s="31"/>
      <c r="L221" s="31"/>
      <c r="M221" s="3" t="str">
        <f t="shared" ca="1" si="12"/>
        <v/>
      </c>
      <c r="P221">
        <f>'Combined Delivery Data'!B251</f>
        <v>0</v>
      </c>
      <c r="Q221">
        <f t="shared" si="13"/>
        <v>0</v>
      </c>
      <c r="R221">
        <f t="shared" si="14"/>
        <v>452</v>
      </c>
      <c r="S221" s="28">
        <f>IF($P221="","",IF(SUMPRODUCT(MAX(($A$2:$A$497=$P221)*ROW($A$2:$A$497)))=0,"",INDEX($B:$B,SUMPRODUCT(MAX(($A$2:$A$497=$P221)*ROW($A$2:$A$497))))))</f>
        <v>0</v>
      </c>
      <c r="T221" t="str">
        <f>IF($P221="","",IF(SUMPRODUCT(MAX(($A$2:$A$497=$P221)*ROW($A$2:$A$497)))=0,"",INDEX($C:$C,SUMPRODUCT(MAX(($A$2:$A$497=$P221)*ROW($A$2:$A$497))))&amp;" -&gt; "&amp;INDEX($D:$D,SUMPRODUCT(MAX(($A$2:$A$497=$P221)*ROW($A$2:$A$497))))))</f>
        <v xml:space="preserve"> -&gt; </v>
      </c>
    </row>
    <row r="222" spans="1:20">
      <c r="A222" s="31"/>
      <c r="B222" s="32"/>
      <c r="C222" s="31"/>
      <c r="D222" s="31"/>
      <c r="E222" s="31"/>
      <c r="F222" s="31"/>
      <c r="G222" s="31"/>
      <c r="H222" s="32"/>
      <c r="I222" s="32"/>
      <c r="J222" s="32"/>
      <c r="K222" s="31"/>
      <c r="L222" s="31"/>
      <c r="M222" s="3" t="str">
        <f t="shared" ca="1" si="12"/>
        <v/>
      </c>
      <c r="P222">
        <f>'Combined Delivery Data'!B252</f>
        <v>0</v>
      </c>
      <c r="Q222">
        <f t="shared" si="13"/>
        <v>0</v>
      </c>
      <c r="R222">
        <f t="shared" si="14"/>
        <v>452</v>
      </c>
      <c r="S222" s="28">
        <f>IF($P222="","",IF(SUMPRODUCT(MAX(($A$2:$A$497=$P222)*ROW($A$2:$A$497)))=0,"",INDEX($B:$B,SUMPRODUCT(MAX(($A$2:$A$497=$P222)*ROW($A$2:$A$497))))))</f>
        <v>0</v>
      </c>
      <c r="T222" t="str">
        <f>IF($P222="","",IF(SUMPRODUCT(MAX(($A$2:$A$497=$P222)*ROW($A$2:$A$497)))=0,"",INDEX($C:$C,SUMPRODUCT(MAX(($A$2:$A$497=$P222)*ROW($A$2:$A$497))))&amp;" -&gt; "&amp;INDEX($D:$D,SUMPRODUCT(MAX(($A$2:$A$497=$P222)*ROW($A$2:$A$497))))))</f>
        <v xml:space="preserve"> -&gt; </v>
      </c>
    </row>
    <row r="223" spans="1:20">
      <c r="A223" s="31"/>
      <c r="B223" s="32"/>
      <c r="C223" s="31"/>
      <c r="D223" s="31"/>
      <c r="E223" s="31"/>
      <c r="F223" s="31"/>
      <c r="G223" s="31"/>
      <c r="H223" s="32"/>
      <c r="I223" s="32"/>
      <c r="J223" s="32"/>
      <c r="K223" s="31"/>
      <c r="L223" s="31"/>
      <c r="M223" s="3" t="str">
        <f t="shared" ca="1" si="12"/>
        <v/>
      </c>
      <c r="P223">
        <f>'Combined Delivery Data'!B253</f>
        <v>0</v>
      </c>
      <c r="Q223">
        <f t="shared" si="13"/>
        <v>0</v>
      </c>
      <c r="R223">
        <f t="shared" si="14"/>
        <v>452</v>
      </c>
      <c r="S223" s="28">
        <f>IF($P223="","",IF(SUMPRODUCT(MAX(($A$2:$A$497=$P223)*ROW($A$2:$A$497)))=0,"",INDEX($B:$B,SUMPRODUCT(MAX(($A$2:$A$497=$P223)*ROW($A$2:$A$497))))))</f>
        <v>0</v>
      </c>
      <c r="T223" t="str">
        <f>IF($P223="","",IF(SUMPRODUCT(MAX(($A$2:$A$497=$P223)*ROW($A$2:$A$497)))=0,"",INDEX($C:$C,SUMPRODUCT(MAX(($A$2:$A$497=$P223)*ROW($A$2:$A$497))))&amp;" -&gt; "&amp;INDEX($D:$D,SUMPRODUCT(MAX(($A$2:$A$497=$P223)*ROW($A$2:$A$497))))))</f>
        <v xml:space="preserve"> -&gt; </v>
      </c>
    </row>
    <row r="224" spans="1:20">
      <c r="A224" s="31"/>
      <c r="B224" s="32"/>
      <c r="C224" s="31"/>
      <c r="D224" s="31"/>
      <c r="E224" s="31"/>
      <c r="F224" s="31"/>
      <c r="G224" s="31"/>
      <c r="H224" s="32"/>
      <c r="I224" s="32"/>
      <c r="J224" s="32"/>
      <c r="K224" s="31"/>
      <c r="L224" s="31"/>
      <c r="M224" s="3" t="str">
        <f t="shared" ca="1" si="12"/>
        <v/>
      </c>
      <c r="P224">
        <f>'Combined Delivery Data'!B254</f>
        <v>0</v>
      </c>
      <c r="Q224">
        <f t="shared" si="13"/>
        <v>0</v>
      </c>
      <c r="R224">
        <f t="shared" si="14"/>
        <v>452</v>
      </c>
      <c r="S224" s="28">
        <f>IF($P224="","",IF(SUMPRODUCT(MAX(($A$2:$A$497=$P224)*ROW($A$2:$A$497)))=0,"",INDEX($B:$B,SUMPRODUCT(MAX(($A$2:$A$497=$P224)*ROW($A$2:$A$497))))))</f>
        <v>0</v>
      </c>
      <c r="T224" t="str">
        <f>IF($P224="","",IF(SUMPRODUCT(MAX(($A$2:$A$497=$P224)*ROW($A$2:$A$497)))=0,"",INDEX($C:$C,SUMPRODUCT(MAX(($A$2:$A$497=$P224)*ROW($A$2:$A$497))))&amp;" -&gt; "&amp;INDEX($D:$D,SUMPRODUCT(MAX(($A$2:$A$497=$P224)*ROW($A$2:$A$497))))))</f>
        <v xml:space="preserve"> -&gt; </v>
      </c>
    </row>
    <row r="225" spans="1:20">
      <c r="A225" s="31"/>
      <c r="B225" s="32"/>
      <c r="C225" s="31"/>
      <c r="D225" s="31"/>
      <c r="E225" s="31"/>
      <c r="F225" s="31"/>
      <c r="G225" s="31"/>
      <c r="H225" s="32"/>
      <c r="I225" s="32"/>
      <c r="J225" s="32"/>
      <c r="K225" s="31"/>
      <c r="L225" s="31"/>
      <c r="M225" s="3" t="str">
        <f t="shared" ca="1" si="12"/>
        <v/>
      </c>
      <c r="P225">
        <f>'Combined Delivery Data'!B255</f>
        <v>0</v>
      </c>
      <c r="Q225">
        <f t="shared" si="13"/>
        <v>0</v>
      </c>
      <c r="R225">
        <f t="shared" si="14"/>
        <v>452</v>
      </c>
      <c r="S225" s="28">
        <f>IF($P225="","",IF(SUMPRODUCT(MAX(($A$2:$A$497=$P225)*ROW($A$2:$A$497)))=0,"",INDEX($B:$B,SUMPRODUCT(MAX(($A$2:$A$497=$P225)*ROW($A$2:$A$497))))))</f>
        <v>0</v>
      </c>
      <c r="T225" t="str">
        <f>IF($P225="","",IF(SUMPRODUCT(MAX(($A$2:$A$497=$P225)*ROW($A$2:$A$497)))=0,"",INDEX($C:$C,SUMPRODUCT(MAX(($A$2:$A$497=$P225)*ROW($A$2:$A$497))))&amp;" -&gt; "&amp;INDEX($D:$D,SUMPRODUCT(MAX(($A$2:$A$497=$P225)*ROW($A$2:$A$497))))))</f>
        <v xml:space="preserve"> -&gt; </v>
      </c>
    </row>
    <row r="226" spans="1:20">
      <c r="A226" s="31"/>
      <c r="B226" s="32"/>
      <c r="C226" s="31"/>
      <c r="D226" s="31"/>
      <c r="E226" s="31"/>
      <c r="F226" s="31"/>
      <c r="G226" s="31"/>
      <c r="H226" s="32"/>
      <c r="I226" s="32"/>
      <c r="J226" s="32"/>
      <c r="K226" s="31"/>
      <c r="L226" s="31"/>
      <c r="M226" s="3" t="str">
        <f t="shared" ca="1" si="12"/>
        <v/>
      </c>
      <c r="P226">
        <f>'Combined Delivery Data'!B256</f>
        <v>0</v>
      </c>
      <c r="Q226">
        <f t="shared" si="13"/>
        <v>0</v>
      </c>
      <c r="R226">
        <f t="shared" si="14"/>
        <v>452</v>
      </c>
      <c r="S226" s="28">
        <f>IF($P226="","",IF(SUMPRODUCT(MAX(($A$2:$A$497=$P226)*ROW($A$2:$A$497)))=0,"",INDEX($B:$B,SUMPRODUCT(MAX(($A$2:$A$497=$P226)*ROW($A$2:$A$497))))))</f>
        <v>0</v>
      </c>
      <c r="T226" t="str">
        <f>IF($P226="","",IF(SUMPRODUCT(MAX(($A$2:$A$497=$P226)*ROW($A$2:$A$497)))=0,"",INDEX($C:$C,SUMPRODUCT(MAX(($A$2:$A$497=$P226)*ROW($A$2:$A$497))))&amp;" -&gt; "&amp;INDEX($D:$D,SUMPRODUCT(MAX(($A$2:$A$497=$P226)*ROW($A$2:$A$497))))))</f>
        <v xml:space="preserve"> -&gt; </v>
      </c>
    </row>
    <row r="227" spans="1:20">
      <c r="A227" s="31"/>
      <c r="B227" s="32"/>
      <c r="C227" s="31"/>
      <c r="D227" s="31"/>
      <c r="E227" s="31"/>
      <c r="F227" s="31"/>
      <c r="G227" s="31"/>
      <c r="H227" s="32"/>
      <c r="I227" s="32"/>
      <c r="J227" s="32"/>
      <c r="K227" s="31"/>
      <c r="L227" s="31"/>
      <c r="M227" s="3" t="str">
        <f t="shared" ca="1" si="12"/>
        <v/>
      </c>
      <c r="P227">
        <f>'Combined Delivery Data'!B257</f>
        <v>0</v>
      </c>
      <c r="Q227">
        <f t="shared" si="13"/>
        <v>0</v>
      </c>
      <c r="R227">
        <f t="shared" si="14"/>
        <v>452</v>
      </c>
      <c r="S227" s="28">
        <f>IF($P227="","",IF(SUMPRODUCT(MAX(($A$2:$A$497=$P227)*ROW($A$2:$A$497)))=0,"",INDEX($B:$B,SUMPRODUCT(MAX(($A$2:$A$497=$P227)*ROW($A$2:$A$497))))))</f>
        <v>0</v>
      </c>
      <c r="T227" t="str">
        <f>IF($P227="","",IF(SUMPRODUCT(MAX(($A$2:$A$497=$P227)*ROW($A$2:$A$497)))=0,"",INDEX($C:$C,SUMPRODUCT(MAX(($A$2:$A$497=$P227)*ROW($A$2:$A$497))))&amp;" -&gt; "&amp;INDEX($D:$D,SUMPRODUCT(MAX(($A$2:$A$497=$P227)*ROW($A$2:$A$497))))))</f>
        <v xml:space="preserve"> -&gt; </v>
      </c>
    </row>
    <row r="228" spans="1:20">
      <c r="A228" s="31"/>
      <c r="B228" s="32"/>
      <c r="C228" s="31"/>
      <c r="D228" s="31"/>
      <c r="E228" s="31"/>
      <c r="F228" s="31"/>
      <c r="G228" s="31"/>
      <c r="H228" s="32"/>
      <c r="I228" s="32"/>
      <c r="J228" s="32"/>
      <c r="K228" s="31"/>
      <c r="L228" s="31"/>
      <c r="M228" s="3" t="str">
        <f t="shared" ca="1" si="12"/>
        <v/>
      </c>
      <c r="P228">
        <f>'Combined Delivery Data'!B258</f>
        <v>0</v>
      </c>
      <c r="Q228">
        <f t="shared" si="13"/>
        <v>0</v>
      </c>
      <c r="R228">
        <f t="shared" si="14"/>
        <v>452</v>
      </c>
      <c r="S228" s="28">
        <f>IF($P228="","",IF(SUMPRODUCT(MAX(($A$2:$A$497=$P228)*ROW($A$2:$A$497)))=0,"",INDEX($B:$B,SUMPRODUCT(MAX(($A$2:$A$497=$P228)*ROW($A$2:$A$497))))))</f>
        <v>0</v>
      </c>
      <c r="T228" t="str">
        <f>IF($P228="","",IF(SUMPRODUCT(MAX(($A$2:$A$497=$P228)*ROW($A$2:$A$497)))=0,"",INDEX($C:$C,SUMPRODUCT(MAX(($A$2:$A$497=$P228)*ROW($A$2:$A$497))))&amp;" -&gt; "&amp;INDEX($D:$D,SUMPRODUCT(MAX(($A$2:$A$497=$P228)*ROW($A$2:$A$497))))))</f>
        <v xml:space="preserve"> -&gt; </v>
      </c>
    </row>
    <row r="229" spans="1:20">
      <c r="A229" s="31"/>
      <c r="B229" s="32"/>
      <c r="C229" s="31"/>
      <c r="D229" s="31"/>
      <c r="E229" s="31"/>
      <c r="F229" s="31"/>
      <c r="G229" s="31"/>
      <c r="H229" s="32"/>
      <c r="I229" s="32"/>
      <c r="J229" s="32"/>
      <c r="K229" s="31"/>
      <c r="L229" s="31"/>
      <c r="M229" s="3" t="str">
        <f t="shared" ca="1" si="12"/>
        <v/>
      </c>
      <c r="P229">
        <f>'Combined Delivery Data'!B259</f>
        <v>0</v>
      </c>
      <c r="Q229">
        <f t="shared" si="13"/>
        <v>0</v>
      </c>
      <c r="R229">
        <f t="shared" si="14"/>
        <v>452</v>
      </c>
      <c r="S229" s="28">
        <f>IF($P229="","",IF(SUMPRODUCT(MAX(($A$2:$A$497=$P229)*ROW($A$2:$A$497)))=0,"",INDEX($B:$B,SUMPRODUCT(MAX(($A$2:$A$497=$P229)*ROW($A$2:$A$497))))))</f>
        <v>0</v>
      </c>
      <c r="T229" t="str">
        <f>IF($P229="","",IF(SUMPRODUCT(MAX(($A$2:$A$497=$P229)*ROW($A$2:$A$497)))=0,"",INDEX($C:$C,SUMPRODUCT(MAX(($A$2:$A$497=$P229)*ROW($A$2:$A$497))))&amp;" -&gt; "&amp;INDEX($D:$D,SUMPRODUCT(MAX(($A$2:$A$497=$P229)*ROW($A$2:$A$497))))))</f>
        <v xml:space="preserve"> -&gt; </v>
      </c>
    </row>
    <row r="230" spans="1:20">
      <c r="A230" s="31"/>
      <c r="B230" s="32"/>
      <c r="C230" s="31"/>
      <c r="D230" s="31"/>
      <c r="E230" s="31"/>
      <c r="F230" s="31"/>
      <c r="G230" s="31"/>
      <c r="H230" s="32"/>
      <c r="I230" s="32"/>
      <c r="J230" s="32"/>
      <c r="K230" s="31"/>
      <c r="L230" s="31"/>
      <c r="M230" s="3" t="str">
        <f t="shared" ca="1" si="12"/>
        <v/>
      </c>
      <c r="P230">
        <f>'Combined Delivery Data'!B260</f>
        <v>0</v>
      </c>
      <c r="Q230">
        <f t="shared" si="13"/>
        <v>0</v>
      </c>
      <c r="R230">
        <f t="shared" si="14"/>
        <v>452</v>
      </c>
      <c r="S230" s="28">
        <f>IF($P230="","",IF(SUMPRODUCT(MAX(($A$2:$A$497=$P230)*ROW($A$2:$A$497)))=0,"",INDEX($B:$B,SUMPRODUCT(MAX(($A$2:$A$497=$P230)*ROW($A$2:$A$497))))))</f>
        <v>0</v>
      </c>
      <c r="T230" t="str">
        <f>IF($P230="","",IF(SUMPRODUCT(MAX(($A$2:$A$497=$P230)*ROW($A$2:$A$497)))=0,"",INDEX($C:$C,SUMPRODUCT(MAX(($A$2:$A$497=$P230)*ROW($A$2:$A$497))))&amp;" -&gt; "&amp;INDEX($D:$D,SUMPRODUCT(MAX(($A$2:$A$497=$P230)*ROW($A$2:$A$497))))))</f>
        <v xml:space="preserve"> -&gt; </v>
      </c>
    </row>
    <row r="231" spans="1:20">
      <c r="A231" s="31"/>
      <c r="B231" s="32"/>
      <c r="C231" s="31"/>
      <c r="D231" s="31"/>
      <c r="E231" s="31"/>
      <c r="F231" s="31"/>
      <c r="G231" s="31"/>
      <c r="H231" s="32"/>
      <c r="I231" s="32"/>
      <c r="J231" s="32"/>
      <c r="K231" s="31"/>
      <c r="L231" s="31"/>
      <c r="M231" s="3" t="str">
        <f t="shared" ca="1" si="12"/>
        <v/>
      </c>
      <c r="P231">
        <f>'Combined Delivery Data'!B261</f>
        <v>0</v>
      </c>
      <c r="Q231">
        <f t="shared" si="13"/>
        <v>0</v>
      </c>
      <c r="R231">
        <f t="shared" si="14"/>
        <v>452</v>
      </c>
      <c r="S231" s="28">
        <f>IF($P231="","",IF(SUMPRODUCT(MAX(($A$2:$A$497=$P231)*ROW($A$2:$A$497)))=0,"",INDEX($B:$B,SUMPRODUCT(MAX(($A$2:$A$497=$P231)*ROW($A$2:$A$497))))))</f>
        <v>0</v>
      </c>
      <c r="T231" t="str">
        <f>IF($P231="","",IF(SUMPRODUCT(MAX(($A$2:$A$497=$P231)*ROW($A$2:$A$497)))=0,"",INDEX($C:$C,SUMPRODUCT(MAX(($A$2:$A$497=$P231)*ROW($A$2:$A$497))))&amp;" -&gt; "&amp;INDEX($D:$D,SUMPRODUCT(MAX(($A$2:$A$497=$P231)*ROW($A$2:$A$497))))))</f>
        <v xml:space="preserve"> -&gt; </v>
      </c>
    </row>
    <row r="232" spans="1:20">
      <c r="A232" s="31"/>
      <c r="B232" s="32"/>
      <c r="C232" s="31"/>
      <c r="D232" s="31"/>
      <c r="E232" s="31"/>
      <c r="F232" s="31"/>
      <c r="G232" s="31"/>
      <c r="H232" s="32"/>
      <c r="I232" s="32"/>
      <c r="J232" s="32"/>
      <c r="K232" s="31"/>
      <c r="L232" s="31"/>
      <c r="M232" s="3" t="str">
        <f t="shared" ca="1" si="12"/>
        <v/>
      </c>
      <c r="P232">
        <f>'Combined Delivery Data'!B262</f>
        <v>0</v>
      </c>
      <c r="Q232">
        <f t="shared" si="13"/>
        <v>0</v>
      </c>
      <c r="R232">
        <f t="shared" si="14"/>
        <v>452</v>
      </c>
      <c r="S232" s="28">
        <f>IF($P232="","",IF(SUMPRODUCT(MAX(($A$2:$A$497=$P232)*ROW($A$2:$A$497)))=0,"",INDEX($B:$B,SUMPRODUCT(MAX(($A$2:$A$497=$P232)*ROW($A$2:$A$497))))))</f>
        <v>0</v>
      </c>
      <c r="T232" t="str">
        <f>IF($P232="","",IF(SUMPRODUCT(MAX(($A$2:$A$497=$P232)*ROW($A$2:$A$497)))=0,"",INDEX($C:$C,SUMPRODUCT(MAX(($A$2:$A$497=$P232)*ROW($A$2:$A$497))))&amp;" -&gt; "&amp;INDEX($D:$D,SUMPRODUCT(MAX(($A$2:$A$497=$P232)*ROW($A$2:$A$497))))))</f>
        <v xml:space="preserve"> -&gt; </v>
      </c>
    </row>
    <row r="233" spans="1:20">
      <c r="A233" s="31"/>
      <c r="B233" s="32"/>
      <c r="C233" s="31"/>
      <c r="D233" s="31"/>
      <c r="E233" s="31"/>
      <c r="F233" s="31"/>
      <c r="G233" s="31"/>
      <c r="H233" s="32"/>
      <c r="I233" s="32"/>
      <c r="J233" s="32"/>
      <c r="K233" s="31"/>
      <c r="L233" s="31"/>
      <c r="M233" s="3" t="str">
        <f t="shared" ca="1" si="12"/>
        <v/>
      </c>
      <c r="P233">
        <f>'Combined Delivery Data'!B263</f>
        <v>0</v>
      </c>
      <c r="Q233">
        <f t="shared" si="13"/>
        <v>0</v>
      </c>
      <c r="R233">
        <f t="shared" si="14"/>
        <v>452</v>
      </c>
      <c r="S233" s="28">
        <f>IF($P233="","",IF(SUMPRODUCT(MAX(($A$2:$A$497=$P233)*ROW($A$2:$A$497)))=0,"",INDEX($B:$B,SUMPRODUCT(MAX(($A$2:$A$497=$P233)*ROW($A$2:$A$497))))))</f>
        <v>0</v>
      </c>
      <c r="T233" t="str">
        <f>IF($P233="","",IF(SUMPRODUCT(MAX(($A$2:$A$497=$P233)*ROW($A$2:$A$497)))=0,"",INDEX($C:$C,SUMPRODUCT(MAX(($A$2:$A$497=$P233)*ROW($A$2:$A$497))))&amp;" -&gt; "&amp;INDEX($D:$D,SUMPRODUCT(MAX(($A$2:$A$497=$P233)*ROW($A$2:$A$497))))))</f>
        <v xml:space="preserve"> -&gt; </v>
      </c>
    </row>
    <row r="234" spans="1:20">
      <c r="A234" s="31"/>
      <c r="B234" s="32"/>
      <c r="C234" s="31"/>
      <c r="D234" s="31"/>
      <c r="E234" s="31"/>
      <c r="F234" s="31"/>
      <c r="G234" s="31"/>
      <c r="H234" s="32"/>
      <c r="I234" s="32"/>
      <c r="J234" s="32"/>
      <c r="K234" s="31"/>
      <c r="L234" s="31"/>
      <c r="M234" s="3" t="str">
        <f t="shared" ca="1" si="12"/>
        <v/>
      </c>
      <c r="P234">
        <f>'Combined Delivery Data'!B264</f>
        <v>0</v>
      </c>
      <c r="Q234">
        <f t="shared" si="13"/>
        <v>0</v>
      </c>
      <c r="R234">
        <f t="shared" si="14"/>
        <v>452</v>
      </c>
      <c r="S234" s="28">
        <f>IF($P234="","",IF(SUMPRODUCT(MAX(($A$2:$A$497=$P234)*ROW($A$2:$A$497)))=0,"",INDEX($B:$B,SUMPRODUCT(MAX(($A$2:$A$497=$P234)*ROW($A$2:$A$497))))))</f>
        <v>0</v>
      </c>
      <c r="T234" t="str">
        <f>IF($P234="","",IF(SUMPRODUCT(MAX(($A$2:$A$497=$P234)*ROW($A$2:$A$497)))=0,"",INDEX($C:$C,SUMPRODUCT(MAX(($A$2:$A$497=$P234)*ROW($A$2:$A$497))))&amp;" -&gt; "&amp;INDEX($D:$D,SUMPRODUCT(MAX(($A$2:$A$497=$P234)*ROW($A$2:$A$497))))))</f>
        <v xml:space="preserve"> -&gt; </v>
      </c>
    </row>
    <row r="235" spans="1:20">
      <c r="A235" s="31"/>
      <c r="B235" s="32"/>
      <c r="C235" s="31"/>
      <c r="D235" s="31"/>
      <c r="E235" s="31"/>
      <c r="F235" s="31"/>
      <c r="G235" s="31"/>
      <c r="H235" s="32"/>
      <c r="I235" s="32"/>
      <c r="J235" s="32"/>
      <c r="K235" s="31"/>
      <c r="L235" s="31"/>
      <c r="M235" s="3" t="str">
        <f t="shared" ca="1" si="12"/>
        <v/>
      </c>
      <c r="P235">
        <f>'Combined Delivery Data'!B265</f>
        <v>0</v>
      </c>
      <c r="Q235">
        <f t="shared" si="13"/>
        <v>0</v>
      </c>
      <c r="R235">
        <f t="shared" si="14"/>
        <v>452</v>
      </c>
      <c r="S235" s="28">
        <f>IF($P235="","",IF(SUMPRODUCT(MAX(($A$2:$A$497=$P235)*ROW($A$2:$A$497)))=0,"",INDEX($B:$B,SUMPRODUCT(MAX(($A$2:$A$497=$P235)*ROW($A$2:$A$497))))))</f>
        <v>0</v>
      </c>
      <c r="T235" t="str">
        <f>IF($P235="","",IF(SUMPRODUCT(MAX(($A$2:$A$497=$P235)*ROW($A$2:$A$497)))=0,"",INDEX($C:$C,SUMPRODUCT(MAX(($A$2:$A$497=$P235)*ROW($A$2:$A$497))))&amp;" -&gt; "&amp;INDEX($D:$D,SUMPRODUCT(MAX(($A$2:$A$497=$P235)*ROW($A$2:$A$497))))))</f>
        <v xml:space="preserve"> -&gt; </v>
      </c>
    </row>
    <row r="236" spans="1:20">
      <c r="A236" s="31"/>
      <c r="B236" s="32"/>
      <c r="C236" s="31"/>
      <c r="D236" s="31"/>
      <c r="E236" s="31"/>
      <c r="F236" s="31"/>
      <c r="G236" s="31"/>
      <c r="H236" s="32"/>
      <c r="I236" s="32"/>
      <c r="J236" s="32"/>
      <c r="K236" s="31"/>
      <c r="L236" s="31"/>
      <c r="M236" s="3" t="str">
        <f t="shared" ca="1" si="12"/>
        <v/>
      </c>
      <c r="P236">
        <f>'Combined Delivery Data'!B266</f>
        <v>0</v>
      </c>
      <c r="Q236">
        <f t="shared" si="13"/>
        <v>0</v>
      </c>
      <c r="R236">
        <f t="shared" si="14"/>
        <v>452</v>
      </c>
      <c r="S236" s="28">
        <f>IF($P236="","",IF(SUMPRODUCT(MAX(($A$2:$A$497=$P236)*ROW($A$2:$A$497)))=0,"",INDEX($B:$B,SUMPRODUCT(MAX(($A$2:$A$497=$P236)*ROW($A$2:$A$497))))))</f>
        <v>0</v>
      </c>
      <c r="T236" t="str">
        <f>IF($P236="","",IF(SUMPRODUCT(MAX(($A$2:$A$497=$P236)*ROW($A$2:$A$497)))=0,"",INDEX($C:$C,SUMPRODUCT(MAX(($A$2:$A$497=$P236)*ROW($A$2:$A$497))))&amp;" -&gt; "&amp;INDEX($D:$D,SUMPRODUCT(MAX(($A$2:$A$497=$P236)*ROW($A$2:$A$497))))))</f>
        <v xml:space="preserve"> -&gt; </v>
      </c>
    </row>
    <row r="237" spans="1:20">
      <c r="A237" s="31"/>
      <c r="B237" s="32"/>
      <c r="C237" s="31"/>
      <c r="D237" s="31"/>
      <c r="E237" s="31"/>
      <c r="F237" s="31"/>
      <c r="G237" s="31"/>
      <c r="H237" s="32"/>
      <c r="I237" s="32"/>
      <c r="J237" s="32"/>
      <c r="K237" s="31"/>
      <c r="L237" s="31"/>
      <c r="M237" s="3" t="str">
        <f t="shared" ca="1" si="12"/>
        <v/>
      </c>
      <c r="P237">
        <f>'Combined Delivery Data'!B267</f>
        <v>0</v>
      </c>
      <c r="Q237">
        <f t="shared" si="13"/>
        <v>0</v>
      </c>
      <c r="R237">
        <f t="shared" si="14"/>
        <v>452</v>
      </c>
      <c r="S237" s="28">
        <f>IF($P237="","",IF(SUMPRODUCT(MAX(($A$2:$A$497=$P237)*ROW($A$2:$A$497)))=0,"",INDEX($B:$B,SUMPRODUCT(MAX(($A$2:$A$497=$P237)*ROW($A$2:$A$497))))))</f>
        <v>0</v>
      </c>
      <c r="T237" t="str">
        <f>IF($P237="","",IF(SUMPRODUCT(MAX(($A$2:$A$497=$P237)*ROW($A$2:$A$497)))=0,"",INDEX($C:$C,SUMPRODUCT(MAX(($A$2:$A$497=$P237)*ROW($A$2:$A$497))))&amp;" -&gt; "&amp;INDEX($D:$D,SUMPRODUCT(MAX(($A$2:$A$497=$P237)*ROW($A$2:$A$497))))))</f>
        <v xml:space="preserve"> -&gt; </v>
      </c>
    </row>
    <row r="238" spans="1:20">
      <c r="A238" s="31"/>
      <c r="B238" s="32"/>
      <c r="C238" s="31"/>
      <c r="D238" s="31"/>
      <c r="E238" s="31"/>
      <c r="F238" s="31"/>
      <c r="G238" s="31"/>
      <c r="H238" s="32"/>
      <c r="I238" s="32"/>
      <c r="J238" s="32"/>
      <c r="K238" s="31"/>
      <c r="L238" s="31"/>
      <c r="M238" s="3" t="str">
        <f t="shared" ca="1" si="12"/>
        <v/>
      </c>
      <c r="P238">
        <f>'Combined Delivery Data'!B268</f>
        <v>0</v>
      </c>
      <c r="Q238">
        <f t="shared" si="13"/>
        <v>0</v>
      </c>
      <c r="R238">
        <f t="shared" si="14"/>
        <v>452</v>
      </c>
      <c r="S238" s="28">
        <f>IF($P238="","",IF(SUMPRODUCT(MAX(($A$2:$A$497=$P238)*ROW($A$2:$A$497)))=0,"",INDEX($B:$B,SUMPRODUCT(MAX(($A$2:$A$497=$P238)*ROW($A$2:$A$497))))))</f>
        <v>0</v>
      </c>
      <c r="T238" t="str">
        <f>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12"/>
        <v/>
      </c>
      <c r="P239">
        <f>'Combined Delivery Data'!B269</f>
        <v>0</v>
      </c>
      <c r="Q239">
        <f t="shared" si="13"/>
        <v>0</v>
      </c>
      <c r="R239">
        <f t="shared" si="14"/>
        <v>452</v>
      </c>
      <c r="S239" s="28">
        <f>IF($P239="","",IF(SUMPRODUCT(MAX(($A$2:$A$497=$P239)*ROW($A$2:$A$497)))=0,"",INDEX($B:$B,SUMPRODUCT(MAX(($A$2:$A$497=$P239)*ROW($A$2:$A$497))))))</f>
        <v>0</v>
      </c>
      <c r="T239" t="str">
        <f>IF($P239="","",IF(SUMPRODUCT(MAX(($A$2:$A$497=$P239)*ROW($A$2:$A$497)))=0,"",INDEX($C:$C,SUMPRODUCT(MAX(($A$2:$A$497=$P239)*ROW($A$2:$A$497))))&amp;" -&gt; "&amp;INDEX($D:$D,SUMPRODUCT(MAX(($A$2:$A$497=$P239)*ROW($A$2:$A$497))))))</f>
        <v xml:space="preserve"> -&gt; </v>
      </c>
    </row>
    <row r="240" spans="1:20">
      <c r="A240" s="31"/>
      <c r="B240" s="32"/>
      <c r="C240" s="31"/>
      <c r="D240" s="31"/>
      <c r="E240" s="31"/>
      <c r="F240" s="31"/>
      <c r="G240" s="31"/>
      <c r="H240" s="32"/>
      <c r="I240" s="32"/>
      <c r="J240" s="32"/>
      <c r="K240" s="31"/>
      <c r="L240" s="31"/>
      <c r="M240" s="3" t="str">
        <f t="shared" ca="1" si="12"/>
        <v/>
      </c>
      <c r="P240">
        <f>'Combined Delivery Data'!B270</f>
        <v>0</v>
      </c>
      <c r="Q240">
        <f t="shared" si="13"/>
        <v>0</v>
      </c>
      <c r="R240">
        <f t="shared" si="14"/>
        <v>452</v>
      </c>
      <c r="S240" s="28">
        <f>IF($P240="","",IF(SUMPRODUCT(MAX(($A$2:$A$497=$P240)*ROW($A$2:$A$497)))=0,"",INDEX($B:$B,SUMPRODUCT(MAX(($A$2:$A$497=$P240)*ROW($A$2:$A$497))))))</f>
        <v>0</v>
      </c>
      <c r="T240" t="str">
        <f>IF($P240="","",IF(SUMPRODUCT(MAX(($A$2:$A$497=$P240)*ROW($A$2:$A$497)))=0,"",INDEX($C:$C,SUMPRODUCT(MAX(($A$2:$A$497=$P240)*ROW($A$2:$A$497))))&amp;" -&gt; "&amp;INDEX($D:$D,SUMPRODUCT(MAX(($A$2:$A$497=$P240)*ROW($A$2:$A$497))))))</f>
        <v xml:space="preserve"> -&gt; </v>
      </c>
    </row>
    <row r="241" spans="1:20">
      <c r="A241" s="31"/>
      <c r="B241" s="32"/>
      <c r="C241" s="31"/>
      <c r="D241" s="31"/>
      <c r="E241" s="31"/>
      <c r="F241" s="31"/>
      <c r="G241" s="31"/>
      <c r="H241" s="32"/>
      <c r="I241" s="32"/>
      <c r="J241" s="32"/>
      <c r="K241" s="31"/>
      <c r="L241" s="31"/>
      <c r="M241" s="3" t="str">
        <f t="shared" ca="1" si="12"/>
        <v/>
      </c>
      <c r="P241">
        <f>'Combined Delivery Data'!B271</f>
        <v>0</v>
      </c>
      <c r="Q241">
        <f t="shared" si="13"/>
        <v>0</v>
      </c>
      <c r="R241">
        <f t="shared" si="14"/>
        <v>452</v>
      </c>
      <c r="S241" s="28">
        <f>IF($P241="","",IF(SUMPRODUCT(MAX(($A$2:$A$497=$P241)*ROW($A$2:$A$497)))=0,"",INDEX($B:$B,SUMPRODUCT(MAX(($A$2:$A$497=$P241)*ROW($A$2:$A$497))))))</f>
        <v>0</v>
      </c>
      <c r="T241" t="str">
        <f>IF($P241="","",IF(SUMPRODUCT(MAX(($A$2:$A$497=$P241)*ROW($A$2:$A$497)))=0,"",INDEX($C:$C,SUMPRODUCT(MAX(($A$2:$A$497=$P241)*ROW($A$2:$A$497))))&amp;" -&gt; "&amp;INDEX($D:$D,SUMPRODUCT(MAX(($A$2:$A$497=$P241)*ROW($A$2:$A$497))))))</f>
        <v xml:space="preserve"> -&gt; </v>
      </c>
    </row>
    <row r="242" spans="1:20">
      <c r="A242" s="31"/>
      <c r="B242" s="32"/>
      <c r="C242" s="31"/>
      <c r="D242" s="31"/>
      <c r="E242" s="31"/>
      <c r="F242" s="31"/>
      <c r="G242" s="31"/>
      <c r="H242" s="32"/>
      <c r="I242" s="32"/>
      <c r="J242" s="32"/>
      <c r="K242" s="31"/>
      <c r="L242" s="31"/>
      <c r="M242" s="3" t="str">
        <f t="shared" ca="1" si="12"/>
        <v/>
      </c>
      <c r="P242">
        <f>'Combined Delivery Data'!B272</f>
        <v>0</v>
      </c>
      <c r="Q242">
        <f t="shared" si="13"/>
        <v>0</v>
      </c>
      <c r="R242">
        <f t="shared" si="14"/>
        <v>452</v>
      </c>
      <c r="S242" s="28">
        <f>IF($P242="","",IF(SUMPRODUCT(MAX(($A$2:$A$497=$P242)*ROW($A$2:$A$497)))=0,"",INDEX($B:$B,SUMPRODUCT(MAX(($A$2:$A$497=$P242)*ROW($A$2:$A$497))))))</f>
        <v>0</v>
      </c>
      <c r="T242" t="str">
        <f>IF($P242="","",IF(SUMPRODUCT(MAX(($A$2:$A$497=$P242)*ROW($A$2:$A$497)))=0,"",INDEX($C:$C,SUMPRODUCT(MAX(($A$2:$A$497=$P242)*ROW($A$2:$A$497))))&amp;" -&gt; "&amp;INDEX($D:$D,SUMPRODUCT(MAX(($A$2:$A$497=$P242)*ROW($A$2:$A$497))))))</f>
        <v xml:space="preserve"> -&gt; </v>
      </c>
    </row>
    <row r="243" spans="1:20">
      <c r="A243" s="31"/>
      <c r="B243" s="32"/>
      <c r="C243" s="31"/>
      <c r="D243" s="31"/>
      <c r="E243" s="31"/>
      <c r="F243" s="31"/>
      <c r="G243" s="31"/>
      <c r="H243" s="32"/>
      <c r="I243" s="32"/>
      <c r="J243" s="32"/>
      <c r="K243" s="31"/>
      <c r="L243" s="31"/>
      <c r="M243" s="3" t="str">
        <f t="shared" ca="1" si="12"/>
        <v/>
      </c>
      <c r="P243">
        <f>'Combined Delivery Data'!B273</f>
        <v>0</v>
      </c>
      <c r="Q243">
        <f t="shared" si="13"/>
        <v>0</v>
      </c>
      <c r="R243">
        <f t="shared" si="14"/>
        <v>452</v>
      </c>
      <c r="S243" s="28">
        <f>IF($P243="","",IF(SUMPRODUCT(MAX(($A$2:$A$497=$P243)*ROW($A$2:$A$497)))=0,"",INDEX($B:$B,SUMPRODUCT(MAX(($A$2:$A$497=$P243)*ROW($A$2:$A$497))))))</f>
        <v>0</v>
      </c>
      <c r="T243" t="str">
        <f>IF($P243="","",IF(SUMPRODUCT(MAX(($A$2:$A$497=$P243)*ROW($A$2:$A$497)))=0,"",INDEX($C:$C,SUMPRODUCT(MAX(($A$2:$A$497=$P243)*ROW($A$2:$A$497))))&amp;" -&gt; "&amp;INDEX($D:$D,SUMPRODUCT(MAX(($A$2:$A$497=$P243)*ROW($A$2:$A$497))))))</f>
        <v xml:space="preserve"> -&gt; </v>
      </c>
    </row>
    <row r="244" spans="1:20">
      <c r="A244" s="31"/>
      <c r="B244" s="32"/>
      <c r="C244" s="31"/>
      <c r="D244" s="31"/>
      <c r="E244" s="31"/>
      <c r="F244" s="31"/>
      <c r="G244" s="31"/>
      <c r="H244" s="32"/>
      <c r="I244" s="32"/>
      <c r="J244" s="32"/>
      <c r="K244" s="31"/>
      <c r="L244" s="31"/>
      <c r="M244" s="3" t="str">
        <f t="shared" ca="1" si="12"/>
        <v/>
      </c>
      <c r="P244">
        <f>'Combined Delivery Data'!B274</f>
        <v>0</v>
      </c>
      <c r="Q244">
        <f t="shared" si="13"/>
        <v>0</v>
      </c>
      <c r="R244">
        <f t="shared" si="14"/>
        <v>452</v>
      </c>
      <c r="S244" s="28">
        <f>IF($P244="","",IF(SUMPRODUCT(MAX(($A$2:$A$497=$P244)*ROW($A$2:$A$497)))=0,"",INDEX($B:$B,SUMPRODUCT(MAX(($A$2:$A$497=$P244)*ROW($A$2:$A$497))))))</f>
        <v>0</v>
      </c>
      <c r="T244" t="str">
        <f>IF($P244="","",IF(SUMPRODUCT(MAX(($A$2:$A$497=$P244)*ROW($A$2:$A$497)))=0,"",INDEX($C:$C,SUMPRODUCT(MAX(($A$2:$A$497=$P244)*ROW($A$2:$A$497))))&amp;" -&gt; "&amp;INDEX($D:$D,SUMPRODUCT(MAX(($A$2:$A$497=$P244)*ROW($A$2:$A$497))))))</f>
        <v xml:space="preserve"> -&gt; </v>
      </c>
    </row>
    <row r="245" spans="1:20">
      <c r="A245" s="31"/>
      <c r="B245" s="32"/>
      <c r="C245" s="31"/>
      <c r="D245" s="31"/>
      <c r="E245" s="31"/>
      <c r="F245" s="31"/>
      <c r="G245" s="31"/>
      <c r="H245" s="32"/>
      <c r="I245" s="32"/>
      <c r="J245" s="32"/>
      <c r="K245" s="31"/>
      <c r="L245" s="31"/>
      <c r="M245" s="3" t="str">
        <f t="shared" ca="1" si="12"/>
        <v/>
      </c>
      <c r="P245">
        <f>'Combined Delivery Data'!B275</f>
        <v>0</v>
      </c>
      <c r="Q245">
        <f t="shared" si="13"/>
        <v>0</v>
      </c>
      <c r="R245">
        <f t="shared" si="14"/>
        <v>452</v>
      </c>
      <c r="S245" s="28">
        <f>IF($P245="","",IF(SUMPRODUCT(MAX(($A$2:$A$497=$P245)*ROW($A$2:$A$497)))=0,"",INDEX($B:$B,SUMPRODUCT(MAX(($A$2:$A$497=$P245)*ROW($A$2:$A$497))))))</f>
        <v>0</v>
      </c>
      <c r="T245" t="str">
        <f>IF($P245="","",IF(SUMPRODUCT(MAX(($A$2:$A$497=$P245)*ROW($A$2:$A$497)))=0,"",INDEX($C:$C,SUMPRODUCT(MAX(($A$2:$A$497=$P245)*ROW($A$2:$A$497))))&amp;" -&gt; "&amp;INDEX($D:$D,SUMPRODUCT(MAX(($A$2:$A$497=$P245)*ROW($A$2:$A$497))))))</f>
        <v xml:space="preserve"> -&gt; </v>
      </c>
    </row>
    <row r="246" spans="1:20">
      <c r="A246" s="31"/>
      <c r="B246" s="32"/>
      <c r="C246" s="31"/>
      <c r="D246" s="31"/>
      <c r="E246" s="31"/>
      <c r="F246" s="31"/>
      <c r="G246" s="31"/>
      <c r="H246" s="32"/>
      <c r="I246" s="32"/>
      <c r="J246" s="32"/>
      <c r="K246" s="31"/>
      <c r="L246" s="31"/>
      <c r="M246" s="3" t="str">
        <f t="shared" ca="1" si="12"/>
        <v/>
      </c>
      <c r="P246">
        <f>'Combined Delivery Data'!B276</f>
        <v>0</v>
      </c>
      <c r="Q246">
        <f t="shared" si="13"/>
        <v>0</v>
      </c>
      <c r="R246">
        <f t="shared" si="14"/>
        <v>452</v>
      </c>
      <c r="S246" s="28">
        <f>IF($P246="","",IF(SUMPRODUCT(MAX(($A$2:$A$497=$P246)*ROW($A$2:$A$497)))=0,"",INDEX($B:$B,SUMPRODUCT(MAX(($A$2:$A$497=$P246)*ROW($A$2:$A$497))))))</f>
        <v>0</v>
      </c>
      <c r="T246" t="str">
        <f>IF($P246="","",IF(SUMPRODUCT(MAX(($A$2:$A$497=$P246)*ROW($A$2:$A$497)))=0,"",INDEX($C:$C,SUMPRODUCT(MAX(($A$2:$A$497=$P246)*ROW($A$2:$A$497))))&amp;" -&gt; "&amp;INDEX($D:$D,SUMPRODUCT(MAX(($A$2:$A$497=$P246)*ROW($A$2:$A$497))))))</f>
        <v xml:space="preserve"> -&gt; </v>
      </c>
    </row>
    <row r="247" spans="1:20">
      <c r="A247" s="31"/>
      <c r="B247" s="32"/>
      <c r="C247" s="31"/>
      <c r="D247" s="31"/>
      <c r="E247" s="31"/>
      <c r="F247" s="31"/>
      <c r="G247" s="31"/>
      <c r="H247" s="32"/>
      <c r="I247" s="32"/>
      <c r="J247" s="32"/>
      <c r="K247" s="31"/>
      <c r="L247" s="31"/>
      <c r="M247" s="3" t="str">
        <f t="shared" ca="1" si="12"/>
        <v/>
      </c>
      <c r="P247">
        <f>'Combined Delivery Data'!B277</f>
        <v>0</v>
      </c>
      <c r="Q247">
        <f t="shared" si="13"/>
        <v>0</v>
      </c>
      <c r="R247">
        <f t="shared" si="14"/>
        <v>452</v>
      </c>
      <c r="S247" s="28">
        <f>IF($P247="","",IF(SUMPRODUCT(MAX(($A$2:$A$497=$P247)*ROW($A$2:$A$497)))=0,"",INDEX($B:$B,SUMPRODUCT(MAX(($A$2:$A$497=$P247)*ROW($A$2:$A$497))))))</f>
        <v>0</v>
      </c>
      <c r="T247" t="str">
        <f>IF($P247="","",IF(SUMPRODUCT(MAX(($A$2:$A$497=$P247)*ROW($A$2:$A$497)))=0,"",INDEX($C:$C,SUMPRODUCT(MAX(($A$2:$A$497=$P247)*ROW($A$2:$A$497))))&amp;" -&gt; "&amp;INDEX($D:$D,SUMPRODUCT(MAX(($A$2:$A$497=$P247)*ROW($A$2:$A$497))))))</f>
        <v xml:space="preserve"> -&gt; </v>
      </c>
    </row>
    <row r="248" spans="1:20">
      <c r="A248" s="31"/>
      <c r="B248" s="32"/>
      <c r="C248" s="31"/>
      <c r="D248" s="31"/>
      <c r="E248" s="31"/>
      <c r="F248" s="31"/>
      <c r="G248" s="31"/>
      <c r="H248" s="32"/>
      <c r="I248" s="32"/>
      <c r="J248" s="32"/>
      <c r="K248" s="31"/>
      <c r="L248" s="31"/>
      <c r="M248" s="3" t="str">
        <f t="shared" ca="1" si="12"/>
        <v/>
      </c>
      <c r="P248">
        <f>'Combined Delivery Data'!B278</f>
        <v>0</v>
      </c>
      <c r="Q248">
        <f t="shared" si="13"/>
        <v>0</v>
      </c>
      <c r="R248">
        <f t="shared" si="14"/>
        <v>452</v>
      </c>
      <c r="S248" s="28">
        <f>IF($P248="","",IF(SUMPRODUCT(MAX(($A$2:$A$497=$P248)*ROW($A$2:$A$497)))=0,"",INDEX($B:$B,SUMPRODUCT(MAX(($A$2:$A$497=$P248)*ROW($A$2:$A$497))))))</f>
        <v>0</v>
      </c>
      <c r="T248" t="str">
        <f>IF($P248="","",IF(SUMPRODUCT(MAX(($A$2:$A$497=$P248)*ROW($A$2:$A$497)))=0,"",INDEX($C:$C,SUMPRODUCT(MAX(($A$2:$A$497=$P248)*ROW($A$2:$A$497))))&amp;" -&gt; "&amp;INDEX($D:$D,SUMPRODUCT(MAX(($A$2:$A$497=$P248)*ROW($A$2:$A$497))))))</f>
        <v xml:space="preserve"> -&gt; </v>
      </c>
    </row>
    <row r="249" spans="1:20">
      <c r="A249" s="31"/>
      <c r="B249" s="32"/>
      <c r="C249" s="31"/>
      <c r="D249" s="31"/>
      <c r="E249" s="31"/>
      <c r="F249" s="31"/>
      <c r="G249" s="31"/>
      <c r="H249" s="32"/>
      <c r="I249" s="32"/>
      <c r="J249" s="32"/>
      <c r="K249" s="31"/>
      <c r="L249" s="31"/>
      <c r="M249" s="3" t="str">
        <f t="shared" ca="1" si="12"/>
        <v/>
      </c>
      <c r="P249">
        <f>'Combined Delivery Data'!B279</f>
        <v>0</v>
      </c>
      <c r="Q249">
        <f t="shared" si="13"/>
        <v>0</v>
      </c>
      <c r="R249">
        <f t="shared" si="14"/>
        <v>452</v>
      </c>
      <c r="S249" s="28">
        <f>IF($P249="","",IF(SUMPRODUCT(MAX(($A$2:$A$497=$P249)*ROW($A$2:$A$497)))=0,"",INDEX($B:$B,SUMPRODUCT(MAX(($A$2:$A$497=$P249)*ROW($A$2:$A$497))))))</f>
        <v>0</v>
      </c>
      <c r="T249" t="str">
        <f>IF($P249="","",IF(SUMPRODUCT(MAX(($A$2:$A$497=$P249)*ROW($A$2:$A$497)))=0,"",INDEX($C:$C,SUMPRODUCT(MAX(($A$2:$A$497=$P249)*ROW($A$2:$A$497))))&amp;" -&gt; "&amp;INDEX($D:$D,SUMPRODUCT(MAX(($A$2:$A$497=$P249)*ROW($A$2:$A$497))))))</f>
        <v xml:space="preserve"> -&gt; </v>
      </c>
    </row>
    <row r="250" spans="1:20">
      <c r="A250" s="31"/>
      <c r="B250" s="32"/>
      <c r="C250" s="31"/>
      <c r="D250" s="31"/>
      <c r="E250" s="31"/>
      <c r="F250" s="31"/>
      <c r="G250" s="31"/>
      <c r="H250" s="32"/>
      <c r="I250" s="32"/>
      <c r="J250" s="32"/>
      <c r="K250" s="31"/>
      <c r="L250" s="31"/>
      <c r="M250" s="3" t="str">
        <f t="shared" ca="1" si="12"/>
        <v/>
      </c>
      <c r="P250">
        <f>'Combined Delivery Data'!B280</f>
        <v>0</v>
      </c>
      <c r="Q250">
        <f t="shared" si="13"/>
        <v>0</v>
      </c>
      <c r="R250">
        <f t="shared" si="14"/>
        <v>452</v>
      </c>
      <c r="S250" s="28">
        <f>IF($P250="","",IF(SUMPRODUCT(MAX(($A$2:$A$497=$P250)*ROW($A$2:$A$497)))=0,"",INDEX($B:$B,SUMPRODUCT(MAX(($A$2:$A$497=$P250)*ROW($A$2:$A$497))))))</f>
        <v>0</v>
      </c>
      <c r="T250" t="str">
        <f>IF($P250="","",IF(SUMPRODUCT(MAX(($A$2:$A$497=$P250)*ROW($A$2:$A$497)))=0,"",INDEX($C:$C,SUMPRODUCT(MAX(($A$2:$A$497=$P250)*ROW($A$2:$A$497))))&amp;" -&gt; "&amp;INDEX($D:$D,SUMPRODUCT(MAX(($A$2:$A$497=$P250)*ROW($A$2:$A$497))))))</f>
        <v xml:space="preserve"> -&gt; </v>
      </c>
    </row>
    <row r="251" spans="1:20">
      <c r="A251" s="31"/>
      <c r="B251" s="32"/>
      <c r="C251" s="31"/>
      <c r="D251" s="31"/>
      <c r="E251" s="31"/>
      <c r="F251" s="31"/>
      <c r="G251" s="31"/>
      <c r="H251" s="32"/>
      <c r="I251" s="32"/>
      <c r="J251" s="32"/>
      <c r="K251" s="31"/>
      <c r="L251" s="31"/>
      <c r="M251" s="3" t="str">
        <f t="shared" ca="1" si="12"/>
        <v/>
      </c>
      <c r="P251">
        <f>'Combined Delivery Data'!B281</f>
        <v>0</v>
      </c>
      <c r="Q251">
        <f t="shared" si="13"/>
        <v>0</v>
      </c>
      <c r="R251">
        <f t="shared" si="14"/>
        <v>452</v>
      </c>
      <c r="S251" s="28">
        <f>IF($P251="","",IF(SUMPRODUCT(MAX(($A$2:$A$497=$P251)*ROW($A$2:$A$497)))=0,"",INDEX($B:$B,SUMPRODUCT(MAX(($A$2:$A$497=$P251)*ROW($A$2:$A$497))))))</f>
        <v>0</v>
      </c>
      <c r="T251" t="str">
        <f>IF($P251="","",IF(SUMPRODUCT(MAX(($A$2:$A$497=$P251)*ROW($A$2:$A$497)))=0,"",INDEX($C:$C,SUMPRODUCT(MAX(($A$2:$A$497=$P251)*ROW($A$2:$A$497))))&amp;" -&gt; "&amp;INDEX($D:$D,SUMPRODUCT(MAX(($A$2:$A$497=$P251)*ROW($A$2:$A$497))))))</f>
        <v xml:space="preserve"> -&gt; </v>
      </c>
    </row>
    <row r="252" spans="1:20">
      <c r="A252" s="31"/>
      <c r="B252" s="32"/>
      <c r="C252" s="31"/>
      <c r="D252" s="31"/>
      <c r="E252" s="31"/>
      <c r="F252" s="31"/>
      <c r="G252" s="31"/>
      <c r="H252" s="32"/>
      <c r="I252" s="32"/>
      <c r="J252" s="32"/>
      <c r="K252" s="31"/>
      <c r="L252" s="31"/>
      <c r="M252" s="3" t="str">
        <f t="shared" ca="1" si="12"/>
        <v/>
      </c>
      <c r="P252">
        <f>'Combined Delivery Data'!B282</f>
        <v>0</v>
      </c>
      <c r="Q252">
        <f t="shared" si="13"/>
        <v>0</v>
      </c>
      <c r="R252">
        <f t="shared" si="14"/>
        <v>452</v>
      </c>
      <c r="S252" s="28">
        <f>IF($P252="","",IF(SUMPRODUCT(MAX(($A$2:$A$497=$P252)*ROW($A$2:$A$497)))=0,"",INDEX($B:$B,SUMPRODUCT(MAX(($A$2:$A$497=$P252)*ROW($A$2:$A$497))))))</f>
        <v>0</v>
      </c>
      <c r="T252" t="str">
        <f>IF($P252="","",IF(SUMPRODUCT(MAX(($A$2:$A$497=$P252)*ROW($A$2:$A$497)))=0,"",INDEX($C:$C,SUMPRODUCT(MAX(($A$2:$A$497=$P252)*ROW($A$2:$A$497))))&amp;" -&gt; "&amp;INDEX($D:$D,SUMPRODUCT(MAX(($A$2:$A$497=$P252)*ROW($A$2:$A$497))))))</f>
        <v xml:space="preserve"> -&gt; </v>
      </c>
    </row>
    <row r="253" spans="1:20">
      <c r="A253" s="31"/>
      <c r="B253" s="32"/>
      <c r="C253" s="31"/>
      <c r="D253" s="31"/>
      <c r="E253" s="31"/>
      <c r="F253" s="31"/>
      <c r="G253" s="31"/>
      <c r="H253" s="32"/>
      <c r="I253" s="32"/>
      <c r="J253" s="32"/>
      <c r="K253" s="31"/>
      <c r="L253" s="31"/>
      <c r="M253" s="3" t="str">
        <f t="shared" ca="1" si="12"/>
        <v/>
      </c>
      <c r="P253">
        <f>'Combined Delivery Data'!B283</f>
        <v>0</v>
      </c>
      <c r="Q253">
        <f t="shared" si="13"/>
        <v>0</v>
      </c>
      <c r="R253">
        <f t="shared" si="14"/>
        <v>452</v>
      </c>
      <c r="S253" s="28">
        <f>IF($P253="","",IF(SUMPRODUCT(MAX(($A$2:$A$497=$P253)*ROW($A$2:$A$497)))=0,"",INDEX($B:$B,SUMPRODUCT(MAX(($A$2:$A$497=$P253)*ROW($A$2:$A$497))))))</f>
        <v>0</v>
      </c>
      <c r="T253" t="str">
        <f>IF($P253="","",IF(SUMPRODUCT(MAX(($A$2:$A$497=$P253)*ROW($A$2:$A$497)))=0,"",INDEX($C:$C,SUMPRODUCT(MAX(($A$2:$A$497=$P253)*ROW($A$2:$A$497))))&amp;" -&gt; "&amp;INDEX($D:$D,SUMPRODUCT(MAX(($A$2:$A$497=$P253)*ROW($A$2:$A$497))))))</f>
        <v xml:space="preserve"> -&gt; </v>
      </c>
    </row>
    <row r="254" spans="1:20">
      <c r="A254" s="31"/>
      <c r="B254" s="32"/>
      <c r="C254" s="31"/>
      <c r="D254" s="31"/>
      <c r="E254" s="31"/>
      <c r="F254" s="31"/>
      <c r="G254" s="31"/>
      <c r="H254" s="32"/>
      <c r="I254" s="32"/>
      <c r="J254" s="32"/>
      <c r="K254" s="31"/>
      <c r="L254" s="31"/>
      <c r="M254" s="3" t="str">
        <f t="shared" ca="1" si="12"/>
        <v/>
      </c>
      <c r="P254">
        <f>'Combined Delivery Data'!B284</f>
        <v>0</v>
      </c>
      <c r="Q254">
        <f t="shared" si="13"/>
        <v>0</v>
      </c>
      <c r="R254">
        <f t="shared" si="14"/>
        <v>452</v>
      </c>
      <c r="S254" s="28">
        <f>IF($P254="","",IF(SUMPRODUCT(MAX(($A$2:$A$497=$P254)*ROW($A$2:$A$497)))=0,"",INDEX($B:$B,SUMPRODUCT(MAX(($A$2:$A$497=$P254)*ROW($A$2:$A$497))))))</f>
        <v>0</v>
      </c>
      <c r="T254" t="str">
        <f>IF($P254="","",IF(SUMPRODUCT(MAX(($A$2:$A$497=$P254)*ROW($A$2:$A$497)))=0,"",INDEX($C:$C,SUMPRODUCT(MAX(($A$2:$A$497=$P254)*ROW($A$2:$A$497))))&amp;" -&gt; "&amp;INDEX($D:$D,SUMPRODUCT(MAX(($A$2:$A$497=$P254)*ROW($A$2:$A$497))))))</f>
        <v xml:space="preserve"> -&gt; </v>
      </c>
    </row>
    <row r="255" spans="1:20">
      <c r="A255" s="31"/>
      <c r="B255" s="32"/>
      <c r="C255" s="31"/>
      <c r="D255" s="31"/>
      <c r="E255" s="31"/>
      <c r="F255" s="31"/>
      <c r="G255" s="31"/>
      <c r="H255" s="32"/>
      <c r="I255" s="32"/>
      <c r="J255" s="32"/>
      <c r="K255" s="31"/>
      <c r="L255" s="31"/>
      <c r="M255" s="3" t="str">
        <f t="shared" ca="1" si="12"/>
        <v/>
      </c>
      <c r="P255">
        <f>'Combined Delivery Data'!B285</f>
        <v>0</v>
      </c>
      <c r="Q255">
        <f t="shared" si="13"/>
        <v>0</v>
      </c>
      <c r="R255">
        <f t="shared" si="14"/>
        <v>452</v>
      </c>
      <c r="S255" s="28">
        <f>IF($P255="","",IF(SUMPRODUCT(MAX(($A$2:$A$497=$P255)*ROW($A$2:$A$497)))=0,"",INDEX($B:$B,SUMPRODUCT(MAX(($A$2:$A$497=$P255)*ROW($A$2:$A$497))))))</f>
        <v>0</v>
      </c>
      <c r="T255" t="str">
        <f>IF($P255="","",IF(SUMPRODUCT(MAX(($A$2:$A$497=$P255)*ROW($A$2:$A$497)))=0,"",INDEX($C:$C,SUMPRODUCT(MAX(($A$2:$A$497=$P255)*ROW($A$2:$A$497))))&amp;" -&gt; "&amp;INDEX($D:$D,SUMPRODUCT(MAX(($A$2:$A$497=$P255)*ROW($A$2:$A$497))))))</f>
        <v xml:space="preserve"> -&gt; </v>
      </c>
    </row>
    <row r="256" spans="1:20">
      <c r="A256" s="31"/>
      <c r="B256" s="32"/>
      <c r="C256" s="31"/>
      <c r="D256" s="31"/>
      <c r="E256" s="31"/>
      <c r="F256" s="31"/>
      <c r="G256" s="31"/>
      <c r="H256" s="32"/>
      <c r="I256" s="32"/>
      <c r="J256" s="32"/>
      <c r="K256" s="31"/>
      <c r="L256" s="31"/>
      <c r="M256" s="3" t="str">
        <f t="shared" ref="M256:M319" ca="1" si="15">IF($A256="","",IF($G256="Did not pass re-test","Sent back again",IF(NOT(ISNUMBER($B256)),"Missing sent-back date",IF(ISNUMBER($J256),"Fixed in "&amp;($J256-$B256)&amp;" d",IF($I256="","UNCLAIMED "&amp;(TODAY()-$B256)&amp;" d",IF(TODAY()&gt;$I256,(TODAY()-$I256)&amp;" d LATE","Open "&amp;(TODAY()-$B256)&amp;" d"))))))</f>
        <v/>
      </c>
      <c r="P256">
        <f>'Combined Delivery Data'!B286</f>
        <v>0</v>
      </c>
      <c r="Q256">
        <f t="shared" si="13"/>
        <v>0</v>
      </c>
      <c r="R256">
        <f t="shared" si="14"/>
        <v>452</v>
      </c>
      <c r="S256" s="28">
        <f>IF($P256="","",IF(SUMPRODUCT(MAX(($A$2:$A$497=$P256)*ROW($A$2:$A$497)))=0,"",INDEX($B:$B,SUMPRODUCT(MAX(($A$2:$A$497=$P256)*ROW($A$2:$A$497))))))</f>
        <v>0</v>
      </c>
      <c r="T256" t="str">
        <f>IF($P256="","",IF(SUMPRODUCT(MAX(($A$2:$A$497=$P256)*ROW($A$2:$A$497)))=0,"",INDEX($C:$C,SUMPRODUCT(MAX(($A$2:$A$497=$P256)*ROW($A$2:$A$497))))&amp;" -&gt; "&amp;INDEX($D:$D,SUMPRODUCT(MAX(($A$2:$A$497=$P256)*ROW($A$2:$A$497))))))</f>
        <v xml:space="preserve"> -&gt; </v>
      </c>
    </row>
    <row r="257" spans="1:20">
      <c r="A257" s="31"/>
      <c r="B257" s="32"/>
      <c r="C257" s="31"/>
      <c r="D257" s="31"/>
      <c r="E257" s="31"/>
      <c r="F257" s="31"/>
      <c r="G257" s="31"/>
      <c r="H257" s="32"/>
      <c r="I257" s="32"/>
      <c r="J257" s="32"/>
      <c r="K257" s="31"/>
      <c r="L257" s="31"/>
      <c r="M257" s="3" t="str">
        <f t="shared" ca="1" si="15"/>
        <v/>
      </c>
      <c r="P257">
        <f>'Combined Delivery Data'!B287</f>
        <v>0</v>
      </c>
      <c r="Q257">
        <f t="shared" si="13"/>
        <v>0</v>
      </c>
      <c r="R257">
        <f t="shared" si="14"/>
        <v>452</v>
      </c>
      <c r="S257" s="28">
        <f>IF($P257="","",IF(SUMPRODUCT(MAX(($A$2:$A$497=$P257)*ROW($A$2:$A$497)))=0,"",INDEX($B:$B,SUMPRODUCT(MAX(($A$2:$A$497=$P257)*ROW($A$2:$A$497))))))</f>
        <v>0</v>
      </c>
      <c r="T257" t="str">
        <f>IF($P257="","",IF(SUMPRODUCT(MAX(($A$2:$A$497=$P257)*ROW($A$2:$A$497)))=0,"",INDEX($C:$C,SUMPRODUCT(MAX(($A$2:$A$497=$P257)*ROW($A$2:$A$497))))&amp;" -&gt; "&amp;INDEX($D:$D,SUMPRODUCT(MAX(($A$2:$A$497=$P257)*ROW($A$2:$A$497))))))</f>
        <v xml:space="preserve"> -&gt; </v>
      </c>
    </row>
    <row r="258" spans="1:20">
      <c r="A258" s="31"/>
      <c r="B258" s="32"/>
      <c r="C258" s="31"/>
      <c r="D258" s="31"/>
      <c r="E258" s="31"/>
      <c r="F258" s="31"/>
      <c r="G258" s="31"/>
      <c r="H258" s="32"/>
      <c r="I258" s="32"/>
      <c r="J258" s="32"/>
      <c r="K258" s="31"/>
      <c r="L258" s="31"/>
      <c r="M258" s="3" t="str">
        <f t="shared" ca="1" si="15"/>
        <v/>
      </c>
      <c r="P258">
        <f>'Combined Delivery Data'!B288</f>
        <v>0</v>
      </c>
      <c r="Q258">
        <f t="shared" si="13"/>
        <v>0</v>
      </c>
      <c r="R258">
        <f t="shared" si="14"/>
        <v>452</v>
      </c>
      <c r="S258" s="28">
        <f>IF($P258="","",IF(SUMPRODUCT(MAX(($A$2:$A$497=$P258)*ROW($A$2:$A$497)))=0,"",INDEX($B:$B,SUMPRODUCT(MAX(($A$2:$A$497=$P258)*ROW($A$2:$A$497))))))</f>
        <v>0</v>
      </c>
      <c r="T258" t="str">
        <f>IF($P258="","",IF(SUMPRODUCT(MAX(($A$2:$A$497=$P258)*ROW($A$2:$A$497)))=0,"",INDEX($C:$C,SUMPRODUCT(MAX(($A$2:$A$497=$P258)*ROW($A$2:$A$497))))&amp;" -&gt; "&amp;INDEX($D:$D,SUMPRODUCT(MAX(($A$2:$A$497=$P258)*ROW($A$2:$A$497))))))</f>
        <v xml:space="preserve"> -&gt; </v>
      </c>
    </row>
    <row r="259" spans="1:20">
      <c r="A259" s="31"/>
      <c r="B259" s="32"/>
      <c r="C259" s="31"/>
      <c r="D259" s="31"/>
      <c r="E259" s="31"/>
      <c r="F259" s="31"/>
      <c r="G259" s="31"/>
      <c r="H259" s="32"/>
      <c r="I259" s="32"/>
      <c r="J259" s="32"/>
      <c r="K259" s="31"/>
      <c r="L259" s="31"/>
      <c r="M259" s="3" t="str">
        <f t="shared" ca="1" si="15"/>
        <v/>
      </c>
      <c r="P259">
        <f>'Combined Delivery Data'!B289</f>
        <v>0</v>
      </c>
      <c r="Q259">
        <f t="shared" si="13"/>
        <v>0</v>
      </c>
      <c r="R259">
        <f t="shared" si="14"/>
        <v>452</v>
      </c>
      <c r="S259" s="28">
        <f>IF($P259="","",IF(SUMPRODUCT(MAX(($A$2:$A$497=$P259)*ROW($A$2:$A$497)))=0,"",INDEX($B:$B,SUMPRODUCT(MAX(($A$2:$A$497=$P259)*ROW($A$2:$A$497))))))</f>
        <v>0</v>
      </c>
      <c r="T259" t="str">
        <f>IF($P259="","",IF(SUMPRODUCT(MAX(($A$2:$A$497=$P259)*ROW($A$2:$A$497)))=0,"",INDEX($C:$C,SUMPRODUCT(MAX(($A$2:$A$497=$P259)*ROW($A$2:$A$497))))&amp;" -&gt; "&amp;INDEX($D:$D,SUMPRODUCT(MAX(($A$2:$A$497=$P259)*ROW($A$2:$A$497))))))</f>
        <v xml:space="preserve"> -&gt; </v>
      </c>
    </row>
    <row r="260" spans="1:20">
      <c r="A260" s="31"/>
      <c r="B260" s="32"/>
      <c r="C260" s="31"/>
      <c r="D260" s="31"/>
      <c r="E260" s="31"/>
      <c r="F260" s="31"/>
      <c r="G260" s="31"/>
      <c r="H260" s="32"/>
      <c r="I260" s="32"/>
      <c r="J260" s="32"/>
      <c r="K260" s="31"/>
      <c r="L260" s="31"/>
      <c r="M260" s="3" t="str">
        <f t="shared" ca="1" si="15"/>
        <v/>
      </c>
      <c r="P260">
        <f>'Combined Delivery Data'!B290</f>
        <v>0</v>
      </c>
      <c r="Q260">
        <f t="shared" si="13"/>
        <v>0</v>
      </c>
      <c r="R260">
        <f t="shared" si="14"/>
        <v>452</v>
      </c>
      <c r="S260" s="28">
        <f>IF($P260="","",IF(SUMPRODUCT(MAX(($A$2:$A$497=$P260)*ROW($A$2:$A$497)))=0,"",INDEX($B:$B,SUMPRODUCT(MAX(($A$2:$A$497=$P260)*ROW($A$2:$A$497))))))</f>
        <v>0</v>
      </c>
      <c r="T260" t="str">
        <f>IF($P260="","",IF(SUMPRODUCT(MAX(($A$2:$A$497=$P260)*ROW($A$2:$A$497)))=0,"",INDEX($C:$C,SUMPRODUCT(MAX(($A$2:$A$497=$P260)*ROW($A$2:$A$497))))&amp;" -&gt; "&amp;INDEX($D:$D,SUMPRODUCT(MAX(($A$2:$A$497=$P260)*ROW($A$2:$A$497))))))</f>
        <v xml:space="preserve"> -&gt; </v>
      </c>
    </row>
    <row r="261" spans="1:20">
      <c r="A261" s="31"/>
      <c r="B261" s="32"/>
      <c r="C261" s="31"/>
      <c r="D261" s="31"/>
      <c r="E261" s="31"/>
      <c r="F261" s="31"/>
      <c r="G261" s="31"/>
      <c r="H261" s="32"/>
      <c r="I261" s="32"/>
      <c r="J261" s="32"/>
      <c r="K261" s="31"/>
      <c r="L261" s="31"/>
      <c r="M261" s="3" t="str">
        <f t="shared" ca="1" si="15"/>
        <v/>
      </c>
      <c r="P261">
        <f>'Combined Delivery Data'!B291</f>
        <v>0</v>
      </c>
      <c r="Q261">
        <f t="shared" si="13"/>
        <v>0</v>
      </c>
      <c r="R261">
        <f t="shared" si="14"/>
        <v>452</v>
      </c>
      <c r="S261" s="28">
        <f>IF($P261="","",IF(SUMPRODUCT(MAX(($A$2:$A$497=$P261)*ROW($A$2:$A$497)))=0,"",INDEX($B:$B,SUMPRODUCT(MAX(($A$2:$A$497=$P261)*ROW($A$2:$A$497))))))</f>
        <v>0</v>
      </c>
      <c r="T261" t="str">
        <f>IF($P261="","",IF(SUMPRODUCT(MAX(($A$2:$A$497=$P261)*ROW($A$2:$A$497)))=0,"",INDEX($C:$C,SUMPRODUCT(MAX(($A$2:$A$497=$P261)*ROW($A$2:$A$497))))&amp;" -&gt; "&amp;INDEX($D:$D,SUMPRODUCT(MAX(($A$2:$A$497=$P261)*ROW($A$2:$A$497))))))</f>
        <v xml:space="preserve"> -&gt; </v>
      </c>
    </row>
    <row r="262" spans="1:20">
      <c r="A262" s="31"/>
      <c r="B262" s="32"/>
      <c r="C262" s="31"/>
      <c r="D262" s="31"/>
      <c r="E262" s="31"/>
      <c r="F262" s="31"/>
      <c r="G262" s="31"/>
      <c r="H262" s="32"/>
      <c r="I262" s="32"/>
      <c r="J262" s="32"/>
      <c r="K262" s="31"/>
      <c r="L262" s="31"/>
      <c r="M262" s="3" t="str">
        <f t="shared" ca="1" si="15"/>
        <v/>
      </c>
      <c r="P262">
        <f>'Combined Delivery Data'!B292</f>
        <v>0</v>
      </c>
      <c r="Q262">
        <f t="shared" si="13"/>
        <v>0</v>
      </c>
      <c r="R262">
        <f t="shared" si="14"/>
        <v>452</v>
      </c>
      <c r="S262" s="28">
        <f>IF($P262="","",IF(SUMPRODUCT(MAX(($A$2:$A$497=$P262)*ROW($A$2:$A$497)))=0,"",INDEX($B:$B,SUMPRODUCT(MAX(($A$2:$A$497=$P262)*ROW($A$2:$A$497))))))</f>
        <v>0</v>
      </c>
      <c r="T262" t="str">
        <f>IF($P262="","",IF(SUMPRODUCT(MAX(($A$2:$A$497=$P262)*ROW($A$2:$A$497)))=0,"",INDEX($C:$C,SUMPRODUCT(MAX(($A$2:$A$497=$P262)*ROW($A$2:$A$497))))&amp;" -&gt; "&amp;INDEX($D:$D,SUMPRODUCT(MAX(($A$2:$A$497=$P262)*ROW($A$2:$A$497))))))</f>
        <v xml:space="preserve"> -&gt; </v>
      </c>
    </row>
    <row r="263" spans="1:20">
      <c r="A263" s="31"/>
      <c r="B263" s="32"/>
      <c r="C263" s="31"/>
      <c r="D263" s="31"/>
      <c r="E263" s="31"/>
      <c r="F263" s="31"/>
      <c r="G263" s="31"/>
      <c r="H263" s="32"/>
      <c r="I263" s="32"/>
      <c r="J263" s="32"/>
      <c r="K263" s="31"/>
      <c r="L263" s="31"/>
      <c r="M263" s="3" t="str">
        <f t="shared" ca="1" si="15"/>
        <v/>
      </c>
      <c r="P263">
        <f>'Combined Delivery Data'!B293</f>
        <v>0</v>
      </c>
      <c r="Q263">
        <f t="shared" si="13"/>
        <v>0</v>
      </c>
      <c r="R263">
        <f t="shared" si="14"/>
        <v>452</v>
      </c>
      <c r="S263" s="28">
        <f>IF($P263="","",IF(SUMPRODUCT(MAX(($A$2:$A$497=$P263)*ROW($A$2:$A$497)))=0,"",INDEX($B:$B,SUMPRODUCT(MAX(($A$2:$A$497=$P263)*ROW($A$2:$A$497))))))</f>
        <v>0</v>
      </c>
      <c r="T263" t="str">
        <f>IF($P263="","",IF(SUMPRODUCT(MAX(($A$2:$A$497=$P263)*ROW($A$2:$A$497)))=0,"",INDEX($C:$C,SUMPRODUCT(MAX(($A$2:$A$497=$P263)*ROW($A$2:$A$497))))&amp;" -&gt; "&amp;INDEX($D:$D,SUMPRODUCT(MAX(($A$2:$A$497=$P263)*ROW($A$2:$A$497))))))</f>
        <v xml:space="preserve"> -&gt; </v>
      </c>
    </row>
    <row r="264" spans="1:20">
      <c r="A264" s="31"/>
      <c r="B264" s="32"/>
      <c r="C264" s="31"/>
      <c r="D264" s="31"/>
      <c r="E264" s="31"/>
      <c r="F264" s="31"/>
      <c r="G264" s="31"/>
      <c r="H264" s="32"/>
      <c r="I264" s="32"/>
      <c r="J264" s="32"/>
      <c r="K264" s="31"/>
      <c r="L264" s="31"/>
      <c r="M264" s="3" t="str">
        <f t="shared" ca="1" si="15"/>
        <v/>
      </c>
      <c r="P264">
        <f>'Combined Delivery Data'!B294</f>
        <v>0</v>
      </c>
      <c r="Q264">
        <f t="shared" si="13"/>
        <v>0</v>
      </c>
      <c r="R264">
        <f t="shared" si="14"/>
        <v>452</v>
      </c>
      <c r="S264" s="28">
        <f>IF($P264="","",IF(SUMPRODUCT(MAX(($A$2:$A$497=$P264)*ROW($A$2:$A$497)))=0,"",INDEX($B:$B,SUMPRODUCT(MAX(($A$2:$A$497=$P264)*ROW($A$2:$A$497))))))</f>
        <v>0</v>
      </c>
      <c r="T264" t="str">
        <f>IF($P264="","",IF(SUMPRODUCT(MAX(($A$2:$A$497=$P264)*ROW($A$2:$A$497)))=0,"",INDEX($C:$C,SUMPRODUCT(MAX(($A$2:$A$497=$P264)*ROW($A$2:$A$497))))&amp;" -&gt; "&amp;INDEX($D:$D,SUMPRODUCT(MAX(($A$2:$A$497=$P264)*ROW($A$2:$A$497))))))</f>
        <v xml:space="preserve"> -&gt; </v>
      </c>
    </row>
    <row r="265" spans="1:20">
      <c r="A265" s="31"/>
      <c r="B265" s="32"/>
      <c r="C265" s="31"/>
      <c r="D265" s="31"/>
      <c r="E265" s="31"/>
      <c r="F265" s="31"/>
      <c r="G265" s="31"/>
      <c r="H265" s="32"/>
      <c r="I265" s="32"/>
      <c r="J265" s="32"/>
      <c r="K265" s="31"/>
      <c r="L265" s="31"/>
      <c r="M265" s="3" t="str">
        <f t="shared" ca="1" si="15"/>
        <v/>
      </c>
      <c r="P265">
        <f>'Combined Delivery Data'!B295</f>
        <v>0</v>
      </c>
      <c r="Q265">
        <f t="shared" si="13"/>
        <v>0</v>
      </c>
      <c r="R265">
        <f t="shared" si="14"/>
        <v>452</v>
      </c>
      <c r="S265" s="28">
        <f>IF($P265="","",IF(SUMPRODUCT(MAX(($A$2:$A$497=$P265)*ROW($A$2:$A$497)))=0,"",INDEX($B:$B,SUMPRODUCT(MAX(($A$2:$A$497=$P265)*ROW($A$2:$A$497))))))</f>
        <v>0</v>
      </c>
      <c r="T265" t="str">
        <f>IF($P265="","",IF(SUMPRODUCT(MAX(($A$2:$A$497=$P265)*ROW($A$2:$A$497)))=0,"",INDEX($C:$C,SUMPRODUCT(MAX(($A$2:$A$497=$P265)*ROW($A$2:$A$497))))&amp;" -&gt; "&amp;INDEX($D:$D,SUMPRODUCT(MAX(($A$2:$A$497=$P265)*ROW($A$2:$A$497))))))</f>
        <v xml:space="preserve"> -&gt; </v>
      </c>
    </row>
    <row r="266" spans="1:20">
      <c r="A266" s="31"/>
      <c r="B266" s="32"/>
      <c r="C266" s="31"/>
      <c r="D266" s="31"/>
      <c r="E266" s="31"/>
      <c r="F266" s="31"/>
      <c r="G266" s="31"/>
      <c r="H266" s="32"/>
      <c r="I266" s="32"/>
      <c r="J266" s="32"/>
      <c r="K266" s="31"/>
      <c r="L266" s="31"/>
      <c r="M266" s="3" t="str">
        <f t="shared" ca="1" si="15"/>
        <v/>
      </c>
      <c r="P266">
        <f>'Combined Delivery Data'!B296</f>
        <v>0</v>
      </c>
      <c r="Q266">
        <f t="shared" si="13"/>
        <v>0</v>
      </c>
      <c r="R266">
        <f t="shared" si="14"/>
        <v>452</v>
      </c>
      <c r="S266" s="28">
        <f>IF($P266="","",IF(SUMPRODUCT(MAX(($A$2:$A$497=$P266)*ROW($A$2:$A$497)))=0,"",INDEX($B:$B,SUMPRODUCT(MAX(($A$2:$A$497=$P266)*ROW($A$2:$A$497))))))</f>
        <v>0</v>
      </c>
      <c r="T266" t="str">
        <f>IF($P266="","",IF(SUMPRODUCT(MAX(($A$2:$A$497=$P266)*ROW($A$2:$A$497)))=0,"",INDEX($C:$C,SUMPRODUCT(MAX(($A$2:$A$497=$P266)*ROW($A$2:$A$497))))&amp;" -&gt; "&amp;INDEX($D:$D,SUMPRODUCT(MAX(($A$2:$A$497=$P266)*ROW($A$2:$A$497))))))</f>
        <v xml:space="preserve"> -&gt; </v>
      </c>
    </row>
    <row r="267" spans="1:20">
      <c r="A267" s="31"/>
      <c r="B267" s="32"/>
      <c r="C267" s="31"/>
      <c r="D267" s="31"/>
      <c r="E267" s="31"/>
      <c r="F267" s="31"/>
      <c r="G267" s="31"/>
      <c r="H267" s="32"/>
      <c r="I267" s="32"/>
      <c r="J267" s="32"/>
      <c r="K267" s="31"/>
      <c r="L267" s="31"/>
      <c r="M267" s="3" t="str">
        <f t="shared" ca="1" si="15"/>
        <v/>
      </c>
      <c r="P267">
        <f>'Combined Delivery Data'!B297</f>
        <v>0</v>
      </c>
      <c r="Q267">
        <f t="shared" si="13"/>
        <v>0</v>
      </c>
      <c r="R267">
        <f t="shared" si="14"/>
        <v>452</v>
      </c>
      <c r="S267" s="28">
        <f>IF($P267="","",IF(SUMPRODUCT(MAX(($A$2:$A$497=$P267)*ROW($A$2:$A$497)))=0,"",INDEX($B:$B,SUMPRODUCT(MAX(($A$2:$A$497=$P267)*ROW($A$2:$A$497))))))</f>
        <v>0</v>
      </c>
      <c r="T267" t="str">
        <f>IF($P267="","",IF(SUMPRODUCT(MAX(($A$2:$A$497=$P267)*ROW($A$2:$A$497)))=0,"",INDEX($C:$C,SUMPRODUCT(MAX(($A$2:$A$497=$P267)*ROW($A$2:$A$497))))&amp;" -&gt; "&amp;INDEX($D:$D,SUMPRODUCT(MAX(($A$2:$A$497=$P267)*ROW($A$2:$A$497))))))</f>
        <v xml:space="preserve"> -&gt; </v>
      </c>
    </row>
    <row r="268" spans="1:20">
      <c r="A268" s="31"/>
      <c r="B268" s="32"/>
      <c r="C268" s="31"/>
      <c r="D268" s="31"/>
      <c r="E268" s="31"/>
      <c r="F268" s="31"/>
      <c r="G268" s="31"/>
      <c r="H268" s="32"/>
      <c r="I268" s="32"/>
      <c r="J268" s="32"/>
      <c r="K268" s="31"/>
      <c r="L268" s="31"/>
      <c r="M268" s="3" t="str">
        <f t="shared" ca="1" si="15"/>
        <v/>
      </c>
      <c r="P268">
        <f>'Combined Delivery Data'!B298</f>
        <v>0</v>
      </c>
      <c r="Q268">
        <f t="shared" si="13"/>
        <v>0</v>
      </c>
      <c r="R268">
        <f t="shared" si="14"/>
        <v>452</v>
      </c>
      <c r="S268" s="28">
        <f>IF($P268="","",IF(SUMPRODUCT(MAX(($A$2:$A$497=$P268)*ROW($A$2:$A$497)))=0,"",INDEX($B:$B,SUMPRODUCT(MAX(($A$2:$A$497=$P268)*ROW($A$2:$A$497))))))</f>
        <v>0</v>
      </c>
      <c r="T268" t="str">
        <f>IF($P268="","",IF(SUMPRODUCT(MAX(($A$2:$A$497=$P268)*ROW($A$2:$A$497)))=0,"",INDEX($C:$C,SUMPRODUCT(MAX(($A$2:$A$497=$P268)*ROW($A$2:$A$497))))&amp;" -&gt; "&amp;INDEX($D:$D,SUMPRODUCT(MAX(($A$2:$A$497=$P268)*ROW($A$2:$A$497))))))</f>
        <v xml:space="preserve"> -&gt; </v>
      </c>
    </row>
    <row r="269" spans="1:20">
      <c r="A269" s="31"/>
      <c r="B269" s="32"/>
      <c r="C269" s="31"/>
      <c r="D269" s="31"/>
      <c r="E269" s="31"/>
      <c r="F269" s="31"/>
      <c r="G269" s="31"/>
      <c r="H269" s="32"/>
      <c r="I269" s="32"/>
      <c r="J269" s="32"/>
      <c r="K269" s="31"/>
      <c r="L269" s="31"/>
      <c r="M269" s="3" t="str">
        <f t="shared" ca="1" si="15"/>
        <v/>
      </c>
      <c r="P269">
        <f>'Combined Delivery Data'!B299</f>
        <v>0</v>
      </c>
      <c r="Q269">
        <f t="shared" si="13"/>
        <v>0</v>
      </c>
      <c r="R269">
        <f t="shared" si="14"/>
        <v>452</v>
      </c>
      <c r="S269" s="28">
        <f>IF($P269="","",IF(SUMPRODUCT(MAX(($A$2:$A$497=$P269)*ROW($A$2:$A$497)))=0,"",INDEX($B:$B,SUMPRODUCT(MAX(($A$2:$A$497=$P269)*ROW($A$2:$A$497))))))</f>
        <v>0</v>
      </c>
      <c r="T269" t="str">
        <f>IF($P269="","",IF(SUMPRODUCT(MAX(($A$2:$A$497=$P269)*ROW($A$2:$A$497)))=0,"",INDEX($C:$C,SUMPRODUCT(MAX(($A$2:$A$497=$P269)*ROW($A$2:$A$497))))&amp;" -&gt; "&amp;INDEX($D:$D,SUMPRODUCT(MAX(($A$2:$A$497=$P269)*ROW($A$2:$A$497))))))</f>
        <v xml:space="preserve"> -&gt; </v>
      </c>
    </row>
    <row r="270" spans="1:20">
      <c r="A270" s="31"/>
      <c r="B270" s="32"/>
      <c r="C270" s="31"/>
      <c r="D270" s="31"/>
      <c r="E270" s="31"/>
      <c r="F270" s="31"/>
      <c r="G270" s="31"/>
      <c r="H270" s="32"/>
      <c r="I270" s="32"/>
      <c r="J270" s="32"/>
      <c r="K270" s="31"/>
      <c r="L270" s="31"/>
      <c r="M270" s="3" t="str">
        <f t="shared" ca="1" si="15"/>
        <v/>
      </c>
      <c r="P270">
        <f>'Combined Delivery Data'!B300</f>
        <v>0</v>
      </c>
      <c r="Q270">
        <f t="shared" si="13"/>
        <v>0</v>
      </c>
      <c r="R270">
        <f t="shared" si="14"/>
        <v>452</v>
      </c>
      <c r="S270" s="28">
        <f>IF($P270="","",IF(SUMPRODUCT(MAX(($A$2:$A$497=$P270)*ROW($A$2:$A$497)))=0,"",INDEX($B:$B,SUMPRODUCT(MAX(($A$2:$A$497=$P270)*ROW($A$2:$A$497))))))</f>
        <v>0</v>
      </c>
      <c r="T270" t="str">
        <f>IF($P270="","",IF(SUMPRODUCT(MAX(($A$2:$A$497=$P270)*ROW($A$2:$A$497)))=0,"",INDEX($C:$C,SUMPRODUCT(MAX(($A$2:$A$497=$P270)*ROW($A$2:$A$497))))&amp;" -&gt; "&amp;INDEX($D:$D,SUMPRODUCT(MAX(($A$2:$A$497=$P270)*ROW($A$2:$A$497))))))</f>
        <v xml:space="preserve"> -&gt; </v>
      </c>
    </row>
    <row r="271" spans="1:20">
      <c r="A271" s="31"/>
      <c r="B271" s="32"/>
      <c r="C271" s="31"/>
      <c r="D271" s="31"/>
      <c r="E271" s="31"/>
      <c r="F271" s="31"/>
      <c r="G271" s="31"/>
      <c r="H271" s="32"/>
      <c r="I271" s="32"/>
      <c r="J271" s="32"/>
      <c r="K271" s="31"/>
      <c r="L271" s="31"/>
      <c r="M271" s="3" t="str">
        <f t="shared" ca="1" si="15"/>
        <v/>
      </c>
      <c r="P271">
        <f>'Combined Delivery Data'!B301</f>
        <v>0</v>
      </c>
      <c r="Q271">
        <f t="shared" si="13"/>
        <v>0</v>
      </c>
      <c r="R271">
        <f t="shared" si="14"/>
        <v>452</v>
      </c>
      <c r="S271" s="28">
        <f>IF($P271="","",IF(SUMPRODUCT(MAX(($A$2:$A$497=$P271)*ROW($A$2:$A$497)))=0,"",INDEX($B:$B,SUMPRODUCT(MAX(($A$2:$A$497=$P271)*ROW($A$2:$A$497))))))</f>
        <v>0</v>
      </c>
      <c r="T271" t="str">
        <f>IF($P271="","",IF(SUMPRODUCT(MAX(($A$2:$A$497=$P271)*ROW($A$2:$A$497)))=0,"",INDEX($C:$C,SUMPRODUCT(MAX(($A$2:$A$497=$P271)*ROW($A$2:$A$497))))&amp;" -&gt; "&amp;INDEX($D:$D,SUMPRODUCT(MAX(($A$2:$A$497=$P271)*ROW($A$2:$A$497))))))</f>
        <v xml:space="preserve"> -&gt; </v>
      </c>
    </row>
    <row r="272" spans="1:20">
      <c r="A272" s="31"/>
      <c r="B272" s="32"/>
      <c r="C272" s="31"/>
      <c r="D272" s="31"/>
      <c r="E272" s="31"/>
      <c r="F272" s="31"/>
      <c r="G272" s="31"/>
      <c r="H272" s="32"/>
      <c r="I272" s="32"/>
      <c r="J272" s="32"/>
      <c r="K272" s="31"/>
      <c r="L272" s="31"/>
      <c r="M272" s="3" t="str">
        <f t="shared" ca="1" si="15"/>
        <v/>
      </c>
      <c r="P272">
        <f>'Combined Delivery Data'!B302</f>
        <v>0</v>
      </c>
      <c r="Q272">
        <f t="shared" si="13"/>
        <v>0</v>
      </c>
      <c r="R272">
        <f t="shared" si="14"/>
        <v>452</v>
      </c>
      <c r="S272" s="28">
        <f>IF($P272="","",IF(SUMPRODUCT(MAX(($A$2:$A$497=$P272)*ROW($A$2:$A$497)))=0,"",INDEX($B:$B,SUMPRODUCT(MAX(($A$2:$A$497=$P272)*ROW($A$2:$A$497))))))</f>
        <v>0</v>
      </c>
      <c r="T272" t="str">
        <f>IF($P272="","",IF(SUMPRODUCT(MAX(($A$2:$A$497=$P272)*ROW($A$2:$A$497)))=0,"",INDEX($C:$C,SUMPRODUCT(MAX(($A$2:$A$497=$P272)*ROW($A$2:$A$497))))&amp;" -&gt; "&amp;INDEX($D:$D,SUMPRODUCT(MAX(($A$2:$A$497=$P272)*ROW($A$2:$A$497))))))</f>
        <v xml:space="preserve"> -&gt; </v>
      </c>
    </row>
    <row r="273" spans="1:20">
      <c r="A273" s="31"/>
      <c r="B273" s="32"/>
      <c r="C273" s="31"/>
      <c r="D273" s="31"/>
      <c r="E273" s="31"/>
      <c r="F273" s="31"/>
      <c r="G273" s="31"/>
      <c r="H273" s="32"/>
      <c r="I273" s="32"/>
      <c r="J273" s="32"/>
      <c r="K273" s="31"/>
      <c r="L273" s="31"/>
      <c r="M273" s="3" t="str">
        <f t="shared" ca="1" si="15"/>
        <v/>
      </c>
      <c r="P273">
        <f>'Combined Delivery Data'!B303</f>
        <v>0</v>
      </c>
      <c r="Q273">
        <f t="shared" ref="Q273:Q336" si="16">IF($P273="","",COUNTIF($A$2:$A$497,$P273))</f>
        <v>0</v>
      </c>
      <c r="R273">
        <f t="shared" ref="R273:R336" si="17">IF($P273="","",SUMPRODUCT(($A$2:$A$497=$P273)*($G$2:$G$497&lt;&gt;"Yes")*($G$2:$G$497&lt;&gt;"Did not pass re-test")))</f>
        <v>452</v>
      </c>
      <c r="S273" s="28">
        <f>IF($P273="","",IF(SUMPRODUCT(MAX(($A$2:$A$497=$P273)*ROW($A$2:$A$497)))=0,"",INDEX($B:$B,SUMPRODUCT(MAX(($A$2:$A$497=$P273)*ROW($A$2:$A$497))))))</f>
        <v>0</v>
      </c>
      <c r="T273" t="str">
        <f>IF($P273="","",IF(SUMPRODUCT(MAX(($A$2:$A$497=$P273)*ROW($A$2:$A$497)))=0,"",INDEX($C:$C,SUMPRODUCT(MAX(($A$2:$A$497=$P273)*ROW($A$2:$A$497))))&amp;" -&gt; "&amp;INDEX($D:$D,SUMPRODUCT(MAX(($A$2:$A$497=$P273)*ROW($A$2:$A$497))))))</f>
        <v xml:space="preserve"> -&gt; </v>
      </c>
    </row>
    <row r="274" spans="1:20">
      <c r="A274" s="31"/>
      <c r="B274" s="32"/>
      <c r="C274" s="31"/>
      <c r="D274" s="31"/>
      <c r="E274" s="31"/>
      <c r="F274" s="31"/>
      <c r="G274" s="31"/>
      <c r="H274" s="32"/>
      <c r="I274" s="32"/>
      <c r="J274" s="32"/>
      <c r="K274" s="31"/>
      <c r="L274" s="31"/>
      <c r="M274" s="3" t="str">
        <f t="shared" ca="1" si="15"/>
        <v/>
      </c>
      <c r="P274">
        <f>'Combined Delivery Data'!B304</f>
        <v>0</v>
      </c>
      <c r="Q274">
        <f t="shared" si="16"/>
        <v>0</v>
      </c>
      <c r="R274">
        <f t="shared" si="17"/>
        <v>452</v>
      </c>
      <c r="S274" s="28">
        <f>IF($P274="","",IF(SUMPRODUCT(MAX(($A$2:$A$497=$P274)*ROW($A$2:$A$497)))=0,"",INDEX($B:$B,SUMPRODUCT(MAX(($A$2:$A$497=$P274)*ROW($A$2:$A$497))))))</f>
        <v>0</v>
      </c>
      <c r="T274" t="str">
        <f>IF($P274="","",IF(SUMPRODUCT(MAX(($A$2:$A$497=$P274)*ROW($A$2:$A$497)))=0,"",INDEX($C:$C,SUMPRODUCT(MAX(($A$2:$A$497=$P274)*ROW($A$2:$A$497))))&amp;" -&gt; "&amp;INDEX($D:$D,SUMPRODUCT(MAX(($A$2:$A$497=$P274)*ROW($A$2:$A$497))))))</f>
        <v xml:space="preserve"> -&gt; </v>
      </c>
    </row>
    <row r="275" spans="1:20">
      <c r="A275" s="31"/>
      <c r="B275" s="32"/>
      <c r="C275" s="31"/>
      <c r="D275" s="31"/>
      <c r="E275" s="31"/>
      <c r="F275" s="31"/>
      <c r="G275" s="31"/>
      <c r="H275" s="32"/>
      <c r="I275" s="32"/>
      <c r="J275" s="32"/>
      <c r="K275" s="31"/>
      <c r="L275" s="31"/>
      <c r="M275" s="3" t="str">
        <f t="shared" ca="1" si="15"/>
        <v/>
      </c>
      <c r="P275">
        <f>'Combined Delivery Data'!B305</f>
        <v>0</v>
      </c>
      <c r="Q275">
        <f t="shared" si="16"/>
        <v>0</v>
      </c>
      <c r="R275">
        <f t="shared" si="17"/>
        <v>452</v>
      </c>
      <c r="S275" s="28">
        <f>IF($P275="","",IF(SUMPRODUCT(MAX(($A$2:$A$497=$P275)*ROW($A$2:$A$497)))=0,"",INDEX($B:$B,SUMPRODUCT(MAX(($A$2:$A$497=$P275)*ROW($A$2:$A$497))))))</f>
        <v>0</v>
      </c>
      <c r="T275" t="str">
        <f>IF($P275="","",IF(SUMPRODUCT(MAX(($A$2:$A$497=$P275)*ROW($A$2:$A$497)))=0,"",INDEX($C:$C,SUMPRODUCT(MAX(($A$2:$A$497=$P275)*ROW($A$2:$A$497))))&amp;" -&gt; "&amp;INDEX($D:$D,SUMPRODUCT(MAX(($A$2:$A$497=$P275)*ROW($A$2:$A$497))))))</f>
        <v xml:space="preserve"> -&gt; </v>
      </c>
    </row>
    <row r="276" spans="1:20">
      <c r="A276" s="31"/>
      <c r="B276" s="32"/>
      <c r="C276" s="31"/>
      <c r="D276" s="31"/>
      <c r="E276" s="31"/>
      <c r="F276" s="31"/>
      <c r="G276" s="31"/>
      <c r="H276" s="32"/>
      <c r="I276" s="32"/>
      <c r="J276" s="32"/>
      <c r="K276" s="31"/>
      <c r="L276" s="31"/>
      <c r="M276" s="3" t="str">
        <f t="shared" ca="1" si="15"/>
        <v/>
      </c>
      <c r="P276">
        <f>'Combined Delivery Data'!B306</f>
        <v>0</v>
      </c>
      <c r="Q276">
        <f t="shared" si="16"/>
        <v>0</v>
      </c>
      <c r="R276">
        <f t="shared" si="17"/>
        <v>452</v>
      </c>
      <c r="S276" s="28">
        <f>IF($P276="","",IF(SUMPRODUCT(MAX(($A$2:$A$497=$P276)*ROW($A$2:$A$497)))=0,"",INDEX($B:$B,SUMPRODUCT(MAX(($A$2:$A$497=$P276)*ROW($A$2:$A$497))))))</f>
        <v>0</v>
      </c>
      <c r="T276" t="str">
        <f>IF($P276="","",IF(SUMPRODUCT(MAX(($A$2:$A$497=$P276)*ROW($A$2:$A$497)))=0,"",INDEX($C:$C,SUMPRODUCT(MAX(($A$2:$A$497=$P276)*ROW($A$2:$A$497))))&amp;" -&gt; "&amp;INDEX($D:$D,SUMPRODUCT(MAX(($A$2:$A$497=$P276)*ROW($A$2:$A$497))))))</f>
        <v xml:space="preserve"> -&gt; </v>
      </c>
    </row>
    <row r="277" spans="1:20">
      <c r="A277" s="31"/>
      <c r="B277" s="32"/>
      <c r="C277" s="31"/>
      <c r="D277" s="31"/>
      <c r="E277" s="31"/>
      <c r="F277" s="31"/>
      <c r="G277" s="31"/>
      <c r="H277" s="32"/>
      <c r="I277" s="32"/>
      <c r="J277" s="32"/>
      <c r="K277" s="31"/>
      <c r="L277" s="31"/>
      <c r="M277" s="3" t="str">
        <f t="shared" ca="1" si="15"/>
        <v/>
      </c>
      <c r="P277">
        <f>'Combined Delivery Data'!B307</f>
        <v>0</v>
      </c>
      <c r="Q277">
        <f t="shared" si="16"/>
        <v>0</v>
      </c>
      <c r="R277">
        <f t="shared" si="17"/>
        <v>452</v>
      </c>
      <c r="S277" s="28">
        <f>IF($P277="","",IF(SUMPRODUCT(MAX(($A$2:$A$497=$P277)*ROW($A$2:$A$497)))=0,"",INDEX($B:$B,SUMPRODUCT(MAX(($A$2:$A$497=$P277)*ROW($A$2:$A$497))))))</f>
        <v>0</v>
      </c>
      <c r="T277" t="str">
        <f>IF($P277="","",IF(SUMPRODUCT(MAX(($A$2:$A$497=$P277)*ROW($A$2:$A$497)))=0,"",INDEX($C:$C,SUMPRODUCT(MAX(($A$2:$A$497=$P277)*ROW($A$2:$A$497))))&amp;" -&gt; "&amp;INDEX($D:$D,SUMPRODUCT(MAX(($A$2:$A$497=$P277)*ROW($A$2:$A$497))))))</f>
        <v xml:space="preserve"> -&gt; </v>
      </c>
    </row>
    <row r="278" spans="1:20">
      <c r="A278" s="31"/>
      <c r="B278" s="32"/>
      <c r="C278" s="31"/>
      <c r="D278" s="31"/>
      <c r="E278" s="31"/>
      <c r="F278" s="31"/>
      <c r="G278" s="31"/>
      <c r="H278" s="32"/>
      <c r="I278" s="32"/>
      <c r="J278" s="32"/>
      <c r="K278" s="31"/>
      <c r="L278" s="31"/>
      <c r="M278" s="3" t="str">
        <f t="shared" ca="1" si="15"/>
        <v/>
      </c>
      <c r="P278">
        <f>'Combined Delivery Data'!B308</f>
        <v>0</v>
      </c>
      <c r="Q278">
        <f t="shared" si="16"/>
        <v>0</v>
      </c>
      <c r="R278">
        <f t="shared" si="17"/>
        <v>452</v>
      </c>
      <c r="S278" s="28">
        <f>IF($P278="","",IF(SUMPRODUCT(MAX(($A$2:$A$497=$P278)*ROW($A$2:$A$497)))=0,"",INDEX($B:$B,SUMPRODUCT(MAX(($A$2:$A$497=$P278)*ROW($A$2:$A$497))))))</f>
        <v>0</v>
      </c>
      <c r="T278" t="str">
        <f>IF($P278="","",IF(SUMPRODUCT(MAX(($A$2:$A$497=$P278)*ROW($A$2:$A$497)))=0,"",INDEX($C:$C,SUMPRODUCT(MAX(($A$2:$A$497=$P278)*ROW($A$2:$A$497))))&amp;" -&gt; "&amp;INDEX($D:$D,SUMPRODUCT(MAX(($A$2:$A$497=$P278)*ROW($A$2:$A$497))))))</f>
        <v xml:space="preserve"> -&gt; </v>
      </c>
    </row>
    <row r="279" spans="1:20">
      <c r="A279" s="31"/>
      <c r="B279" s="32"/>
      <c r="C279" s="31"/>
      <c r="D279" s="31"/>
      <c r="E279" s="31"/>
      <c r="F279" s="31"/>
      <c r="G279" s="31"/>
      <c r="H279" s="32"/>
      <c r="I279" s="32"/>
      <c r="J279" s="32"/>
      <c r="K279" s="31"/>
      <c r="L279" s="31"/>
      <c r="M279" s="3" t="str">
        <f t="shared" ca="1" si="15"/>
        <v/>
      </c>
      <c r="P279">
        <f>'Combined Delivery Data'!B309</f>
        <v>0</v>
      </c>
      <c r="Q279">
        <f t="shared" si="16"/>
        <v>0</v>
      </c>
      <c r="R279">
        <f t="shared" si="17"/>
        <v>452</v>
      </c>
      <c r="S279" s="28">
        <f>IF($P279="","",IF(SUMPRODUCT(MAX(($A$2:$A$497=$P279)*ROW($A$2:$A$497)))=0,"",INDEX($B:$B,SUMPRODUCT(MAX(($A$2:$A$497=$P279)*ROW($A$2:$A$497))))))</f>
        <v>0</v>
      </c>
      <c r="T279" t="str">
        <f>IF($P279="","",IF(SUMPRODUCT(MAX(($A$2:$A$497=$P279)*ROW($A$2:$A$497)))=0,"",INDEX($C:$C,SUMPRODUCT(MAX(($A$2:$A$497=$P279)*ROW($A$2:$A$497))))&amp;" -&gt; "&amp;INDEX($D:$D,SUMPRODUCT(MAX(($A$2:$A$497=$P279)*ROW($A$2:$A$497))))))</f>
        <v xml:space="preserve"> -&gt; </v>
      </c>
    </row>
    <row r="280" spans="1:20">
      <c r="A280" s="31"/>
      <c r="B280" s="32"/>
      <c r="C280" s="31"/>
      <c r="D280" s="31"/>
      <c r="E280" s="31"/>
      <c r="F280" s="31"/>
      <c r="G280" s="31"/>
      <c r="H280" s="32"/>
      <c r="I280" s="32"/>
      <c r="J280" s="32"/>
      <c r="K280" s="31"/>
      <c r="L280" s="31"/>
      <c r="M280" s="3" t="str">
        <f t="shared" ca="1" si="15"/>
        <v/>
      </c>
      <c r="P280">
        <f>'Combined Delivery Data'!B310</f>
        <v>0</v>
      </c>
      <c r="Q280">
        <f t="shared" si="16"/>
        <v>0</v>
      </c>
      <c r="R280">
        <f t="shared" si="17"/>
        <v>452</v>
      </c>
      <c r="S280" s="28">
        <f>IF($P280="","",IF(SUMPRODUCT(MAX(($A$2:$A$497=$P280)*ROW($A$2:$A$497)))=0,"",INDEX($B:$B,SUMPRODUCT(MAX(($A$2:$A$497=$P280)*ROW($A$2:$A$497))))))</f>
        <v>0</v>
      </c>
      <c r="T280" t="str">
        <f>IF($P280="","",IF(SUMPRODUCT(MAX(($A$2:$A$497=$P280)*ROW($A$2:$A$497)))=0,"",INDEX($C:$C,SUMPRODUCT(MAX(($A$2:$A$497=$P280)*ROW($A$2:$A$497))))&amp;" -&gt; "&amp;INDEX($D:$D,SUMPRODUCT(MAX(($A$2:$A$497=$P280)*ROW($A$2:$A$497))))))</f>
        <v xml:space="preserve"> -&gt; </v>
      </c>
    </row>
    <row r="281" spans="1:20">
      <c r="A281" s="31"/>
      <c r="B281" s="32"/>
      <c r="C281" s="31"/>
      <c r="D281" s="31"/>
      <c r="E281" s="31"/>
      <c r="F281" s="31"/>
      <c r="G281" s="31"/>
      <c r="H281" s="32"/>
      <c r="I281" s="32"/>
      <c r="J281" s="32"/>
      <c r="K281" s="31"/>
      <c r="L281" s="31"/>
      <c r="M281" s="3" t="str">
        <f t="shared" ca="1" si="15"/>
        <v/>
      </c>
      <c r="P281">
        <f>'Combined Delivery Data'!B311</f>
        <v>0</v>
      </c>
      <c r="Q281">
        <f t="shared" si="16"/>
        <v>0</v>
      </c>
      <c r="R281">
        <f t="shared" si="17"/>
        <v>452</v>
      </c>
      <c r="S281" s="28">
        <f>IF($P281="","",IF(SUMPRODUCT(MAX(($A$2:$A$497=$P281)*ROW($A$2:$A$497)))=0,"",INDEX($B:$B,SUMPRODUCT(MAX(($A$2:$A$497=$P281)*ROW($A$2:$A$497))))))</f>
        <v>0</v>
      </c>
      <c r="T281" t="str">
        <f>IF($P281="","",IF(SUMPRODUCT(MAX(($A$2:$A$497=$P281)*ROW($A$2:$A$497)))=0,"",INDEX($C:$C,SUMPRODUCT(MAX(($A$2:$A$497=$P281)*ROW($A$2:$A$497))))&amp;" -&gt; "&amp;INDEX($D:$D,SUMPRODUCT(MAX(($A$2:$A$497=$P281)*ROW($A$2:$A$497))))))</f>
        <v xml:space="preserve"> -&gt; </v>
      </c>
    </row>
    <row r="282" spans="1:20">
      <c r="A282" s="31"/>
      <c r="B282" s="32"/>
      <c r="C282" s="31"/>
      <c r="D282" s="31"/>
      <c r="E282" s="31"/>
      <c r="F282" s="31"/>
      <c r="G282" s="31"/>
      <c r="H282" s="32"/>
      <c r="I282" s="32"/>
      <c r="J282" s="32"/>
      <c r="K282" s="31"/>
      <c r="L282" s="31"/>
      <c r="M282" s="3" t="str">
        <f t="shared" ca="1" si="15"/>
        <v/>
      </c>
      <c r="P282">
        <f>'Combined Delivery Data'!B312</f>
        <v>0</v>
      </c>
      <c r="Q282">
        <f t="shared" si="16"/>
        <v>0</v>
      </c>
      <c r="R282">
        <f t="shared" si="17"/>
        <v>452</v>
      </c>
      <c r="S282" s="28">
        <f>IF($P282="","",IF(SUMPRODUCT(MAX(($A$2:$A$497=$P282)*ROW($A$2:$A$497)))=0,"",INDEX($B:$B,SUMPRODUCT(MAX(($A$2:$A$497=$P282)*ROW($A$2:$A$497))))))</f>
        <v>0</v>
      </c>
      <c r="T282" t="str">
        <f>IF($P282="","",IF(SUMPRODUCT(MAX(($A$2:$A$497=$P282)*ROW($A$2:$A$497)))=0,"",INDEX($C:$C,SUMPRODUCT(MAX(($A$2:$A$497=$P282)*ROW($A$2:$A$497))))&amp;" -&gt; "&amp;INDEX($D:$D,SUMPRODUCT(MAX(($A$2:$A$497=$P282)*ROW($A$2:$A$497))))))</f>
        <v xml:space="preserve"> -&gt; </v>
      </c>
    </row>
    <row r="283" spans="1:20">
      <c r="A283" s="31"/>
      <c r="B283" s="32"/>
      <c r="C283" s="31"/>
      <c r="D283" s="31"/>
      <c r="E283" s="31"/>
      <c r="F283" s="31"/>
      <c r="G283" s="31"/>
      <c r="H283" s="32"/>
      <c r="I283" s="32"/>
      <c r="J283" s="32"/>
      <c r="K283" s="31"/>
      <c r="L283" s="31"/>
      <c r="M283" s="3" t="str">
        <f t="shared" ca="1" si="15"/>
        <v/>
      </c>
      <c r="P283">
        <f>'Combined Delivery Data'!B313</f>
        <v>0</v>
      </c>
      <c r="Q283">
        <f t="shared" si="16"/>
        <v>0</v>
      </c>
      <c r="R283">
        <f t="shared" si="17"/>
        <v>452</v>
      </c>
      <c r="S283" s="28">
        <f>IF($P283="","",IF(SUMPRODUCT(MAX(($A$2:$A$497=$P283)*ROW($A$2:$A$497)))=0,"",INDEX($B:$B,SUMPRODUCT(MAX(($A$2:$A$497=$P283)*ROW($A$2:$A$497))))))</f>
        <v>0</v>
      </c>
      <c r="T283" t="str">
        <f>IF($P283="","",IF(SUMPRODUCT(MAX(($A$2:$A$497=$P283)*ROW($A$2:$A$497)))=0,"",INDEX($C:$C,SUMPRODUCT(MAX(($A$2:$A$497=$P283)*ROW($A$2:$A$497))))&amp;" -&gt; "&amp;INDEX($D:$D,SUMPRODUCT(MAX(($A$2:$A$497=$P283)*ROW($A$2:$A$497))))))</f>
        <v xml:space="preserve"> -&gt; </v>
      </c>
    </row>
    <row r="284" spans="1:20">
      <c r="A284" s="31"/>
      <c r="B284" s="32"/>
      <c r="C284" s="31"/>
      <c r="D284" s="31"/>
      <c r="E284" s="31"/>
      <c r="F284" s="31"/>
      <c r="G284" s="31"/>
      <c r="H284" s="32"/>
      <c r="I284" s="32"/>
      <c r="J284" s="32"/>
      <c r="K284" s="31"/>
      <c r="L284" s="31"/>
      <c r="M284" s="3" t="str">
        <f t="shared" ca="1" si="15"/>
        <v/>
      </c>
      <c r="P284">
        <f>'Combined Delivery Data'!B314</f>
        <v>0</v>
      </c>
      <c r="Q284">
        <f t="shared" si="16"/>
        <v>0</v>
      </c>
      <c r="R284">
        <f t="shared" si="17"/>
        <v>452</v>
      </c>
      <c r="S284" s="28">
        <f>IF($P284="","",IF(SUMPRODUCT(MAX(($A$2:$A$497=$P284)*ROW($A$2:$A$497)))=0,"",INDEX($B:$B,SUMPRODUCT(MAX(($A$2:$A$497=$P284)*ROW($A$2:$A$497))))))</f>
        <v>0</v>
      </c>
      <c r="T284" t="str">
        <f>IF($P284="","",IF(SUMPRODUCT(MAX(($A$2:$A$497=$P284)*ROW($A$2:$A$497)))=0,"",INDEX($C:$C,SUMPRODUCT(MAX(($A$2:$A$497=$P284)*ROW($A$2:$A$497))))&amp;" -&gt; "&amp;INDEX($D:$D,SUMPRODUCT(MAX(($A$2:$A$497=$P284)*ROW($A$2:$A$497))))))</f>
        <v xml:space="preserve"> -&gt; </v>
      </c>
    </row>
    <row r="285" spans="1:20">
      <c r="A285" s="31"/>
      <c r="B285" s="32"/>
      <c r="C285" s="31"/>
      <c r="D285" s="31"/>
      <c r="E285" s="31"/>
      <c r="F285" s="31"/>
      <c r="G285" s="31"/>
      <c r="H285" s="32"/>
      <c r="I285" s="32"/>
      <c r="J285" s="32"/>
      <c r="K285" s="31"/>
      <c r="L285" s="31"/>
      <c r="M285" s="3" t="str">
        <f t="shared" ca="1" si="15"/>
        <v/>
      </c>
      <c r="P285">
        <f>'Combined Delivery Data'!B315</f>
        <v>0</v>
      </c>
      <c r="Q285">
        <f t="shared" si="16"/>
        <v>0</v>
      </c>
      <c r="R285">
        <f t="shared" si="17"/>
        <v>452</v>
      </c>
      <c r="S285" s="28">
        <f>IF($P285="","",IF(SUMPRODUCT(MAX(($A$2:$A$497=$P285)*ROW($A$2:$A$497)))=0,"",INDEX($B:$B,SUMPRODUCT(MAX(($A$2:$A$497=$P285)*ROW($A$2:$A$497))))))</f>
        <v>0</v>
      </c>
      <c r="T285" t="str">
        <f>IF($P285="","",IF(SUMPRODUCT(MAX(($A$2:$A$497=$P285)*ROW($A$2:$A$497)))=0,"",INDEX($C:$C,SUMPRODUCT(MAX(($A$2:$A$497=$P285)*ROW($A$2:$A$497))))&amp;" -&gt; "&amp;INDEX($D:$D,SUMPRODUCT(MAX(($A$2:$A$497=$P285)*ROW($A$2:$A$497))))))</f>
        <v xml:space="preserve"> -&gt; </v>
      </c>
    </row>
    <row r="286" spans="1:20">
      <c r="A286" s="31"/>
      <c r="B286" s="32"/>
      <c r="C286" s="31"/>
      <c r="D286" s="31"/>
      <c r="E286" s="31"/>
      <c r="F286" s="31"/>
      <c r="G286" s="31"/>
      <c r="H286" s="32"/>
      <c r="I286" s="32"/>
      <c r="J286" s="32"/>
      <c r="K286" s="31"/>
      <c r="L286" s="31"/>
      <c r="M286" s="3" t="str">
        <f t="shared" ca="1" si="15"/>
        <v/>
      </c>
      <c r="P286">
        <f>'Combined Delivery Data'!B316</f>
        <v>0</v>
      </c>
      <c r="Q286">
        <f t="shared" si="16"/>
        <v>0</v>
      </c>
      <c r="R286">
        <f t="shared" si="17"/>
        <v>452</v>
      </c>
      <c r="S286" s="28">
        <f>IF($P286="","",IF(SUMPRODUCT(MAX(($A$2:$A$497=$P286)*ROW($A$2:$A$497)))=0,"",INDEX($B:$B,SUMPRODUCT(MAX(($A$2:$A$497=$P286)*ROW($A$2:$A$497))))))</f>
        <v>0</v>
      </c>
      <c r="T286" t="str">
        <f>IF($P286="","",IF(SUMPRODUCT(MAX(($A$2:$A$497=$P286)*ROW($A$2:$A$497)))=0,"",INDEX($C:$C,SUMPRODUCT(MAX(($A$2:$A$497=$P286)*ROW($A$2:$A$497))))&amp;" -&gt; "&amp;INDEX($D:$D,SUMPRODUCT(MAX(($A$2:$A$497=$P286)*ROW($A$2:$A$497))))))</f>
        <v xml:space="preserve"> -&gt; </v>
      </c>
    </row>
    <row r="287" spans="1:20">
      <c r="A287" s="31"/>
      <c r="B287" s="32"/>
      <c r="C287" s="31"/>
      <c r="D287" s="31"/>
      <c r="E287" s="31"/>
      <c r="F287" s="31"/>
      <c r="G287" s="31"/>
      <c r="H287" s="32"/>
      <c r="I287" s="32"/>
      <c r="J287" s="32"/>
      <c r="K287" s="31"/>
      <c r="L287" s="31"/>
      <c r="M287" s="3" t="str">
        <f t="shared" ca="1" si="15"/>
        <v/>
      </c>
      <c r="P287">
        <f>'Combined Delivery Data'!B317</f>
        <v>0</v>
      </c>
      <c r="Q287">
        <f t="shared" si="16"/>
        <v>0</v>
      </c>
      <c r="R287">
        <f t="shared" si="17"/>
        <v>452</v>
      </c>
      <c r="S287" s="28">
        <f>IF($P287="","",IF(SUMPRODUCT(MAX(($A$2:$A$497=$P287)*ROW($A$2:$A$497)))=0,"",INDEX($B:$B,SUMPRODUCT(MAX(($A$2:$A$497=$P287)*ROW($A$2:$A$497))))))</f>
        <v>0</v>
      </c>
      <c r="T287" t="str">
        <f>IF($P287="","",IF(SUMPRODUCT(MAX(($A$2:$A$497=$P287)*ROW($A$2:$A$497)))=0,"",INDEX($C:$C,SUMPRODUCT(MAX(($A$2:$A$497=$P287)*ROW($A$2:$A$497))))&amp;" -&gt; "&amp;INDEX($D:$D,SUMPRODUCT(MAX(($A$2:$A$497=$P287)*ROW($A$2:$A$497))))))</f>
        <v xml:space="preserve"> -&gt; </v>
      </c>
    </row>
    <row r="288" spans="1:20">
      <c r="A288" s="31"/>
      <c r="B288" s="32"/>
      <c r="C288" s="31"/>
      <c r="D288" s="31"/>
      <c r="E288" s="31"/>
      <c r="F288" s="31"/>
      <c r="G288" s="31"/>
      <c r="H288" s="32"/>
      <c r="I288" s="32"/>
      <c r="J288" s="32"/>
      <c r="K288" s="31"/>
      <c r="L288" s="31"/>
      <c r="M288" s="3" t="str">
        <f t="shared" ca="1" si="15"/>
        <v/>
      </c>
      <c r="P288">
        <f>'Combined Delivery Data'!B318</f>
        <v>0</v>
      </c>
      <c r="Q288">
        <f t="shared" si="16"/>
        <v>0</v>
      </c>
      <c r="R288">
        <f t="shared" si="17"/>
        <v>452</v>
      </c>
      <c r="S288" s="28">
        <f>IF($P288="","",IF(SUMPRODUCT(MAX(($A$2:$A$497=$P288)*ROW($A$2:$A$497)))=0,"",INDEX($B:$B,SUMPRODUCT(MAX(($A$2:$A$497=$P288)*ROW($A$2:$A$497))))))</f>
        <v>0</v>
      </c>
      <c r="T288" t="str">
        <f>IF($P288="","",IF(SUMPRODUCT(MAX(($A$2:$A$497=$P288)*ROW($A$2:$A$497)))=0,"",INDEX($C:$C,SUMPRODUCT(MAX(($A$2:$A$497=$P288)*ROW($A$2:$A$497))))&amp;" -&gt; "&amp;INDEX($D:$D,SUMPRODUCT(MAX(($A$2:$A$497=$P288)*ROW($A$2:$A$497))))))</f>
        <v xml:space="preserve"> -&gt; </v>
      </c>
    </row>
    <row r="289" spans="1:20">
      <c r="A289" s="31"/>
      <c r="B289" s="32"/>
      <c r="C289" s="31"/>
      <c r="D289" s="31"/>
      <c r="E289" s="31"/>
      <c r="F289" s="31"/>
      <c r="G289" s="31"/>
      <c r="H289" s="32"/>
      <c r="I289" s="32"/>
      <c r="J289" s="32"/>
      <c r="K289" s="31"/>
      <c r="L289" s="31"/>
      <c r="M289" s="3" t="str">
        <f t="shared" ca="1" si="15"/>
        <v/>
      </c>
      <c r="P289">
        <f>'Combined Delivery Data'!B319</f>
        <v>0</v>
      </c>
      <c r="Q289">
        <f t="shared" si="16"/>
        <v>0</v>
      </c>
      <c r="R289">
        <f t="shared" si="17"/>
        <v>452</v>
      </c>
      <c r="S289" s="28">
        <f>IF($P289="","",IF(SUMPRODUCT(MAX(($A$2:$A$497=$P289)*ROW($A$2:$A$497)))=0,"",INDEX($B:$B,SUMPRODUCT(MAX(($A$2:$A$497=$P289)*ROW($A$2:$A$497))))))</f>
        <v>0</v>
      </c>
      <c r="T289" t="str">
        <f>IF($P289="","",IF(SUMPRODUCT(MAX(($A$2:$A$497=$P289)*ROW($A$2:$A$497)))=0,"",INDEX($C:$C,SUMPRODUCT(MAX(($A$2:$A$497=$P289)*ROW($A$2:$A$497))))&amp;" -&gt; "&amp;INDEX($D:$D,SUMPRODUCT(MAX(($A$2:$A$497=$P289)*ROW($A$2:$A$497))))))</f>
        <v xml:space="preserve"> -&gt; </v>
      </c>
    </row>
    <row r="290" spans="1:20">
      <c r="A290" s="31"/>
      <c r="B290" s="32"/>
      <c r="C290" s="31"/>
      <c r="D290" s="31"/>
      <c r="E290" s="31"/>
      <c r="F290" s="31"/>
      <c r="G290" s="31"/>
      <c r="H290" s="32"/>
      <c r="I290" s="32"/>
      <c r="J290" s="32"/>
      <c r="K290" s="31"/>
      <c r="L290" s="31"/>
      <c r="M290" s="3" t="str">
        <f t="shared" ca="1" si="15"/>
        <v/>
      </c>
      <c r="P290">
        <f>'Combined Delivery Data'!B320</f>
        <v>0</v>
      </c>
      <c r="Q290">
        <f t="shared" si="16"/>
        <v>0</v>
      </c>
      <c r="R290">
        <f t="shared" si="17"/>
        <v>452</v>
      </c>
      <c r="S290" s="28">
        <f>IF($P290="","",IF(SUMPRODUCT(MAX(($A$2:$A$497=$P290)*ROW($A$2:$A$497)))=0,"",INDEX($B:$B,SUMPRODUCT(MAX(($A$2:$A$497=$P290)*ROW($A$2:$A$497))))))</f>
        <v>0</v>
      </c>
      <c r="T290" t="str">
        <f>IF($P290="","",IF(SUMPRODUCT(MAX(($A$2:$A$497=$P290)*ROW($A$2:$A$497)))=0,"",INDEX($C:$C,SUMPRODUCT(MAX(($A$2:$A$497=$P290)*ROW($A$2:$A$497))))&amp;" -&gt; "&amp;INDEX($D:$D,SUMPRODUCT(MAX(($A$2:$A$497=$P290)*ROW($A$2:$A$497))))))</f>
        <v xml:space="preserve"> -&gt; </v>
      </c>
    </row>
    <row r="291" spans="1:20">
      <c r="A291" s="31"/>
      <c r="B291" s="32"/>
      <c r="C291" s="31"/>
      <c r="D291" s="31"/>
      <c r="E291" s="31"/>
      <c r="F291" s="31"/>
      <c r="G291" s="31"/>
      <c r="H291" s="32"/>
      <c r="I291" s="32"/>
      <c r="J291" s="32"/>
      <c r="K291" s="31"/>
      <c r="L291" s="31"/>
      <c r="M291" s="3" t="str">
        <f t="shared" ca="1" si="15"/>
        <v/>
      </c>
      <c r="P291">
        <f>'Combined Delivery Data'!B321</f>
        <v>0</v>
      </c>
      <c r="Q291">
        <f t="shared" si="16"/>
        <v>0</v>
      </c>
      <c r="R291">
        <f t="shared" si="17"/>
        <v>452</v>
      </c>
      <c r="S291" s="28">
        <f>IF($P291="","",IF(SUMPRODUCT(MAX(($A$2:$A$497=$P291)*ROW($A$2:$A$497)))=0,"",INDEX($B:$B,SUMPRODUCT(MAX(($A$2:$A$497=$P291)*ROW($A$2:$A$497))))))</f>
        <v>0</v>
      </c>
      <c r="T291" t="str">
        <f>IF($P291="","",IF(SUMPRODUCT(MAX(($A$2:$A$497=$P291)*ROW($A$2:$A$497)))=0,"",INDEX($C:$C,SUMPRODUCT(MAX(($A$2:$A$497=$P291)*ROW($A$2:$A$497))))&amp;" -&gt; "&amp;INDEX($D:$D,SUMPRODUCT(MAX(($A$2:$A$497=$P291)*ROW($A$2:$A$497))))))</f>
        <v xml:space="preserve"> -&gt; </v>
      </c>
    </row>
    <row r="292" spans="1:20">
      <c r="A292" s="31"/>
      <c r="B292" s="32"/>
      <c r="C292" s="31"/>
      <c r="D292" s="31"/>
      <c r="E292" s="31"/>
      <c r="F292" s="31"/>
      <c r="G292" s="31"/>
      <c r="H292" s="32"/>
      <c r="I292" s="32"/>
      <c r="J292" s="32"/>
      <c r="K292" s="31"/>
      <c r="L292" s="31"/>
      <c r="M292" s="3" t="str">
        <f t="shared" ca="1" si="15"/>
        <v/>
      </c>
      <c r="P292">
        <f>'Combined Delivery Data'!B322</f>
        <v>0</v>
      </c>
      <c r="Q292">
        <f t="shared" si="16"/>
        <v>0</v>
      </c>
      <c r="R292">
        <f t="shared" si="17"/>
        <v>452</v>
      </c>
      <c r="S292" s="28">
        <f>IF($P292="","",IF(SUMPRODUCT(MAX(($A$2:$A$497=$P292)*ROW($A$2:$A$497)))=0,"",INDEX($B:$B,SUMPRODUCT(MAX(($A$2:$A$497=$P292)*ROW($A$2:$A$497))))))</f>
        <v>0</v>
      </c>
      <c r="T292" t="str">
        <f>IF($P292="","",IF(SUMPRODUCT(MAX(($A$2:$A$497=$P292)*ROW($A$2:$A$497)))=0,"",INDEX($C:$C,SUMPRODUCT(MAX(($A$2:$A$497=$P292)*ROW($A$2:$A$497))))&amp;" -&gt; "&amp;INDEX($D:$D,SUMPRODUCT(MAX(($A$2:$A$497=$P292)*ROW($A$2:$A$497))))))</f>
        <v xml:space="preserve"> -&gt; </v>
      </c>
    </row>
    <row r="293" spans="1:20">
      <c r="A293" s="31"/>
      <c r="B293" s="32"/>
      <c r="C293" s="31"/>
      <c r="D293" s="31"/>
      <c r="E293" s="31"/>
      <c r="F293" s="31"/>
      <c r="G293" s="31"/>
      <c r="H293" s="32"/>
      <c r="I293" s="32"/>
      <c r="J293" s="32"/>
      <c r="K293" s="31"/>
      <c r="L293" s="31"/>
      <c r="M293" s="3" t="str">
        <f t="shared" ca="1" si="15"/>
        <v/>
      </c>
      <c r="P293">
        <f>'Combined Delivery Data'!B323</f>
        <v>0</v>
      </c>
      <c r="Q293">
        <f t="shared" si="16"/>
        <v>0</v>
      </c>
      <c r="R293">
        <f t="shared" si="17"/>
        <v>452</v>
      </c>
      <c r="S293" s="28">
        <f>IF($P293="","",IF(SUMPRODUCT(MAX(($A$2:$A$497=$P293)*ROW($A$2:$A$497)))=0,"",INDEX($B:$B,SUMPRODUCT(MAX(($A$2:$A$497=$P293)*ROW($A$2:$A$497))))))</f>
        <v>0</v>
      </c>
      <c r="T293" t="str">
        <f>IF($P293="","",IF(SUMPRODUCT(MAX(($A$2:$A$497=$P293)*ROW($A$2:$A$497)))=0,"",INDEX($C:$C,SUMPRODUCT(MAX(($A$2:$A$497=$P293)*ROW($A$2:$A$497))))&amp;" -&gt; "&amp;INDEX($D:$D,SUMPRODUCT(MAX(($A$2:$A$497=$P293)*ROW($A$2:$A$497))))))</f>
        <v xml:space="preserve"> -&gt; </v>
      </c>
    </row>
    <row r="294" spans="1:20">
      <c r="A294" s="31"/>
      <c r="B294" s="32"/>
      <c r="C294" s="31"/>
      <c r="D294" s="31"/>
      <c r="E294" s="31"/>
      <c r="F294" s="31"/>
      <c r="G294" s="31"/>
      <c r="H294" s="32"/>
      <c r="I294" s="32"/>
      <c r="J294" s="32"/>
      <c r="K294" s="31"/>
      <c r="L294" s="31"/>
      <c r="M294" s="3" t="str">
        <f t="shared" ca="1" si="15"/>
        <v/>
      </c>
      <c r="P294">
        <f>'Combined Delivery Data'!B324</f>
        <v>0</v>
      </c>
      <c r="Q294">
        <f t="shared" si="16"/>
        <v>0</v>
      </c>
      <c r="R294">
        <f t="shared" si="17"/>
        <v>452</v>
      </c>
      <c r="S294" s="28">
        <f>IF($P294="","",IF(SUMPRODUCT(MAX(($A$2:$A$497=$P294)*ROW($A$2:$A$497)))=0,"",INDEX($B:$B,SUMPRODUCT(MAX(($A$2:$A$497=$P294)*ROW($A$2:$A$497))))))</f>
        <v>0</v>
      </c>
      <c r="T294" t="str">
        <f>IF($P294="","",IF(SUMPRODUCT(MAX(($A$2:$A$497=$P294)*ROW($A$2:$A$497)))=0,"",INDEX($C:$C,SUMPRODUCT(MAX(($A$2:$A$497=$P294)*ROW($A$2:$A$497))))&amp;" -&gt; "&amp;INDEX($D:$D,SUMPRODUCT(MAX(($A$2:$A$497=$P294)*ROW($A$2:$A$497))))))</f>
        <v xml:space="preserve"> -&gt; </v>
      </c>
    </row>
    <row r="295" spans="1:20">
      <c r="A295" s="31"/>
      <c r="B295" s="32"/>
      <c r="C295" s="31"/>
      <c r="D295" s="31"/>
      <c r="E295" s="31"/>
      <c r="F295" s="31"/>
      <c r="G295" s="31"/>
      <c r="H295" s="32"/>
      <c r="I295" s="32"/>
      <c r="J295" s="32"/>
      <c r="K295" s="31"/>
      <c r="L295" s="31"/>
      <c r="M295" s="3" t="str">
        <f t="shared" ca="1" si="15"/>
        <v/>
      </c>
      <c r="P295">
        <f>'Combined Delivery Data'!B325</f>
        <v>0</v>
      </c>
      <c r="Q295">
        <f t="shared" si="16"/>
        <v>0</v>
      </c>
      <c r="R295">
        <f t="shared" si="17"/>
        <v>452</v>
      </c>
      <c r="S295" s="28">
        <f>IF($P295="","",IF(SUMPRODUCT(MAX(($A$2:$A$497=$P295)*ROW($A$2:$A$497)))=0,"",INDEX($B:$B,SUMPRODUCT(MAX(($A$2:$A$497=$P295)*ROW($A$2:$A$497))))))</f>
        <v>0</v>
      </c>
      <c r="T295" t="str">
        <f>IF($P295="","",IF(SUMPRODUCT(MAX(($A$2:$A$497=$P295)*ROW($A$2:$A$497)))=0,"",INDEX($C:$C,SUMPRODUCT(MAX(($A$2:$A$497=$P295)*ROW($A$2:$A$497))))&amp;" -&gt; "&amp;INDEX($D:$D,SUMPRODUCT(MAX(($A$2:$A$497=$P295)*ROW($A$2:$A$497))))))</f>
        <v xml:space="preserve"> -&gt; </v>
      </c>
    </row>
    <row r="296" spans="1:20">
      <c r="A296" s="31"/>
      <c r="B296" s="32"/>
      <c r="C296" s="31"/>
      <c r="D296" s="31"/>
      <c r="E296" s="31"/>
      <c r="F296" s="31"/>
      <c r="G296" s="31"/>
      <c r="H296" s="32"/>
      <c r="I296" s="32"/>
      <c r="J296" s="32"/>
      <c r="K296" s="31"/>
      <c r="L296" s="31"/>
      <c r="M296" s="3" t="str">
        <f t="shared" ca="1" si="15"/>
        <v/>
      </c>
      <c r="P296">
        <f>'Combined Delivery Data'!B326</f>
        <v>0</v>
      </c>
      <c r="Q296">
        <f t="shared" si="16"/>
        <v>0</v>
      </c>
      <c r="R296">
        <f t="shared" si="17"/>
        <v>452</v>
      </c>
      <c r="S296" s="28">
        <f>IF($P296="","",IF(SUMPRODUCT(MAX(($A$2:$A$497=$P296)*ROW($A$2:$A$497)))=0,"",INDEX($B:$B,SUMPRODUCT(MAX(($A$2:$A$497=$P296)*ROW($A$2:$A$497))))))</f>
        <v>0</v>
      </c>
      <c r="T296" t="str">
        <f>IF($P296="","",IF(SUMPRODUCT(MAX(($A$2:$A$497=$P296)*ROW($A$2:$A$497)))=0,"",INDEX($C:$C,SUMPRODUCT(MAX(($A$2:$A$497=$P296)*ROW($A$2:$A$497))))&amp;" -&gt; "&amp;INDEX($D:$D,SUMPRODUCT(MAX(($A$2:$A$497=$P296)*ROW($A$2:$A$497))))))</f>
        <v xml:space="preserve"> -&gt; </v>
      </c>
    </row>
    <row r="297" spans="1:20">
      <c r="A297" s="31"/>
      <c r="B297" s="32"/>
      <c r="C297" s="31"/>
      <c r="D297" s="31"/>
      <c r="E297" s="31"/>
      <c r="F297" s="31"/>
      <c r="G297" s="31"/>
      <c r="H297" s="32"/>
      <c r="I297" s="32"/>
      <c r="J297" s="32"/>
      <c r="K297" s="31"/>
      <c r="L297" s="31"/>
      <c r="M297" s="3" t="str">
        <f t="shared" ca="1" si="15"/>
        <v/>
      </c>
      <c r="P297">
        <f>'Combined Delivery Data'!B327</f>
        <v>0</v>
      </c>
      <c r="Q297">
        <f t="shared" si="16"/>
        <v>0</v>
      </c>
      <c r="R297">
        <f t="shared" si="17"/>
        <v>452</v>
      </c>
      <c r="S297" s="28">
        <f>IF($P297="","",IF(SUMPRODUCT(MAX(($A$2:$A$497=$P297)*ROW($A$2:$A$497)))=0,"",INDEX($B:$B,SUMPRODUCT(MAX(($A$2:$A$497=$P297)*ROW($A$2:$A$497))))))</f>
        <v>0</v>
      </c>
      <c r="T297" t="str">
        <f>IF($P297="","",IF(SUMPRODUCT(MAX(($A$2:$A$497=$P297)*ROW($A$2:$A$497)))=0,"",INDEX($C:$C,SUMPRODUCT(MAX(($A$2:$A$497=$P297)*ROW($A$2:$A$497))))&amp;" -&gt; "&amp;INDEX($D:$D,SUMPRODUCT(MAX(($A$2:$A$497=$P297)*ROW($A$2:$A$497))))))</f>
        <v xml:space="preserve"> -&gt; </v>
      </c>
    </row>
    <row r="298" spans="1:20">
      <c r="A298" s="31"/>
      <c r="B298" s="32"/>
      <c r="C298" s="31"/>
      <c r="D298" s="31"/>
      <c r="E298" s="31"/>
      <c r="F298" s="31"/>
      <c r="G298" s="31"/>
      <c r="H298" s="32"/>
      <c r="I298" s="32"/>
      <c r="J298" s="32"/>
      <c r="K298" s="31"/>
      <c r="L298" s="31"/>
      <c r="M298" s="3" t="str">
        <f t="shared" ca="1" si="15"/>
        <v/>
      </c>
      <c r="P298">
        <f>'Combined Delivery Data'!B328</f>
        <v>0</v>
      </c>
      <c r="Q298">
        <f t="shared" si="16"/>
        <v>0</v>
      </c>
      <c r="R298">
        <f t="shared" si="17"/>
        <v>452</v>
      </c>
      <c r="S298" s="28">
        <f>IF($P298="","",IF(SUMPRODUCT(MAX(($A$2:$A$497=$P298)*ROW($A$2:$A$497)))=0,"",INDEX($B:$B,SUMPRODUCT(MAX(($A$2:$A$497=$P298)*ROW($A$2:$A$497))))))</f>
        <v>0</v>
      </c>
      <c r="T298" t="str">
        <f>IF($P298="","",IF(SUMPRODUCT(MAX(($A$2:$A$497=$P298)*ROW($A$2:$A$497)))=0,"",INDEX($C:$C,SUMPRODUCT(MAX(($A$2:$A$497=$P298)*ROW($A$2:$A$497))))&amp;" -&gt; "&amp;INDEX($D:$D,SUMPRODUCT(MAX(($A$2:$A$497=$P298)*ROW($A$2:$A$497))))))</f>
        <v xml:space="preserve"> -&gt; </v>
      </c>
    </row>
    <row r="299" spans="1:20">
      <c r="A299" s="31"/>
      <c r="B299" s="32"/>
      <c r="C299" s="31"/>
      <c r="D299" s="31"/>
      <c r="E299" s="31"/>
      <c r="F299" s="31"/>
      <c r="G299" s="31"/>
      <c r="H299" s="32"/>
      <c r="I299" s="32"/>
      <c r="J299" s="32"/>
      <c r="K299" s="31"/>
      <c r="L299" s="31"/>
      <c r="M299" s="3" t="str">
        <f t="shared" ca="1" si="15"/>
        <v/>
      </c>
      <c r="P299">
        <f>'Combined Delivery Data'!B329</f>
        <v>0</v>
      </c>
      <c r="Q299">
        <f t="shared" si="16"/>
        <v>0</v>
      </c>
      <c r="R299">
        <f t="shared" si="17"/>
        <v>452</v>
      </c>
      <c r="S299" s="28">
        <f>IF($P299="","",IF(SUMPRODUCT(MAX(($A$2:$A$497=$P299)*ROW($A$2:$A$497)))=0,"",INDEX($B:$B,SUMPRODUCT(MAX(($A$2:$A$497=$P299)*ROW($A$2:$A$497))))))</f>
        <v>0</v>
      </c>
      <c r="T299" t="str">
        <f>IF($P299="","",IF(SUMPRODUCT(MAX(($A$2:$A$497=$P299)*ROW($A$2:$A$497)))=0,"",INDEX($C:$C,SUMPRODUCT(MAX(($A$2:$A$497=$P299)*ROW($A$2:$A$497))))&amp;" -&gt; "&amp;INDEX($D:$D,SUMPRODUCT(MAX(($A$2:$A$497=$P299)*ROW($A$2:$A$497))))))</f>
        <v xml:space="preserve"> -&gt; </v>
      </c>
    </row>
    <row r="300" spans="1:20">
      <c r="A300" s="31"/>
      <c r="B300" s="32"/>
      <c r="C300" s="31"/>
      <c r="D300" s="31"/>
      <c r="E300" s="31"/>
      <c r="F300" s="31"/>
      <c r="G300" s="31"/>
      <c r="H300" s="32"/>
      <c r="I300" s="32"/>
      <c r="J300" s="32"/>
      <c r="K300" s="31"/>
      <c r="L300" s="31"/>
      <c r="M300" s="3" t="str">
        <f t="shared" ca="1" si="15"/>
        <v/>
      </c>
      <c r="P300">
        <f>'Combined Delivery Data'!B330</f>
        <v>0</v>
      </c>
      <c r="Q300">
        <f t="shared" si="16"/>
        <v>0</v>
      </c>
      <c r="R300">
        <f t="shared" si="17"/>
        <v>452</v>
      </c>
      <c r="S300" s="28">
        <f>IF($P300="","",IF(SUMPRODUCT(MAX(($A$2:$A$497=$P300)*ROW($A$2:$A$497)))=0,"",INDEX($B:$B,SUMPRODUCT(MAX(($A$2:$A$497=$P300)*ROW($A$2:$A$497))))))</f>
        <v>0</v>
      </c>
      <c r="T300" t="str">
        <f>IF($P300="","",IF(SUMPRODUCT(MAX(($A$2:$A$497=$P300)*ROW($A$2:$A$497)))=0,"",INDEX($C:$C,SUMPRODUCT(MAX(($A$2:$A$497=$P300)*ROW($A$2:$A$497))))&amp;" -&gt; "&amp;INDEX($D:$D,SUMPRODUCT(MAX(($A$2:$A$497=$P300)*ROW($A$2:$A$497))))))</f>
        <v xml:space="preserve"> -&gt; </v>
      </c>
    </row>
    <row r="301" spans="1:20">
      <c r="A301" s="31"/>
      <c r="B301" s="32"/>
      <c r="C301" s="31"/>
      <c r="D301" s="31"/>
      <c r="E301" s="31"/>
      <c r="F301" s="31"/>
      <c r="G301" s="31"/>
      <c r="H301" s="32"/>
      <c r="I301" s="32"/>
      <c r="J301" s="32"/>
      <c r="K301" s="31"/>
      <c r="L301" s="31"/>
      <c r="M301" s="3" t="str">
        <f t="shared" ca="1" si="15"/>
        <v/>
      </c>
      <c r="P301">
        <f>'Combined Delivery Data'!B331</f>
        <v>0</v>
      </c>
      <c r="Q301">
        <f t="shared" si="16"/>
        <v>0</v>
      </c>
      <c r="R301">
        <f t="shared" si="17"/>
        <v>452</v>
      </c>
      <c r="S301" s="28">
        <f>IF($P301="","",IF(SUMPRODUCT(MAX(($A$2:$A$497=$P301)*ROW($A$2:$A$497)))=0,"",INDEX($B:$B,SUMPRODUCT(MAX(($A$2:$A$497=$P301)*ROW($A$2:$A$497))))))</f>
        <v>0</v>
      </c>
      <c r="T301" t="str">
        <f>IF($P301="","",IF(SUMPRODUCT(MAX(($A$2:$A$497=$P301)*ROW($A$2:$A$497)))=0,"",INDEX($C:$C,SUMPRODUCT(MAX(($A$2:$A$497=$P301)*ROW($A$2:$A$497))))&amp;" -&gt; "&amp;INDEX($D:$D,SUMPRODUCT(MAX(($A$2:$A$497=$P301)*ROW($A$2:$A$497))))))</f>
        <v xml:space="preserve"> -&gt; </v>
      </c>
    </row>
    <row r="302" spans="1:20">
      <c r="A302" s="31"/>
      <c r="B302" s="32"/>
      <c r="C302" s="31"/>
      <c r="D302" s="31"/>
      <c r="E302" s="31"/>
      <c r="F302" s="31"/>
      <c r="G302" s="31"/>
      <c r="H302" s="32"/>
      <c r="I302" s="32"/>
      <c r="J302" s="32"/>
      <c r="K302" s="31"/>
      <c r="L302" s="31"/>
      <c r="M302" s="3" t="str">
        <f t="shared" ca="1" si="15"/>
        <v/>
      </c>
      <c r="P302">
        <f>'Combined Delivery Data'!B332</f>
        <v>0</v>
      </c>
      <c r="Q302">
        <f t="shared" si="16"/>
        <v>0</v>
      </c>
      <c r="R302">
        <f t="shared" si="17"/>
        <v>452</v>
      </c>
      <c r="S302" s="28">
        <f>IF($P302="","",IF(SUMPRODUCT(MAX(($A$2:$A$497=$P302)*ROW($A$2:$A$497)))=0,"",INDEX($B:$B,SUMPRODUCT(MAX(($A$2:$A$497=$P302)*ROW($A$2:$A$497))))))</f>
        <v>0</v>
      </c>
      <c r="T302" t="str">
        <f>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15"/>
        <v/>
      </c>
      <c r="P303">
        <f>'Combined Delivery Data'!B333</f>
        <v>0</v>
      </c>
      <c r="Q303">
        <f t="shared" si="16"/>
        <v>0</v>
      </c>
      <c r="R303">
        <f t="shared" si="17"/>
        <v>452</v>
      </c>
      <c r="S303" s="28">
        <f>IF($P303="","",IF(SUMPRODUCT(MAX(($A$2:$A$497=$P303)*ROW($A$2:$A$497)))=0,"",INDEX($B:$B,SUMPRODUCT(MAX(($A$2:$A$497=$P303)*ROW($A$2:$A$497))))))</f>
        <v>0</v>
      </c>
      <c r="T303" t="str">
        <f>IF($P303="","",IF(SUMPRODUCT(MAX(($A$2:$A$497=$P303)*ROW($A$2:$A$497)))=0,"",INDEX($C:$C,SUMPRODUCT(MAX(($A$2:$A$497=$P303)*ROW($A$2:$A$497))))&amp;" -&gt; "&amp;INDEX($D:$D,SUMPRODUCT(MAX(($A$2:$A$497=$P303)*ROW($A$2:$A$497))))))</f>
        <v xml:space="preserve"> -&gt; </v>
      </c>
    </row>
    <row r="304" spans="1:20">
      <c r="A304" s="31"/>
      <c r="B304" s="32"/>
      <c r="C304" s="31"/>
      <c r="D304" s="31"/>
      <c r="E304" s="31"/>
      <c r="F304" s="31"/>
      <c r="G304" s="31"/>
      <c r="H304" s="32"/>
      <c r="I304" s="32"/>
      <c r="J304" s="32"/>
      <c r="K304" s="31"/>
      <c r="L304" s="31"/>
      <c r="M304" s="3" t="str">
        <f t="shared" ca="1" si="15"/>
        <v/>
      </c>
      <c r="P304">
        <f>'Combined Delivery Data'!B334</f>
        <v>0</v>
      </c>
      <c r="Q304">
        <f t="shared" si="16"/>
        <v>0</v>
      </c>
      <c r="R304">
        <f t="shared" si="17"/>
        <v>452</v>
      </c>
      <c r="S304" s="28">
        <f>IF($P304="","",IF(SUMPRODUCT(MAX(($A$2:$A$497=$P304)*ROW($A$2:$A$497)))=0,"",INDEX($B:$B,SUMPRODUCT(MAX(($A$2:$A$497=$P304)*ROW($A$2:$A$497))))))</f>
        <v>0</v>
      </c>
      <c r="T304" t="str">
        <f>IF($P304="","",IF(SUMPRODUCT(MAX(($A$2:$A$497=$P304)*ROW($A$2:$A$497)))=0,"",INDEX($C:$C,SUMPRODUCT(MAX(($A$2:$A$497=$P304)*ROW($A$2:$A$497))))&amp;" -&gt; "&amp;INDEX($D:$D,SUMPRODUCT(MAX(($A$2:$A$497=$P304)*ROW($A$2:$A$497))))))</f>
        <v xml:space="preserve"> -&gt; </v>
      </c>
    </row>
    <row r="305" spans="1:20">
      <c r="A305" s="31"/>
      <c r="B305" s="32"/>
      <c r="C305" s="31"/>
      <c r="D305" s="31"/>
      <c r="E305" s="31"/>
      <c r="F305" s="31"/>
      <c r="G305" s="31"/>
      <c r="H305" s="32"/>
      <c r="I305" s="32"/>
      <c r="J305" s="32"/>
      <c r="K305" s="31"/>
      <c r="L305" s="31"/>
      <c r="M305" s="3" t="str">
        <f t="shared" ca="1" si="15"/>
        <v/>
      </c>
      <c r="P305">
        <f>'Combined Delivery Data'!B335</f>
        <v>0</v>
      </c>
      <c r="Q305">
        <f t="shared" si="16"/>
        <v>0</v>
      </c>
      <c r="R305">
        <f t="shared" si="17"/>
        <v>452</v>
      </c>
      <c r="S305" s="28">
        <f>IF($P305="","",IF(SUMPRODUCT(MAX(($A$2:$A$497=$P305)*ROW($A$2:$A$497)))=0,"",INDEX($B:$B,SUMPRODUCT(MAX(($A$2:$A$497=$P305)*ROW($A$2:$A$497))))))</f>
        <v>0</v>
      </c>
      <c r="T305" t="str">
        <f>IF($P305="","",IF(SUMPRODUCT(MAX(($A$2:$A$497=$P305)*ROW($A$2:$A$497)))=0,"",INDEX($C:$C,SUMPRODUCT(MAX(($A$2:$A$497=$P305)*ROW($A$2:$A$497))))&amp;" -&gt; "&amp;INDEX($D:$D,SUMPRODUCT(MAX(($A$2:$A$497=$P305)*ROW($A$2:$A$497))))))</f>
        <v xml:space="preserve"> -&gt; </v>
      </c>
    </row>
    <row r="306" spans="1:20">
      <c r="A306" s="31"/>
      <c r="B306" s="32"/>
      <c r="C306" s="31"/>
      <c r="D306" s="31"/>
      <c r="E306" s="31"/>
      <c r="F306" s="31"/>
      <c r="G306" s="31"/>
      <c r="H306" s="32"/>
      <c r="I306" s="32"/>
      <c r="J306" s="32"/>
      <c r="K306" s="31"/>
      <c r="L306" s="31"/>
      <c r="M306" s="3" t="str">
        <f t="shared" ca="1" si="15"/>
        <v/>
      </c>
      <c r="P306">
        <f>'Combined Delivery Data'!B336</f>
        <v>0</v>
      </c>
      <c r="Q306">
        <f t="shared" si="16"/>
        <v>0</v>
      </c>
      <c r="R306">
        <f t="shared" si="17"/>
        <v>452</v>
      </c>
      <c r="S306" s="28">
        <f>IF($P306="","",IF(SUMPRODUCT(MAX(($A$2:$A$497=$P306)*ROW($A$2:$A$497)))=0,"",INDEX($B:$B,SUMPRODUCT(MAX(($A$2:$A$497=$P306)*ROW($A$2:$A$497))))))</f>
        <v>0</v>
      </c>
      <c r="T306" t="str">
        <f>IF($P306="","",IF(SUMPRODUCT(MAX(($A$2:$A$497=$P306)*ROW($A$2:$A$497)))=0,"",INDEX($C:$C,SUMPRODUCT(MAX(($A$2:$A$497=$P306)*ROW($A$2:$A$497))))&amp;" -&gt; "&amp;INDEX($D:$D,SUMPRODUCT(MAX(($A$2:$A$497=$P306)*ROW($A$2:$A$497))))))</f>
        <v xml:space="preserve"> -&gt; </v>
      </c>
    </row>
    <row r="307" spans="1:20">
      <c r="A307" s="31"/>
      <c r="B307" s="32"/>
      <c r="C307" s="31"/>
      <c r="D307" s="31"/>
      <c r="E307" s="31"/>
      <c r="F307" s="31"/>
      <c r="G307" s="31"/>
      <c r="H307" s="32"/>
      <c r="I307" s="32"/>
      <c r="J307" s="32"/>
      <c r="K307" s="31"/>
      <c r="L307" s="31"/>
      <c r="M307" s="3" t="str">
        <f t="shared" ca="1" si="15"/>
        <v/>
      </c>
      <c r="P307">
        <f>'Combined Delivery Data'!B337</f>
        <v>0</v>
      </c>
      <c r="Q307">
        <f t="shared" si="16"/>
        <v>0</v>
      </c>
      <c r="R307">
        <f t="shared" si="17"/>
        <v>452</v>
      </c>
      <c r="S307" s="28">
        <f>IF($P307="","",IF(SUMPRODUCT(MAX(($A$2:$A$497=$P307)*ROW($A$2:$A$497)))=0,"",INDEX($B:$B,SUMPRODUCT(MAX(($A$2:$A$497=$P307)*ROW($A$2:$A$497))))))</f>
        <v>0</v>
      </c>
      <c r="T307" t="str">
        <f>IF($P307="","",IF(SUMPRODUCT(MAX(($A$2:$A$497=$P307)*ROW($A$2:$A$497)))=0,"",INDEX($C:$C,SUMPRODUCT(MAX(($A$2:$A$497=$P307)*ROW($A$2:$A$497))))&amp;" -&gt; "&amp;INDEX($D:$D,SUMPRODUCT(MAX(($A$2:$A$497=$P307)*ROW($A$2:$A$497))))))</f>
        <v xml:space="preserve"> -&gt; </v>
      </c>
    </row>
    <row r="308" spans="1:20">
      <c r="A308" s="31"/>
      <c r="B308" s="32"/>
      <c r="C308" s="31"/>
      <c r="D308" s="31"/>
      <c r="E308" s="31"/>
      <c r="F308" s="31"/>
      <c r="G308" s="31"/>
      <c r="H308" s="32"/>
      <c r="I308" s="32"/>
      <c r="J308" s="32"/>
      <c r="K308" s="31"/>
      <c r="L308" s="31"/>
      <c r="M308" s="3" t="str">
        <f t="shared" ca="1" si="15"/>
        <v/>
      </c>
      <c r="P308">
        <f>'Combined Delivery Data'!B338</f>
        <v>0</v>
      </c>
      <c r="Q308">
        <f t="shared" si="16"/>
        <v>0</v>
      </c>
      <c r="R308">
        <f t="shared" si="17"/>
        <v>452</v>
      </c>
      <c r="S308" s="28">
        <f>IF($P308="","",IF(SUMPRODUCT(MAX(($A$2:$A$497=$P308)*ROW($A$2:$A$497)))=0,"",INDEX($B:$B,SUMPRODUCT(MAX(($A$2:$A$497=$P308)*ROW($A$2:$A$497))))))</f>
        <v>0</v>
      </c>
      <c r="T308" t="str">
        <f>IF($P308="","",IF(SUMPRODUCT(MAX(($A$2:$A$497=$P308)*ROW($A$2:$A$497)))=0,"",INDEX($C:$C,SUMPRODUCT(MAX(($A$2:$A$497=$P308)*ROW($A$2:$A$497))))&amp;" -&gt; "&amp;INDEX($D:$D,SUMPRODUCT(MAX(($A$2:$A$497=$P308)*ROW($A$2:$A$497))))))</f>
        <v xml:space="preserve"> -&gt; </v>
      </c>
    </row>
    <row r="309" spans="1:20">
      <c r="A309" s="31"/>
      <c r="B309" s="32"/>
      <c r="C309" s="31"/>
      <c r="D309" s="31"/>
      <c r="E309" s="31"/>
      <c r="F309" s="31"/>
      <c r="G309" s="31"/>
      <c r="H309" s="32"/>
      <c r="I309" s="32"/>
      <c r="J309" s="32"/>
      <c r="K309" s="31"/>
      <c r="L309" s="31"/>
      <c r="M309" s="3" t="str">
        <f t="shared" ca="1" si="15"/>
        <v/>
      </c>
      <c r="P309">
        <f>'Combined Delivery Data'!B339</f>
        <v>0</v>
      </c>
      <c r="Q309">
        <f t="shared" si="16"/>
        <v>0</v>
      </c>
      <c r="R309">
        <f t="shared" si="17"/>
        <v>452</v>
      </c>
      <c r="S309" s="28">
        <f>IF($P309="","",IF(SUMPRODUCT(MAX(($A$2:$A$497=$P309)*ROW($A$2:$A$497)))=0,"",INDEX($B:$B,SUMPRODUCT(MAX(($A$2:$A$497=$P309)*ROW($A$2:$A$497))))))</f>
        <v>0</v>
      </c>
      <c r="T309" t="str">
        <f>IF($P309="","",IF(SUMPRODUCT(MAX(($A$2:$A$497=$P309)*ROW($A$2:$A$497)))=0,"",INDEX($C:$C,SUMPRODUCT(MAX(($A$2:$A$497=$P309)*ROW($A$2:$A$497))))&amp;" -&gt; "&amp;INDEX($D:$D,SUMPRODUCT(MAX(($A$2:$A$497=$P309)*ROW($A$2:$A$497))))))</f>
        <v xml:space="preserve"> -&gt; </v>
      </c>
    </row>
    <row r="310" spans="1:20">
      <c r="A310" s="31"/>
      <c r="B310" s="32"/>
      <c r="C310" s="31"/>
      <c r="D310" s="31"/>
      <c r="E310" s="31"/>
      <c r="F310" s="31"/>
      <c r="G310" s="31"/>
      <c r="H310" s="32"/>
      <c r="I310" s="32"/>
      <c r="J310" s="32"/>
      <c r="K310" s="31"/>
      <c r="L310" s="31"/>
      <c r="M310" s="3" t="str">
        <f t="shared" ca="1" si="15"/>
        <v/>
      </c>
      <c r="P310">
        <f>'Combined Delivery Data'!B340</f>
        <v>0</v>
      </c>
      <c r="Q310">
        <f t="shared" si="16"/>
        <v>0</v>
      </c>
      <c r="R310">
        <f t="shared" si="17"/>
        <v>452</v>
      </c>
      <c r="S310" s="28">
        <f>IF($P310="","",IF(SUMPRODUCT(MAX(($A$2:$A$497=$P310)*ROW($A$2:$A$497)))=0,"",INDEX($B:$B,SUMPRODUCT(MAX(($A$2:$A$497=$P310)*ROW($A$2:$A$497))))))</f>
        <v>0</v>
      </c>
      <c r="T310" t="str">
        <f>IF($P310="","",IF(SUMPRODUCT(MAX(($A$2:$A$497=$P310)*ROW($A$2:$A$497)))=0,"",INDEX($C:$C,SUMPRODUCT(MAX(($A$2:$A$497=$P310)*ROW($A$2:$A$497))))&amp;" -&gt; "&amp;INDEX($D:$D,SUMPRODUCT(MAX(($A$2:$A$497=$P310)*ROW($A$2:$A$497))))))</f>
        <v xml:space="preserve"> -&gt; </v>
      </c>
    </row>
    <row r="311" spans="1:20">
      <c r="A311" s="31"/>
      <c r="B311" s="32"/>
      <c r="C311" s="31"/>
      <c r="D311" s="31"/>
      <c r="E311" s="31"/>
      <c r="F311" s="31"/>
      <c r="G311" s="31"/>
      <c r="H311" s="32"/>
      <c r="I311" s="32"/>
      <c r="J311" s="32"/>
      <c r="K311" s="31"/>
      <c r="L311" s="31"/>
      <c r="M311" s="3" t="str">
        <f t="shared" ca="1" si="15"/>
        <v/>
      </c>
      <c r="P311">
        <f>'Combined Delivery Data'!B341</f>
        <v>0</v>
      </c>
      <c r="Q311">
        <f t="shared" si="16"/>
        <v>0</v>
      </c>
      <c r="R311">
        <f t="shared" si="17"/>
        <v>452</v>
      </c>
      <c r="S311" s="28">
        <f>IF($P311="","",IF(SUMPRODUCT(MAX(($A$2:$A$497=$P311)*ROW($A$2:$A$497)))=0,"",INDEX($B:$B,SUMPRODUCT(MAX(($A$2:$A$497=$P311)*ROW($A$2:$A$497))))))</f>
        <v>0</v>
      </c>
      <c r="T311" t="str">
        <f>IF($P311="","",IF(SUMPRODUCT(MAX(($A$2:$A$497=$P311)*ROW($A$2:$A$497)))=0,"",INDEX($C:$C,SUMPRODUCT(MAX(($A$2:$A$497=$P311)*ROW($A$2:$A$497))))&amp;" -&gt; "&amp;INDEX($D:$D,SUMPRODUCT(MAX(($A$2:$A$497=$P311)*ROW($A$2:$A$497))))))</f>
        <v xml:space="preserve"> -&gt; </v>
      </c>
    </row>
    <row r="312" spans="1:20">
      <c r="A312" s="31"/>
      <c r="B312" s="32"/>
      <c r="C312" s="31"/>
      <c r="D312" s="31"/>
      <c r="E312" s="31"/>
      <c r="F312" s="31"/>
      <c r="G312" s="31"/>
      <c r="H312" s="32"/>
      <c r="I312" s="32"/>
      <c r="J312" s="32"/>
      <c r="K312" s="31"/>
      <c r="L312" s="31"/>
      <c r="M312" s="3" t="str">
        <f t="shared" ca="1" si="15"/>
        <v/>
      </c>
      <c r="P312">
        <f>'Combined Delivery Data'!B342</f>
        <v>0</v>
      </c>
      <c r="Q312">
        <f t="shared" si="16"/>
        <v>0</v>
      </c>
      <c r="R312">
        <f t="shared" si="17"/>
        <v>452</v>
      </c>
      <c r="S312" s="28">
        <f>IF($P312="","",IF(SUMPRODUCT(MAX(($A$2:$A$497=$P312)*ROW($A$2:$A$497)))=0,"",INDEX($B:$B,SUMPRODUCT(MAX(($A$2:$A$497=$P312)*ROW($A$2:$A$497))))))</f>
        <v>0</v>
      </c>
      <c r="T312" t="str">
        <f>IF($P312="","",IF(SUMPRODUCT(MAX(($A$2:$A$497=$P312)*ROW($A$2:$A$497)))=0,"",INDEX($C:$C,SUMPRODUCT(MAX(($A$2:$A$497=$P312)*ROW($A$2:$A$497))))&amp;" -&gt; "&amp;INDEX($D:$D,SUMPRODUCT(MAX(($A$2:$A$497=$P312)*ROW($A$2:$A$497))))))</f>
        <v xml:space="preserve"> -&gt; </v>
      </c>
    </row>
    <row r="313" spans="1:20">
      <c r="A313" s="31"/>
      <c r="B313" s="32"/>
      <c r="C313" s="31"/>
      <c r="D313" s="31"/>
      <c r="E313" s="31"/>
      <c r="F313" s="31"/>
      <c r="G313" s="31"/>
      <c r="H313" s="32"/>
      <c r="I313" s="32"/>
      <c r="J313" s="32"/>
      <c r="K313" s="31"/>
      <c r="L313" s="31"/>
      <c r="M313" s="3" t="str">
        <f t="shared" ca="1" si="15"/>
        <v/>
      </c>
      <c r="P313">
        <f>'Combined Delivery Data'!B343</f>
        <v>0</v>
      </c>
      <c r="Q313">
        <f t="shared" si="16"/>
        <v>0</v>
      </c>
      <c r="R313">
        <f t="shared" si="17"/>
        <v>452</v>
      </c>
      <c r="S313" s="28">
        <f>IF($P313="","",IF(SUMPRODUCT(MAX(($A$2:$A$497=$P313)*ROW($A$2:$A$497)))=0,"",INDEX($B:$B,SUMPRODUCT(MAX(($A$2:$A$497=$P313)*ROW($A$2:$A$497))))))</f>
        <v>0</v>
      </c>
      <c r="T313" t="str">
        <f>IF($P313="","",IF(SUMPRODUCT(MAX(($A$2:$A$497=$P313)*ROW($A$2:$A$497)))=0,"",INDEX($C:$C,SUMPRODUCT(MAX(($A$2:$A$497=$P313)*ROW($A$2:$A$497))))&amp;" -&gt; "&amp;INDEX($D:$D,SUMPRODUCT(MAX(($A$2:$A$497=$P313)*ROW($A$2:$A$497))))))</f>
        <v xml:space="preserve"> -&gt; </v>
      </c>
    </row>
    <row r="314" spans="1:20">
      <c r="A314" s="31"/>
      <c r="B314" s="32"/>
      <c r="C314" s="31"/>
      <c r="D314" s="31"/>
      <c r="E314" s="31"/>
      <c r="F314" s="31"/>
      <c r="G314" s="31"/>
      <c r="H314" s="32"/>
      <c r="I314" s="32"/>
      <c r="J314" s="32"/>
      <c r="K314" s="31"/>
      <c r="L314" s="31"/>
      <c r="M314" s="3" t="str">
        <f t="shared" ca="1" si="15"/>
        <v/>
      </c>
      <c r="P314">
        <f>'Combined Delivery Data'!B344</f>
        <v>0</v>
      </c>
      <c r="Q314">
        <f t="shared" si="16"/>
        <v>0</v>
      </c>
      <c r="R314">
        <f t="shared" si="17"/>
        <v>452</v>
      </c>
      <c r="S314" s="28">
        <f>IF($P314="","",IF(SUMPRODUCT(MAX(($A$2:$A$497=$P314)*ROW($A$2:$A$497)))=0,"",INDEX($B:$B,SUMPRODUCT(MAX(($A$2:$A$497=$P314)*ROW($A$2:$A$497))))))</f>
        <v>0</v>
      </c>
      <c r="T314" t="str">
        <f>IF($P314="","",IF(SUMPRODUCT(MAX(($A$2:$A$497=$P314)*ROW($A$2:$A$497)))=0,"",INDEX($C:$C,SUMPRODUCT(MAX(($A$2:$A$497=$P314)*ROW($A$2:$A$497))))&amp;" -&gt; "&amp;INDEX($D:$D,SUMPRODUCT(MAX(($A$2:$A$497=$P314)*ROW($A$2:$A$497))))))</f>
        <v xml:space="preserve"> -&gt; </v>
      </c>
    </row>
    <row r="315" spans="1:20">
      <c r="A315" s="31"/>
      <c r="B315" s="32"/>
      <c r="C315" s="31"/>
      <c r="D315" s="31"/>
      <c r="E315" s="31"/>
      <c r="F315" s="31"/>
      <c r="G315" s="31"/>
      <c r="H315" s="32"/>
      <c r="I315" s="32"/>
      <c r="J315" s="32"/>
      <c r="K315" s="31"/>
      <c r="L315" s="31"/>
      <c r="M315" s="3" t="str">
        <f t="shared" ca="1" si="15"/>
        <v/>
      </c>
      <c r="P315">
        <f>'Combined Delivery Data'!B345</f>
        <v>0</v>
      </c>
      <c r="Q315">
        <f t="shared" si="16"/>
        <v>0</v>
      </c>
      <c r="R315">
        <f t="shared" si="17"/>
        <v>452</v>
      </c>
      <c r="S315" s="28">
        <f>IF($P315="","",IF(SUMPRODUCT(MAX(($A$2:$A$497=$P315)*ROW($A$2:$A$497)))=0,"",INDEX($B:$B,SUMPRODUCT(MAX(($A$2:$A$497=$P315)*ROW($A$2:$A$497))))))</f>
        <v>0</v>
      </c>
      <c r="T315" t="str">
        <f>IF($P315="","",IF(SUMPRODUCT(MAX(($A$2:$A$497=$P315)*ROW($A$2:$A$497)))=0,"",INDEX($C:$C,SUMPRODUCT(MAX(($A$2:$A$497=$P315)*ROW($A$2:$A$497))))&amp;" -&gt; "&amp;INDEX($D:$D,SUMPRODUCT(MAX(($A$2:$A$497=$P315)*ROW($A$2:$A$497))))))</f>
        <v xml:space="preserve"> -&gt; </v>
      </c>
    </row>
    <row r="316" spans="1:20">
      <c r="A316" s="31"/>
      <c r="B316" s="32"/>
      <c r="C316" s="31"/>
      <c r="D316" s="31"/>
      <c r="E316" s="31"/>
      <c r="F316" s="31"/>
      <c r="G316" s="31"/>
      <c r="H316" s="32"/>
      <c r="I316" s="32"/>
      <c r="J316" s="32"/>
      <c r="K316" s="31"/>
      <c r="L316" s="31"/>
      <c r="M316" s="3" t="str">
        <f t="shared" ca="1" si="15"/>
        <v/>
      </c>
      <c r="P316">
        <f>'Combined Delivery Data'!B346</f>
        <v>0</v>
      </c>
      <c r="Q316">
        <f t="shared" si="16"/>
        <v>0</v>
      </c>
      <c r="R316">
        <f t="shared" si="17"/>
        <v>452</v>
      </c>
      <c r="S316" s="28">
        <f>IF($P316="","",IF(SUMPRODUCT(MAX(($A$2:$A$497=$P316)*ROW($A$2:$A$497)))=0,"",INDEX($B:$B,SUMPRODUCT(MAX(($A$2:$A$497=$P316)*ROW($A$2:$A$497))))))</f>
        <v>0</v>
      </c>
      <c r="T316" t="str">
        <f>IF($P316="","",IF(SUMPRODUCT(MAX(($A$2:$A$497=$P316)*ROW($A$2:$A$497)))=0,"",INDEX($C:$C,SUMPRODUCT(MAX(($A$2:$A$497=$P316)*ROW($A$2:$A$497))))&amp;" -&gt; "&amp;INDEX($D:$D,SUMPRODUCT(MAX(($A$2:$A$497=$P316)*ROW($A$2:$A$497))))))</f>
        <v xml:space="preserve"> -&gt; </v>
      </c>
    </row>
    <row r="317" spans="1:20">
      <c r="A317" s="31"/>
      <c r="B317" s="32"/>
      <c r="C317" s="31"/>
      <c r="D317" s="31"/>
      <c r="E317" s="31"/>
      <c r="F317" s="31"/>
      <c r="G317" s="31"/>
      <c r="H317" s="32"/>
      <c r="I317" s="32"/>
      <c r="J317" s="32"/>
      <c r="K317" s="31"/>
      <c r="L317" s="31"/>
      <c r="M317" s="3" t="str">
        <f t="shared" ca="1" si="15"/>
        <v/>
      </c>
      <c r="P317">
        <f>'Combined Delivery Data'!B347</f>
        <v>0</v>
      </c>
      <c r="Q317">
        <f t="shared" si="16"/>
        <v>0</v>
      </c>
      <c r="R317">
        <f t="shared" si="17"/>
        <v>452</v>
      </c>
      <c r="S317" s="28">
        <f>IF($P317="","",IF(SUMPRODUCT(MAX(($A$2:$A$497=$P317)*ROW($A$2:$A$497)))=0,"",INDEX($B:$B,SUMPRODUCT(MAX(($A$2:$A$497=$P317)*ROW($A$2:$A$497))))))</f>
        <v>0</v>
      </c>
      <c r="T317" t="str">
        <f>IF($P317="","",IF(SUMPRODUCT(MAX(($A$2:$A$497=$P317)*ROW($A$2:$A$497)))=0,"",INDEX($C:$C,SUMPRODUCT(MAX(($A$2:$A$497=$P317)*ROW($A$2:$A$497))))&amp;" -&gt; "&amp;INDEX($D:$D,SUMPRODUCT(MAX(($A$2:$A$497=$P317)*ROW($A$2:$A$497))))))</f>
        <v xml:space="preserve"> -&gt; </v>
      </c>
    </row>
    <row r="318" spans="1:20">
      <c r="A318" s="31"/>
      <c r="B318" s="32"/>
      <c r="C318" s="31"/>
      <c r="D318" s="31"/>
      <c r="E318" s="31"/>
      <c r="F318" s="31"/>
      <c r="G318" s="31"/>
      <c r="H318" s="32"/>
      <c r="I318" s="32"/>
      <c r="J318" s="32"/>
      <c r="K318" s="31"/>
      <c r="L318" s="31"/>
      <c r="M318" s="3" t="str">
        <f t="shared" ca="1" si="15"/>
        <v/>
      </c>
      <c r="P318">
        <f>'Combined Delivery Data'!B348</f>
        <v>0</v>
      </c>
      <c r="Q318">
        <f t="shared" si="16"/>
        <v>0</v>
      </c>
      <c r="R318">
        <f t="shared" si="17"/>
        <v>452</v>
      </c>
      <c r="S318" s="28">
        <f>IF($P318="","",IF(SUMPRODUCT(MAX(($A$2:$A$497=$P318)*ROW($A$2:$A$497)))=0,"",INDEX($B:$B,SUMPRODUCT(MAX(($A$2:$A$497=$P318)*ROW($A$2:$A$497))))))</f>
        <v>0</v>
      </c>
      <c r="T318" t="str">
        <f>IF($P318="","",IF(SUMPRODUCT(MAX(($A$2:$A$497=$P318)*ROW($A$2:$A$497)))=0,"",INDEX($C:$C,SUMPRODUCT(MAX(($A$2:$A$497=$P318)*ROW($A$2:$A$497))))&amp;" -&gt; "&amp;INDEX($D:$D,SUMPRODUCT(MAX(($A$2:$A$497=$P318)*ROW($A$2:$A$497))))))</f>
        <v xml:space="preserve"> -&gt; </v>
      </c>
    </row>
    <row r="319" spans="1:20">
      <c r="A319" s="31"/>
      <c r="B319" s="32"/>
      <c r="C319" s="31"/>
      <c r="D319" s="31"/>
      <c r="E319" s="31"/>
      <c r="F319" s="31"/>
      <c r="G319" s="31"/>
      <c r="H319" s="32"/>
      <c r="I319" s="32"/>
      <c r="J319" s="32"/>
      <c r="K319" s="31"/>
      <c r="L319" s="31"/>
      <c r="M319" s="3" t="str">
        <f t="shared" ca="1" si="15"/>
        <v/>
      </c>
      <c r="P319">
        <f>'Combined Delivery Data'!B349</f>
        <v>0</v>
      </c>
      <c r="Q319">
        <f t="shared" si="16"/>
        <v>0</v>
      </c>
      <c r="R319">
        <f t="shared" si="17"/>
        <v>452</v>
      </c>
      <c r="S319" s="28">
        <f>IF($P319="","",IF(SUMPRODUCT(MAX(($A$2:$A$497=$P319)*ROW($A$2:$A$497)))=0,"",INDEX($B:$B,SUMPRODUCT(MAX(($A$2:$A$497=$P319)*ROW($A$2:$A$497))))))</f>
        <v>0</v>
      </c>
      <c r="T319" t="str">
        <f>IF($P319="","",IF(SUMPRODUCT(MAX(($A$2:$A$497=$P319)*ROW($A$2:$A$497)))=0,"",INDEX($C:$C,SUMPRODUCT(MAX(($A$2:$A$497=$P319)*ROW($A$2:$A$497))))&amp;" -&gt; "&amp;INDEX($D:$D,SUMPRODUCT(MAX(($A$2:$A$497=$P319)*ROW($A$2:$A$497))))))</f>
        <v xml:space="preserve"> -&gt; </v>
      </c>
    </row>
    <row r="320" spans="1:20">
      <c r="A320" s="31"/>
      <c r="B320" s="32"/>
      <c r="C320" s="31"/>
      <c r="D320" s="31"/>
      <c r="E320" s="31"/>
      <c r="F320" s="31"/>
      <c r="G320" s="31"/>
      <c r="H320" s="32"/>
      <c r="I320" s="32"/>
      <c r="J320" s="32"/>
      <c r="K320" s="31"/>
      <c r="L320" s="31"/>
      <c r="M320" s="3" t="str">
        <f t="shared" ref="M320:M383" ca="1" si="18">IF($A320="","",IF($G320="Did not pass re-test","Sent back again",IF(NOT(ISNUMBER($B320)),"Missing sent-back date",IF(ISNUMBER($J320),"Fixed in "&amp;($J320-$B320)&amp;" d",IF($I320="","UNCLAIMED "&amp;(TODAY()-$B320)&amp;" d",IF(TODAY()&gt;$I320,(TODAY()-$I320)&amp;" d LATE","Open "&amp;(TODAY()-$B320)&amp;" d"))))))</f>
        <v/>
      </c>
      <c r="P320">
        <f>'Combined Delivery Data'!B350</f>
        <v>0</v>
      </c>
      <c r="Q320">
        <f t="shared" si="16"/>
        <v>0</v>
      </c>
      <c r="R320">
        <f t="shared" si="17"/>
        <v>452</v>
      </c>
      <c r="S320" s="28">
        <f>IF($P320="","",IF(SUMPRODUCT(MAX(($A$2:$A$497=$P320)*ROW($A$2:$A$497)))=0,"",INDEX($B:$B,SUMPRODUCT(MAX(($A$2:$A$497=$P320)*ROW($A$2:$A$497))))))</f>
        <v>0</v>
      </c>
      <c r="T320" t="str">
        <f>IF($P320="","",IF(SUMPRODUCT(MAX(($A$2:$A$497=$P320)*ROW($A$2:$A$497)))=0,"",INDEX($C:$C,SUMPRODUCT(MAX(($A$2:$A$497=$P320)*ROW($A$2:$A$497))))&amp;" -&gt; "&amp;INDEX($D:$D,SUMPRODUCT(MAX(($A$2:$A$497=$P320)*ROW($A$2:$A$497))))))</f>
        <v xml:space="preserve"> -&gt; </v>
      </c>
    </row>
    <row r="321" spans="1:20">
      <c r="A321" s="31"/>
      <c r="B321" s="32"/>
      <c r="C321" s="31"/>
      <c r="D321" s="31"/>
      <c r="E321" s="31"/>
      <c r="F321" s="31"/>
      <c r="G321" s="31"/>
      <c r="H321" s="32"/>
      <c r="I321" s="32"/>
      <c r="J321" s="32"/>
      <c r="K321" s="31"/>
      <c r="L321" s="31"/>
      <c r="M321" s="3" t="str">
        <f t="shared" ca="1" si="18"/>
        <v/>
      </c>
      <c r="P321">
        <f>'Combined Delivery Data'!B351</f>
        <v>0</v>
      </c>
      <c r="Q321">
        <f t="shared" si="16"/>
        <v>0</v>
      </c>
      <c r="R321">
        <f t="shared" si="17"/>
        <v>452</v>
      </c>
      <c r="S321" s="28">
        <f>IF($P321="","",IF(SUMPRODUCT(MAX(($A$2:$A$497=$P321)*ROW($A$2:$A$497)))=0,"",INDEX($B:$B,SUMPRODUCT(MAX(($A$2:$A$497=$P321)*ROW($A$2:$A$497))))))</f>
        <v>0</v>
      </c>
      <c r="T321" t="str">
        <f>IF($P321="","",IF(SUMPRODUCT(MAX(($A$2:$A$497=$P321)*ROW($A$2:$A$497)))=0,"",INDEX($C:$C,SUMPRODUCT(MAX(($A$2:$A$497=$P321)*ROW($A$2:$A$497))))&amp;" -&gt; "&amp;INDEX($D:$D,SUMPRODUCT(MAX(($A$2:$A$497=$P321)*ROW($A$2:$A$497))))))</f>
        <v xml:space="preserve"> -&gt; </v>
      </c>
    </row>
    <row r="322" spans="1:20">
      <c r="A322" s="31"/>
      <c r="B322" s="32"/>
      <c r="C322" s="31"/>
      <c r="D322" s="31"/>
      <c r="E322" s="31"/>
      <c r="F322" s="31"/>
      <c r="G322" s="31"/>
      <c r="H322" s="32"/>
      <c r="I322" s="32"/>
      <c r="J322" s="32"/>
      <c r="K322" s="31"/>
      <c r="L322" s="31"/>
      <c r="M322" s="3" t="str">
        <f t="shared" ca="1" si="18"/>
        <v/>
      </c>
      <c r="P322">
        <f>'Combined Delivery Data'!B352</f>
        <v>0</v>
      </c>
      <c r="Q322">
        <f t="shared" si="16"/>
        <v>0</v>
      </c>
      <c r="R322">
        <f t="shared" si="17"/>
        <v>452</v>
      </c>
      <c r="S322" s="28">
        <f>IF($P322="","",IF(SUMPRODUCT(MAX(($A$2:$A$497=$P322)*ROW($A$2:$A$497)))=0,"",INDEX($B:$B,SUMPRODUCT(MAX(($A$2:$A$497=$P322)*ROW($A$2:$A$497))))))</f>
        <v>0</v>
      </c>
      <c r="T322" t="str">
        <f>IF($P322="","",IF(SUMPRODUCT(MAX(($A$2:$A$497=$P322)*ROW($A$2:$A$497)))=0,"",INDEX($C:$C,SUMPRODUCT(MAX(($A$2:$A$497=$P322)*ROW($A$2:$A$497))))&amp;" -&gt; "&amp;INDEX($D:$D,SUMPRODUCT(MAX(($A$2:$A$497=$P322)*ROW($A$2:$A$497))))))</f>
        <v xml:space="preserve"> -&gt; </v>
      </c>
    </row>
    <row r="323" spans="1:20">
      <c r="A323" s="31"/>
      <c r="B323" s="32"/>
      <c r="C323" s="31"/>
      <c r="D323" s="31"/>
      <c r="E323" s="31"/>
      <c r="F323" s="31"/>
      <c r="G323" s="31"/>
      <c r="H323" s="32"/>
      <c r="I323" s="32"/>
      <c r="J323" s="32"/>
      <c r="K323" s="31"/>
      <c r="L323" s="31"/>
      <c r="M323" s="3" t="str">
        <f t="shared" ca="1" si="18"/>
        <v/>
      </c>
      <c r="P323">
        <f>'Combined Delivery Data'!B353</f>
        <v>0</v>
      </c>
      <c r="Q323">
        <f t="shared" si="16"/>
        <v>0</v>
      </c>
      <c r="R323">
        <f t="shared" si="17"/>
        <v>452</v>
      </c>
      <c r="S323" s="28">
        <f>IF($P323="","",IF(SUMPRODUCT(MAX(($A$2:$A$497=$P323)*ROW($A$2:$A$497)))=0,"",INDEX($B:$B,SUMPRODUCT(MAX(($A$2:$A$497=$P323)*ROW($A$2:$A$497))))))</f>
        <v>0</v>
      </c>
      <c r="T323" t="str">
        <f>IF($P323="","",IF(SUMPRODUCT(MAX(($A$2:$A$497=$P323)*ROW($A$2:$A$497)))=0,"",INDEX($C:$C,SUMPRODUCT(MAX(($A$2:$A$497=$P323)*ROW($A$2:$A$497))))&amp;" -&gt; "&amp;INDEX($D:$D,SUMPRODUCT(MAX(($A$2:$A$497=$P323)*ROW($A$2:$A$497))))))</f>
        <v xml:space="preserve"> -&gt; </v>
      </c>
    </row>
    <row r="324" spans="1:20">
      <c r="A324" s="31"/>
      <c r="B324" s="32"/>
      <c r="C324" s="31"/>
      <c r="D324" s="31"/>
      <c r="E324" s="31"/>
      <c r="F324" s="31"/>
      <c r="G324" s="31"/>
      <c r="H324" s="32"/>
      <c r="I324" s="32"/>
      <c r="J324" s="32"/>
      <c r="K324" s="31"/>
      <c r="L324" s="31"/>
      <c r="M324" s="3" t="str">
        <f t="shared" ca="1" si="18"/>
        <v/>
      </c>
      <c r="P324">
        <f>'Combined Delivery Data'!B354</f>
        <v>0</v>
      </c>
      <c r="Q324">
        <f t="shared" si="16"/>
        <v>0</v>
      </c>
      <c r="R324">
        <f t="shared" si="17"/>
        <v>452</v>
      </c>
      <c r="S324" s="28">
        <f>IF($P324="","",IF(SUMPRODUCT(MAX(($A$2:$A$497=$P324)*ROW($A$2:$A$497)))=0,"",INDEX($B:$B,SUMPRODUCT(MAX(($A$2:$A$497=$P324)*ROW($A$2:$A$497))))))</f>
        <v>0</v>
      </c>
      <c r="T324" t="str">
        <f>IF($P324="","",IF(SUMPRODUCT(MAX(($A$2:$A$497=$P324)*ROW($A$2:$A$497)))=0,"",INDEX($C:$C,SUMPRODUCT(MAX(($A$2:$A$497=$P324)*ROW($A$2:$A$497))))&amp;" -&gt; "&amp;INDEX($D:$D,SUMPRODUCT(MAX(($A$2:$A$497=$P324)*ROW($A$2:$A$497))))))</f>
        <v xml:space="preserve"> -&gt; </v>
      </c>
    </row>
    <row r="325" spans="1:20">
      <c r="A325" s="31"/>
      <c r="B325" s="32"/>
      <c r="C325" s="31"/>
      <c r="D325" s="31"/>
      <c r="E325" s="31"/>
      <c r="F325" s="31"/>
      <c r="G325" s="31"/>
      <c r="H325" s="32"/>
      <c r="I325" s="32"/>
      <c r="J325" s="32"/>
      <c r="K325" s="31"/>
      <c r="L325" s="31"/>
      <c r="M325" s="3" t="str">
        <f t="shared" ca="1" si="18"/>
        <v/>
      </c>
      <c r="P325">
        <f>'Combined Delivery Data'!B355</f>
        <v>0</v>
      </c>
      <c r="Q325">
        <f t="shared" si="16"/>
        <v>0</v>
      </c>
      <c r="R325">
        <f t="shared" si="17"/>
        <v>452</v>
      </c>
      <c r="S325" s="28">
        <f>IF($P325="","",IF(SUMPRODUCT(MAX(($A$2:$A$497=$P325)*ROW($A$2:$A$497)))=0,"",INDEX($B:$B,SUMPRODUCT(MAX(($A$2:$A$497=$P325)*ROW($A$2:$A$497))))))</f>
        <v>0</v>
      </c>
      <c r="T325" t="str">
        <f>IF($P325="","",IF(SUMPRODUCT(MAX(($A$2:$A$497=$P325)*ROW($A$2:$A$497)))=0,"",INDEX($C:$C,SUMPRODUCT(MAX(($A$2:$A$497=$P325)*ROW($A$2:$A$497))))&amp;" -&gt; "&amp;INDEX($D:$D,SUMPRODUCT(MAX(($A$2:$A$497=$P325)*ROW($A$2:$A$497))))))</f>
        <v xml:space="preserve"> -&gt; </v>
      </c>
    </row>
    <row r="326" spans="1:20">
      <c r="A326" s="31"/>
      <c r="B326" s="32"/>
      <c r="C326" s="31"/>
      <c r="D326" s="31"/>
      <c r="E326" s="31"/>
      <c r="F326" s="31"/>
      <c r="G326" s="31"/>
      <c r="H326" s="32"/>
      <c r="I326" s="32"/>
      <c r="J326" s="32"/>
      <c r="K326" s="31"/>
      <c r="L326" s="31"/>
      <c r="M326" s="3" t="str">
        <f t="shared" ca="1" si="18"/>
        <v/>
      </c>
      <c r="P326">
        <f>'Combined Delivery Data'!B356</f>
        <v>0</v>
      </c>
      <c r="Q326">
        <f t="shared" si="16"/>
        <v>0</v>
      </c>
      <c r="R326">
        <f t="shared" si="17"/>
        <v>452</v>
      </c>
      <c r="S326" s="28">
        <f>IF($P326="","",IF(SUMPRODUCT(MAX(($A$2:$A$497=$P326)*ROW($A$2:$A$497)))=0,"",INDEX($B:$B,SUMPRODUCT(MAX(($A$2:$A$497=$P326)*ROW($A$2:$A$497))))))</f>
        <v>0</v>
      </c>
      <c r="T326" t="str">
        <f>IF($P326="","",IF(SUMPRODUCT(MAX(($A$2:$A$497=$P326)*ROW($A$2:$A$497)))=0,"",INDEX($C:$C,SUMPRODUCT(MAX(($A$2:$A$497=$P326)*ROW($A$2:$A$497))))&amp;" -&gt; "&amp;INDEX($D:$D,SUMPRODUCT(MAX(($A$2:$A$497=$P326)*ROW($A$2:$A$497))))))</f>
        <v xml:space="preserve"> -&gt; </v>
      </c>
    </row>
    <row r="327" spans="1:20">
      <c r="A327" s="31"/>
      <c r="B327" s="32"/>
      <c r="C327" s="31"/>
      <c r="D327" s="31"/>
      <c r="E327" s="31"/>
      <c r="F327" s="31"/>
      <c r="G327" s="31"/>
      <c r="H327" s="32"/>
      <c r="I327" s="32"/>
      <c r="J327" s="32"/>
      <c r="K327" s="31"/>
      <c r="L327" s="31"/>
      <c r="M327" s="3" t="str">
        <f t="shared" ca="1" si="18"/>
        <v/>
      </c>
      <c r="P327">
        <f>'Combined Delivery Data'!B357</f>
        <v>0</v>
      </c>
      <c r="Q327">
        <f t="shared" si="16"/>
        <v>0</v>
      </c>
      <c r="R327">
        <f t="shared" si="17"/>
        <v>452</v>
      </c>
      <c r="S327" s="28">
        <f>IF($P327="","",IF(SUMPRODUCT(MAX(($A$2:$A$497=$P327)*ROW($A$2:$A$497)))=0,"",INDEX($B:$B,SUMPRODUCT(MAX(($A$2:$A$497=$P327)*ROW($A$2:$A$497))))))</f>
        <v>0</v>
      </c>
      <c r="T327" t="str">
        <f>IF($P327="","",IF(SUMPRODUCT(MAX(($A$2:$A$497=$P327)*ROW($A$2:$A$497)))=0,"",INDEX($C:$C,SUMPRODUCT(MAX(($A$2:$A$497=$P327)*ROW($A$2:$A$497))))&amp;" -&gt; "&amp;INDEX($D:$D,SUMPRODUCT(MAX(($A$2:$A$497=$P327)*ROW($A$2:$A$497))))))</f>
        <v xml:space="preserve"> -&gt; </v>
      </c>
    </row>
    <row r="328" spans="1:20">
      <c r="A328" s="31"/>
      <c r="B328" s="32"/>
      <c r="C328" s="31"/>
      <c r="D328" s="31"/>
      <c r="E328" s="31"/>
      <c r="F328" s="31"/>
      <c r="G328" s="31"/>
      <c r="H328" s="32"/>
      <c r="I328" s="32"/>
      <c r="J328" s="32"/>
      <c r="K328" s="31"/>
      <c r="L328" s="31"/>
      <c r="M328" s="3" t="str">
        <f t="shared" ca="1" si="18"/>
        <v/>
      </c>
      <c r="P328">
        <f>'Combined Delivery Data'!B358</f>
        <v>0</v>
      </c>
      <c r="Q328">
        <f t="shared" si="16"/>
        <v>0</v>
      </c>
      <c r="R328">
        <f t="shared" si="17"/>
        <v>452</v>
      </c>
      <c r="S328" s="28">
        <f>IF($P328="","",IF(SUMPRODUCT(MAX(($A$2:$A$497=$P328)*ROW($A$2:$A$497)))=0,"",INDEX($B:$B,SUMPRODUCT(MAX(($A$2:$A$497=$P328)*ROW($A$2:$A$497))))))</f>
        <v>0</v>
      </c>
      <c r="T328" t="str">
        <f>IF($P328="","",IF(SUMPRODUCT(MAX(($A$2:$A$497=$P328)*ROW($A$2:$A$497)))=0,"",INDEX($C:$C,SUMPRODUCT(MAX(($A$2:$A$497=$P328)*ROW($A$2:$A$497))))&amp;" -&gt; "&amp;INDEX($D:$D,SUMPRODUCT(MAX(($A$2:$A$497=$P328)*ROW($A$2:$A$497))))))</f>
        <v xml:space="preserve"> -&gt; </v>
      </c>
    </row>
    <row r="329" spans="1:20">
      <c r="A329" s="31"/>
      <c r="B329" s="32"/>
      <c r="C329" s="31"/>
      <c r="D329" s="31"/>
      <c r="E329" s="31"/>
      <c r="F329" s="31"/>
      <c r="G329" s="31"/>
      <c r="H329" s="32"/>
      <c r="I329" s="32"/>
      <c r="J329" s="32"/>
      <c r="K329" s="31"/>
      <c r="L329" s="31"/>
      <c r="M329" s="3" t="str">
        <f t="shared" ca="1" si="18"/>
        <v/>
      </c>
      <c r="P329">
        <f>'Combined Delivery Data'!B359</f>
        <v>0</v>
      </c>
      <c r="Q329">
        <f t="shared" si="16"/>
        <v>0</v>
      </c>
      <c r="R329">
        <f t="shared" si="17"/>
        <v>452</v>
      </c>
      <c r="S329" s="28">
        <f>IF($P329="","",IF(SUMPRODUCT(MAX(($A$2:$A$497=$P329)*ROW($A$2:$A$497)))=0,"",INDEX($B:$B,SUMPRODUCT(MAX(($A$2:$A$497=$P329)*ROW($A$2:$A$497))))))</f>
        <v>0</v>
      </c>
      <c r="T329" t="str">
        <f>IF($P329="","",IF(SUMPRODUCT(MAX(($A$2:$A$497=$P329)*ROW($A$2:$A$497)))=0,"",INDEX($C:$C,SUMPRODUCT(MAX(($A$2:$A$497=$P329)*ROW($A$2:$A$497))))&amp;" -&gt; "&amp;INDEX($D:$D,SUMPRODUCT(MAX(($A$2:$A$497=$P329)*ROW($A$2:$A$497))))))</f>
        <v xml:space="preserve"> -&gt; </v>
      </c>
    </row>
    <row r="330" spans="1:20">
      <c r="A330" s="31"/>
      <c r="B330" s="32"/>
      <c r="C330" s="31"/>
      <c r="D330" s="31"/>
      <c r="E330" s="31"/>
      <c r="F330" s="31"/>
      <c r="G330" s="31"/>
      <c r="H330" s="32"/>
      <c r="I330" s="32"/>
      <c r="J330" s="32"/>
      <c r="K330" s="31"/>
      <c r="L330" s="31"/>
      <c r="M330" s="3" t="str">
        <f t="shared" ca="1" si="18"/>
        <v/>
      </c>
      <c r="P330">
        <f>'Combined Delivery Data'!B360</f>
        <v>0</v>
      </c>
      <c r="Q330">
        <f t="shared" si="16"/>
        <v>0</v>
      </c>
      <c r="R330">
        <f t="shared" si="17"/>
        <v>452</v>
      </c>
      <c r="S330" s="28">
        <f>IF($P330="","",IF(SUMPRODUCT(MAX(($A$2:$A$497=$P330)*ROW($A$2:$A$497)))=0,"",INDEX($B:$B,SUMPRODUCT(MAX(($A$2:$A$497=$P330)*ROW($A$2:$A$497))))))</f>
        <v>0</v>
      </c>
      <c r="T330" t="str">
        <f>IF($P330="","",IF(SUMPRODUCT(MAX(($A$2:$A$497=$P330)*ROW($A$2:$A$497)))=0,"",INDEX($C:$C,SUMPRODUCT(MAX(($A$2:$A$497=$P330)*ROW($A$2:$A$497))))&amp;" -&gt; "&amp;INDEX($D:$D,SUMPRODUCT(MAX(($A$2:$A$497=$P330)*ROW($A$2:$A$497))))))</f>
        <v xml:space="preserve"> -&gt; </v>
      </c>
    </row>
    <row r="331" spans="1:20">
      <c r="A331" s="31"/>
      <c r="B331" s="32"/>
      <c r="C331" s="31"/>
      <c r="D331" s="31"/>
      <c r="E331" s="31"/>
      <c r="F331" s="31"/>
      <c r="G331" s="31"/>
      <c r="H331" s="32"/>
      <c r="I331" s="32"/>
      <c r="J331" s="32"/>
      <c r="K331" s="31"/>
      <c r="L331" s="31"/>
      <c r="M331" s="3" t="str">
        <f t="shared" ca="1" si="18"/>
        <v/>
      </c>
      <c r="P331">
        <f>'Combined Delivery Data'!B361</f>
        <v>0</v>
      </c>
      <c r="Q331">
        <f t="shared" si="16"/>
        <v>0</v>
      </c>
      <c r="R331">
        <f t="shared" si="17"/>
        <v>452</v>
      </c>
      <c r="S331" s="28">
        <f>IF($P331="","",IF(SUMPRODUCT(MAX(($A$2:$A$497=$P331)*ROW($A$2:$A$497)))=0,"",INDEX($B:$B,SUMPRODUCT(MAX(($A$2:$A$497=$P331)*ROW($A$2:$A$497))))))</f>
        <v>0</v>
      </c>
      <c r="T331" t="str">
        <f>IF($P331="","",IF(SUMPRODUCT(MAX(($A$2:$A$497=$P331)*ROW($A$2:$A$497)))=0,"",INDEX($C:$C,SUMPRODUCT(MAX(($A$2:$A$497=$P331)*ROW($A$2:$A$497))))&amp;" -&gt; "&amp;INDEX($D:$D,SUMPRODUCT(MAX(($A$2:$A$497=$P331)*ROW($A$2:$A$497))))))</f>
        <v xml:space="preserve"> -&gt; </v>
      </c>
    </row>
    <row r="332" spans="1:20">
      <c r="A332" s="31"/>
      <c r="B332" s="32"/>
      <c r="C332" s="31"/>
      <c r="D332" s="31"/>
      <c r="E332" s="31"/>
      <c r="F332" s="31"/>
      <c r="G332" s="31"/>
      <c r="H332" s="32"/>
      <c r="I332" s="32"/>
      <c r="J332" s="32"/>
      <c r="K332" s="31"/>
      <c r="L332" s="31"/>
      <c r="M332" s="3" t="str">
        <f t="shared" ca="1" si="18"/>
        <v/>
      </c>
      <c r="P332">
        <f>'Combined Delivery Data'!B362</f>
        <v>0</v>
      </c>
      <c r="Q332">
        <f t="shared" si="16"/>
        <v>0</v>
      </c>
      <c r="R332">
        <f t="shared" si="17"/>
        <v>452</v>
      </c>
      <c r="S332" s="28">
        <f>IF($P332="","",IF(SUMPRODUCT(MAX(($A$2:$A$497=$P332)*ROW($A$2:$A$497)))=0,"",INDEX($B:$B,SUMPRODUCT(MAX(($A$2:$A$497=$P332)*ROW($A$2:$A$497))))))</f>
        <v>0</v>
      </c>
      <c r="T332" t="str">
        <f>IF($P332="","",IF(SUMPRODUCT(MAX(($A$2:$A$497=$P332)*ROW($A$2:$A$497)))=0,"",INDEX($C:$C,SUMPRODUCT(MAX(($A$2:$A$497=$P332)*ROW($A$2:$A$497))))&amp;" -&gt; "&amp;INDEX($D:$D,SUMPRODUCT(MAX(($A$2:$A$497=$P332)*ROW($A$2:$A$497))))))</f>
        <v xml:space="preserve"> -&gt; </v>
      </c>
    </row>
    <row r="333" spans="1:20">
      <c r="A333" s="31"/>
      <c r="B333" s="32"/>
      <c r="C333" s="31"/>
      <c r="D333" s="31"/>
      <c r="E333" s="31"/>
      <c r="F333" s="31"/>
      <c r="G333" s="31"/>
      <c r="H333" s="32"/>
      <c r="I333" s="32"/>
      <c r="J333" s="32"/>
      <c r="K333" s="31"/>
      <c r="L333" s="31"/>
      <c r="M333" s="3" t="str">
        <f t="shared" ca="1" si="18"/>
        <v/>
      </c>
      <c r="P333">
        <f>'Combined Delivery Data'!B363</f>
        <v>0</v>
      </c>
      <c r="Q333">
        <f t="shared" si="16"/>
        <v>0</v>
      </c>
      <c r="R333">
        <f t="shared" si="17"/>
        <v>452</v>
      </c>
      <c r="S333" s="28">
        <f>IF($P333="","",IF(SUMPRODUCT(MAX(($A$2:$A$497=$P333)*ROW($A$2:$A$497)))=0,"",INDEX($B:$B,SUMPRODUCT(MAX(($A$2:$A$497=$P333)*ROW($A$2:$A$497))))))</f>
        <v>0</v>
      </c>
      <c r="T333" t="str">
        <f>IF($P333="","",IF(SUMPRODUCT(MAX(($A$2:$A$497=$P333)*ROW($A$2:$A$497)))=0,"",INDEX($C:$C,SUMPRODUCT(MAX(($A$2:$A$497=$P333)*ROW($A$2:$A$497))))&amp;" -&gt; "&amp;INDEX($D:$D,SUMPRODUCT(MAX(($A$2:$A$497=$P333)*ROW($A$2:$A$497))))))</f>
        <v xml:space="preserve"> -&gt; </v>
      </c>
    </row>
    <row r="334" spans="1:20">
      <c r="A334" s="31"/>
      <c r="B334" s="32"/>
      <c r="C334" s="31"/>
      <c r="D334" s="31"/>
      <c r="E334" s="31"/>
      <c r="F334" s="31"/>
      <c r="G334" s="31"/>
      <c r="H334" s="32"/>
      <c r="I334" s="32"/>
      <c r="J334" s="32"/>
      <c r="K334" s="31"/>
      <c r="L334" s="31"/>
      <c r="M334" s="3" t="str">
        <f t="shared" ca="1" si="18"/>
        <v/>
      </c>
      <c r="P334">
        <f>'Combined Delivery Data'!B364</f>
        <v>0</v>
      </c>
      <c r="Q334">
        <f t="shared" si="16"/>
        <v>0</v>
      </c>
      <c r="R334">
        <f t="shared" si="17"/>
        <v>452</v>
      </c>
      <c r="S334" s="28">
        <f>IF($P334="","",IF(SUMPRODUCT(MAX(($A$2:$A$497=$P334)*ROW($A$2:$A$497)))=0,"",INDEX($B:$B,SUMPRODUCT(MAX(($A$2:$A$497=$P334)*ROW($A$2:$A$497))))))</f>
        <v>0</v>
      </c>
      <c r="T334" t="str">
        <f>IF($P334="","",IF(SUMPRODUCT(MAX(($A$2:$A$497=$P334)*ROW($A$2:$A$497)))=0,"",INDEX($C:$C,SUMPRODUCT(MAX(($A$2:$A$497=$P334)*ROW($A$2:$A$497))))&amp;" -&gt; "&amp;INDEX($D:$D,SUMPRODUCT(MAX(($A$2:$A$497=$P334)*ROW($A$2:$A$497))))))</f>
        <v xml:space="preserve"> -&gt; </v>
      </c>
    </row>
    <row r="335" spans="1:20">
      <c r="A335" s="31"/>
      <c r="B335" s="32"/>
      <c r="C335" s="31"/>
      <c r="D335" s="31"/>
      <c r="E335" s="31"/>
      <c r="F335" s="31"/>
      <c r="G335" s="31"/>
      <c r="H335" s="32"/>
      <c r="I335" s="32"/>
      <c r="J335" s="32"/>
      <c r="K335" s="31"/>
      <c r="L335" s="31"/>
      <c r="M335" s="3" t="str">
        <f t="shared" ca="1" si="18"/>
        <v/>
      </c>
      <c r="P335">
        <f>'Combined Delivery Data'!B365</f>
        <v>0</v>
      </c>
      <c r="Q335">
        <f t="shared" si="16"/>
        <v>0</v>
      </c>
      <c r="R335">
        <f t="shared" si="17"/>
        <v>452</v>
      </c>
      <c r="S335" s="28">
        <f>IF($P335="","",IF(SUMPRODUCT(MAX(($A$2:$A$497=$P335)*ROW($A$2:$A$497)))=0,"",INDEX($B:$B,SUMPRODUCT(MAX(($A$2:$A$497=$P335)*ROW($A$2:$A$497))))))</f>
        <v>0</v>
      </c>
      <c r="T335" t="str">
        <f>IF($P335="","",IF(SUMPRODUCT(MAX(($A$2:$A$497=$P335)*ROW($A$2:$A$497)))=0,"",INDEX($C:$C,SUMPRODUCT(MAX(($A$2:$A$497=$P335)*ROW($A$2:$A$497))))&amp;" -&gt; "&amp;INDEX($D:$D,SUMPRODUCT(MAX(($A$2:$A$497=$P335)*ROW($A$2:$A$497))))))</f>
        <v xml:space="preserve"> -&gt; </v>
      </c>
    </row>
    <row r="336" spans="1:20">
      <c r="A336" s="31"/>
      <c r="B336" s="32"/>
      <c r="C336" s="31"/>
      <c r="D336" s="31"/>
      <c r="E336" s="31"/>
      <c r="F336" s="31"/>
      <c r="G336" s="31"/>
      <c r="H336" s="32"/>
      <c r="I336" s="32"/>
      <c r="J336" s="32"/>
      <c r="K336" s="31"/>
      <c r="L336" s="31"/>
      <c r="M336" s="3" t="str">
        <f t="shared" ca="1" si="18"/>
        <v/>
      </c>
      <c r="P336">
        <f>'Combined Delivery Data'!B366</f>
        <v>0</v>
      </c>
      <c r="Q336">
        <f t="shared" si="16"/>
        <v>0</v>
      </c>
      <c r="R336">
        <f t="shared" si="17"/>
        <v>452</v>
      </c>
      <c r="S336" s="28">
        <f>IF($P336="","",IF(SUMPRODUCT(MAX(($A$2:$A$497=$P336)*ROW($A$2:$A$497)))=0,"",INDEX($B:$B,SUMPRODUCT(MAX(($A$2:$A$497=$P336)*ROW($A$2:$A$497))))))</f>
        <v>0</v>
      </c>
      <c r="T336" t="str">
        <f>IF($P336="","",IF(SUMPRODUCT(MAX(($A$2:$A$497=$P336)*ROW($A$2:$A$497)))=0,"",INDEX($C:$C,SUMPRODUCT(MAX(($A$2:$A$497=$P336)*ROW($A$2:$A$497))))&amp;" -&gt; "&amp;INDEX($D:$D,SUMPRODUCT(MAX(($A$2:$A$497=$P336)*ROW($A$2:$A$497))))))</f>
        <v xml:space="preserve"> -&gt; </v>
      </c>
    </row>
    <row r="337" spans="1:20">
      <c r="A337" s="31"/>
      <c r="B337" s="32"/>
      <c r="C337" s="31"/>
      <c r="D337" s="31"/>
      <c r="E337" s="31"/>
      <c r="F337" s="31"/>
      <c r="G337" s="31"/>
      <c r="H337" s="32"/>
      <c r="I337" s="32"/>
      <c r="J337" s="32"/>
      <c r="K337" s="31"/>
      <c r="L337" s="31"/>
      <c r="M337" s="3" t="str">
        <f t="shared" ca="1" si="18"/>
        <v/>
      </c>
      <c r="P337">
        <f>'Combined Delivery Data'!B367</f>
        <v>0</v>
      </c>
      <c r="Q337">
        <f t="shared" ref="Q337:Q400" si="19">IF($P337="","",COUNTIF($A$2:$A$497,$P337))</f>
        <v>0</v>
      </c>
      <c r="R337">
        <f t="shared" ref="R337:R400" si="20">IF($P337="","",SUMPRODUCT(($A$2:$A$497=$P337)*($G$2:$G$497&lt;&gt;"Yes")*($G$2:$G$497&lt;&gt;"Did not pass re-test")))</f>
        <v>452</v>
      </c>
      <c r="S337" s="28">
        <f>IF($P337="","",IF(SUMPRODUCT(MAX(($A$2:$A$497=$P337)*ROW($A$2:$A$497)))=0,"",INDEX($B:$B,SUMPRODUCT(MAX(($A$2:$A$497=$P337)*ROW($A$2:$A$497))))))</f>
        <v>0</v>
      </c>
      <c r="T337" t="str">
        <f>IF($P337="","",IF(SUMPRODUCT(MAX(($A$2:$A$497=$P337)*ROW($A$2:$A$497)))=0,"",INDEX($C:$C,SUMPRODUCT(MAX(($A$2:$A$497=$P337)*ROW($A$2:$A$497))))&amp;" -&gt; "&amp;INDEX($D:$D,SUMPRODUCT(MAX(($A$2:$A$497=$P337)*ROW($A$2:$A$497))))))</f>
        <v xml:space="preserve"> -&gt; </v>
      </c>
    </row>
    <row r="338" spans="1:20">
      <c r="A338" s="31"/>
      <c r="B338" s="32"/>
      <c r="C338" s="31"/>
      <c r="D338" s="31"/>
      <c r="E338" s="31"/>
      <c r="F338" s="31"/>
      <c r="G338" s="31"/>
      <c r="H338" s="32"/>
      <c r="I338" s="32"/>
      <c r="J338" s="32"/>
      <c r="K338" s="31"/>
      <c r="L338" s="31"/>
      <c r="M338" s="3" t="str">
        <f t="shared" ca="1" si="18"/>
        <v/>
      </c>
      <c r="P338">
        <f>'Combined Delivery Data'!B368</f>
        <v>0</v>
      </c>
      <c r="Q338">
        <f t="shared" si="19"/>
        <v>0</v>
      </c>
      <c r="R338">
        <f t="shared" si="20"/>
        <v>452</v>
      </c>
      <c r="S338" s="28">
        <f>IF($P338="","",IF(SUMPRODUCT(MAX(($A$2:$A$497=$P338)*ROW($A$2:$A$497)))=0,"",INDEX($B:$B,SUMPRODUCT(MAX(($A$2:$A$497=$P338)*ROW($A$2:$A$497))))))</f>
        <v>0</v>
      </c>
      <c r="T338" t="str">
        <f>IF($P338="","",IF(SUMPRODUCT(MAX(($A$2:$A$497=$P338)*ROW($A$2:$A$497)))=0,"",INDEX($C:$C,SUMPRODUCT(MAX(($A$2:$A$497=$P338)*ROW($A$2:$A$497))))&amp;" -&gt; "&amp;INDEX($D:$D,SUMPRODUCT(MAX(($A$2:$A$497=$P338)*ROW($A$2:$A$497))))))</f>
        <v xml:space="preserve"> -&gt; </v>
      </c>
    </row>
    <row r="339" spans="1:20">
      <c r="A339" s="31"/>
      <c r="B339" s="32"/>
      <c r="C339" s="31"/>
      <c r="D339" s="31"/>
      <c r="E339" s="31"/>
      <c r="F339" s="31"/>
      <c r="G339" s="31"/>
      <c r="H339" s="32"/>
      <c r="I339" s="32"/>
      <c r="J339" s="32"/>
      <c r="K339" s="31"/>
      <c r="L339" s="31"/>
      <c r="M339" s="3" t="str">
        <f t="shared" ca="1" si="18"/>
        <v/>
      </c>
      <c r="P339">
        <f>'Combined Delivery Data'!B369</f>
        <v>0</v>
      </c>
      <c r="Q339">
        <f t="shared" si="19"/>
        <v>0</v>
      </c>
      <c r="R339">
        <f t="shared" si="20"/>
        <v>452</v>
      </c>
      <c r="S339" s="28">
        <f>IF($P339="","",IF(SUMPRODUCT(MAX(($A$2:$A$497=$P339)*ROW($A$2:$A$497)))=0,"",INDEX($B:$B,SUMPRODUCT(MAX(($A$2:$A$497=$P339)*ROW($A$2:$A$497))))))</f>
        <v>0</v>
      </c>
      <c r="T339" t="str">
        <f>IF($P339="","",IF(SUMPRODUCT(MAX(($A$2:$A$497=$P339)*ROW($A$2:$A$497)))=0,"",INDEX($C:$C,SUMPRODUCT(MAX(($A$2:$A$497=$P339)*ROW($A$2:$A$497))))&amp;" -&gt; "&amp;INDEX($D:$D,SUMPRODUCT(MAX(($A$2:$A$497=$P339)*ROW($A$2:$A$497))))))</f>
        <v xml:space="preserve"> -&gt; </v>
      </c>
    </row>
    <row r="340" spans="1:20">
      <c r="A340" s="31"/>
      <c r="B340" s="32"/>
      <c r="C340" s="31"/>
      <c r="D340" s="31"/>
      <c r="E340" s="31"/>
      <c r="F340" s="31"/>
      <c r="G340" s="31"/>
      <c r="H340" s="32"/>
      <c r="I340" s="32"/>
      <c r="J340" s="32"/>
      <c r="K340" s="31"/>
      <c r="L340" s="31"/>
      <c r="M340" s="3" t="str">
        <f t="shared" ca="1" si="18"/>
        <v/>
      </c>
      <c r="P340">
        <f>'Combined Delivery Data'!B370</f>
        <v>0</v>
      </c>
      <c r="Q340">
        <f t="shared" si="19"/>
        <v>0</v>
      </c>
      <c r="R340">
        <f t="shared" si="20"/>
        <v>452</v>
      </c>
      <c r="S340" s="28">
        <f>IF($P340="","",IF(SUMPRODUCT(MAX(($A$2:$A$497=$P340)*ROW($A$2:$A$497)))=0,"",INDEX($B:$B,SUMPRODUCT(MAX(($A$2:$A$497=$P340)*ROW($A$2:$A$497))))))</f>
        <v>0</v>
      </c>
      <c r="T340" t="str">
        <f>IF($P340="","",IF(SUMPRODUCT(MAX(($A$2:$A$497=$P340)*ROW($A$2:$A$497)))=0,"",INDEX($C:$C,SUMPRODUCT(MAX(($A$2:$A$497=$P340)*ROW($A$2:$A$497))))&amp;" -&gt; "&amp;INDEX($D:$D,SUMPRODUCT(MAX(($A$2:$A$497=$P340)*ROW($A$2:$A$497))))))</f>
        <v xml:space="preserve"> -&gt; </v>
      </c>
    </row>
    <row r="341" spans="1:20">
      <c r="A341" s="31"/>
      <c r="B341" s="32"/>
      <c r="C341" s="31"/>
      <c r="D341" s="31"/>
      <c r="E341" s="31"/>
      <c r="F341" s="31"/>
      <c r="G341" s="31"/>
      <c r="H341" s="32"/>
      <c r="I341" s="32"/>
      <c r="J341" s="32"/>
      <c r="K341" s="31"/>
      <c r="L341" s="31"/>
      <c r="M341" s="3" t="str">
        <f t="shared" ca="1" si="18"/>
        <v/>
      </c>
      <c r="P341">
        <f>'Combined Delivery Data'!B371</f>
        <v>0</v>
      </c>
      <c r="Q341">
        <f t="shared" si="19"/>
        <v>0</v>
      </c>
      <c r="R341">
        <f t="shared" si="20"/>
        <v>452</v>
      </c>
      <c r="S341" s="28">
        <f>IF($P341="","",IF(SUMPRODUCT(MAX(($A$2:$A$497=$P341)*ROW($A$2:$A$497)))=0,"",INDEX($B:$B,SUMPRODUCT(MAX(($A$2:$A$497=$P341)*ROW($A$2:$A$497))))))</f>
        <v>0</v>
      </c>
      <c r="T341" t="str">
        <f>IF($P341="","",IF(SUMPRODUCT(MAX(($A$2:$A$497=$P341)*ROW($A$2:$A$497)))=0,"",INDEX($C:$C,SUMPRODUCT(MAX(($A$2:$A$497=$P341)*ROW($A$2:$A$497))))&amp;" -&gt; "&amp;INDEX($D:$D,SUMPRODUCT(MAX(($A$2:$A$497=$P341)*ROW($A$2:$A$497))))))</f>
        <v xml:space="preserve"> -&gt; </v>
      </c>
    </row>
    <row r="342" spans="1:20">
      <c r="A342" s="31"/>
      <c r="B342" s="32"/>
      <c r="C342" s="31"/>
      <c r="D342" s="31"/>
      <c r="E342" s="31"/>
      <c r="F342" s="31"/>
      <c r="G342" s="31"/>
      <c r="H342" s="32"/>
      <c r="I342" s="32"/>
      <c r="J342" s="32"/>
      <c r="K342" s="31"/>
      <c r="L342" s="31"/>
      <c r="M342" s="3" t="str">
        <f t="shared" ca="1" si="18"/>
        <v/>
      </c>
      <c r="P342">
        <f>'Combined Delivery Data'!B372</f>
        <v>0</v>
      </c>
      <c r="Q342">
        <f t="shared" si="19"/>
        <v>0</v>
      </c>
      <c r="R342">
        <f t="shared" si="20"/>
        <v>452</v>
      </c>
      <c r="S342" s="28">
        <f>IF($P342="","",IF(SUMPRODUCT(MAX(($A$2:$A$497=$P342)*ROW($A$2:$A$497)))=0,"",INDEX($B:$B,SUMPRODUCT(MAX(($A$2:$A$497=$P342)*ROW($A$2:$A$497))))))</f>
        <v>0</v>
      </c>
      <c r="T342" t="str">
        <f>IF($P342="","",IF(SUMPRODUCT(MAX(($A$2:$A$497=$P342)*ROW($A$2:$A$497)))=0,"",INDEX($C:$C,SUMPRODUCT(MAX(($A$2:$A$497=$P342)*ROW($A$2:$A$497))))&amp;" -&gt; "&amp;INDEX($D:$D,SUMPRODUCT(MAX(($A$2:$A$497=$P342)*ROW($A$2:$A$497))))))</f>
        <v xml:space="preserve"> -&gt; </v>
      </c>
    </row>
    <row r="343" spans="1:20">
      <c r="A343" s="31"/>
      <c r="B343" s="32"/>
      <c r="C343" s="31"/>
      <c r="D343" s="31"/>
      <c r="E343" s="31"/>
      <c r="F343" s="31"/>
      <c r="G343" s="31"/>
      <c r="H343" s="32"/>
      <c r="I343" s="32"/>
      <c r="J343" s="32"/>
      <c r="K343" s="31"/>
      <c r="L343" s="31"/>
      <c r="M343" s="3" t="str">
        <f t="shared" ca="1" si="18"/>
        <v/>
      </c>
      <c r="P343">
        <f>'Combined Delivery Data'!B373</f>
        <v>0</v>
      </c>
      <c r="Q343">
        <f t="shared" si="19"/>
        <v>0</v>
      </c>
      <c r="R343">
        <f t="shared" si="20"/>
        <v>452</v>
      </c>
      <c r="S343" s="28">
        <f>IF($P343="","",IF(SUMPRODUCT(MAX(($A$2:$A$497=$P343)*ROW($A$2:$A$497)))=0,"",INDEX($B:$B,SUMPRODUCT(MAX(($A$2:$A$497=$P343)*ROW($A$2:$A$497))))))</f>
        <v>0</v>
      </c>
      <c r="T343" t="str">
        <f>IF($P343="","",IF(SUMPRODUCT(MAX(($A$2:$A$497=$P343)*ROW($A$2:$A$497)))=0,"",INDEX($C:$C,SUMPRODUCT(MAX(($A$2:$A$497=$P343)*ROW($A$2:$A$497))))&amp;" -&gt; "&amp;INDEX($D:$D,SUMPRODUCT(MAX(($A$2:$A$497=$P343)*ROW($A$2:$A$497))))))</f>
        <v xml:space="preserve"> -&gt; </v>
      </c>
    </row>
    <row r="344" spans="1:20">
      <c r="A344" s="31"/>
      <c r="B344" s="32"/>
      <c r="C344" s="31"/>
      <c r="D344" s="31"/>
      <c r="E344" s="31"/>
      <c r="F344" s="31"/>
      <c r="G344" s="31"/>
      <c r="H344" s="32"/>
      <c r="I344" s="32"/>
      <c r="J344" s="32"/>
      <c r="K344" s="31"/>
      <c r="L344" s="31"/>
      <c r="M344" s="3" t="str">
        <f t="shared" ca="1" si="18"/>
        <v/>
      </c>
      <c r="P344">
        <f>'Combined Delivery Data'!B374</f>
        <v>0</v>
      </c>
      <c r="Q344">
        <f t="shared" si="19"/>
        <v>0</v>
      </c>
      <c r="R344">
        <f t="shared" si="20"/>
        <v>452</v>
      </c>
      <c r="S344" s="28">
        <f>IF($P344="","",IF(SUMPRODUCT(MAX(($A$2:$A$497=$P344)*ROW($A$2:$A$497)))=0,"",INDEX($B:$B,SUMPRODUCT(MAX(($A$2:$A$497=$P344)*ROW($A$2:$A$497))))))</f>
        <v>0</v>
      </c>
      <c r="T344" t="str">
        <f>IF($P344="","",IF(SUMPRODUCT(MAX(($A$2:$A$497=$P344)*ROW($A$2:$A$497)))=0,"",INDEX($C:$C,SUMPRODUCT(MAX(($A$2:$A$497=$P344)*ROW($A$2:$A$497))))&amp;" -&gt; "&amp;INDEX($D:$D,SUMPRODUCT(MAX(($A$2:$A$497=$P344)*ROW($A$2:$A$497))))))</f>
        <v xml:space="preserve"> -&gt; </v>
      </c>
    </row>
    <row r="345" spans="1:20">
      <c r="A345" s="31"/>
      <c r="B345" s="32"/>
      <c r="C345" s="31"/>
      <c r="D345" s="31"/>
      <c r="E345" s="31"/>
      <c r="F345" s="31"/>
      <c r="G345" s="31"/>
      <c r="H345" s="32"/>
      <c r="I345" s="32"/>
      <c r="J345" s="32"/>
      <c r="K345" s="31"/>
      <c r="L345" s="31"/>
      <c r="M345" s="3" t="str">
        <f t="shared" ca="1" si="18"/>
        <v/>
      </c>
      <c r="P345">
        <f>'Combined Delivery Data'!B375</f>
        <v>0</v>
      </c>
      <c r="Q345">
        <f t="shared" si="19"/>
        <v>0</v>
      </c>
      <c r="R345">
        <f t="shared" si="20"/>
        <v>452</v>
      </c>
      <c r="S345" s="28">
        <f>IF($P345="","",IF(SUMPRODUCT(MAX(($A$2:$A$497=$P345)*ROW($A$2:$A$497)))=0,"",INDEX($B:$B,SUMPRODUCT(MAX(($A$2:$A$497=$P345)*ROW($A$2:$A$497))))))</f>
        <v>0</v>
      </c>
      <c r="T345" t="str">
        <f>IF($P345="","",IF(SUMPRODUCT(MAX(($A$2:$A$497=$P345)*ROW($A$2:$A$497)))=0,"",INDEX($C:$C,SUMPRODUCT(MAX(($A$2:$A$497=$P345)*ROW($A$2:$A$497))))&amp;" -&gt; "&amp;INDEX($D:$D,SUMPRODUCT(MAX(($A$2:$A$497=$P345)*ROW($A$2:$A$497))))))</f>
        <v xml:space="preserve"> -&gt; </v>
      </c>
    </row>
    <row r="346" spans="1:20">
      <c r="A346" s="31"/>
      <c r="B346" s="32"/>
      <c r="C346" s="31"/>
      <c r="D346" s="31"/>
      <c r="E346" s="31"/>
      <c r="F346" s="31"/>
      <c r="G346" s="31"/>
      <c r="H346" s="32"/>
      <c r="I346" s="32"/>
      <c r="J346" s="32"/>
      <c r="K346" s="31"/>
      <c r="L346" s="31"/>
      <c r="M346" s="3" t="str">
        <f t="shared" ca="1" si="18"/>
        <v/>
      </c>
      <c r="P346">
        <f>'Combined Delivery Data'!B376</f>
        <v>0</v>
      </c>
      <c r="Q346">
        <f t="shared" si="19"/>
        <v>0</v>
      </c>
      <c r="R346">
        <f t="shared" si="20"/>
        <v>452</v>
      </c>
      <c r="S346" s="28">
        <f>IF($P346="","",IF(SUMPRODUCT(MAX(($A$2:$A$497=$P346)*ROW($A$2:$A$497)))=0,"",INDEX($B:$B,SUMPRODUCT(MAX(($A$2:$A$497=$P346)*ROW($A$2:$A$497))))))</f>
        <v>0</v>
      </c>
      <c r="T346" t="str">
        <f>IF($P346="","",IF(SUMPRODUCT(MAX(($A$2:$A$497=$P346)*ROW($A$2:$A$497)))=0,"",INDEX($C:$C,SUMPRODUCT(MAX(($A$2:$A$497=$P346)*ROW($A$2:$A$497))))&amp;" -&gt; "&amp;INDEX($D:$D,SUMPRODUCT(MAX(($A$2:$A$497=$P346)*ROW($A$2:$A$497))))))</f>
        <v xml:space="preserve"> -&gt; </v>
      </c>
    </row>
    <row r="347" spans="1:20">
      <c r="A347" s="31"/>
      <c r="B347" s="32"/>
      <c r="C347" s="31"/>
      <c r="D347" s="31"/>
      <c r="E347" s="31"/>
      <c r="F347" s="31"/>
      <c r="G347" s="31"/>
      <c r="H347" s="32"/>
      <c r="I347" s="32"/>
      <c r="J347" s="32"/>
      <c r="K347" s="31"/>
      <c r="L347" s="31"/>
      <c r="M347" s="3" t="str">
        <f t="shared" ca="1" si="18"/>
        <v/>
      </c>
      <c r="P347">
        <f>'Combined Delivery Data'!B377</f>
        <v>0</v>
      </c>
      <c r="Q347">
        <f t="shared" si="19"/>
        <v>0</v>
      </c>
      <c r="R347">
        <f t="shared" si="20"/>
        <v>452</v>
      </c>
      <c r="S347" s="28">
        <f>IF($P347="","",IF(SUMPRODUCT(MAX(($A$2:$A$497=$P347)*ROW($A$2:$A$497)))=0,"",INDEX($B:$B,SUMPRODUCT(MAX(($A$2:$A$497=$P347)*ROW($A$2:$A$497))))))</f>
        <v>0</v>
      </c>
      <c r="T347" t="str">
        <f>IF($P347="","",IF(SUMPRODUCT(MAX(($A$2:$A$497=$P347)*ROW($A$2:$A$497)))=0,"",INDEX($C:$C,SUMPRODUCT(MAX(($A$2:$A$497=$P347)*ROW($A$2:$A$497))))&amp;" -&gt; "&amp;INDEX($D:$D,SUMPRODUCT(MAX(($A$2:$A$497=$P347)*ROW($A$2:$A$497))))))</f>
        <v xml:space="preserve"> -&gt; </v>
      </c>
    </row>
    <row r="348" spans="1:20">
      <c r="A348" s="31"/>
      <c r="B348" s="32"/>
      <c r="C348" s="31"/>
      <c r="D348" s="31"/>
      <c r="E348" s="31"/>
      <c r="F348" s="31"/>
      <c r="G348" s="31"/>
      <c r="H348" s="32"/>
      <c r="I348" s="32"/>
      <c r="J348" s="32"/>
      <c r="K348" s="31"/>
      <c r="L348" s="31"/>
      <c r="M348" s="3" t="str">
        <f t="shared" ca="1" si="18"/>
        <v/>
      </c>
      <c r="P348">
        <f>'Combined Delivery Data'!B378</f>
        <v>0</v>
      </c>
      <c r="Q348">
        <f t="shared" si="19"/>
        <v>0</v>
      </c>
      <c r="R348">
        <f t="shared" si="20"/>
        <v>452</v>
      </c>
      <c r="S348" s="28">
        <f>IF($P348="","",IF(SUMPRODUCT(MAX(($A$2:$A$497=$P348)*ROW($A$2:$A$497)))=0,"",INDEX($B:$B,SUMPRODUCT(MAX(($A$2:$A$497=$P348)*ROW($A$2:$A$497))))))</f>
        <v>0</v>
      </c>
      <c r="T348" t="str">
        <f>IF($P348="","",IF(SUMPRODUCT(MAX(($A$2:$A$497=$P348)*ROW($A$2:$A$497)))=0,"",INDEX($C:$C,SUMPRODUCT(MAX(($A$2:$A$497=$P348)*ROW($A$2:$A$497))))&amp;" -&gt; "&amp;INDEX($D:$D,SUMPRODUCT(MAX(($A$2:$A$497=$P348)*ROW($A$2:$A$497))))))</f>
        <v xml:space="preserve"> -&gt; </v>
      </c>
    </row>
    <row r="349" spans="1:20">
      <c r="A349" s="31"/>
      <c r="B349" s="32"/>
      <c r="C349" s="31"/>
      <c r="D349" s="31"/>
      <c r="E349" s="31"/>
      <c r="F349" s="31"/>
      <c r="G349" s="31"/>
      <c r="H349" s="32"/>
      <c r="I349" s="32"/>
      <c r="J349" s="32"/>
      <c r="K349" s="31"/>
      <c r="L349" s="31"/>
      <c r="M349" s="3" t="str">
        <f t="shared" ca="1" si="18"/>
        <v/>
      </c>
      <c r="P349">
        <f>'Combined Delivery Data'!B379</f>
        <v>0</v>
      </c>
      <c r="Q349">
        <f t="shared" si="19"/>
        <v>0</v>
      </c>
      <c r="R349">
        <f t="shared" si="20"/>
        <v>452</v>
      </c>
      <c r="S349" s="28">
        <f>IF($P349="","",IF(SUMPRODUCT(MAX(($A$2:$A$497=$P349)*ROW($A$2:$A$497)))=0,"",INDEX($B:$B,SUMPRODUCT(MAX(($A$2:$A$497=$P349)*ROW($A$2:$A$497))))))</f>
        <v>0</v>
      </c>
      <c r="T349" t="str">
        <f>IF($P349="","",IF(SUMPRODUCT(MAX(($A$2:$A$497=$P349)*ROW($A$2:$A$497)))=0,"",INDEX($C:$C,SUMPRODUCT(MAX(($A$2:$A$497=$P349)*ROW($A$2:$A$497))))&amp;" -&gt; "&amp;INDEX($D:$D,SUMPRODUCT(MAX(($A$2:$A$497=$P349)*ROW($A$2:$A$497))))))</f>
        <v xml:space="preserve"> -&gt; </v>
      </c>
    </row>
    <row r="350" spans="1:20">
      <c r="A350" s="31"/>
      <c r="B350" s="32"/>
      <c r="C350" s="31"/>
      <c r="D350" s="31"/>
      <c r="E350" s="31"/>
      <c r="F350" s="31"/>
      <c r="G350" s="31"/>
      <c r="H350" s="32"/>
      <c r="I350" s="32"/>
      <c r="J350" s="32"/>
      <c r="K350" s="31"/>
      <c r="L350" s="31"/>
      <c r="M350" s="3" t="str">
        <f t="shared" ca="1" si="18"/>
        <v/>
      </c>
      <c r="P350">
        <f>'Combined Delivery Data'!B380</f>
        <v>0</v>
      </c>
      <c r="Q350">
        <f t="shared" si="19"/>
        <v>0</v>
      </c>
      <c r="R350">
        <f t="shared" si="20"/>
        <v>452</v>
      </c>
      <c r="S350" s="28">
        <f>IF($P350="","",IF(SUMPRODUCT(MAX(($A$2:$A$497=$P350)*ROW($A$2:$A$497)))=0,"",INDEX($B:$B,SUMPRODUCT(MAX(($A$2:$A$497=$P350)*ROW($A$2:$A$497))))))</f>
        <v>0</v>
      </c>
      <c r="T350" t="str">
        <f>IF($P350="","",IF(SUMPRODUCT(MAX(($A$2:$A$497=$P350)*ROW($A$2:$A$497)))=0,"",INDEX($C:$C,SUMPRODUCT(MAX(($A$2:$A$497=$P350)*ROW($A$2:$A$497))))&amp;" -&gt; "&amp;INDEX($D:$D,SUMPRODUCT(MAX(($A$2:$A$497=$P350)*ROW($A$2:$A$497))))))</f>
        <v xml:space="preserve"> -&gt; </v>
      </c>
    </row>
    <row r="351" spans="1:20">
      <c r="A351" s="31"/>
      <c r="B351" s="32"/>
      <c r="C351" s="31"/>
      <c r="D351" s="31"/>
      <c r="E351" s="31"/>
      <c r="F351" s="31"/>
      <c r="G351" s="31"/>
      <c r="H351" s="32"/>
      <c r="I351" s="32"/>
      <c r="J351" s="32"/>
      <c r="K351" s="31"/>
      <c r="L351" s="31"/>
      <c r="M351" s="3" t="str">
        <f t="shared" ca="1" si="18"/>
        <v/>
      </c>
      <c r="P351">
        <f>'Combined Delivery Data'!B381</f>
        <v>0</v>
      </c>
      <c r="Q351">
        <f t="shared" si="19"/>
        <v>0</v>
      </c>
      <c r="R351">
        <f t="shared" si="20"/>
        <v>452</v>
      </c>
      <c r="S351" s="28">
        <f>IF($P351="","",IF(SUMPRODUCT(MAX(($A$2:$A$497=$P351)*ROW($A$2:$A$497)))=0,"",INDEX($B:$B,SUMPRODUCT(MAX(($A$2:$A$497=$P351)*ROW($A$2:$A$497))))))</f>
        <v>0</v>
      </c>
      <c r="T351" t="str">
        <f>IF($P351="","",IF(SUMPRODUCT(MAX(($A$2:$A$497=$P351)*ROW($A$2:$A$497)))=0,"",INDEX($C:$C,SUMPRODUCT(MAX(($A$2:$A$497=$P351)*ROW($A$2:$A$497))))&amp;" -&gt; "&amp;INDEX($D:$D,SUMPRODUCT(MAX(($A$2:$A$497=$P351)*ROW($A$2:$A$497))))))</f>
        <v xml:space="preserve"> -&gt; </v>
      </c>
    </row>
    <row r="352" spans="1:20">
      <c r="A352" s="31"/>
      <c r="B352" s="32"/>
      <c r="C352" s="31"/>
      <c r="D352" s="31"/>
      <c r="E352" s="31"/>
      <c r="F352" s="31"/>
      <c r="G352" s="31"/>
      <c r="H352" s="32"/>
      <c r="I352" s="32"/>
      <c r="J352" s="32"/>
      <c r="K352" s="31"/>
      <c r="L352" s="31"/>
      <c r="M352" s="3" t="str">
        <f t="shared" ca="1" si="18"/>
        <v/>
      </c>
      <c r="P352">
        <f>'Combined Delivery Data'!B382</f>
        <v>0</v>
      </c>
      <c r="Q352">
        <f t="shared" si="19"/>
        <v>0</v>
      </c>
      <c r="R352">
        <f t="shared" si="20"/>
        <v>452</v>
      </c>
      <c r="S352" s="28">
        <f>IF($P352="","",IF(SUMPRODUCT(MAX(($A$2:$A$497=$P352)*ROW($A$2:$A$497)))=0,"",INDEX($B:$B,SUMPRODUCT(MAX(($A$2:$A$497=$P352)*ROW($A$2:$A$497))))))</f>
        <v>0</v>
      </c>
      <c r="T352" t="str">
        <f>IF($P352="","",IF(SUMPRODUCT(MAX(($A$2:$A$497=$P352)*ROW($A$2:$A$497)))=0,"",INDEX($C:$C,SUMPRODUCT(MAX(($A$2:$A$497=$P352)*ROW($A$2:$A$497))))&amp;" -&gt; "&amp;INDEX($D:$D,SUMPRODUCT(MAX(($A$2:$A$497=$P352)*ROW($A$2:$A$497))))))</f>
        <v xml:space="preserve"> -&gt; </v>
      </c>
    </row>
    <row r="353" spans="1:20">
      <c r="A353" s="31"/>
      <c r="B353" s="32"/>
      <c r="C353" s="31"/>
      <c r="D353" s="31"/>
      <c r="E353" s="31"/>
      <c r="F353" s="31"/>
      <c r="G353" s="31"/>
      <c r="H353" s="32"/>
      <c r="I353" s="32"/>
      <c r="J353" s="32"/>
      <c r="K353" s="31"/>
      <c r="L353" s="31"/>
      <c r="M353" s="3" t="str">
        <f t="shared" ca="1" si="18"/>
        <v/>
      </c>
      <c r="P353">
        <f>'Combined Delivery Data'!B383</f>
        <v>0</v>
      </c>
      <c r="Q353">
        <f t="shared" si="19"/>
        <v>0</v>
      </c>
      <c r="R353">
        <f t="shared" si="20"/>
        <v>452</v>
      </c>
      <c r="S353" s="28">
        <f>IF($P353="","",IF(SUMPRODUCT(MAX(($A$2:$A$497=$P353)*ROW($A$2:$A$497)))=0,"",INDEX($B:$B,SUMPRODUCT(MAX(($A$2:$A$497=$P353)*ROW($A$2:$A$497))))))</f>
        <v>0</v>
      </c>
      <c r="T353" t="str">
        <f>IF($P353="","",IF(SUMPRODUCT(MAX(($A$2:$A$497=$P353)*ROW($A$2:$A$497)))=0,"",INDEX($C:$C,SUMPRODUCT(MAX(($A$2:$A$497=$P353)*ROW($A$2:$A$497))))&amp;" -&gt; "&amp;INDEX($D:$D,SUMPRODUCT(MAX(($A$2:$A$497=$P353)*ROW($A$2:$A$497))))))</f>
        <v xml:space="preserve"> -&gt; </v>
      </c>
    </row>
    <row r="354" spans="1:20">
      <c r="A354" s="31"/>
      <c r="B354" s="32"/>
      <c r="C354" s="31"/>
      <c r="D354" s="31"/>
      <c r="E354" s="31"/>
      <c r="F354" s="31"/>
      <c r="G354" s="31"/>
      <c r="H354" s="32"/>
      <c r="I354" s="32"/>
      <c r="J354" s="32"/>
      <c r="K354" s="31"/>
      <c r="L354" s="31"/>
      <c r="M354" s="3" t="str">
        <f t="shared" ca="1" si="18"/>
        <v/>
      </c>
      <c r="P354">
        <f>'Combined Delivery Data'!B384</f>
        <v>0</v>
      </c>
      <c r="Q354">
        <f t="shared" si="19"/>
        <v>0</v>
      </c>
      <c r="R354">
        <f t="shared" si="20"/>
        <v>452</v>
      </c>
      <c r="S354" s="28">
        <f>IF($P354="","",IF(SUMPRODUCT(MAX(($A$2:$A$497=$P354)*ROW($A$2:$A$497)))=0,"",INDEX($B:$B,SUMPRODUCT(MAX(($A$2:$A$497=$P354)*ROW($A$2:$A$497))))))</f>
        <v>0</v>
      </c>
      <c r="T354" t="str">
        <f>IF($P354="","",IF(SUMPRODUCT(MAX(($A$2:$A$497=$P354)*ROW($A$2:$A$497)))=0,"",INDEX($C:$C,SUMPRODUCT(MAX(($A$2:$A$497=$P354)*ROW($A$2:$A$497))))&amp;" -&gt; "&amp;INDEX($D:$D,SUMPRODUCT(MAX(($A$2:$A$497=$P354)*ROW($A$2:$A$497))))))</f>
        <v xml:space="preserve"> -&gt; </v>
      </c>
    </row>
    <row r="355" spans="1:20">
      <c r="A355" s="31"/>
      <c r="B355" s="32"/>
      <c r="C355" s="31"/>
      <c r="D355" s="31"/>
      <c r="E355" s="31"/>
      <c r="F355" s="31"/>
      <c r="G355" s="31"/>
      <c r="H355" s="32"/>
      <c r="I355" s="32"/>
      <c r="J355" s="32"/>
      <c r="K355" s="31"/>
      <c r="L355" s="31"/>
      <c r="M355" s="3" t="str">
        <f t="shared" ca="1" si="18"/>
        <v/>
      </c>
      <c r="P355">
        <f>'Combined Delivery Data'!B385</f>
        <v>0</v>
      </c>
      <c r="Q355">
        <f t="shared" si="19"/>
        <v>0</v>
      </c>
      <c r="R355">
        <f t="shared" si="20"/>
        <v>452</v>
      </c>
      <c r="S355" s="28">
        <f>IF($P355="","",IF(SUMPRODUCT(MAX(($A$2:$A$497=$P355)*ROW($A$2:$A$497)))=0,"",INDEX($B:$B,SUMPRODUCT(MAX(($A$2:$A$497=$P355)*ROW($A$2:$A$497))))))</f>
        <v>0</v>
      </c>
      <c r="T355" t="str">
        <f>IF($P355="","",IF(SUMPRODUCT(MAX(($A$2:$A$497=$P355)*ROW($A$2:$A$497)))=0,"",INDEX($C:$C,SUMPRODUCT(MAX(($A$2:$A$497=$P355)*ROW($A$2:$A$497))))&amp;" -&gt; "&amp;INDEX($D:$D,SUMPRODUCT(MAX(($A$2:$A$497=$P355)*ROW($A$2:$A$497))))))</f>
        <v xml:space="preserve"> -&gt; </v>
      </c>
    </row>
    <row r="356" spans="1:20">
      <c r="A356" s="31"/>
      <c r="B356" s="32"/>
      <c r="C356" s="31"/>
      <c r="D356" s="31"/>
      <c r="E356" s="31"/>
      <c r="F356" s="31"/>
      <c r="G356" s="31"/>
      <c r="H356" s="32"/>
      <c r="I356" s="32"/>
      <c r="J356" s="32"/>
      <c r="K356" s="31"/>
      <c r="L356" s="31"/>
      <c r="M356" s="3" t="str">
        <f t="shared" ca="1" si="18"/>
        <v/>
      </c>
      <c r="P356">
        <f>'Combined Delivery Data'!B386</f>
        <v>0</v>
      </c>
      <c r="Q356">
        <f t="shared" si="19"/>
        <v>0</v>
      </c>
      <c r="R356">
        <f t="shared" si="20"/>
        <v>452</v>
      </c>
      <c r="S356" s="28">
        <f>IF($P356="","",IF(SUMPRODUCT(MAX(($A$2:$A$497=$P356)*ROW($A$2:$A$497)))=0,"",INDEX($B:$B,SUMPRODUCT(MAX(($A$2:$A$497=$P356)*ROW($A$2:$A$497))))))</f>
        <v>0</v>
      </c>
      <c r="T356" t="str">
        <f>IF($P356="","",IF(SUMPRODUCT(MAX(($A$2:$A$497=$P356)*ROW($A$2:$A$497)))=0,"",INDEX($C:$C,SUMPRODUCT(MAX(($A$2:$A$497=$P356)*ROW($A$2:$A$497))))&amp;" -&gt; "&amp;INDEX($D:$D,SUMPRODUCT(MAX(($A$2:$A$497=$P356)*ROW($A$2:$A$497))))))</f>
        <v xml:space="preserve"> -&gt; </v>
      </c>
    </row>
    <row r="357" spans="1:20">
      <c r="A357" s="31"/>
      <c r="B357" s="32"/>
      <c r="C357" s="31"/>
      <c r="D357" s="31"/>
      <c r="E357" s="31"/>
      <c r="F357" s="31"/>
      <c r="G357" s="31"/>
      <c r="H357" s="32"/>
      <c r="I357" s="32"/>
      <c r="J357" s="32"/>
      <c r="K357" s="31"/>
      <c r="L357" s="31"/>
      <c r="M357" s="3" t="str">
        <f t="shared" ca="1" si="18"/>
        <v/>
      </c>
      <c r="P357">
        <f>'Combined Delivery Data'!B387</f>
        <v>0</v>
      </c>
      <c r="Q357">
        <f t="shared" si="19"/>
        <v>0</v>
      </c>
      <c r="R357">
        <f t="shared" si="20"/>
        <v>452</v>
      </c>
      <c r="S357" s="28">
        <f>IF($P357="","",IF(SUMPRODUCT(MAX(($A$2:$A$497=$P357)*ROW($A$2:$A$497)))=0,"",INDEX($B:$B,SUMPRODUCT(MAX(($A$2:$A$497=$P357)*ROW($A$2:$A$497))))))</f>
        <v>0</v>
      </c>
      <c r="T357" t="str">
        <f>IF($P357="","",IF(SUMPRODUCT(MAX(($A$2:$A$497=$P357)*ROW($A$2:$A$497)))=0,"",INDEX($C:$C,SUMPRODUCT(MAX(($A$2:$A$497=$P357)*ROW($A$2:$A$497))))&amp;" -&gt; "&amp;INDEX($D:$D,SUMPRODUCT(MAX(($A$2:$A$497=$P357)*ROW($A$2:$A$497))))))</f>
        <v xml:space="preserve"> -&gt; </v>
      </c>
    </row>
    <row r="358" spans="1:20">
      <c r="A358" s="31"/>
      <c r="B358" s="32"/>
      <c r="C358" s="31"/>
      <c r="D358" s="31"/>
      <c r="E358" s="31"/>
      <c r="F358" s="31"/>
      <c r="G358" s="31"/>
      <c r="H358" s="32"/>
      <c r="I358" s="32"/>
      <c r="J358" s="32"/>
      <c r="K358" s="31"/>
      <c r="L358" s="31"/>
      <c r="M358" s="3" t="str">
        <f t="shared" ca="1" si="18"/>
        <v/>
      </c>
      <c r="P358">
        <f>'Combined Delivery Data'!B388</f>
        <v>0</v>
      </c>
      <c r="Q358">
        <f t="shared" si="19"/>
        <v>0</v>
      </c>
      <c r="R358">
        <f t="shared" si="20"/>
        <v>452</v>
      </c>
      <c r="S358" s="28">
        <f>IF($P358="","",IF(SUMPRODUCT(MAX(($A$2:$A$497=$P358)*ROW($A$2:$A$497)))=0,"",INDEX($B:$B,SUMPRODUCT(MAX(($A$2:$A$497=$P358)*ROW($A$2:$A$497))))))</f>
        <v>0</v>
      </c>
      <c r="T358" t="str">
        <f>IF($P358="","",IF(SUMPRODUCT(MAX(($A$2:$A$497=$P358)*ROW($A$2:$A$497)))=0,"",INDEX($C:$C,SUMPRODUCT(MAX(($A$2:$A$497=$P358)*ROW($A$2:$A$497))))&amp;" -&gt; "&amp;INDEX($D:$D,SUMPRODUCT(MAX(($A$2:$A$497=$P358)*ROW($A$2:$A$497))))))</f>
        <v xml:space="preserve"> -&gt; </v>
      </c>
    </row>
    <row r="359" spans="1:20">
      <c r="A359" s="31"/>
      <c r="B359" s="32"/>
      <c r="C359" s="31"/>
      <c r="D359" s="31"/>
      <c r="E359" s="31"/>
      <c r="F359" s="31"/>
      <c r="G359" s="31"/>
      <c r="H359" s="32"/>
      <c r="I359" s="32"/>
      <c r="J359" s="32"/>
      <c r="K359" s="31"/>
      <c r="L359" s="31"/>
      <c r="M359" s="3" t="str">
        <f t="shared" ca="1" si="18"/>
        <v/>
      </c>
      <c r="P359">
        <f>'Combined Delivery Data'!B389</f>
        <v>0</v>
      </c>
      <c r="Q359">
        <f t="shared" si="19"/>
        <v>0</v>
      </c>
      <c r="R359">
        <f t="shared" si="20"/>
        <v>452</v>
      </c>
      <c r="S359" s="28">
        <f>IF($P359="","",IF(SUMPRODUCT(MAX(($A$2:$A$497=$P359)*ROW($A$2:$A$497)))=0,"",INDEX($B:$B,SUMPRODUCT(MAX(($A$2:$A$497=$P359)*ROW($A$2:$A$497))))))</f>
        <v>0</v>
      </c>
      <c r="T359" t="str">
        <f>IF($P359="","",IF(SUMPRODUCT(MAX(($A$2:$A$497=$P359)*ROW($A$2:$A$497)))=0,"",INDEX($C:$C,SUMPRODUCT(MAX(($A$2:$A$497=$P359)*ROW($A$2:$A$497))))&amp;" -&gt; "&amp;INDEX($D:$D,SUMPRODUCT(MAX(($A$2:$A$497=$P359)*ROW($A$2:$A$497))))))</f>
        <v xml:space="preserve"> -&gt; </v>
      </c>
    </row>
    <row r="360" spans="1:20">
      <c r="A360" s="31"/>
      <c r="B360" s="32"/>
      <c r="C360" s="31"/>
      <c r="D360" s="31"/>
      <c r="E360" s="31"/>
      <c r="F360" s="31"/>
      <c r="G360" s="31"/>
      <c r="H360" s="32"/>
      <c r="I360" s="32"/>
      <c r="J360" s="32"/>
      <c r="K360" s="31"/>
      <c r="L360" s="31"/>
      <c r="M360" s="3" t="str">
        <f t="shared" ca="1" si="18"/>
        <v/>
      </c>
      <c r="P360">
        <f>'Combined Delivery Data'!B390</f>
        <v>0</v>
      </c>
      <c r="Q360">
        <f t="shared" si="19"/>
        <v>0</v>
      </c>
      <c r="R360">
        <f t="shared" si="20"/>
        <v>452</v>
      </c>
      <c r="S360" s="28">
        <f>IF($P360="","",IF(SUMPRODUCT(MAX(($A$2:$A$497=$P360)*ROW($A$2:$A$497)))=0,"",INDEX($B:$B,SUMPRODUCT(MAX(($A$2:$A$497=$P360)*ROW($A$2:$A$497))))))</f>
        <v>0</v>
      </c>
      <c r="T360" t="str">
        <f>IF($P360="","",IF(SUMPRODUCT(MAX(($A$2:$A$497=$P360)*ROW($A$2:$A$497)))=0,"",INDEX($C:$C,SUMPRODUCT(MAX(($A$2:$A$497=$P360)*ROW($A$2:$A$497))))&amp;" -&gt; "&amp;INDEX($D:$D,SUMPRODUCT(MAX(($A$2:$A$497=$P360)*ROW($A$2:$A$497))))))</f>
        <v xml:space="preserve"> -&gt; </v>
      </c>
    </row>
    <row r="361" spans="1:20">
      <c r="A361" s="31"/>
      <c r="B361" s="32"/>
      <c r="C361" s="31"/>
      <c r="D361" s="31"/>
      <c r="E361" s="31"/>
      <c r="F361" s="31"/>
      <c r="G361" s="31"/>
      <c r="H361" s="32"/>
      <c r="I361" s="32"/>
      <c r="J361" s="32"/>
      <c r="K361" s="31"/>
      <c r="L361" s="31"/>
      <c r="M361" s="3" t="str">
        <f t="shared" ca="1" si="18"/>
        <v/>
      </c>
      <c r="P361">
        <f>'Combined Delivery Data'!B391</f>
        <v>0</v>
      </c>
      <c r="Q361">
        <f t="shared" si="19"/>
        <v>0</v>
      </c>
      <c r="R361">
        <f t="shared" si="20"/>
        <v>452</v>
      </c>
      <c r="S361" s="28">
        <f>IF($P361="","",IF(SUMPRODUCT(MAX(($A$2:$A$497=$P361)*ROW($A$2:$A$497)))=0,"",INDEX($B:$B,SUMPRODUCT(MAX(($A$2:$A$497=$P361)*ROW($A$2:$A$497))))))</f>
        <v>0</v>
      </c>
      <c r="T361" t="str">
        <f>IF($P361="","",IF(SUMPRODUCT(MAX(($A$2:$A$497=$P361)*ROW($A$2:$A$497)))=0,"",INDEX($C:$C,SUMPRODUCT(MAX(($A$2:$A$497=$P361)*ROW($A$2:$A$497))))&amp;" -&gt; "&amp;INDEX($D:$D,SUMPRODUCT(MAX(($A$2:$A$497=$P361)*ROW($A$2:$A$497))))))</f>
        <v xml:space="preserve"> -&gt; </v>
      </c>
    </row>
    <row r="362" spans="1:20">
      <c r="A362" s="31"/>
      <c r="B362" s="32"/>
      <c r="C362" s="31"/>
      <c r="D362" s="31"/>
      <c r="E362" s="31"/>
      <c r="F362" s="31"/>
      <c r="G362" s="31"/>
      <c r="H362" s="32"/>
      <c r="I362" s="32"/>
      <c r="J362" s="32"/>
      <c r="K362" s="31"/>
      <c r="L362" s="31"/>
      <c r="M362" s="3" t="str">
        <f t="shared" ca="1" si="18"/>
        <v/>
      </c>
      <c r="P362">
        <f>'Combined Delivery Data'!B392</f>
        <v>0</v>
      </c>
      <c r="Q362">
        <f t="shared" si="19"/>
        <v>0</v>
      </c>
      <c r="R362">
        <f t="shared" si="20"/>
        <v>452</v>
      </c>
      <c r="S362" s="28">
        <f>IF($P362="","",IF(SUMPRODUCT(MAX(($A$2:$A$497=$P362)*ROW($A$2:$A$497)))=0,"",INDEX($B:$B,SUMPRODUCT(MAX(($A$2:$A$497=$P362)*ROW($A$2:$A$497))))))</f>
        <v>0</v>
      </c>
      <c r="T362" t="str">
        <f>IF($P362="","",IF(SUMPRODUCT(MAX(($A$2:$A$497=$P362)*ROW($A$2:$A$497)))=0,"",INDEX($C:$C,SUMPRODUCT(MAX(($A$2:$A$497=$P362)*ROW($A$2:$A$497))))&amp;" -&gt; "&amp;INDEX($D:$D,SUMPRODUCT(MAX(($A$2:$A$497=$P362)*ROW($A$2:$A$497))))))</f>
        <v xml:space="preserve"> -&gt; </v>
      </c>
    </row>
    <row r="363" spans="1:20">
      <c r="A363" s="31"/>
      <c r="B363" s="32"/>
      <c r="C363" s="31"/>
      <c r="D363" s="31"/>
      <c r="E363" s="31"/>
      <c r="F363" s="31"/>
      <c r="G363" s="31"/>
      <c r="H363" s="32"/>
      <c r="I363" s="32"/>
      <c r="J363" s="32"/>
      <c r="K363" s="31"/>
      <c r="L363" s="31"/>
      <c r="M363" s="3" t="str">
        <f t="shared" ca="1" si="18"/>
        <v/>
      </c>
      <c r="P363">
        <f>'Combined Delivery Data'!B393</f>
        <v>0</v>
      </c>
      <c r="Q363">
        <f t="shared" si="19"/>
        <v>0</v>
      </c>
      <c r="R363">
        <f t="shared" si="20"/>
        <v>452</v>
      </c>
      <c r="S363" s="28">
        <f>IF($P363="","",IF(SUMPRODUCT(MAX(($A$2:$A$497=$P363)*ROW($A$2:$A$497)))=0,"",INDEX($B:$B,SUMPRODUCT(MAX(($A$2:$A$497=$P363)*ROW($A$2:$A$497))))))</f>
        <v>0</v>
      </c>
      <c r="T363" t="str">
        <f>IF($P363="","",IF(SUMPRODUCT(MAX(($A$2:$A$497=$P363)*ROW($A$2:$A$497)))=0,"",INDEX($C:$C,SUMPRODUCT(MAX(($A$2:$A$497=$P363)*ROW($A$2:$A$497))))&amp;" -&gt; "&amp;INDEX($D:$D,SUMPRODUCT(MAX(($A$2:$A$497=$P363)*ROW($A$2:$A$497))))))</f>
        <v xml:space="preserve"> -&gt; </v>
      </c>
    </row>
    <row r="364" spans="1:20">
      <c r="A364" s="31"/>
      <c r="B364" s="32"/>
      <c r="C364" s="31"/>
      <c r="D364" s="31"/>
      <c r="E364" s="31"/>
      <c r="F364" s="31"/>
      <c r="G364" s="31"/>
      <c r="H364" s="32"/>
      <c r="I364" s="32"/>
      <c r="J364" s="32"/>
      <c r="K364" s="31"/>
      <c r="L364" s="31"/>
      <c r="M364" s="3" t="str">
        <f t="shared" ca="1" si="18"/>
        <v/>
      </c>
      <c r="P364">
        <f>'Combined Delivery Data'!B394</f>
        <v>0</v>
      </c>
      <c r="Q364">
        <f t="shared" si="19"/>
        <v>0</v>
      </c>
      <c r="R364">
        <f t="shared" si="20"/>
        <v>452</v>
      </c>
      <c r="S364" s="28">
        <f>IF($P364="","",IF(SUMPRODUCT(MAX(($A$2:$A$497=$P364)*ROW($A$2:$A$497)))=0,"",INDEX($B:$B,SUMPRODUCT(MAX(($A$2:$A$497=$P364)*ROW($A$2:$A$497))))))</f>
        <v>0</v>
      </c>
      <c r="T364" t="str">
        <f>IF($P364="","",IF(SUMPRODUCT(MAX(($A$2:$A$497=$P364)*ROW($A$2:$A$497)))=0,"",INDEX($C:$C,SUMPRODUCT(MAX(($A$2:$A$497=$P364)*ROW($A$2:$A$497))))&amp;" -&gt; "&amp;INDEX($D:$D,SUMPRODUCT(MAX(($A$2:$A$497=$P364)*ROW($A$2:$A$497))))))</f>
        <v xml:space="preserve"> -&gt; </v>
      </c>
    </row>
    <row r="365" spans="1:20">
      <c r="A365" s="31"/>
      <c r="B365" s="32"/>
      <c r="C365" s="31"/>
      <c r="D365" s="31"/>
      <c r="E365" s="31"/>
      <c r="F365" s="31"/>
      <c r="G365" s="31"/>
      <c r="H365" s="32"/>
      <c r="I365" s="32"/>
      <c r="J365" s="32"/>
      <c r="K365" s="31"/>
      <c r="L365" s="31"/>
      <c r="M365" s="3" t="str">
        <f t="shared" ca="1" si="18"/>
        <v/>
      </c>
      <c r="P365">
        <f>'Combined Delivery Data'!B395</f>
        <v>0</v>
      </c>
      <c r="Q365">
        <f t="shared" si="19"/>
        <v>0</v>
      </c>
      <c r="R365">
        <f t="shared" si="20"/>
        <v>452</v>
      </c>
      <c r="S365" s="28">
        <f>IF($P365="","",IF(SUMPRODUCT(MAX(($A$2:$A$497=$P365)*ROW($A$2:$A$497)))=0,"",INDEX($B:$B,SUMPRODUCT(MAX(($A$2:$A$497=$P365)*ROW($A$2:$A$497))))))</f>
        <v>0</v>
      </c>
      <c r="T365" t="str">
        <f>IF($P365="","",IF(SUMPRODUCT(MAX(($A$2:$A$497=$P365)*ROW($A$2:$A$497)))=0,"",INDEX($C:$C,SUMPRODUCT(MAX(($A$2:$A$497=$P365)*ROW($A$2:$A$497))))&amp;" -&gt; "&amp;INDEX($D:$D,SUMPRODUCT(MAX(($A$2:$A$497=$P365)*ROW($A$2:$A$497))))))</f>
        <v xml:space="preserve"> -&gt; </v>
      </c>
    </row>
    <row r="366" spans="1:20">
      <c r="A366" s="31"/>
      <c r="B366" s="32"/>
      <c r="C366" s="31"/>
      <c r="D366" s="31"/>
      <c r="E366" s="31"/>
      <c r="F366" s="31"/>
      <c r="G366" s="31"/>
      <c r="H366" s="32"/>
      <c r="I366" s="32"/>
      <c r="J366" s="32"/>
      <c r="K366" s="31"/>
      <c r="L366" s="31"/>
      <c r="M366" s="3" t="str">
        <f t="shared" ca="1" si="18"/>
        <v/>
      </c>
      <c r="P366">
        <f>'Combined Delivery Data'!B396</f>
        <v>0</v>
      </c>
      <c r="Q366">
        <f t="shared" si="19"/>
        <v>0</v>
      </c>
      <c r="R366">
        <f t="shared" si="20"/>
        <v>452</v>
      </c>
      <c r="S366" s="28">
        <f>IF($P366="","",IF(SUMPRODUCT(MAX(($A$2:$A$497=$P366)*ROW($A$2:$A$497)))=0,"",INDEX($B:$B,SUMPRODUCT(MAX(($A$2:$A$497=$P366)*ROW($A$2:$A$497))))))</f>
        <v>0</v>
      </c>
      <c r="T366" t="str">
        <f>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18"/>
        <v/>
      </c>
      <c r="P367">
        <f>'Combined Delivery Data'!B397</f>
        <v>0</v>
      </c>
      <c r="Q367">
        <f t="shared" si="19"/>
        <v>0</v>
      </c>
      <c r="R367">
        <f t="shared" si="20"/>
        <v>452</v>
      </c>
      <c r="S367" s="28">
        <f>IF($P367="","",IF(SUMPRODUCT(MAX(($A$2:$A$497=$P367)*ROW($A$2:$A$497)))=0,"",INDEX($B:$B,SUMPRODUCT(MAX(($A$2:$A$497=$P367)*ROW($A$2:$A$497))))))</f>
        <v>0</v>
      </c>
      <c r="T367" t="str">
        <f>IF($P367="","",IF(SUMPRODUCT(MAX(($A$2:$A$497=$P367)*ROW($A$2:$A$497)))=0,"",INDEX($C:$C,SUMPRODUCT(MAX(($A$2:$A$497=$P367)*ROW($A$2:$A$497))))&amp;" -&gt; "&amp;INDEX($D:$D,SUMPRODUCT(MAX(($A$2:$A$497=$P367)*ROW($A$2:$A$497))))))</f>
        <v xml:space="preserve"> -&gt; </v>
      </c>
    </row>
    <row r="368" spans="1:20">
      <c r="A368" s="31"/>
      <c r="B368" s="32"/>
      <c r="C368" s="31"/>
      <c r="D368" s="31"/>
      <c r="E368" s="31"/>
      <c r="F368" s="31"/>
      <c r="G368" s="31"/>
      <c r="H368" s="32"/>
      <c r="I368" s="32"/>
      <c r="J368" s="32"/>
      <c r="K368" s="31"/>
      <c r="L368" s="31"/>
      <c r="M368" s="3" t="str">
        <f t="shared" ca="1" si="18"/>
        <v/>
      </c>
      <c r="P368">
        <f>'Combined Delivery Data'!B398</f>
        <v>0</v>
      </c>
      <c r="Q368">
        <f t="shared" si="19"/>
        <v>0</v>
      </c>
      <c r="R368">
        <f t="shared" si="20"/>
        <v>452</v>
      </c>
      <c r="S368" s="28">
        <f>IF($P368="","",IF(SUMPRODUCT(MAX(($A$2:$A$497=$P368)*ROW($A$2:$A$497)))=0,"",INDEX($B:$B,SUMPRODUCT(MAX(($A$2:$A$497=$P368)*ROW($A$2:$A$497))))))</f>
        <v>0</v>
      </c>
      <c r="T368" t="str">
        <f>IF($P368="","",IF(SUMPRODUCT(MAX(($A$2:$A$497=$P368)*ROW($A$2:$A$497)))=0,"",INDEX($C:$C,SUMPRODUCT(MAX(($A$2:$A$497=$P368)*ROW($A$2:$A$497))))&amp;" -&gt; "&amp;INDEX($D:$D,SUMPRODUCT(MAX(($A$2:$A$497=$P368)*ROW($A$2:$A$497))))))</f>
        <v xml:space="preserve"> -&gt; </v>
      </c>
    </row>
    <row r="369" spans="1:20">
      <c r="A369" s="31"/>
      <c r="B369" s="32"/>
      <c r="C369" s="31"/>
      <c r="D369" s="31"/>
      <c r="E369" s="31"/>
      <c r="F369" s="31"/>
      <c r="G369" s="31"/>
      <c r="H369" s="32"/>
      <c r="I369" s="32"/>
      <c r="J369" s="32"/>
      <c r="K369" s="31"/>
      <c r="L369" s="31"/>
      <c r="M369" s="3" t="str">
        <f t="shared" ca="1" si="18"/>
        <v/>
      </c>
      <c r="P369">
        <f>'Combined Delivery Data'!B399</f>
        <v>0</v>
      </c>
      <c r="Q369">
        <f t="shared" si="19"/>
        <v>0</v>
      </c>
      <c r="R369">
        <f t="shared" si="20"/>
        <v>452</v>
      </c>
      <c r="S369" s="28">
        <f>IF($P369="","",IF(SUMPRODUCT(MAX(($A$2:$A$497=$P369)*ROW($A$2:$A$497)))=0,"",INDEX($B:$B,SUMPRODUCT(MAX(($A$2:$A$497=$P369)*ROW($A$2:$A$497))))))</f>
        <v>0</v>
      </c>
      <c r="T369" t="str">
        <f>IF($P369="","",IF(SUMPRODUCT(MAX(($A$2:$A$497=$P369)*ROW($A$2:$A$497)))=0,"",INDEX($C:$C,SUMPRODUCT(MAX(($A$2:$A$497=$P369)*ROW($A$2:$A$497))))&amp;" -&gt; "&amp;INDEX($D:$D,SUMPRODUCT(MAX(($A$2:$A$497=$P369)*ROW($A$2:$A$497))))))</f>
        <v xml:space="preserve"> -&gt; </v>
      </c>
    </row>
    <row r="370" spans="1:20">
      <c r="A370" s="31"/>
      <c r="B370" s="32"/>
      <c r="C370" s="31"/>
      <c r="D370" s="31"/>
      <c r="E370" s="31"/>
      <c r="F370" s="31"/>
      <c r="G370" s="31"/>
      <c r="H370" s="32"/>
      <c r="I370" s="32"/>
      <c r="J370" s="32"/>
      <c r="K370" s="31"/>
      <c r="L370" s="31"/>
      <c r="M370" s="3" t="str">
        <f t="shared" ca="1" si="18"/>
        <v/>
      </c>
      <c r="P370">
        <f>'Combined Delivery Data'!B400</f>
        <v>0</v>
      </c>
      <c r="Q370">
        <f t="shared" si="19"/>
        <v>0</v>
      </c>
      <c r="R370">
        <f t="shared" si="20"/>
        <v>452</v>
      </c>
      <c r="S370" s="28">
        <f>IF($P370="","",IF(SUMPRODUCT(MAX(($A$2:$A$497=$P370)*ROW($A$2:$A$497)))=0,"",INDEX($B:$B,SUMPRODUCT(MAX(($A$2:$A$497=$P370)*ROW($A$2:$A$497))))))</f>
        <v>0</v>
      </c>
      <c r="T370" t="str">
        <f>IF($P370="","",IF(SUMPRODUCT(MAX(($A$2:$A$497=$P370)*ROW($A$2:$A$497)))=0,"",INDEX($C:$C,SUMPRODUCT(MAX(($A$2:$A$497=$P370)*ROW($A$2:$A$497))))&amp;" -&gt; "&amp;INDEX($D:$D,SUMPRODUCT(MAX(($A$2:$A$497=$P370)*ROW($A$2:$A$497))))))</f>
        <v xml:space="preserve"> -&gt; </v>
      </c>
    </row>
    <row r="371" spans="1:20">
      <c r="A371" s="31"/>
      <c r="B371" s="32"/>
      <c r="C371" s="31"/>
      <c r="D371" s="31"/>
      <c r="E371" s="31"/>
      <c r="F371" s="31"/>
      <c r="G371" s="31"/>
      <c r="H371" s="32"/>
      <c r="I371" s="32"/>
      <c r="J371" s="32"/>
      <c r="K371" s="31"/>
      <c r="L371" s="31"/>
      <c r="M371" s="3" t="str">
        <f t="shared" ca="1" si="18"/>
        <v/>
      </c>
      <c r="P371">
        <f>'Combined Delivery Data'!B401</f>
        <v>0</v>
      </c>
      <c r="Q371">
        <f t="shared" si="19"/>
        <v>0</v>
      </c>
      <c r="R371">
        <f t="shared" si="20"/>
        <v>452</v>
      </c>
      <c r="S371" s="28">
        <f>IF($P371="","",IF(SUMPRODUCT(MAX(($A$2:$A$497=$P371)*ROW($A$2:$A$497)))=0,"",INDEX($B:$B,SUMPRODUCT(MAX(($A$2:$A$497=$P371)*ROW($A$2:$A$497))))))</f>
        <v>0</v>
      </c>
      <c r="T371" t="str">
        <f>IF($P371="","",IF(SUMPRODUCT(MAX(($A$2:$A$497=$P371)*ROW($A$2:$A$497)))=0,"",INDEX($C:$C,SUMPRODUCT(MAX(($A$2:$A$497=$P371)*ROW($A$2:$A$497))))&amp;" -&gt; "&amp;INDEX($D:$D,SUMPRODUCT(MAX(($A$2:$A$497=$P371)*ROW($A$2:$A$497))))))</f>
        <v xml:space="preserve"> -&gt; </v>
      </c>
    </row>
    <row r="372" spans="1:20">
      <c r="A372" s="31"/>
      <c r="B372" s="32"/>
      <c r="C372" s="31"/>
      <c r="D372" s="31"/>
      <c r="E372" s="31"/>
      <c r="F372" s="31"/>
      <c r="G372" s="31"/>
      <c r="H372" s="32"/>
      <c r="I372" s="32"/>
      <c r="J372" s="32"/>
      <c r="K372" s="31"/>
      <c r="L372" s="31"/>
      <c r="M372" s="3" t="str">
        <f t="shared" ca="1" si="18"/>
        <v/>
      </c>
      <c r="P372">
        <f>'Combined Delivery Data'!B402</f>
        <v>0</v>
      </c>
      <c r="Q372">
        <f t="shared" si="19"/>
        <v>0</v>
      </c>
      <c r="R372">
        <f t="shared" si="20"/>
        <v>452</v>
      </c>
      <c r="S372" s="28">
        <f>IF($P372="","",IF(SUMPRODUCT(MAX(($A$2:$A$497=$P372)*ROW($A$2:$A$497)))=0,"",INDEX($B:$B,SUMPRODUCT(MAX(($A$2:$A$497=$P372)*ROW($A$2:$A$497))))))</f>
        <v>0</v>
      </c>
      <c r="T372" t="str">
        <f>IF($P372="","",IF(SUMPRODUCT(MAX(($A$2:$A$497=$P372)*ROW($A$2:$A$497)))=0,"",INDEX($C:$C,SUMPRODUCT(MAX(($A$2:$A$497=$P372)*ROW($A$2:$A$497))))&amp;" -&gt; "&amp;INDEX($D:$D,SUMPRODUCT(MAX(($A$2:$A$497=$P372)*ROW($A$2:$A$497))))))</f>
        <v xml:space="preserve"> -&gt; </v>
      </c>
    </row>
    <row r="373" spans="1:20">
      <c r="A373" s="31"/>
      <c r="B373" s="32"/>
      <c r="C373" s="31"/>
      <c r="D373" s="31"/>
      <c r="E373" s="31"/>
      <c r="F373" s="31"/>
      <c r="G373" s="31"/>
      <c r="H373" s="32"/>
      <c r="I373" s="32"/>
      <c r="J373" s="32"/>
      <c r="K373" s="31"/>
      <c r="L373" s="31"/>
      <c r="M373" s="3" t="str">
        <f t="shared" ca="1" si="18"/>
        <v/>
      </c>
      <c r="P373">
        <f>'Combined Delivery Data'!B403</f>
        <v>0</v>
      </c>
      <c r="Q373">
        <f t="shared" si="19"/>
        <v>0</v>
      </c>
      <c r="R373">
        <f t="shared" si="20"/>
        <v>452</v>
      </c>
      <c r="S373" s="28">
        <f>IF($P373="","",IF(SUMPRODUCT(MAX(($A$2:$A$497=$P373)*ROW($A$2:$A$497)))=0,"",INDEX($B:$B,SUMPRODUCT(MAX(($A$2:$A$497=$P373)*ROW($A$2:$A$497))))))</f>
        <v>0</v>
      </c>
      <c r="T373" t="str">
        <f>IF($P373="","",IF(SUMPRODUCT(MAX(($A$2:$A$497=$P373)*ROW($A$2:$A$497)))=0,"",INDEX($C:$C,SUMPRODUCT(MAX(($A$2:$A$497=$P373)*ROW($A$2:$A$497))))&amp;" -&gt; "&amp;INDEX($D:$D,SUMPRODUCT(MAX(($A$2:$A$497=$P373)*ROW($A$2:$A$497))))))</f>
        <v xml:space="preserve"> -&gt; </v>
      </c>
    </row>
    <row r="374" spans="1:20">
      <c r="A374" s="31"/>
      <c r="B374" s="32"/>
      <c r="C374" s="31"/>
      <c r="D374" s="31"/>
      <c r="E374" s="31"/>
      <c r="F374" s="31"/>
      <c r="G374" s="31"/>
      <c r="H374" s="32"/>
      <c r="I374" s="32"/>
      <c r="J374" s="32"/>
      <c r="K374" s="31"/>
      <c r="L374" s="31"/>
      <c r="M374" s="3" t="str">
        <f t="shared" ca="1" si="18"/>
        <v/>
      </c>
      <c r="P374">
        <f>'Combined Delivery Data'!B404</f>
        <v>0</v>
      </c>
      <c r="Q374">
        <f t="shared" si="19"/>
        <v>0</v>
      </c>
      <c r="R374">
        <f t="shared" si="20"/>
        <v>452</v>
      </c>
      <c r="S374" s="28">
        <f>IF($P374="","",IF(SUMPRODUCT(MAX(($A$2:$A$497=$P374)*ROW($A$2:$A$497)))=0,"",INDEX($B:$B,SUMPRODUCT(MAX(($A$2:$A$497=$P374)*ROW($A$2:$A$497))))))</f>
        <v>0</v>
      </c>
      <c r="T374" t="str">
        <f>IF($P374="","",IF(SUMPRODUCT(MAX(($A$2:$A$497=$P374)*ROW($A$2:$A$497)))=0,"",INDEX($C:$C,SUMPRODUCT(MAX(($A$2:$A$497=$P374)*ROW($A$2:$A$497))))&amp;" -&gt; "&amp;INDEX($D:$D,SUMPRODUCT(MAX(($A$2:$A$497=$P374)*ROW($A$2:$A$497))))))</f>
        <v xml:space="preserve"> -&gt; </v>
      </c>
    </row>
    <row r="375" spans="1:20">
      <c r="A375" s="31"/>
      <c r="B375" s="32"/>
      <c r="C375" s="31"/>
      <c r="D375" s="31"/>
      <c r="E375" s="31"/>
      <c r="F375" s="31"/>
      <c r="G375" s="31"/>
      <c r="H375" s="32"/>
      <c r="I375" s="32"/>
      <c r="J375" s="32"/>
      <c r="K375" s="31"/>
      <c r="L375" s="31"/>
      <c r="M375" s="3" t="str">
        <f t="shared" ca="1" si="18"/>
        <v/>
      </c>
      <c r="P375">
        <f>'Combined Delivery Data'!B405</f>
        <v>0</v>
      </c>
      <c r="Q375">
        <f t="shared" si="19"/>
        <v>0</v>
      </c>
      <c r="R375">
        <f t="shared" si="20"/>
        <v>452</v>
      </c>
      <c r="S375" s="28">
        <f>IF($P375="","",IF(SUMPRODUCT(MAX(($A$2:$A$497=$P375)*ROW($A$2:$A$497)))=0,"",INDEX($B:$B,SUMPRODUCT(MAX(($A$2:$A$497=$P375)*ROW($A$2:$A$497))))))</f>
        <v>0</v>
      </c>
      <c r="T375" t="str">
        <f>IF($P375="","",IF(SUMPRODUCT(MAX(($A$2:$A$497=$P375)*ROW($A$2:$A$497)))=0,"",INDEX($C:$C,SUMPRODUCT(MAX(($A$2:$A$497=$P375)*ROW($A$2:$A$497))))&amp;" -&gt; "&amp;INDEX($D:$D,SUMPRODUCT(MAX(($A$2:$A$497=$P375)*ROW($A$2:$A$497))))))</f>
        <v xml:space="preserve"> -&gt; </v>
      </c>
    </row>
    <row r="376" spans="1:20">
      <c r="A376" s="31"/>
      <c r="B376" s="32"/>
      <c r="C376" s="31"/>
      <c r="D376" s="31"/>
      <c r="E376" s="31"/>
      <c r="F376" s="31"/>
      <c r="G376" s="31"/>
      <c r="H376" s="32"/>
      <c r="I376" s="32"/>
      <c r="J376" s="32"/>
      <c r="K376" s="31"/>
      <c r="L376" s="31"/>
      <c r="M376" s="3" t="str">
        <f t="shared" ca="1" si="18"/>
        <v/>
      </c>
      <c r="P376">
        <f>'Combined Delivery Data'!B406</f>
        <v>0</v>
      </c>
      <c r="Q376">
        <f t="shared" si="19"/>
        <v>0</v>
      </c>
      <c r="R376">
        <f t="shared" si="20"/>
        <v>452</v>
      </c>
      <c r="S376" s="28">
        <f>IF($P376="","",IF(SUMPRODUCT(MAX(($A$2:$A$497=$P376)*ROW($A$2:$A$497)))=0,"",INDEX($B:$B,SUMPRODUCT(MAX(($A$2:$A$497=$P376)*ROW($A$2:$A$497))))))</f>
        <v>0</v>
      </c>
      <c r="T376" t="str">
        <f>IF($P376="","",IF(SUMPRODUCT(MAX(($A$2:$A$497=$P376)*ROW($A$2:$A$497)))=0,"",INDEX($C:$C,SUMPRODUCT(MAX(($A$2:$A$497=$P376)*ROW($A$2:$A$497))))&amp;" -&gt; "&amp;INDEX($D:$D,SUMPRODUCT(MAX(($A$2:$A$497=$P376)*ROW($A$2:$A$497))))))</f>
        <v xml:space="preserve"> -&gt; </v>
      </c>
    </row>
    <row r="377" spans="1:20">
      <c r="A377" s="31"/>
      <c r="B377" s="32"/>
      <c r="C377" s="31"/>
      <c r="D377" s="31"/>
      <c r="E377" s="31"/>
      <c r="F377" s="31"/>
      <c r="G377" s="31"/>
      <c r="H377" s="32"/>
      <c r="I377" s="32"/>
      <c r="J377" s="32"/>
      <c r="K377" s="31"/>
      <c r="L377" s="31"/>
      <c r="M377" s="3" t="str">
        <f t="shared" ca="1" si="18"/>
        <v/>
      </c>
      <c r="P377">
        <f>'Combined Delivery Data'!B407</f>
        <v>0</v>
      </c>
      <c r="Q377">
        <f t="shared" si="19"/>
        <v>0</v>
      </c>
      <c r="R377">
        <f t="shared" si="20"/>
        <v>452</v>
      </c>
      <c r="S377" s="28">
        <f>IF($P377="","",IF(SUMPRODUCT(MAX(($A$2:$A$497=$P377)*ROW($A$2:$A$497)))=0,"",INDEX($B:$B,SUMPRODUCT(MAX(($A$2:$A$497=$P377)*ROW($A$2:$A$497))))))</f>
        <v>0</v>
      </c>
      <c r="T377" t="str">
        <f>IF($P377="","",IF(SUMPRODUCT(MAX(($A$2:$A$497=$P377)*ROW($A$2:$A$497)))=0,"",INDEX($C:$C,SUMPRODUCT(MAX(($A$2:$A$497=$P377)*ROW($A$2:$A$497))))&amp;" -&gt; "&amp;INDEX($D:$D,SUMPRODUCT(MAX(($A$2:$A$497=$P377)*ROW($A$2:$A$497))))))</f>
        <v xml:space="preserve"> -&gt; </v>
      </c>
    </row>
    <row r="378" spans="1:20">
      <c r="A378" s="31"/>
      <c r="B378" s="32"/>
      <c r="C378" s="31"/>
      <c r="D378" s="31"/>
      <c r="E378" s="31"/>
      <c r="F378" s="31"/>
      <c r="G378" s="31"/>
      <c r="H378" s="32"/>
      <c r="I378" s="32"/>
      <c r="J378" s="32"/>
      <c r="K378" s="31"/>
      <c r="L378" s="31"/>
      <c r="M378" s="3" t="str">
        <f t="shared" ca="1" si="18"/>
        <v/>
      </c>
      <c r="P378">
        <f>'Combined Delivery Data'!B408</f>
        <v>0</v>
      </c>
      <c r="Q378">
        <f t="shared" si="19"/>
        <v>0</v>
      </c>
      <c r="R378">
        <f t="shared" si="20"/>
        <v>452</v>
      </c>
      <c r="S378" s="28">
        <f>IF($P378="","",IF(SUMPRODUCT(MAX(($A$2:$A$497=$P378)*ROW($A$2:$A$497)))=0,"",INDEX($B:$B,SUMPRODUCT(MAX(($A$2:$A$497=$P378)*ROW($A$2:$A$497))))))</f>
        <v>0</v>
      </c>
      <c r="T378" t="str">
        <f>IF($P378="","",IF(SUMPRODUCT(MAX(($A$2:$A$497=$P378)*ROW($A$2:$A$497)))=0,"",INDEX($C:$C,SUMPRODUCT(MAX(($A$2:$A$497=$P378)*ROW($A$2:$A$497))))&amp;" -&gt; "&amp;INDEX($D:$D,SUMPRODUCT(MAX(($A$2:$A$497=$P378)*ROW($A$2:$A$497))))))</f>
        <v xml:space="preserve"> -&gt; </v>
      </c>
    </row>
    <row r="379" spans="1:20">
      <c r="A379" s="31"/>
      <c r="B379" s="32"/>
      <c r="C379" s="31"/>
      <c r="D379" s="31"/>
      <c r="E379" s="31"/>
      <c r="F379" s="31"/>
      <c r="G379" s="31"/>
      <c r="H379" s="32"/>
      <c r="I379" s="32"/>
      <c r="J379" s="32"/>
      <c r="K379" s="31"/>
      <c r="L379" s="31"/>
      <c r="M379" s="3" t="str">
        <f t="shared" ca="1" si="18"/>
        <v/>
      </c>
      <c r="P379">
        <f>'Combined Delivery Data'!B409</f>
        <v>0</v>
      </c>
      <c r="Q379">
        <f t="shared" si="19"/>
        <v>0</v>
      </c>
      <c r="R379">
        <f t="shared" si="20"/>
        <v>452</v>
      </c>
      <c r="S379" s="28">
        <f>IF($P379="","",IF(SUMPRODUCT(MAX(($A$2:$A$497=$P379)*ROW($A$2:$A$497)))=0,"",INDEX($B:$B,SUMPRODUCT(MAX(($A$2:$A$497=$P379)*ROW($A$2:$A$497))))))</f>
        <v>0</v>
      </c>
      <c r="T379" t="str">
        <f>IF($P379="","",IF(SUMPRODUCT(MAX(($A$2:$A$497=$P379)*ROW($A$2:$A$497)))=0,"",INDEX($C:$C,SUMPRODUCT(MAX(($A$2:$A$497=$P379)*ROW($A$2:$A$497))))&amp;" -&gt; "&amp;INDEX($D:$D,SUMPRODUCT(MAX(($A$2:$A$497=$P379)*ROW($A$2:$A$497))))))</f>
        <v xml:space="preserve"> -&gt; </v>
      </c>
    </row>
    <row r="380" spans="1:20">
      <c r="A380" s="31"/>
      <c r="B380" s="32"/>
      <c r="C380" s="31"/>
      <c r="D380" s="31"/>
      <c r="E380" s="31"/>
      <c r="F380" s="31"/>
      <c r="G380" s="31"/>
      <c r="H380" s="32"/>
      <c r="I380" s="32"/>
      <c r="J380" s="32"/>
      <c r="K380" s="31"/>
      <c r="L380" s="31"/>
      <c r="M380" s="3" t="str">
        <f t="shared" ca="1" si="18"/>
        <v/>
      </c>
      <c r="P380">
        <f>'Combined Delivery Data'!B410</f>
        <v>0</v>
      </c>
      <c r="Q380">
        <f t="shared" si="19"/>
        <v>0</v>
      </c>
      <c r="R380">
        <f t="shared" si="20"/>
        <v>452</v>
      </c>
      <c r="S380" s="28">
        <f>IF($P380="","",IF(SUMPRODUCT(MAX(($A$2:$A$497=$P380)*ROW($A$2:$A$497)))=0,"",INDEX($B:$B,SUMPRODUCT(MAX(($A$2:$A$497=$P380)*ROW($A$2:$A$497))))))</f>
        <v>0</v>
      </c>
      <c r="T380" t="str">
        <f>IF($P380="","",IF(SUMPRODUCT(MAX(($A$2:$A$497=$P380)*ROW($A$2:$A$497)))=0,"",INDEX($C:$C,SUMPRODUCT(MAX(($A$2:$A$497=$P380)*ROW($A$2:$A$497))))&amp;" -&gt; "&amp;INDEX($D:$D,SUMPRODUCT(MAX(($A$2:$A$497=$P380)*ROW($A$2:$A$497))))))</f>
        <v xml:space="preserve"> -&gt; </v>
      </c>
    </row>
    <row r="381" spans="1:20">
      <c r="A381" s="31"/>
      <c r="B381" s="32"/>
      <c r="C381" s="31"/>
      <c r="D381" s="31"/>
      <c r="E381" s="31"/>
      <c r="F381" s="31"/>
      <c r="G381" s="31"/>
      <c r="H381" s="32"/>
      <c r="I381" s="32"/>
      <c r="J381" s="32"/>
      <c r="K381" s="31"/>
      <c r="L381" s="31"/>
      <c r="M381" s="3" t="str">
        <f t="shared" ca="1" si="18"/>
        <v/>
      </c>
      <c r="P381">
        <f>'Combined Delivery Data'!B411</f>
        <v>0</v>
      </c>
      <c r="Q381">
        <f t="shared" si="19"/>
        <v>0</v>
      </c>
      <c r="R381">
        <f t="shared" si="20"/>
        <v>452</v>
      </c>
      <c r="S381" s="28">
        <f>IF($P381="","",IF(SUMPRODUCT(MAX(($A$2:$A$497=$P381)*ROW($A$2:$A$497)))=0,"",INDEX($B:$B,SUMPRODUCT(MAX(($A$2:$A$497=$P381)*ROW($A$2:$A$497))))))</f>
        <v>0</v>
      </c>
      <c r="T381" t="str">
        <f>IF($P381="","",IF(SUMPRODUCT(MAX(($A$2:$A$497=$P381)*ROW($A$2:$A$497)))=0,"",INDEX($C:$C,SUMPRODUCT(MAX(($A$2:$A$497=$P381)*ROW($A$2:$A$497))))&amp;" -&gt; "&amp;INDEX($D:$D,SUMPRODUCT(MAX(($A$2:$A$497=$P381)*ROW($A$2:$A$497))))))</f>
        <v xml:space="preserve"> -&gt; </v>
      </c>
    </row>
    <row r="382" spans="1:20">
      <c r="A382" s="31"/>
      <c r="B382" s="32"/>
      <c r="C382" s="31"/>
      <c r="D382" s="31"/>
      <c r="E382" s="31"/>
      <c r="F382" s="31"/>
      <c r="G382" s="31"/>
      <c r="H382" s="32"/>
      <c r="I382" s="32"/>
      <c r="J382" s="32"/>
      <c r="K382" s="31"/>
      <c r="L382" s="31"/>
      <c r="M382" s="3" t="str">
        <f t="shared" ca="1" si="18"/>
        <v/>
      </c>
      <c r="P382">
        <f>'Combined Delivery Data'!B412</f>
        <v>0</v>
      </c>
      <c r="Q382">
        <f t="shared" si="19"/>
        <v>0</v>
      </c>
      <c r="R382">
        <f t="shared" si="20"/>
        <v>452</v>
      </c>
      <c r="S382" s="28">
        <f>IF($P382="","",IF(SUMPRODUCT(MAX(($A$2:$A$497=$P382)*ROW($A$2:$A$497)))=0,"",INDEX($B:$B,SUMPRODUCT(MAX(($A$2:$A$497=$P382)*ROW($A$2:$A$497))))))</f>
        <v>0</v>
      </c>
      <c r="T382" t="str">
        <f>IF($P382="","",IF(SUMPRODUCT(MAX(($A$2:$A$497=$P382)*ROW($A$2:$A$497)))=0,"",INDEX($C:$C,SUMPRODUCT(MAX(($A$2:$A$497=$P382)*ROW($A$2:$A$497))))&amp;" -&gt; "&amp;INDEX($D:$D,SUMPRODUCT(MAX(($A$2:$A$497=$P382)*ROW($A$2:$A$497))))))</f>
        <v xml:space="preserve"> -&gt; </v>
      </c>
    </row>
    <row r="383" spans="1:20">
      <c r="A383" s="31"/>
      <c r="B383" s="32"/>
      <c r="C383" s="31"/>
      <c r="D383" s="31"/>
      <c r="E383" s="31"/>
      <c r="F383" s="31"/>
      <c r="G383" s="31"/>
      <c r="H383" s="32"/>
      <c r="I383" s="32"/>
      <c r="J383" s="32"/>
      <c r="K383" s="31"/>
      <c r="L383" s="31"/>
      <c r="M383" s="3" t="str">
        <f t="shared" ca="1" si="18"/>
        <v/>
      </c>
      <c r="P383">
        <f>'Combined Delivery Data'!B413</f>
        <v>0</v>
      </c>
      <c r="Q383">
        <f t="shared" si="19"/>
        <v>0</v>
      </c>
      <c r="R383">
        <f t="shared" si="20"/>
        <v>452</v>
      </c>
      <c r="S383" s="28">
        <f>IF($P383="","",IF(SUMPRODUCT(MAX(($A$2:$A$497=$P383)*ROW($A$2:$A$497)))=0,"",INDEX($B:$B,SUMPRODUCT(MAX(($A$2:$A$497=$P383)*ROW($A$2:$A$497))))))</f>
        <v>0</v>
      </c>
      <c r="T383" t="str">
        <f>IF($P383="","",IF(SUMPRODUCT(MAX(($A$2:$A$497=$P383)*ROW($A$2:$A$497)))=0,"",INDEX($C:$C,SUMPRODUCT(MAX(($A$2:$A$497=$P383)*ROW($A$2:$A$497))))&amp;" -&gt; "&amp;INDEX($D:$D,SUMPRODUCT(MAX(($A$2:$A$497=$P383)*ROW($A$2:$A$497))))))</f>
        <v xml:space="preserve"> -&gt; </v>
      </c>
    </row>
    <row r="384" spans="1:20">
      <c r="A384" s="31"/>
      <c r="B384" s="32"/>
      <c r="C384" s="31"/>
      <c r="D384" s="31"/>
      <c r="E384" s="31"/>
      <c r="F384" s="31"/>
      <c r="G384" s="31"/>
      <c r="H384" s="32"/>
      <c r="I384" s="32"/>
      <c r="J384" s="32"/>
      <c r="K384" s="31"/>
      <c r="L384" s="31"/>
      <c r="M384" s="3" t="str">
        <f t="shared" ref="M384:M447" ca="1" si="21">IF($A384="","",IF($G384="Did not pass re-test","Sent back again",IF(NOT(ISNUMBER($B384)),"Missing sent-back date",IF(ISNUMBER($J384),"Fixed in "&amp;($J384-$B384)&amp;" d",IF($I384="","UNCLAIMED "&amp;(TODAY()-$B384)&amp;" d",IF(TODAY()&gt;$I384,(TODAY()-$I384)&amp;" d LATE","Open "&amp;(TODAY()-$B384)&amp;" d"))))))</f>
        <v/>
      </c>
      <c r="P384">
        <f>'Combined Delivery Data'!B414</f>
        <v>0</v>
      </c>
      <c r="Q384">
        <f t="shared" si="19"/>
        <v>0</v>
      </c>
      <c r="R384">
        <f t="shared" si="20"/>
        <v>452</v>
      </c>
      <c r="S384" s="28">
        <f>IF($P384="","",IF(SUMPRODUCT(MAX(($A$2:$A$497=$P384)*ROW($A$2:$A$497)))=0,"",INDEX($B:$B,SUMPRODUCT(MAX(($A$2:$A$497=$P384)*ROW($A$2:$A$497))))))</f>
        <v>0</v>
      </c>
      <c r="T384" t="str">
        <f>IF($P384="","",IF(SUMPRODUCT(MAX(($A$2:$A$497=$P384)*ROW($A$2:$A$497)))=0,"",INDEX($C:$C,SUMPRODUCT(MAX(($A$2:$A$497=$P384)*ROW($A$2:$A$497))))&amp;" -&gt; "&amp;INDEX($D:$D,SUMPRODUCT(MAX(($A$2:$A$497=$P384)*ROW($A$2:$A$497))))))</f>
        <v xml:space="preserve"> -&gt; </v>
      </c>
    </row>
    <row r="385" spans="1:20">
      <c r="A385" s="31"/>
      <c r="B385" s="32"/>
      <c r="C385" s="31"/>
      <c r="D385" s="31"/>
      <c r="E385" s="31"/>
      <c r="F385" s="31"/>
      <c r="G385" s="31"/>
      <c r="H385" s="32"/>
      <c r="I385" s="32"/>
      <c r="J385" s="32"/>
      <c r="K385" s="31"/>
      <c r="L385" s="31"/>
      <c r="M385" s="3" t="str">
        <f t="shared" ca="1" si="21"/>
        <v/>
      </c>
      <c r="P385">
        <f>'Combined Delivery Data'!B415</f>
        <v>0</v>
      </c>
      <c r="Q385">
        <f t="shared" si="19"/>
        <v>0</v>
      </c>
      <c r="R385">
        <f t="shared" si="20"/>
        <v>452</v>
      </c>
      <c r="S385" s="28">
        <f>IF($P385="","",IF(SUMPRODUCT(MAX(($A$2:$A$497=$P385)*ROW($A$2:$A$497)))=0,"",INDEX($B:$B,SUMPRODUCT(MAX(($A$2:$A$497=$P385)*ROW($A$2:$A$497))))))</f>
        <v>0</v>
      </c>
      <c r="T385" t="str">
        <f>IF($P385="","",IF(SUMPRODUCT(MAX(($A$2:$A$497=$P385)*ROW($A$2:$A$497)))=0,"",INDEX($C:$C,SUMPRODUCT(MAX(($A$2:$A$497=$P385)*ROW($A$2:$A$497))))&amp;" -&gt; "&amp;INDEX($D:$D,SUMPRODUCT(MAX(($A$2:$A$497=$P385)*ROW($A$2:$A$497))))))</f>
        <v xml:space="preserve"> -&gt; </v>
      </c>
    </row>
    <row r="386" spans="1:20">
      <c r="A386" s="31"/>
      <c r="B386" s="32"/>
      <c r="C386" s="31"/>
      <c r="D386" s="31"/>
      <c r="E386" s="31"/>
      <c r="F386" s="31"/>
      <c r="G386" s="31"/>
      <c r="H386" s="32"/>
      <c r="I386" s="32"/>
      <c r="J386" s="32"/>
      <c r="K386" s="31"/>
      <c r="L386" s="31"/>
      <c r="M386" s="3" t="str">
        <f t="shared" ca="1" si="21"/>
        <v/>
      </c>
      <c r="P386">
        <f>'Combined Delivery Data'!B416</f>
        <v>0</v>
      </c>
      <c r="Q386">
        <f t="shared" si="19"/>
        <v>0</v>
      </c>
      <c r="R386">
        <f t="shared" si="20"/>
        <v>452</v>
      </c>
      <c r="S386" s="28">
        <f>IF($P386="","",IF(SUMPRODUCT(MAX(($A$2:$A$497=$P386)*ROW($A$2:$A$497)))=0,"",INDEX($B:$B,SUMPRODUCT(MAX(($A$2:$A$497=$P386)*ROW($A$2:$A$497))))))</f>
        <v>0</v>
      </c>
      <c r="T386" t="str">
        <f>IF($P386="","",IF(SUMPRODUCT(MAX(($A$2:$A$497=$P386)*ROW($A$2:$A$497)))=0,"",INDEX($C:$C,SUMPRODUCT(MAX(($A$2:$A$497=$P386)*ROW($A$2:$A$497))))&amp;" -&gt; "&amp;INDEX($D:$D,SUMPRODUCT(MAX(($A$2:$A$497=$P386)*ROW($A$2:$A$497))))))</f>
        <v xml:space="preserve"> -&gt; </v>
      </c>
    </row>
    <row r="387" spans="1:20">
      <c r="A387" s="31"/>
      <c r="B387" s="32"/>
      <c r="C387" s="31"/>
      <c r="D387" s="31"/>
      <c r="E387" s="31"/>
      <c r="F387" s="31"/>
      <c r="G387" s="31"/>
      <c r="H387" s="32"/>
      <c r="I387" s="32"/>
      <c r="J387" s="32"/>
      <c r="K387" s="31"/>
      <c r="L387" s="31"/>
      <c r="M387" s="3" t="str">
        <f t="shared" ca="1" si="21"/>
        <v/>
      </c>
      <c r="P387">
        <f>'Combined Delivery Data'!B417</f>
        <v>0</v>
      </c>
      <c r="Q387">
        <f t="shared" si="19"/>
        <v>0</v>
      </c>
      <c r="R387">
        <f t="shared" si="20"/>
        <v>452</v>
      </c>
      <c r="S387" s="28">
        <f>IF($P387="","",IF(SUMPRODUCT(MAX(($A$2:$A$497=$P387)*ROW($A$2:$A$497)))=0,"",INDEX($B:$B,SUMPRODUCT(MAX(($A$2:$A$497=$P387)*ROW($A$2:$A$497))))))</f>
        <v>0</v>
      </c>
      <c r="T387" t="str">
        <f>IF($P387="","",IF(SUMPRODUCT(MAX(($A$2:$A$497=$P387)*ROW($A$2:$A$497)))=0,"",INDEX($C:$C,SUMPRODUCT(MAX(($A$2:$A$497=$P387)*ROW($A$2:$A$497))))&amp;" -&gt; "&amp;INDEX($D:$D,SUMPRODUCT(MAX(($A$2:$A$497=$P387)*ROW($A$2:$A$497))))))</f>
        <v xml:space="preserve"> -&gt; </v>
      </c>
    </row>
    <row r="388" spans="1:20">
      <c r="A388" s="31"/>
      <c r="B388" s="32"/>
      <c r="C388" s="31"/>
      <c r="D388" s="31"/>
      <c r="E388" s="31"/>
      <c r="F388" s="31"/>
      <c r="G388" s="31"/>
      <c r="H388" s="32"/>
      <c r="I388" s="32"/>
      <c r="J388" s="32"/>
      <c r="K388" s="31"/>
      <c r="L388" s="31"/>
      <c r="M388" s="3" t="str">
        <f t="shared" ca="1" si="21"/>
        <v/>
      </c>
      <c r="P388">
        <f>'Combined Delivery Data'!B418</f>
        <v>0</v>
      </c>
      <c r="Q388">
        <f t="shared" si="19"/>
        <v>0</v>
      </c>
      <c r="R388">
        <f t="shared" si="20"/>
        <v>452</v>
      </c>
      <c r="S388" s="28">
        <f>IF($P388="","",IF(SUMPRODUCT(MAX(($A$2:$A$497=$P388)*ROW($A$2:$A$497)))=0,"",INDEX($B:$B,SUMPRODUCT(MAX(($A$2:$A$497=$P388)*ROW($A$2:$A$497))))))</f>
        <v>0</v>
      </c>
      <c r="T388" t="str">
        <f>IF($P388="","",IF(SUMPRODUCT(MAX(($A$2:$A$497=$P388)*ROW($A$2:$A$497)))=0,"",INDEX($C:$C,SUMPRODUCT(MAX(($A$2:$A$497=$P388)*ROW($A$2:$A$497))))&amp;" -&gt; "&amp;INDEX($D:$D,SUMPRODUCT(MAX(($A$2:$A$497=$P388)*ROW($A$2:$A$497))))))</f>
        <v xml:space="preserve"> -&gt; </v>
      </c>
    </row>
    <row r="389" spans="1:20">
      <c r="A389" s="31"/>
      <c r="B389" s="32"/>
      <c r="C389" s="31"/>
      <c r="D389" s="31"/>
      <c r="E389" s="31"/>
      <c r="F389" s="31"/>
      <c r="G389" s="31"/>
      <c r="H389" s="32"/>
      <c r="I389" s="32"/>
      <c r="J389" s="32"/>
      <c r="K389" s="31"/>
      <c r="L389" s="31"/>
      <c r="M389" s="3" t="str">
        <f t="shared" ca="1" si="21"/>
        <v/>
      </c>
      <c r="P389">
        <f>'Combined Delivery Data'!B419</f>
        <v>0</v>
      </c>
      <c r="Q389">
        <f t="shared" si="19"/>
        <v>0</v>
      </c>
      <c r="R389">
        <f t="shared" si="20"/>
        <v>452</v>
      </c>
      <c r="S389" s="28">
        <f>IF($P389="","",IF(SUMPRODUCT(MAX(($A$2:$A$497=$P389)*ROW($A$2:$A$497)))=0,"",INDEX($B:$B,SUMPRODUCT(MAX(($A$2:$A$497=$P389)*ROW($A$2:$A$497))))))</f>
        <v>0</v>
      </c>
      <c r="T389" t="str">
        <f>IF($P389="","",IF(SUMPRODUCT(MAX(($A$2:$A$497=$P389)*ROW($A$2:$A$497)))=0,"",INDEX($C:$C,SUMPRODUCT(MAX(($A$2:$A$497=$P389)*ROW($A$2:$A$497))))&amp;" -&gt; "&amp;INDEX($D:$D,SUMPRODUCT(MAX(($A$2:$A$497=$P389)*ROW($A$2:$A$497))))))</f>
        <v xml:space="preserve"> -&gt; </v>
      </c>
    </row>
    <row r="390" spans="1:20">
      <c r="A390" s="31"/>
      <c r="B390" s="32"/>
      <c r="C390" s="31"/>
      <c r="D390" s="31"/>
      <c r="E390" s="31"/>
      <c r="F390" s="31"/>
      <c r="G390" s="31"/>
      <c r="H390" s="32"/>
      <c r="I390" s="32"/>
      <c r="J390" s="32"/>
      <c r="K390" s="31"/>
      <c r="L390" s="31"/>
      <c r="M390" s="3" t="str">
        <f t="shared" ca="1" si="21"/>
        <v/>
      </c>
      <c r="P390">
        <f>'Combined Delivery Data'!B420</f>
        <v>0</v>
      </c>
      <c r="Q390">
        <f t="shared" si="19"/>
        <v>0</v>
      </c>
      <c r="R390">
        <f t="shared" si="20"/>
        <v>452</v>
      </c>
      <c r="S390" s="28">
        <f>IF($P390="","",IF(SUMPRODUCT(MAX(($A$2:$A$497=$P390)*ROW($A$2:$A$497)))=0,"",INDEX($B:$B,SUMPRODUCT(MAX(($A$2:$A$497=$P390)*ROW($A$2:$A$497))))))</f>
        <v>0</v>
      </c>
      <c r="T390" t="str">
        <f>IF($P390="","",IF(SUMPRODUCT(MAX(($A$2:$A$497=$P390)*ROW($A$2:$A$497)))=0,"",INDEX($C:$C,SUMPRODUCT(MAX(($A$2:$A$497=$P390)*ROW($A$2:$A$497))))&amp;" -&gt; "&amp;INDEX($D:$D,SUMPRODUCT(MAX(($A$2:$A$497=$P390)*ROW($A$2:$A$497))))))</f>
        <v xml:space="preserve"> -&gt; </v>
      </c>
    </row>
    <row r="391" spans="1:20">
      <c r="A391" s="31"/>
      <c r="B391" s="32"/>
      <c r="C391" s="31"/>
      <c r="D391" s="31"/>
      <c r="E391" s="31"/>
      <c r="F391" s="31"/>
      <c r="G391" s="31"/>
      <c r="H391" s="32"/>
      <c r="I391" s="32"/>
      <c r="J391" s="32"/>
      <c r="K391" s="31"/>
      <c r="L391" s="31"/>
      <c r="M391" s="3" t="str">
        <f t="shared" ca="1" si="21"/>
        <v/>
      </c>
      <c r="P391">
        <f>'Combined Delivery Data'!B421</f>
        <v>0</v>
      </c>
      <c r="Q391">
        <f t="shared" si="19"/>
        <v>0</v>
      </c>
      <c r="R391">
        <f t="shared" si="20"/>
        <v>452</v>
      </c>
      <c r="S391" s="28">
        <f>IF($P391="","",IF(SUMPRODUCT(MAX(($A$2:$A$497=$P391)*ROW($A$2:$A$497)))=0,"",INDEX($B:$B,SUMPRODUCT(MAX(($A$2:$A$497=$P391)*ROW($A$2:$A$497))))))</f>
        <v>0</v>
      </c>
      <c r="T391" t="str">
        <f>IF($P391="","",IF(SUMPRODUCT(MAX(($A$2:$A$497=$P391)*ROW($A$2:$A$497)))=0,"",INDEX($C:$C,SUMPRODUCT(MAX(($A$2:$A$497=$P391)*ROW($A$2:$A$497))))&amp;" -&gt; "&amp;INDEX($D:$D,SUMPRODUCT(MAX(($A$2:$A$497=$P391)*ROW($A$2:$A$497))))))</f>
        <v xml:space="preserve"> -&gt; </v>
      </c>
    </row>
    <row r="392" spans="1:20">
      <c r="A392" s="31"/>
      <c r="B392" s="32"/>
      <c r="C392" s="31"/>
      <c r="D392" s="31"/>
      <c r="E392" s="31"/>
      <c r="F392" s="31"/>
      <c r="G392" s="31"/>
      <c r="H392" s="32"/>
      <c r="I392" s="32"/>
      <c r="J392" s="32"/>
      <c r="K392" s="31"/>
      <c r="L392" s="31"/>
      <c r="M392" s="3" t="str">
        <f t="shared" ca="1" si="21"/>
        <v/>
      </c>
      <c r="P392">
        <f>'Combined Delivery Data'!B422</f>
        <v>0</v>
      </c>
      <c r="Q392">
        <f t="shared" si="19"/>
        <v>0</v>
      </c>
      <c r="R392">
        <f t="shared" si="20"/>
        <v>452</v>
      </c>
      <c r="S392" s="28">
        <f>IF($P392="","",IF(SUMPRODUCT(MAX(($A$2:$A$497=$P392)*ROW($A$2:$A$497)))=0,"",INDEX($B:$B,SUMPRODUCT(MAX(($A$2:$A$497=$P392)*ROW($A$2:$A$497))))))</f>
        <v>0</v>
      </c>
      <c r="T392" t="str">
        <f>IF($P392="","",IF(SUMPRODUCT(MAX(($A$2:$A$497=$P392)*ROW($A$2:$A$497)))=0,"",INDEX($C:$C,SUMPRODUCT(MAX(($A$2:$A$497=$P392)*ROW($A$2:$A$497))))&amp;" -&gt; "&amp;INDEX($D:$D,SUMPRODUCT(MAX(($A$2:$A$497=$P392)*ROW($A$2:$A$497))))))</f>
        <v xml:space="preserve"> -&gt; </v>
      </c>
    </row>
    <row r="393" spans="1:20">
      <c r="A393" s="31"/>
      <c r="B393" s="32"/>
      <c r="C393" s="31"/>
      <c r="D393" s="31"/>
      <c r="E393" s="31"/>
      <c r="F393" s="31"/>
      <c r="G393" s="31"/>
      <c r="H393" s="32"/>
      <c r="I393" s="32"/>
      <c r="J393" s="32"/>
      <c r="K393" s="31"/>
      <c r="L393" s="31"/>
      <c r="M393" s="3" t="str">
        <f t="shared" ca="1" si="21"/>
        <v/>
      </c>
      <c r="P393">
        <f>'Combined Delivery Data'!B423</f>
        <v>0</v>
      </c>
      <c r="Q393">
        <f t="shared" si="19"/>
        <v>0</v>
      </c>
      <c r="R393">
        <f t="shared" si="20"/>
        <v>452</v>
      </c>
      <c r="S393" s="28">
        <f>IF($P393="","",IF(SUMPRODUCT(MAX(($A$2:$A$497=$P393)*ROW($A$2:$A$497)))=0,"",INDEX($B:$B,SUMPRODUCT(MAX(($A$2:$A$497=$P393)*ROW($A$2:$A$497))))))</f>
        <v>0</v>
      </c>
      <c r="T393" t="str">
        <f>IF($P393="","",IF(SUMPRODUCT(MAX(($A$2:$A$497=$P393)*ROW($A$2:$A$497)))=0,"",INDEX($C:$C,SUMPRODUCT(MAX(($A$2:$A$497=$P393)*ROW($A$2:$A$497))))&amp;" -&gt; "&amp;INDEX($D:$D,SUMPRODUCT(MAX(($A$2:$A$497=$P393)*ROW($A$2:$A$497))))))</f>
        <v xml:space="preserve"> -&gt; </v>
      </c>
    </row>
    <row r="394" spans="1:20">
      <c r="A394" s="31"/>
      <c r="B394" s="32"/>
      <c r="C394" s="31"/>
      <c r="D394" s="31"/>
      <c r="E394" s="31"/>
      <c r="F394" s="31"/>
      <c r="G394" s="31"/>
      <c r="H394" s="32"/>
      <c r="I394" s="32"/>
      <c r="J394" s="32"/>
      <c r="K394" s="31"/>
      <c r="L394" s="31"/>
      <c r="M394" s="3" t="str">
        <f t="shared" ca="1" si="21"/>
        <v/>
      </c>
      <c r="P394">
        <f>'Combined Delivery Data'!B424</f>
        <v>0</v>
      </c>
      <c r="Q394">
        <f t="shared" si="19"/>
        <v>0</v>
      </c>
      <c r="R394">
        <f t="shared" si="20"/>
        <v>452</v>
      </c>
      <c r="S394" s="28">
        <f>IF($P394="","",IF(SUMPRODUCT(MAX(($A$2:$A$497=$P394)*ROW($A$2:$A$497)))=0,"",INDEX($B:$B,SUMPRODUCT(MAX(($A$2:$A$497=$P394)*ROW($A$2:$A$497))))))</f>
        <v>0</v>
      </c>
      <c r="T394" t="str">
        <f>IF($P394="","",IF(SUMPRODUCT(MAX(($A$2:$A$497=$P394)*ROW($A$2:$A$497)))=0,"",INDEX($C:$C,SUMPRODUCT(MAX(($A$2:$A$497=$P394)*ROW($A$2:$A$497))))&amp;" -&gt; "&amp;INDEX($D:$D,SUMPRODUCT(MAX(($A$2:$A$497=$P394)*ROW($A$2:$A$497))))))</f>
        <v xml:space="preserve"> -&gt; </v>
      </c>
    </row>
    <row r="395" spans="1:20">
      <c r="A395" s="31"/>
      <c r="B395" s="32"/>
      <c r="C395" s="31"/>
      <c r="D395" s="31"/>
      <c r="E395" s="31"/>
      <c r="F395" s="31"/>
      <c r="G395" s="31"/>
      <c r="H395" s="32"/>
      <c r="I395" s="32"/>
      <c r="J395" s="32"/>
      <c r="K395" s="31"/>
      <c r="L395" s="31"/>
      <c r="M395" s="3" t="str">
        <f t="shared" ca="1" si="21"/>
        <v/>
      </c>
      <c r="P395">
        <f>'Combined Delivery Data'!B425</f>
        <v>0</v>
      </c>
      <c r="Q395">
        <f t="shared" si="19"/>
        <v>0</v>
      </c>
      <c r="R395">
        <f t="shared" si="20"/>
        <v>452</v>
      </c>
      <c r="S395" s="28">
        <f>IF($P395="","",IF(SUMPRODUCT(MAX(($A$2:$A$497=$P395)*ROW($A$2:$A$497)))=0,"",INDEX($B:$B,SUMPRODUCT(MAX(($A$2:$A$497=$P395)*ROW($A$2:$A$497))))))</f>
        <v>0</v>
      </c>
      <c r="T395" t="str">
        <f>IF($P395="","",IF(SUMPRODUCT(MAX(($A$2:$A$497=$P395)*ROW($A$2:$A$497)))=0,"",INDEX($C:$C,SUMPRODUCT(MAX(($A$2:$A$497=$P395)*ROW($A$2:$A$497))))&amp;" -&gt; "&amp;INDEX($D:$D,SUMPRODUCT(MAX(($A$2:$A$497=$P395)*ROW($A$2:$A$497))))))</f>
        <v xml:space="preserve"> -&gt; </v>
      </c>
    </row>
    <row r="396" spans="1:20">
      <c r="A396" s="31"/>
      <c r="B396" s="32"/>
      <c r="C396" s="31"/>
      <c r="D396" s="31"/>
      <c r="E396" s="31"/>
      <c r="F396" s="31"/>
      <c r="G396" s="31"/>
      <c r="H396" s="32"/>
      <c r="I396" s="32"/>
      <c r="J396" s="32"/>
      <c r="K396" s="31"/>
      <c r="L396" s="31"/>
      <c r="M396" s="3" t="str">
        <f t="shared" ca="1" si="21"/>
        <v/>
      </c>
      <c r="P396">
        <f>'Combined Delivery Data'!B426</f>
        <v>0</v>
      </c>
      <c r="Q396">
        <f t="shared" si="19"/>
        <v>0</v>
      </c>
      <c r="R396">
        <f t="shared" si="20"/>
        <v>452</v>
      </c>
      <c r="S396" s="28">
        <f>IF($P396="","",IF(SUMPRODUCT(MAX(($A$2:$A$497=$P396)*ROW($A$2:$A$497)))=0,"",INDEX($B:$B,SUMPRODUCT(MAX(($A$2:$A$497=$P396)*ROW($A$2:$A$497))))))</f>
        <v>0</v>
      </c>
      <c r="T396" t="str">
        <f>IF($P396="","",IF(SUMPRODUCT(MAX(($A$2:$A$497=$P396)*ROW($A$2:$A$497)))=0,"",INDEX($C:$C,SUMPRODUCT(MAX(($A$2:$A$497=$P396)*ROW($A$2:$A$497))))&amp;" -&gt; "&amp;INDEX($D:$D,SUMPRODUCT(MAX(($A$2:$A$497=$P396)*ROW($A$2:$A$497))))))</f>
        <v xml:space="preserve"> -&gt; </v>
      </c>
    </row>
    <row r="397" spans="1:20">
      <c r="A397" s="31"/>
      <c r="B397" s="32"/>
      <c r="C397" s="31"/>
      <c r="D397" s="31"/>
      <c r="E397" s="31"/>
      <c r="F397" s="31"/>
      <c r="G397" s="31"/>
      <c r="H397" s="32"/>
      <c r="I397" s="32"/>
      <c r="J397" s="32"/>
      <c r="K397" s="31"/>
      <c r="L397" s="31"/>
      <c r="M397" s="3" t="str">
        <f t="shared" ca="1" si="21"/>
        <v/>
      </c>
      <c r="P397">
        <f>'Combined Delivery Data'!B427</f>
        <v>0</v>
      </c>
      <c r="Q397">
        <f t="shared" si="19"/>
        <v>0</v>
      </c>
      <c r="R397">
        <f t="shared" si="20"/>
        <v>452</v>
      </c>
      <c r="S397" s="28">
        <f>IF($P397="","",IF(SUMPRODUCT(MAX(($A$2:$A$497=$P397)*ROW($A$2:$A$497)))=0,"",INDEX($B:$B,SUMPRODUCT(MAX(($A$2:$A$497=$P397)*ROW($A$2:$A$497))))))</f>
        <v>0</v>
      </c>
      <c r="T397" t="str">
        <f>IF($P397="","",IF(SUMPRODUCT(MAX(($A$2:$A$497=$P397)*ROW($A$2:$A$497)))=0,"",INDEX($C:$C,SUMPRODUCT(MAX(($A$2:$A$497=$P397)*ROW($A$2:$A$497))))&amp;" -&gt; "&amp;INDEX($D:$D,SUMPRODUCT(MAX(($A$2:$A$497=$P397)*ROW($A$2:$A$497))))))</f>
        <v xml:space="preserve"> -&gt; </v>
      </c>
    </row>
    <row r="398" spans="1:20">
      <c r="A398" s="31"/>
      <c r="B398" s="32"/>
      <c r="C398" s="31"/>
      <c r="D398" s="31"/>
      <c r="E398" s="31"/>
      <c r="F398" s="31"/>
      <c r="G398" s="31"/>
      <c r="H398" s="32"/>
      <c r="I398" s="32"/>
      <c r="J398" s="32"/>
      <c r="K398" s="31"/>
      <c r="L398" s="31"/>
      <c r="M398" s="3" t="str">
        <f t="shared" ca="1" si="21"/>
        <v/>
      </c>
      <c r="P398">
        <f>'Combined Delivery Data'!B428</f>
        <v>0</v>
      </c>
      <c r="Q398">
        <f t="shared" si="19"/>
        <v>0</v>
      </c>
      <c r="R398">
        <f t="shared" si="20"/>
        <v>452</v>
      </c>
      <c r="S398" s="28">
        <f>IF($P398="","",IF(SUMPRODUCT(MAX(($A$2:$A$497=$P398)*ROW($A$2:$A$497)))=0,"",INDEX($B:$B,SUMPRODUCT(MAX(($A$2:$A$497=$P398)*ROW($A$2:$A$497))))))</f>
        <v>0</v>
      </c>
      <c r="T398" t="str">
        <f>IF($P398="","",IF(SUMPRODUCT(MAX(($A$2:$A$497=$P398)*ROW($A$2:$A$497)))=0,"",INDEX($C:$C,SUMPRODUCT(MAX(($A$2:$A$497=$P398)*ROW($A$2:$A$497))))&amp;" -&gt; "&amp;INDEX($D:$D,SUMPRODUCT(MAX(($A$2:$A$497=$P398)*ROW($A$2:$A$497))))))</f>
        <v xml:space="preserve"> -&gt; </v>
      </c>
    </row>
    <row r="399" spans="1:20">
      <c r="A399" s="31"/>
      <c r="B399" s="32"/>
      <c r="C399" s="31"/>
      <c r="D399" s="31"/>
      <c r="E399" s="31"/>
      <c r="F399" s="31"/>
      <c r="G399" s="31"/>
      <c r="H399" s="32"/>
      <c r="I399" s="32"/>
      <c r="J399" s="32"/>
      <c r="K399" s="31"/>
      <c r="L399" s="31"/>
      <c r="M399" s="3" t="str">
        <f t="shared" ca="1" si="21"/>
        <v/>
      </c>
      <c r="P399">
        <f>'Combined Delivery Data'!B429</f>
        <v>0</v>
      </c>
      <c r="Q399">
        <f t="shared" si="19"/>
        <v>0</v>
      </c>
      <c r="R399">
        <f t="shared" si="20"/>
        <v>452</v>
      </c>
      <c r="S399" s="28">
        <f>IF($P399="","",IF(SUMPRODUCT(MAX(($A$2:$A$497=$P399)*ROW($A$2:$A$497)))=0,"",INDEX($B:$B,SUMPRODUCT(MAX(($A$2:$A$497=$P399)*ROW($A$2:$A$497))))))</f>
        <v>0</v>
      </c>
      <c r="T399" t="str">
        <f>IF($P399="","",IF(SUMPRODUCT(MAX(($A$2:$A$497=$P399)*ROW($A$2:$A$497)))=0,"",INDEX($C:$C,SUMPRODUCT(MAX(($A$2:$A$497=$P399)*ROW($A$2:$A$497))))&amp;" -&gt; "&amp;INDEX($D:$D,SUMPRODUCT(MAX(($A$2:$A$497=$P399)*ROW($A$2:$A$497))))))</f>
        <v xml:space="preserve"> -&gt; </v>
      </c>
    </row>
    <row r="400" spans="1:20">
      <c r="A400" s="31"/>
      <c r="B400" s="32"/>
      <c r="C400" s="31"/>
      <c r="D400" s="31"/>
      <c r="E400" s="31"/>
      <c r="F400" s="31"/>
      <c r="G400" s="31"/>
      <c r="H400" s="32"/>
      <c r="I400" s="32"/>
      <c r="J400" s="32"/>
      <c r="K400" s="31"/>
      <c r="L400" s="31"/>
      <c r="M400" s="3" t="str">
        <f t="shared" ca="1" si="21"/>
        <v/>
      </c>
      <c r="P400">
        <f>'Combined Delivery Data'!B430</f>
        <v>0</v>
      </c>
      <c r="Q400">
        <f t="shared" si="19"/>
        <v>0</v>
      </c>
      <c r="R400">
        <f t="shared" si="20"/>
        <v>452</v>
      </c>
      <c r="S400" s="28">
        <f>IF($P400="","",IF(SUMPRODUCT(MAX(($A$2:$A$497=$P400)*ROW($A$2:$A$497)))=0,"",INDEX($B:$B,SUMPRODUCT(MAX(($A$2:$A$497=$P400)*ROW($A$2:$A$497))))))</f>
        <v>0</v>
      </c>
      <c r="T400" t="str">
        <f>IF($P400="","",IF(SUMPRODUCT(MAX(($A$2:$A$497=$P400)*ROW($A$2:$A$497)))=0,"",INDEX($C:$C,SUMPRODUCT(MAX(($A$2:$A$497=$P400)*ROW($A$2:$A$497))))&amp;" -&gt; "&amp;INDEX($D:$D,SUMPRODUCT(MAX(($A$2:$A$497=$P400)*ROW($A$2:$A$497))))))</f>
        <v xml:space="preserve"> -&gt; </v>
      </c>
    </row>
    <row r="401" spans="1:20">
      <c r="A401" s="31"/>
      <c r="B401" s="32"/>
      <c r="C401" s="31"/>
      <c r="D401" s="31"/>
      <c r="E401" s="31"/>
      <c r="F401" s="31"/>
      <c r="G401" s="31"/>
      <c r="H401" s="32"/>
      <c r="I401" s="32"/>
      <c r="J401" s="32"/>
      <c r="K401" s="31"/>
      <c r="L401" s="31"/>
      <c r="M401" s="3" t="str">
        <f t="shared" ca="1" si="21"/>
        <v/>
      </c>
      <c r="P401">
        <f>'Combined Delivery Data'!B431</f>
        <v>0</v>
      </c>
      <c r="Q401">
        <f t="shared" ref="Q401:Q464" si="22">IF($P401="","",COUNTIF($A$2:$A$497,$P401))</f>
        <v>0</v>
      </c>
      <c r="R401">
        <f t="shared" ref="R401:R464" si="23">IF($P401="","",SUMPRODUCT(($A$2:$A$497=$P401)*($G$2:$G$497&lt;&gt;"Yes")*($G$2:$G$497&lt;&gt;"Did not pass re-test")))</f>
        <v>452</v>
      </c>
      <c r="S401" s="28">
        <f>IF($P401="","",IF(SUMPRODUCT(MAX(($A$2:$A$497=$P401)*ROW($A$2:$A$497)))=0,"",INDEX($B:$B,SUMPRODUCT(MAX(($A$2:$A$497=$P401)*ROW($A$2:$A$497))))))</f>
        <v>0</v>
      </c>
      <c r="T401" t="str">
        <f>IF($P401="","",IF(SUMPRODUCT(MAX(($A$2:$A$497=$P401)*ROW($A$2:$A$497)))=0,"",INDEX($C:$C,SUMPRODUCT(MAX(($A$2:$A$497=$P401)*ROW($A$2:$A$497))))&amp;" -&gt; "&amp;INDEX($D:$D,SUMPRODUCT(MAX(($A$2:$A$497=$P401)*ROW($A$2:$A$497))))))</f>
        <v xml:space="preserve"> -&gt; </v>
      </c>
    </row>
    <row r="402" spans="1:20">
      <c r="A402" s="31"/>
      <c r="B402" s="32"/>
      <c r="C402" s="31"/>
      <c r="D402" s="31"/>
      <c r="E402" s="31"/>
      <c r="F402" s="31"/>
      <c r="G402" s="31"/>
      <c r="H402" s="32"/>
      <c r="I402" s="32"/>
      <c r="J402" s="32"/>
      <c r="K402" s="31"/>
      <c r="L402" s="31"/>
      <c r="M402" s="3" t="str">
        <f t="shared" ca="1" si="21"/>
        <v/>
      </c>
      <c r="P402">
        <f>'Combined Delivery Data'!B432</f>
        <v>0</v>
      </c>
      <c r="Q402">
        <f t="shared" si="22"/>
        <v>0</v>
      </c>
      <c r="R402">
        <f t="shared" si="23"/>
        <v>452</v>
      </c>
      <c r="S402" s="28">
        <f>IF($P402="","",IF(SUMPRODUCT(MAX(($A$2:$A$497=$P402)*ROW($A$2:$A$497)))=0,"",INDEX($B:$B,SUMPRODUCT(MAX(($A$2:$A$497=$P402)*ROW($A$2:$A$497))))))</f>
        <v>0</v>
      </c>
      <c r="T402" t="str">
        <f>IF($P402="","",IF(SUMPRODUCT(MAX(($A$2:$A$497=$P402)*ROW($A$2:$A$497)))=0,"",INDEX($C:$C,SUMPRODUCT(MAX(($A$2:$A$497=$P402)*ROW($A$2:$A$497))))&amp;" -&gt; "&amp;INDEX($D:$D,SUMPRODUCT(MAX(($A$2:$A$497=$P402)*ROW($A$2:$A$497))))))</f>
        <v xml:space="preserve"> -&gt; </v>
      </c>
    </row>
    <row r="403" spans="1:20">
      <c r="A403" s="31"/>
      <c r="B403" s="32"/>
      <c r="C403" s="31"/>
      <c r="D403" s="31"/>
      <c r="E403" s="31"/>
      <c r="F403" s="31"/>
      <c r="G403" s="31"/>
      <c r="H403" s="32"/>
      <c r="I403" s="32"/>
      <c r="J403" s="32"/>
      <c r="K403" s="31"/>
      <c r="L403" s="31"/>
      <c r="M403" s="3" t="str">
        <f t="shared" ca="1" si="21"/>
        <v/>
      </c>
      <c r="P403">
        <f>'Combined Delivery Data'!B433</f>
        <v>0</v>
      </c>
      <c r="Q403">
        <f t="shared" si="22"/>
        <v>0</v>
      </c>
      <c r="R403">
        <f t="shared" si="23"/>
        <v>452</v>
      </c>
      <c r="S403" s="28">
        <f>IF($P403="","",IF(SUMPRODUCT(MAX(($A$2:$A$497=$P403)*ROW($A$2:$A$497)))=0,"",INDEX($B:$B,SUMPRODUCT(MAX(($A$2:$A$497=$P403)*ROW($A$2:$A$497))))))</f>
        <v>0</v>
      </c>
      <c r="T403" t="str">
        <f>IF($P403="","",IF(SUMPRODUCT(MAX(($A$2:$A$497=$P403)*ROW($A$2:$A$497)))=0,"",INDEX($C:$C,SUMPRODUCT(MAX(($A$2:$A$497=$P403)*ROW($A$2:$A$497))))&amp;" -&gt; "&amp;INDEX($D:$D,SUMPRODUCT(MAX(($A$2:$A$497=$P403)*ROW($A$2:$A$497))))))</f>
        <v xml:space="preserve"> -&gt; </v>
      </c>
    </row>
    <row r="404" spans="1:20">
      <c r="A404" s="31"/>
      <c r="B404" s="32"/>
      <c r="C404" s="31"/>
      <c r="D404" s="31"/>
      <c r="E404" s="31"/>
      <c r="F404" s="31"/>
      <c r="G404" s="31"/>
      <c r="H404" s="32"/>
      <c r="I404" s="32"/>
      <c r="J404" s="32"/>
      <c r="K404" s="31"/>
      <c r="L404" s="31"/>
      <c r="M404" s="3" t="str">
        <f t="shared" ca="1" si="21"/>
        <v/>
      </c>
      <c r="P404">
        <f>'Combined Delivery Data'!B434</f>
        <v>0</v>
      </c>
      <c r="Q404">
        <f t="shared" si="22"/>
        <v>0</v>
      </c>
      <c r="R404">
        <f t="shared" si="23"/>
        <v>452</v>
      </c>
      <c r="S404" s="28">
        <f>IF($P404="","",IF(SUMPRODUCT(MAX(($A$2:$A$497=$P404)*ROW($A$2:$A$497)))=0,"",INDEX($B:$B,SUMPRODUCT(MAX(($A$2:$A$497=$P404)*ROW($A$2:$A$497))))))</f>
        <v>0</v>
      </c>
      <c r="T404" t="str">
        <f>IF($P404="","",IF(SUMPRODUCT(MAX(($A$2:$A$497=$P404)*ROW($A$2:$A$497)))=0,"",INDEX($C:$C,SUMPRODUCT(MAX(($A$2:$A$497=$P404)*ROW($A$2:$A$497))))&amp;" -&gt; "&amp;INDEX($D:$D,SUMPRODUCT(MAX(($A$2:$A$497=$P404)*ROW($A$2:$A$497))))))</f>
        <v xml:space="preserve"> -&gt; </v>
      </c>
    </row>
    <row r="405" spans="1:20">
      <c r="A405" s="31"/>
      <c r="B405" s="32"/>
      <c r="C405" s="31"/>
      <c r="D405" s="31"/>
      <c r="E405" s="31"/>
      <c r="F405" s="31"/>
      <c r="G405" s="31"/>
      <c r="H405" s="32"/>
      <c r="I405" s="32"/>
      <c r="J405" s="32"/>
      <c r="K405" s="31"/>
      <c r="L405" s="31"/>
      <c r="M405" s="3" t="str">
        <f t="shared" ca="1" si="21"/>
        <v/>
      </c>
      <c r="P405">
        <f>'Combined Delivery Data'!B435</f>
        <v>0</v>
      </c>
      <c r="Q405">
        <f t="shared" si="22"/>
        <v>0</v>
      </c>
      <c r="R405">
        <f t="shared" si="23"/>
        <v>452</v>
      </c>
      <c r="S405" s="28">
        <f>IF($P405="","",IF(SUMPRODUCT(MAX(($A$2:$A$497=$P405)*ROW($A$2:$A$497)))=0,"",INDEX($B:$B,SUMPRODUCT(MAX(($A$2:$A$497=$P405)*ROW($A$2:$A$497))))))</f>
        <v>0</v>
      </c>
      <c r="T405" t="str">
        <f>IF($P405="","",IF(SUMPRODUCT(MAX(($A$2:$A$497=$P405)*ROW($A$2:$A$497)))=0,"",INDEX($C:$C,SUMPRODUCT(MAX(($A$2:$A$497=$P405)*ROW($A$2:$A$497))))&amp;" -&gt; "&amp;INDEX($D:$D,SUMPRODUCT(MAX(($A$2:$A$497=$P405)*ROW($A$2:$A$497))))))</f>
        <v xml:space="preserve"> -&gt; </v>
      </c>
    </row>
    <row r="406" spans="1:20">
      <c r="A406" s="31"/>
      <c r="B406" s="32"/>
      <c r="C406" s="31"/>
      <c r="D406" s="31"/>
      <c r="E406" s="31"/>
      <c r="F406" s="31"/>
      <c r="G406" s="31"/>
      <c r="H406" s="32"/>
      <c r="I406" s="32"/>
      <c r="J406" s="32"/>
      <c r="K406" s="31"/>
      <c r="L406" s="31"/>
      <c r="M406" s="3" t="str">
        <f t="shared" ca="1" si="21"/>
        <v/>
      </c>
      <c r="P406">
        <f>'Combined Delivery Data'!B436</f>
        <v>0</v>
      </c>
      <c r="Q406">
        <f t="shared" si="22"/>
        <v>0</v>
      </c>
      <c r="R406">
        <f t="shared" si="23"/>
        <v>452</v>
      </c>
      <c r="S406" s="28">
        <f>IF($P406="","",IF(SUMPRODUCT(MAX(($A$2:$A$497=$P406)*ROW($A$2:$A$497)))=0,"",INDEX($B:$B,SUMPRODUCT(MAX(($A$2:$A$497=$P406)*ROW($A$2:$A$497))))))</f>
        <v>0</v>
      </c>
      <c r="T406" t="str">
        <f>IF($P406="","",IF(SUMPRODUCT(MAX(($A$2:$A$497=$P406)*ROW($A$2:$A$497)))=0,"",INDEX($C:$C,SUMPRODUCT(MAX(($A$2:$A$497=$P406)*ROW($A$2:$A$497))))&amp;" -&gt; "&amp;INDEX($D:$D,SUMPRODUCT(MAX(($A$2:$A$497=$P406)*ROW($A$2:$A$497))))))</f>
        <v xml:space="preserve"> -&gt; </v>
      </c>
    </row>
    <row r="407" spans="1:20">
      <c r="A407" s="31"/>
      <c r="B407" s="32"/>
      <c r="C407" s="31"/>
      <c r="D407" s="31"/>
      <c r="E407" s="31"/>
      <c r="F407" s="31"/>
      <c r="G407" s="31"/>
      <c r="H407" s="32"/>
      <c r="I407" s="32"/>
      <c r="J407" s="32"/>
      <c r="K407" s="31"/>
      <c r="L407" s="31"/>
      <c r="M407" s="3" t="str">
        <f t="shared" ca="1" si="21"/>
        <v/>
      </c>
      <c r="P407">
        <f>'Combined Delivery Data'!B437</f>
        <v>0</v>
      </c>
      <c r="Q407">
        <f t="shared" si="22"/>
        <v>0</v>
      </c>
      <c r="R407">
        <f t="shared" si="23"/>
        <v>452</v>
      </c>
      <c r="S407" s="28">
        <f>IF($P407="","",IF(SUMPRODUCT(MAX(($A$2:$A$497=$P407)*ROW($A$2:$A$497)))=0,"",INDEX($B:$B,SUMPRODUCT(MAX(($A$2:$A$497=$P407)*ROW($A$2:$A$497))))))</f>
        <v>0</v>
      </c>
      <c r="T407" t="str">
        <f>IF($P407="","",IF(SUMPRODUCT(MAX(($A$2:$A$497=$P407)*ROW($A$2:$A$497)))=0,"",INDEX($C:$C,SUMPRODUCT(MAX(($A$2:$A$497=$P407)*ROW($A$2:$A$497))))&amp;" -&gt; "&amp;INDEX($D:$D,SUMPRODUCT(MAX(($A$2:$A$497=$P407)*ROW($A$2:$A$497))))))</f>
        <v xml:space="preserve"> -&gt; </v>
      </c>
    </row>
    <row r="408" spans="1:20">
      <c r="A408" s="31"/>
      <c r="B408" s="32"/>
      <c r="C408" s="31"/>
      <c r="D408" s="31"/>
      <c r="E408" s="31"/>
      <c r="F408" s="31"/>
      <c r="G408" s="31"/>
      <c r="H408" s="32"/>
      <c r="I408" s="32"/>
      <c r="J408" s="32"/>
      <c r="K408" s="31"/>
      <c r="L408" s="31"/>
      <c r="M408" s="3" t="str">
        <f t="shared" ca="1" si="21"/>
        <v/>
      </c>
      <c r="P408">
        <f>'Combined Delivery Data'!B438</f>
        <v>0</v>
      </c>
      <c r="Q408">
        <f t="shared" si="22"/>
        <v>0</v>
      </c>
      <c r="R408">
        <f t="shared" si="23"/>
        <v>452</v>
      </c>
      <c r="S408" s="28">
        <f>IF($P408="","",IF(SUMPRODUCT(MAX(($A$2:$A$497=$P408)*ROW($A$2:$A$497)))=0,"",INDEX($B:$B,SUMPRODUCT(MAX(($A$2:$A$497=$P408)*ROW($A$2:$A$497))))))</f>
        <v>0</v>
      </c>
      <c r="T408" t="str">
        <f>IF($P408="","",IF(SUMPRODUCT(MAX(($A$2:$A$497=$P408)*ROW($A$2:$A$497)))=0,"",INDEX($C:$C,SUMPRODUCT(MAX(($A$2:$A$497=$P408)*ROW($A$2:$A$497))))&amp;" -&gt; "&amp;INDEX($D:$D,SUMPRODUCT(MAX(($A$2:$A$497=$P408)*ROW($A$2:$A$497))))))</f>
        <v xml:space="preserve"> -&gt; </v>
      </c>
    </row>
    <row r="409" spans="1:20">
      <c r="A409" s="31"/>
      <c r="B409" s="32"/>
      <c r="C409" s="31"/>
      <c r="D409" s="31"/>
      <c r="E409" s="31"/>
      <c r="F409" s="31"/>
      <c r="G409" s="31"/>
      <c r="H409" s="32"/>
      <c r="I409" s="32"/>
      <c r="J409" s="32"/>
      <c r="K409" s="31"/>
      <c r="L409" s="31"/>
      <c r="M409" s="3" t="str">
        <f t="shared" ca="1" si="21"/>
        <v/>
      </c>
      <c r="P409">
        <f>'Combined Delivery Data'!B439</f>
        <v>0</v>
      </c>
      <c r="Q409">
        <f t="shared" si="22"/>
        <v>0</v>
      </c>
      <c r="R409">
        <f t="shared" si="23"/>
        <v>452</v>
      </c>
      <c r="S409" s="28">
        <f>IF($P409="","",IF(SUMPRODUCT(MAX(($A$2:$A$497=$P409)*ROW($A$2:$A$497)))=0,"",INDEX($B:$B,SUMPRODUCT(MAX(($A$2:$A$497=$P409)*ROW($A$2:$A$497))))))</f>
        <v>0</v>
      </c>
      <c r="T409" t="str">
        <f>IF($P409="","",IF(SUMPRODUCT(MAX(($A$2:$A$497=$P409)*ROW($A$2:$A$497)))=0,"",INDEX($C:$C,SUMPRODUCT(MAX(($A$2:$A$497=$P409)*ROW($A$2:$A$497))))&amp;" -&gt; "&amp;INDEX($D:$D,SUMPRODUCT(MAX(($A$2:$A$497=$P409)*ROW($A$2:$A$497))))))</f>
        <v xml:space="preserve"> -&gt; </v>
      </c>
    </row>
    <row r="410" spans="1:20">
      <c r="A410" s="31"/>
      <c r="B410" s="32"/>
      <c r="C410" s="31"/>
      <c r="D410" s="31"/>
      <c r="E410" s="31"/>
      <c r="F410" s="31"/>
      <c r="G410" s="31"/>
      <c r="H410" s="32"/>
      <c r="I410" s="32"/>
      <c r="J410" s="32"/>
      <c r="K410" s="31"/>
      <c r="L410" s="31"/>
      <c r="M410" s="3" t="str">
        <f t="shared" ca="1" si="21"/>
        <v/>
      </c>
      <c r="P410">
        <f>'Combined Delivery Data'!B440</f>
        <v>0</v>
      </c>
      <c r="Q410">
        <f t="shared" si="22"/>
        <v>0</v>
      </c>
      <c r="R410">
        <f t="shared" si="23"/>
        <v>452</v>
      </c>
      <c r="S410" s="28">
        <f>IF($P410="","",IF(SUMPRODUCT(MAX(($A$2:$A$497=$P410)*ROW($A$2:$A$497)))=0,"",INDEX($B:$B,SUMPRODUCT(MAX(($A$2:$A$497=$P410)*ROW($A$2:$A$497))))))</f>
        <v>0</v>
      </c>
      <c r="T410" t="str">
        <f>IF($P410="","",IF(SUMPRODUCT(MAX(($A$2:$A$497=$P410)*ROW($A$2:$A$497)))=0,"",INDEX($C:$C,SUMPRODUCT(MAX(($A$2:$A$497=$P410)*ROW($A$2:$A$497))))&amp;" -&gt; "&amp;INDEX($D:$D,SUMPRODUCT(MAX(($A$2:$A$497=$P410)*ROW($A$2:$A$497))))))</f>
        <v xml:space="preserve"> -&gt; </v>
      </c>
    </row>
    <row r="411" spans="1:20">
      <c r="A411" s="31"/>
      <c r="B411" s="32"/>
      <c r="C411" s="31"/>
      <c r="D411" s="31"/>
      <c r="E411" s="31"/>
      <c r="F411" s="31"/>
      <c r="G411" s="31"/>
      <c r="H411" s="32"/>
      <c r="I411" s="32"/>
      <c r="J411" s="32"/>
      <c r="K411" s="31"/>
      <c r="L411" s="31"/>
      <c r="M411" s="3" t="str">
        <f t="shared" ca="1" si="21"/>
        <v/>
      </c>
      <c r="P411">
        <f>'Combined Delivery Data'!B441</f>
        <v>0</v>
      </c>
      <c r="Q411">
        <f t="shared" si="22"/>
        <v>0</v>
      </c>
      <c r="R411">
        <f t="shared" si="23"/>
        <v>452</v>
      </c>
      <c r="S411" s="28">
        <f>IF($P411="","",IF(SUMPRODUCT(MAX(($A$2:$A$497=$P411)*ROW($A$2:$A$497)))=0,"",INDEX($B:$B,SUMPRODUCT(MAX(($A$2:$A$497=$P411)*ROW($A$2:$A$497))))))</f>
        <v>0</v>
      </c>
      <c r="T411" t="str">
        <f>IF($P411="","",IF(SUMPRODUCT(MAX(($A$2:$A$497=$P411)*ROW($A$2:$A$497)))=0,"",INDEX($C:$C,SUMPRODUCT(MAX(($A$2:$A$497=$P411)*ROW($A$2:$A$497))))&amp;" -&gt; "&amp;INDEX($D:$D,SUMPRODUCT(MAX(($A$2:$A$497=$P411)*ROW($A$2:$A$497))))))</f>
        <v xml:space="preserve"> -&gt; </v>
      </c>
    </row>
    <row r="412" spans="1:20">
      <c r="A412" s="31"/>
      <c r="B412" s="32"/>
      <c r="C412" s="31"/>
      <c r="D412" s="31"/>
      <c r="E412" s="31"/>
      <c r="F412" s="31"/>
      <c r="G412" s="31"/>
      <c r="H412" s="32"/>
      <c r="I412" s="32"/>
      <c r="J412" s="32"/>
      <c r="K412" s="31"/>
      <c r="L412" s="31"/>
      <c r="M412" s="3" t="str">
        <f t="shared" ca="1" si="21"/>
        <v/>
      </c>
      <c r="P412">
        <f>'Combined Delivery Data'!B442</f>
        <v>0</v>
      </c>
      <c r="Q412">
        <f t="shared" si="22"/>
        <v>0</v>
      </c>
      <c r="R412">
        <f t="shared" si="23"/>
        <v>452</v>
      </c>
      <c r="S412" s="28">
        <f>IF($P412="","",IF(SUMPRODUCT(MAX(($A$2:$A$497=$P412)*ROW($A$2:$A$497)))=0,"",INDEX($B:$B,SUMPRODUCT(MAX(($A$2:$A$497=$P412)*ROW($A$2:$A$497))))))</f>
        <v>0</v>
      </c>
      <c r="T412" t="str">
        <f>IF($P412="","",IF(SUMPRODUCT(MAX(($A$2:$A$497=$P412)*ROW($A$2:$A$497)))=0,"",INDEX($C:$C,SUMPRODUCT(MAX(($A$2:$A$497=$P412)*ROW($A$2:$A$497))))&amp;" -&gt; "&amp;INDEX($D:$D,SUMPRODUCT(MAX(($A$2:$A$497=$P412)*ROW($A$2:$A$497))))))</f>
        <v xml:space="preserve"> -&gt; </v>
      </c>
    </row>
    <row r="413" spans="1:20">
      <c r="A413" s="31"/>
      <c r="B413" s="32"/>
      <c r="C413" s="31"/>
      <c r="D413" s="31"/>
      <c r="E413" s="31"/>
      <c r="F413" s="31"/>
      <c r="G413" s="31"/>
      <c r="H413" s="32"/>
      <c r="I413" s="32"/>
      <c r="J413" s="32"/>
      <c r="K413" s="31"/>
      <c r="L413" s="31"/>
      <c r="M413" s="3" t="str">
        <f t="shared" ca="1" si="21"/>
        <v/>
      </c>
      <c r="P413">
        <f>'Combined Delivery Data'!B443</f>
        <v>0</v>
      </c>
      <c r="Q413">
        <f t="shared" si="22"/>
        <v>0</v>
      </c>
      <c r="R413">
        <f t="shared" si="23"/>
        <v>452</v>
      </c>
      <c r="S413" s="28">
        <f>IF($P413="","",IF(SUMPRODUCT(MAX(($A$2:$A$497=$P413)*ROW($A$2:$A$497)))=0,"",INDEX($B:$B,SUMPRODUCT(MAX(($A$2:$A$497=$P413)*ROW($A$2:$A$497))))))</f>
        <v>0</v>
      </c>
      <c r="T413" t="str">
        <f>IF($P413="","",IF(SUMPRODUCT(MAX(($A$2:$A$497=$P413)*ROW($A$2:$A$497)))=0,"",INDEX($C:$C,SUMPRODUCT(MAX(($A$2:$A$497=$P413)*ROW($A$2:$A$497))))&amp;" -&gt; "&amp;INDEX($D:$D,SUMPRODUCT(MAX(($A$2:$A$497=$P413)*ROW($A$2:$A$497))))))</f>
        <v xml:space="preserve"> -&gt; </v>
      </c>
    </row>
    <row r="414" spans="1:20">
      <c r="A414" s="31"/>
      <c r="B414" s="32"/>
      <c r="C414" s="31"/>
      <c r="D414" s="31"/>
      <c r="E414" s="31"/>
      <c r="F414" s="31"/>
      <c r="G414" s="31"/>
      <c r="H414" s="32"/>
      <c r="I414" s="32"/>
      <c r="J414" s="32"/>
      <c r="K414" s="31"/>
      <c r="L414" s="31"/>
      <c r="M414" s="3" t="str">
        <f t="shared" ca="1" si="21"/>
        <v/>
      </c>
      <c r="P414">
        <f>'Combined Delivery Data'!B444</f>
        <v>0</v>
      </c>
      <c r="Q414">
        <f t="shared" si="22"/>
        <v>0</v>
      </c>
      <c r="R414">
        <f t="shared" si="23"/>
        <v>452</v>
      </c>
      <c r="S414" s="28">
        <f>IF($P414="","",IF(SUMPRODUCT(MAX(($A$2:$A$497=$P414)*ROW($A$2:$A$497)))=0,"",INDEX($B:$B,SUMPRODUCT(MAX(($A$2:$A$497=$P414)*ROW($A$2:$A$497))))))</f>
        <v>0</v>
      </c>
      <c r="T414" t="str">
        <f>IF($P414="","",IF(SUMPRODUCT(MAX(($A$2:$A$497=$P414)*ROW($A$2:$A$497)))=0,"",INDEX($C:$C,SUMPRODUCT(MAX(($A$2:$A$497=$P414)*ROW($A$2:$A$497))))&amp;" -&gt; "&amp;INDEX($D:$D,SUMPRODUCT(MAX(($A$2:$A$497=$P414)*ROW($A$2:$A$497))))))</f>
        <v xml:space="preserve"> -&gt; </v>
      </c>
    </row>
    <row r="415" spans="1:20">
      <c r="A415" s="31"/>
      <c r="B415" s="32"/>
      <c r="C415" s="31"/>
      <c r="D415" s="31"/>
      <c r="E415" s="31"/>
      <c r="F415" s="31"/>
      <c r="G415" s="31"/>
      <c r="H415" s="32"/>
      <c r="I415" s="32"/>
      <c r="J415" s="32"/>
      <c r="K415" s="31"/>
      <c r="L415" s="31"/>
      <c r="M415" s="3" t="str">
        <f t="shared" ca="1" si="21"/>
        <v/>
      </c>
      <c r="P415">
        <f>'Combined Delivery Data'!B445</f>
        <v>0</v>
      </c>
      <c r="Q415">
        <f t="shared" si="22"/>
        <v>0</v>
      </c>
      <c r="R415">
        <f t="shared" si="23"/>
        <v>452</v>
      </c>
      <c r="S415" s="28">
        <f>IF($P415="","",IF(SUMPRODUCT(MAX(($A$2:$A$497=$P415)*ROW($A$2:$A$497)))=0,"",INDEX($B:$B,SUMPRODUCT(MAX(($A$2:$A$497=$P415)*ROW($A$2:$A$497))))))</f>
        <v>0</v>
      </c>
      <c r="T415" t="str">
        <f>IF($P415="","",IF(SUMPRODUCT(MAX(($A$2:$A$497=$P415)*ROW($A$2:$A$497)))=0,"",INDEX($C:$C,SUMPRODUCT(MAX(($A$2:$A$497=$P415)*ROW($A$2:$A$497))))&amp;" -&gt; "&amp;INDEX($D:$D,SUMPRODUCT(MAX(($A$2:$A$497=$P415)*ROW($A$2:$A$497))))))</f>
        <v xml:space="preserve"> -&gt; </v>
      </c>
    </row>
    <row r="416" spans="1:20">
      <c r="A416" s="31"/>
      <c r="B416" s="32"/>
      <c r="C416" s="31"/>
      <c r="D416" s="31"/>
      <c r="E416" s="31"/>
      <c r="F416" s="31"/>
      <c r="G416" s="31"/>
      <c r="H416" s="32"/>
      <c r="I416" s="32"/>
      <c r="J416" s="32"/>
      <c r="K416" s="31"/>
      <c r="L416" s="31"/>
      <c r="M416" s="3" t="str">
        <f t="shared" ca="1" si="21"/>
        <v/>
      </c>
      <c r="P416">
        <f>'Combined Delivery Data'!B446</f>
        <v>0</v>
      </c>
      <c r="Q416">
        <f t="shared" si="22"/>
        <v>0</v>
      </c>
      <c r="R416">
        <f t="shared" si="23"/>
        <v>452</v>
      </c>
      <c r="S416" s="28">
        <f>IF($P416="","",IF(SUMPRODUCT(MAX(($A$2:$A$497=$P416)*ROW($A$2:$A$497)))=0,"",INDEX($B:$B,SUMPRODUCT(MAX(($A$2:$A$497=$P416)*ROW($A$2:$A$497))))))</f>
        <v>0</v>
      </c>
      <c r="T416" t="str">
        <f>IF($P416="","",IF(SUMPRODUCT(MAX(($A$2:$A$497=$P416)*ROW($A$2:$A$497)))=0,"",INDEX($C:$C,SUMPRODUCT(MAX(($A$2:$A$497=$P416)*ROW($A$2:$A$497))))&amp;" -&gt; "&amp;INDEX($D:$D,SUMPRODUCT(MAX(($A$2:$A$497=$P416)*ROW($A$2:$A$497))))))</f>
        <v xml:space="preserve"> -&gt; </v>
      </c>
    </row>
    <row r="417" spans="1:20">
      <c r="A417" s="31"/>
      <c r="B417" s="32"/>
      <c r="C417" s="31"/>
      <c r="D417" s="31"/>
      <c r="E417" s="31"/>
      <c r="F417" s="31"/>
      <c r="G417" s="31"/>
      <c r="H417" s="32"/>
      <c r="I417" s="32"/>
      <c r="J417" s="32"/>
      <c r="K417" s="31"/>
      <c r="L417" s="31"/>
      <c r="M417" s="3" t="str">
        <f t="shared" ca="1" si="21"/>
        <v/>
      </c>
      <c r="P417">
        <f>'Combined Delivery Data'!B447</f>
        <v>0</v>
      </c>
      <c r="Q417">
        <f t="shared" si="22"/>
        <v>0</v>
      </c>
      <c r="R417">
        <f t="shared" si="23"/>
        <v>452</v>
      </c>
      <c r="S417" s="28">
        <f>IF($P417="","",IF(SUMPRODUCT(MAX(($A$2:$A$497=$P417)*ROW($A$2:$A$497)))=0,"",INDEX($B:$B,SUMPRODUCT(MAX(($A$2:$A$497=$P417)*ROW($A$2:$A$497))))))</f>
        <v>0</v>
      </c>
      <c r="T417" t="str">
        <f>IF($P417="","",IF(SUMPRODUCT(MAX(($A$2:$A$497=$P417)*ROW($A$2:$A$497)))=0,"",INDEX($C:$C,SUMPRODUCT(MAX(($A$2:$A$497=$P417)*ROW($A$2:$A$497))))&amp;" -&gt; "&amp;INDEX($D:$D,SUMPRODUCT(MAX(($A$2:$A$497=$P417)*ROW($A$2:$A$497))))))</f>
        <v xml:space="preserve"> -&gt; </v>
      </c>
    </row>
    <row r="418" spans="1:20">
      <c r="A418" s="31"/>
      <c r="B418" s="32"/>
      <c r="C418" s="31"/>
      <c r="D418" s="31"/>
      <c r="E418" s="31"/>
      <c r="F418" s="31"/>
      <c r="G418" s="31"/>
      <c r="H418" s="32"/>
      <c r="I418" s="32"/>
      <c r="J418" s="32"/>
      <c r="K418" s="31"/>
      <c r="L418" s="31"/>
      <c r="M418" s="3" t="str">
        <f t="shared" ca="1" si="21"/>
        <v/>
      </c>
      <c r="P418">
        <f>'Combined Delivery Data'!B448</f>
        <v>0</v>
      </c>
      <c r="Q418">
        <f t="shared" si="22"/>
        <v>0</v>
      </c>
      <c r="R418">
        <f t="shared" si="23"/>
        <v>452</v>
      </c>
      <c r="S418" s="28">
        <f>IF($P418="","",IF(SUMPRODUCT(MAX(($A$2:$A$497=$P418)*ROW($A$2:$A$497)))=0,"",INDEX($B:$B,SUMPRODUCT(MAX(($A$2:$A$497=$P418)*ROW($A$2:$A$497))))))</f>
        <v>0</v>
      </c>
      <c r="T418" t="str">
        <f>IF($P418="","",IF(SUMPRODUCT(MAX(($A$2:$A$497=$P418)*ROW($A$2:$A$497)))=0,"",INDEX($C:$C,SUMPRODUCT(MAX(($A$2:$A$497=$P418)*ROW($A$2:$A$497))))&amp;" -&gt; "&amp;INDEX($D:$D,SUMPRODUCT(MAX(($A$2:$A$497=$P418)*ROW($A$2:$A$497))))))</f>
        <v xml:space="preserve"> -&gt; </v>
      </c>
    </row>
    <row r="419" spans="1:20">
      <c r="A419" s="31"/>
      <c r="B419" s="32"/>
      <c r="C419" s="31"/>
      <c r="D419" s="31"/>
      <c r="E419" s="31"/>
      <c r="F419" s="31"/>
      <c r="G419" s="31"/>
      <c r="H419" s="32"/>
      <c r="I419" s="32"/>
      <c r="J419" s="32"/>
      <c r="K419" s="31"/>
      <c r="L419" s="31"/>
      <c r="M419" s="3" t="str">
        <f t="shared" ca="1" si="21"/>
        <v/>
      </c>
      <c r="P419">
        <f>'Combined Delivery Data'!B449</f>
        <v>0</v>
      </c>
      <c r="Q419">
        <f t="shared" si="22"/>
        <v>0</v>
      </c>
      <c r="R419">
        <f t="shared" si="23"/>
        <v>452</v>
      </c>
      <c r="S419" s="28">
        <f>IF($P419="","",IF(SUMPRODUCT(MAX(($A$2:$A$497=$P419)*ROW($A$2:$A$497)))=0,"",INDEX($B:$B,SUMPRODUCT(MAX(($A$2:$A$497=$P419)*ROW($A$2:$A$497))))))</f>
        <v>0</v>
      </c>
      <c r="T419" t="str">
        <f>IF($P419="","",IF(SUMPRODUCT(MAX(($A$2:$A$497=$P419)*ROW($A$2:$A$497)))=0,"",INDEX($C:$C,SUMPRODUCT(MAX(($A$2:$A$497=$P419)*ROW($A$2:$A$497))))&amp;" -&gt; "&amp;INDEX($D:$D,SUMPRODUCT(MAX(($A$2:$A$497=$P419)*ROW($A$2:$A$497))))))</f>
        <v xml:space="preserve"> -&gt; </v>
      </c>
    </row>
    <row r="420" spans="1:20">
      <c r="A420" s="31"/>
      <c r="B420" s="32"/>
      <c r="C420" s="31"/>
      <c r="D420" s="31"/>
      <c r="E420" s="31"/>
      <c r="F420" s="31"/>
      <c r="G420" s="31"/>
      <c r="H420" s="32"/>
      <c r="I420" s="32"/>
      <c r="J420" s="32"/>
      <c r="K420" s="31"/>
      <c r="L420" s="31"/>
      <c r="M420" s="3" t="str">
        <f t="shared" ca="1" si="21"/>
        <v/>
      </c>
      <c r="P420">
        <f>'Combined Delivery Data'!B450</f>
        <v>0</v>
      </c>
      <c r="Q420">
        <f t="shared" si="22"/>
        <v>0</v>
      </c>
      <c r="R420">
        <f t="shared" si="23"/>
        <v>452</v>
      </c>
      <c r="S420" s="28">
        <f>IF($P420="","",IF(SUMPRODUCT(MAX(($A$2:$A$497=$P420)*ROW($A$2:$A$497)))=0,"",INDEX($B:$B,SUMPRODUCT(MAX(($A$2:$A$497=$P420)*ROW($A$2:$A$497))))))</f>
        <v>0</v>
      </c>
      <c r="T420" t="str">
        <f>IF($P420="","",IF(SUMPRODUCT(MAX(($A$2:$A$497=$P420)*ROW($A$2:$A$497)))=0,"",INDEX($C:$C,SUMPRODUCT(MAX(($A$2:$A$497=$P420)*ROW($A$2:$A$497))))&amp;" -&gt; "&amp;INDEX($D:$D,SUMPRODUCT(MAX(($A$2:$A$497=$P420)*ROW($A$2:$A$497))))))</f>
        <v xml:space="preserve"> -&gt; </v>
      </c>
    </row>
    <row r="421" spans="1:20">
      <c r="A421" s="31"/>
      <c r="B421" s="32"/>
      <c r="C421" s="31"/>
      <c r="D421" s="31"/>
      <c r="E421" s="31"/>
      <c r="F421" s="31"/>
      <c r="G421" s="31"/>
      <c r="H421" s="32"/>
      <c r="I421" s="32"/>
      <c r="J421" s="32"/>
      <c r="K421" s="31"/>
      <c r="L421" s="31"/>
      <c r="M421" s="3" t="str">
        <f t="shared" ca="1" si="21"/>
        <v/>
      </c>
      <c r="P421">
        <f>'Combined Delivery Data'!B451</f>
        <v>0</v>
      </c>
      <c r="Q421">
        <f t="shared" si="22"/>
        <v>0</v>
      </c>
      <c r="R421">
        <f t="shared" si="23"/>
        <v>452</v>
      </c>
      <c r="S421" s="28">
        <f>IF($P421="","",IF(SUMPRODUCT(MAX(($A$2:$A$497=$P421)*ROW($A$2:$A$497)))=0,"",INDEX($B:$B,SUMPRODUCT(MAX(($A$2:$A$497=$P421)*ROW($A$2:$A$497))))))</f>
        <v>0</v>
      </c>
      <c r="T421" t="str">
        <f>IF($P421="","",IF(SUMPRODUCT(MAX(($A$2:$A$497=$P421)*ROW($A$2:$A$497)))=0,"",INDEX($C:$C,SUMPRODUCT(MAX(($A$2:$A$497=$P421)*ROW($A$2:$A$497))))&amp;" -&gt; "&amp;INDEX($D:$D,SUMPRODUCT(MAX(($A$2:$A$497=$P421)*ROW($A$2:$A$497))))))</f>
        <v xml:space="preserve"> -&gt; </v>
      </c>
    </row>
    <row r="422" spans="1:20">
      <c r="A422" s="31"/>
      <c r="B422" s="32"/>
      <c r="C422" s="31"/>
      <c r="D422" s="31"/>
      <c r="E422" s="31"/>
      <c r="F422" s="31"/>
      <c r="G422" s="31"/>
      <c r="H422" s="32"/>
      <c r="I422" s="32"/>
      <c r="J422" s="32"/>
      <c r="K422" s="31"/>
      <c r="L422" s="31"/>
      <c r="M422" s="3" t="str">
        <f t="shared" ca="1" si="21"/>
        <v/>
      </c>
      <c r="P422">
        <f>'Combined Delivery Data'!B452</f>
        <v>0</v>
      </c>
      <c r="Q422">
        <f t="shared" si="22"/>
        <v>0</v>
      </c>
      <c r="R422">
        <f t="shared" si="23"/>
        <v>452</v>
      </c>
      <c r="S422" s="28">
        <f>IF($P422="","",IF(SUMPRODUCT(MAX(($A$2:$A$497=$P422)*ROW($A$2:$A$497)))=0,"",INDEX($B:$B,SUMPRODUCT(MAX(($A$2:$A$497=$P422)*ROW($A$2:$A$497))))))</f>
        <v>0</v>
      </c>
      <c r="T422" t="str">
        <f>IF($P422="","",IF(SUMPRODUCT(MAX(($A$2:$A$497=$P422)*ROW($A$2:$A$497)))=0,"",INDEX($C:$C,SUMPRODUCT(MAX(($A$2:$A$497=$P422)*ROW($A$2:$A$497))))&amp;" -&gt; "&amp;INDEX($D:$D,SUMPRODUCT(MAX(($A$2:$A$497=$P422)*ROW($A$2:$A$497))))))</f>
        <v xml:space="preserve"> -&gt; </v>
      </c>
    </row>
    <row r="423" spans="1:20">
      <c r="A423" s="31"/>
      <c r="B423" s="32"/>
      <c r="C423" s="31"/>
      <c r="D423" s="31"/>
      <c r="E423" s="31"/>
      <c r="F423" s="31"/>
      <c r="G423" s="31"/>
      <c r="H423" s="32"/>
      <c r="I423" s="32"/>
      <c r="J423" s="32"/>
      <c r="K423" s="31"/>
      <c r="L423" s="31"/>
      <c r="M423" s="3" t="str">
        <f t="shared" ca="1" si="21"/>
        <v/>
      </c>
      <c r="P423">
        <f>'Combined Delivery Data'!B453</f>
        <v>0</v>
      </c>
      <c r="Q423">
        <f t="shared" si="22"/>
        <v>0</v>
      </c>
      <c r="R423">
        <f t="shared" si="23"/>
        <v>452</v>
      </c>
      <c r="S423" s="28">
        <f>IF($P423="","",IF(SUMPRODUCT(MAX(($A$2:$A$497=$P423)*ROW($A$2:$A$497)))=0,"",INDEX($B:$B,SUMPRODUCT(MAX(($A$2:$A$497=$P423)*ROW($A$2:$A$497))))))</f>
        <v>0</v>
      </c>
      <c r="T423" t="str">
        <f>IF($P423="","",IF(SUMPRODUCT(MAX(($A$2:$A$497=$P423)*ROW($A$2:$A$497)))=0,"",INDEX($C:$C,SUMPRODUCT(MAX(($A$2:$A$497=$P423)*ROW($A$2:$A$497))))&amp;" -&gt; "&amp;INDEX($D:$D,SUMPRODUCT(MAX(($A$2:$A$497=$P423)*ROW($A$2:$A$497))))))</f>
        <v xml:space="preserve"> -&gt; </v>
      </c>
    </row>
    <row r="424" spans="1:20">
      <c r="A424" s="31"/>
      <c r="B424" s="32"/>
      <c r="C424" s="31"/>
      <c r="D424" s="31"/>
      <c r="E424" s="31"/>
      <c r="F424" s="31"/>
      <c r="G424" s="31"/>
      <c r="H424" s="32"/>
      <c r="I424" s="32"/>
      <c r="J424" s="32"/>
      <c r="K424" s="31"/>
      <c r="L424" s="31"/>
      <c r="M424" s="3" t="str">
        <f t="shared" ca="1" si="21"/>
        <v/>
      </c>
      <c r="P424">
        <f>'Combined Delivery Data'!B454</f>
        <v>0</v>
      </c>
      <c r="Q424">
        <f t="shared" si="22"/>
        <v>0</v>
      </c>
      <c r="R424">
        <f t="shared" si="23"/>
        <v>452</v>
      </c>
      <c r="S424" s="28">
        <f>IF($P424="","",IF(SUMPRODUCT(MAX(($A$2:$A$497=$P424)*ROW($A$2:$A$497)))=0,"",INDEX($B:$B,SUMPRODUCT(MAX(($A$2:$A$497=$P424)*ROW($A$2:$A$497))))))</f>
        <v>0</v>
      </c>
      <c r="T424" t="str">
        <f>IF($P424="","",IF(SUMPRODUCT(MAX(($A$2:$A$497=$P424)*ROW($A$2:$A$497)))=0,"",INDEX($C:$C,SUMPRODUCT(MAX(($A$2:$A$497=$P424)*ROW($A$2:$A$497))))&amp;" -&gt; "&amp;INDEX($D:$D,SUMPRODUCT(MAX(($A$2:$A$497=$P424)*ROW($A$2:$A$497))))))</f>
        <v xml:space="preserve"> -&gt; </v>
      </c>
    </row>
    <row r="425" spans="1:20">
      <c r="A425" s="31"/>
      <c r="B425" s="32"/>
      <c r="C425" s="31"/>
      <c r="D425" s="31"/>
      <c r="E425" s="31"/>
      <c r="F425" s="31"/>
      <c r="G425" s="31"/>
      <c r="H425" s="32"/>
      <c r="I425" s="32"/>
      <c r="J425" s="32"/>
      <c r="K425" s="31"/>
      <c r="L425" s="31"/>
      <c r="M425" s="3" t="str">
        <f t="shared" ca="1" si="21"/>
        <v/>
      </c>
      <c r="P425">
        <f>'Combined Delivery Data'!B455</f>
        <v>0</v>
      </c>
      <c r="Q425">
        <f t="shared" si="22"/>
        <v>0</v>
      </c>
      <c r="R425">
        <f t="shared" si="23"/>
        <v>452</v>
      </c>
      <c r="S425" s="28">
        <f>IF($P425="","",IF(SUMPRODUCT(MAX(($A$2:$A$497=$P425)*ROW($A$2:$A$497)))=0,"",INDEX($B:$B,SUMPRODUCT(MAX(($A$2:$A$497=$P425)*ROW($A$2:$A$497))))))</f>
        <v>0</v>
      </c>
      <c r="T425" t="str">
        <f>IF($P425="","",IF(SUMPRODUCT(MAX(($A$2:$A$497=$P425)*ROW($A$2:$A$497)))=0,"",INDEX($C:$C,SUMPRODUCT(MAX(($A$2:$A$497=$P425)*ROW($A$2:$A$497))))&amp;" -&gt; "&amp;INDEX($D:$D,SUMPRODUCT(MAX(($A$2:$A$497=$P425)*ROW($A$2:$A$497))))))</f>
        <v xml:space="preserve"> -&gt; </v>
      </c>
    </row>
    <row r="426" spans="1:20">
      <c r="A426" s="31"/>
      <c r="B426" s="32"/>
      <c r="C426" s="31"/>
      <c r="D426" s="31"/>
      <c r="E426" s="31"/>
      <c r="F426" s="31"/>
      <c r="G426" s="31"/>
      <c r="H426" s="32"/>
      <c r="I426" s="32"/>
      <c r="J426" s="32"/>
      <c r="K426" s="31"/>
      <c r="L426" s="31"/>
      <c r="M426" s="3" t="str">
        <f t="shared" ca="1" si="21"/>
        <v/>
      </c>
      <c r="P426">
        <f>'Combined Delivery Data'!B456</f>
        <v>0</v>
      </c>
      <c r="Q426">
        <f t="shared" si="22"/>
        <v>0</v>
      </c>
      <c r="R426">
        <f t="shared" si="23"/>
        <v>452</v>
      </c>
      <c r="S426" s="28">
        <f>IF($P426="","",IF(SUMPRODUCT(MAX(($A$2:$A$497=$P426)*ROW($A$2:$A$497)))=0,"",INDEX($B:$B,SUMPRODUCT(MAX(($A$2:$A$497=$P426)*ROW($A$2:$A$497))))))</f>
        <v>0</v>
      </c>
      <c r="T426" t="str">
        <f>IF($P426="","",IF(SUMPRODUCT(MAX(($A$2:$A$497=$P426)*ROW($A$2:$A$497)))=0,"",INDEX($C:$C,SUMPRODUCT(MAX(($A$2:$A$497=$P426)*ROW($A$2:$A$497))))&amp;" -&gt; "&amp;INDEX($D:$D,SUMPRODUCT(MAX(($A$2:$A$497=$P426)*ROW($A$2:$A$497))))))</f>
        <v xml:space="preserve"> -&gt; </v>
      </c>
    </row>
    <row r="427" spans="1:20">
      <c r="A427" s="31"/>
      <c r="B427" s="32"/>
      <c r="C427" s="31"/>
      <c r="D427" s="31"/>
      <c r="E427" s="31"/>
      <c r="F427" s="31"/>
      <c r="G427" s="31"/>
      <c r="H427" s="32"/>
      <c r="I427" s="32"/>
      <c r="J427" s="32"/>
      <c r="K427" s="31"/>
      <c r="L427" s="31"/>
      <c r="M427" s="3" t="str">
        <f t="shared" ca="1" si="21"/>
        <v/>
      </c>
      <c r="P427">
        <f>'Combined Delivery Data'!B457</f>
        <v>0</v>
      </c>
      <c r="Q427">
        <f t="shared" si="22"/>
        <v>0</v>
      </c>
      <c r="R427">
        <f t="shared" si="23"/>
        <v>452</v>
      </c>
      <c r="S427" s="28">
        <f>IF($P427="","",IF(SUMPRODUCT(MAX(($A$2:$A$497=$P427)*ROW($A$2:$A$497)))=0,"",INDEX($B:$B,SUMPRODUCT(MAX(($A$2:$A$497=$P427)*ROW($A$2:$A$497))))))</f>
        <v>0</v>
      </c>
      <c r="T427" t="str">
        <f>IF($P427="","",IF(SUMPRODUCT(MAX(($A$2:$A$497=$P427)*ROW($A$2:$A$497)))=0,"",INDEX($C:$C,SUMPRODUCT(MAX(($A$2:$A$497=$P427)*ROW($A$2:$A$497))))&amp;" -&gt; "&amp;INDEX($D:$D,SUMPRODUCT(MAX(($A$2:$A$497=$P427)*ROW($A$2:$A$497))))))</f>
        <v xml:space="preserve"> -&gt; </v>
      </c>
    </row>
    <row r="428" spans="1:20">
      <c r="A428" s="31"/>
      <c r="B428" s="32"/>
      <c r="C428" s="31"/>
      <c r="D428" s="31"/>
      <c r="E428" s="31"/>
      <c r="F428" s="31"/>
      <c r="G428" s="31"/>
      <c r="H428" s="32"/>
      <c r="I428" s="32"/>
      <c r="J428" s="32"/>
      <c r="K428" s="31"/>
      <c r="L428" s="31"/>
      <c r="M428" s="3" t="str">
        <f t="shared" ca="1" si="21"/>
        <v/>
      </c>
      <c r="P428">
        <f>'Combined Delivery Data'!B458</f>
        <v>0</v>
      </c>
      <c r="Q428">
        <f t="shared" si="22"/>
        <v>0</v>
      </c>
      <c r="R428">
        <f t="shared" si="23"/>
        <v>452</v>
      </c>
      <c r="S428" s="28">
        <f>IF($P428="","",IF(SUMPRODUCT(MAX(($A$2:$A$497=$P428)*ROW($A$2:$A$497)))=0,"",INDEX($B:$B,SUMPRODUCT(MAX(($A$2:$A$497=$P428)*ROW($A$2:$A$497))))))</f>
        <v>0</v>
      </c>
      <c r="T428" t="str">
        <f>IF($P428="","",IF(SUMPRODUCT(MAX(($A$2:$A$497=$P428)*ROW($A$2:$A$497)))=0,"",INDEX($C:$C,SUMPRODUCT(MAX(($A$2:$A$497=$P428)*ROW($A$2:$A$497))))&amp;" -&gt; "&amp;INDEX($D:$D,SUMPRODUCT(MAX(($A$2:$A$497=$P428)*ROW($A$2:$A$497))))))</f>
        <v xml:space="preserve"> -&gt; </v>
      </c>
    </row>
    <row r="429" spans="1:20">
      <c r="A429" s="31"/>
      <c r="B429" s="32"/>
      <c r="C429" s="31"/>
      <c r="D429" s="31"/>
      <c r="E429" s="31"/>
      <c r="F429" s="31"/>
      <c r="G429" s="31"/>
      <c r="H429" s="32"/>
      <c r="I429" s="32"/>
      <c r="J429" s="32"/>
      <c r="K429" s="31"/>
      <c r="L429" s="31"/>
      <c r="M429" s="3" t="str">
        <f t="shared" ca="1" si="21"/>
        <v/>
      </c>
      <c r="P429">
        <f>'Combined Delivery Data'!B459</f>
        <v>0</v>
      </c>
      <c r="Q429">
        <f t="shared" si="22"/>
        <v>0</v>
      </c>
      <c r="R429">
        <f t="shared" si="23"/>
        <v>452</v>
      </c>
      <c r="S429" s="28">
        <f>IF($P429="","",IF(SUMPRODUCT(MAX(($A$2:$A$497=$P429)*ROW($A$2:$A$497)))=0,"",INDEX($B:$B,SUMPRODUCT(MAX(($A$2:$A$497=$P429)*ROW($A$2:$A$497))))))</f>
        <v>0</v>
      </c>
      <c r="T429" t="str">
        <f>IF($P429="","",IF(SUMPRODUCT(MAX(($A$2:$A$497=$P429)*ROW($A$2:$A$497)))=0,"",INDEX($C:$C,SUMPRODUCT(MAX(($A$2:$A$497=$P429)*ROW($A$2:$A$497))))&amp;" -&gt; "&amp;INDEX($D:$D,SUMPRODUCT(MAX(($A$2:$A$497=$P429)*ROW($A$2:$A$497))))))</f>
        <v xml:space="preserve"> -&gt; </v>
      </c>
    </row>
    <row r="430" spans="1:20">
      <c r="A430" s="31"/>
      <c r="B430" s="32"/>
      <c r="C430" s="31"/>
      <c r="D430" s="31"/>
      <c r="E430" s="31"/>
      <c r="F430" s="31"/>
      <c r="G430" s="31"/>
      <c r="H430" s="32"/>
      <c r="I430" s="32"/>
      <c r="J430" s="32"/>
      <c r="K430" s="31"/>
      <c r="L430" s="31"/>
      <c r="M430" s="3" t="str">
        <f t="shared" ca="1" si="21"/>
        <v/>
      </c>
      <c r="P430">
        <f>'Combined Delivery Data'!B460</f>
        <v>0</v>
      </c>
      <c r="Q430">
        <f t="shared" si="22"/>
        <v>0</v>
      </c>
      <c r="R430">
        <f t="shared" si="23"/>
        <v>452</v>
      </c>
      <c r="S430" s="28">
        <f>IF($P430="","",IF(SUMPRODUCT(MAX(($A$2:$A$497=$P430)*ROW($A$2:$A$497)))=0,"",INDEX($B:$B,SUMPRODUCT(MAX(($A$2:$A$497=$P430)*ROW($A$2:$A$497))))))</f>
        <v>0</v>
      </c>
      <c r="T430" t="str">
        <f>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21"/>
        <v/>
      </c>
      <c r="P431">
        <f>'Combined Delivery Data'!B461</f>
        <v>0</v>
      </c>
      <c r="Q431">
        <f t="shared" si="22"/>
        <v>0</v>
      </c>
      <c r="R431">
        <f t="shared" si="23"/>
        <v>452</v>
      </c>
      <c r="S431" s="28">
        <f>IF($P431="","",IF(SUMPRODUCT(MAX(($A$2:$A$497=$P431)*ROW($A$2:$A$497)))=0,"",INDEX($B:$B,SUMPRODUCT(MAX(($A$2:$A$497=$P431)*ROW($A$2:$A$497))))))</f>
        <v>0</v>
      </c>
      <c r="T431" t="str">
        <f>IF($P431="","",IF(SUMPRODUCT(MAX(($A$2:$A$497=$P431)*ROW($A$2:$A$497)))=0,"",INDEX($C:$C,SUMPRODUCT(MAX(($A$2:$A$497=$P431)*ROW($A$2:$A$497))))&amp;" -&gt; "&amp;INDEX($D:$D,SUMPRODUCT(MAX(($A$2:$A$497=$P431)*ROW($A$2:$A$497))))))</f>
        <v xml:space="preserve"> -&gt; </v>
      </c>
    </row>
    <row r="432" spans="1:20">
      <c r="A432" s="31"/>
      <c r="B432" s="32"/>
      <c r="C432" s="31"/>
      <c r="D432" s="31"/>
      <c r="E432" s="31"/>
      <c r="F432" s="31"/>
      <c r="G432" s="31"/>
      <c r="H432" s="32"/>
      <c r="I432" s="32"/>
      <c r="J432" s="32"/>
      <c r="K432" s="31"/>
      <c r="L432" s="31"/>
      <c r="M432" s="3" t="str">
        <f t="shared" ca="1" si="21"/>
        <v/>
      </c>
      <c r="P432">
        <f>'Combined Delivery Data'!B462</f>
        <v>0</v>
      </c>
      <c r="Q432">
        <f t="shared" si="22"/>
        <v>0</v>
      </c>
      <c r="R432">
        <f t="shared" si="23"/>
        <v>452</v>
      </c>
      <c r="S432" s="28">
        <f>IF($P432="","",IF(SUMPRODUCT(MAX(($A$2:$A$497=$P432)*ROW($A$2:$A$497)))=0,"",INDEX($B:$B,SUMPRODUCT(MAX(($A$2:$A$497=$P432)*ROW($A$2:$A$497))))))</f>
        <v>0</v>
      </c>
      <c r="T432" t="str">
        <f>IF($P432="","",IF(SUMPRODUCT(MAX(($A$2:$A$497=$P432)*ROW($A$2:$A$497)))=0,"",INDEX($C:$C,SUMPRODUCT(MAX(($A$2:$A$497=$P432)*ROW($A$2:$A$497))))&amp;" -&gt; "&amp;INDEX($D:$D,SUMPRODUCT(MAX(($A$2:$A$497=$P432)*ROW($A$2:$A$497))))))</f>
        <v xml:space="preserve"> -&gt; </v>
      </c>
    </row>
    <row r="433" spans="1:20">
      <c r="A433" s="31"/>
      <c r="B433" s="32"/>
      <c r="C433" s="31"/>
      <c r="D433" s="31"/>
      <c r="E433" s="31"/>
      <c r="F433" s="31"/>
      <c r="G433" s="31"/>
      <c r="H433" s="32"/>
      <c r="I433" s="32"/>
      <c r="J433" s="32"/>
      <c r="K433" s="31"/>
      <c r="L433" s="31"/>
      <c r="M433" s="3" t="str">
        <f t="shared" ca="1" si="21"/>
        <v/>
      </c>
      <c r="P433">
        <f>'Combined Delivery Data'!B463</f>
        <v>0</v>
      </c>
      <c r="Q433">
        <f t="shared" si="22"/>
        <v>0</v>
      </c>
      <c r="R433">
        <f t="shared" si="23"/>
        <v>452</v>
      </c>
      <c r="S433" s="28">
        <f>IF($P433="","",IF(SUMPRODUCT(MAX(($A$2:$A$497=$P433)*ROW($A$2:$A$497)))=0,"",INDEX($B:$B,SUMPRODUCT(MAX(($A$2:$A$497=$P433)*ROW($A$2:$A$497))))))</f>
        <v>0</v>
      </c>
      <c r="T433" t="str">
        <f>IF($P433="","",IF(SUMPRODUCT(MAX(($A$2:$A$497=$P433)*ROW($A$2:$A$497)))=0,"",INDEX($C:$C,SUMPRODUCT(MAX(($A$2:$A$497=$P433)*ROW($A$2:$A$497))))&amp;" -&gt; "&amp;INDEX($D:$D,SUMPRODUCT(MAX(($A$2:$A$497=$P433)*ROW($A$2:$A$497))))))</f>
        <v xml:space="preserve"> -&gt; </v>
      </c>
    </row>
    <row r="434" spans="1:20">
      <c r="A434" s="31"/>
      <c r="B434" s="32"/>
      <c r="C434" s="31"/>
      <c r="D434" s="31"/>
      <c r="E434" s="31"/>
      <c r="F434" s="31"/>
      <c r="G434" s="31"/>
      <c r="H434" s="32"/>
      <c r="I434" s="32"/>
      <c r="J434" s="32"/>
      <c r="K434" s="31"/>
      <c r="L434" s="31"/>
      <c r="M434" s="3" t="str">
        <f t="shared" ca="1" si="21"/>
        <v/>
      </c>
      <c r="P434">
        <f>'Combined Delivery Data'!B464</f>
        <v>0</v>
      </c>
      <c r="Q434">
        <f t="shared" si="22"/>
        <v>0</v>
      </c>
      <c r="R434">
        <f t="shared" si="23"/>
        <v>452</v>
      </c>
      <c r="S434" s="28">
        <f>IF($P434="","",IF(SUMPRODUCT(MAX(($A$2:$A$497=$P434)*ROW($A$2:$A$497)))=0,"",INDEX($B:$B,SUMPRODUCT(MAX(($A$2:$A$497=$P434)*ROW($A$2:$A$497))))))</f>
        <v>0</v>
      </c>
      <c r="T434" t="str">
        <f>IF($P434="","",IF(SUMPRODUCT(MAX(($A$2:$A$497=$P434)*ROW($A$2:$A$497)))=0,"",INDEX($C:$C,SUMPRODUCT(MAX(($A$2:$A$497=$P434)*ROW($A$2:$A$497))))&amp;" -&gt; "&amp;INDEX($D:$D,SUMPRODUCT(MAX(($A$2:$A$497=$P434)*ROW($A$2:$A$497))))))</f>
        <v xml:space="preserve"> -&gt; </v>
      </c>
    </row>
    <row r="435" spans="1:20">
      <c r="A435" s="31"/>
      <c r="B435" s="32"/>
      <c r="C435" s="31"/>
      <c r="D435" s="31"/>
      <c r="E435" s="31"/>
      <c r="F435" s="31"/>
      <c r="G435" s="31"/>
      <c r="H435" s="32"/>
      <c r="I435" s="32"/>
      <c r="J435" s="32"/>
      <c r="K435" s="31"/>
      <c r="L435" s="31"/>
      <c r="M435" s="3" t="str">
        <f t="shared" ca="1" si="21"/>
        <v/>
      </c>
      <c r="P435">
        <f>'Combined Delivery Data'!B465</f>
        <v>0</v>
      </c>
      <c r="Q435">
        <f t="shared" si="22"/>
        <v>0</v>
      </c>
      <c r="R435">
        <f t="shared" si="23"/>
        <v>452</v>
      </c>
      <c r="S435" s="28">
        <f>IF($P435="","",IF(SUMPRODUCT(MAX(($A$2:$A$497=$P435)*ROW($A$2:$A$497)))=0,"",INDEX($B:$B,SUMPRODUCT(MAX(($A$2:$A$497=$P435)*ROW($A$2:$A$497))))))</f>
        <v>0</v>
      </c>
      <c r="T435" t="str">
        <f>IF($P435="","",IF(SUMPRODUCT(MAX(($A$2:$A$497=$P435)*ROW($A$2:$A$497)))=0,"",INDEX($C:$C,SUMPRODUCT(MAX(($A$2:$A$497=$P435)*ROW($A$2:$A$497))))&amp;" -&gt; "&amp;INDEX($D:$D,SUMPRODUCT(MAX(($A$2:$A$497=$P435)*ROW($A$2:$A$497))))))</f>
        <v xml:space="preserve"> -&gt; </v>
      </c>
    </row>
    <row r="436" spans="1:20">
      <c r="A436" s="31"/>
      <c r="B436" s="32"/>
      <c r="C436" s="31"/>
      <c r="D436" s="31"/>
      <c r="E436" s="31"/>
      <c r="F436" s="31"/>
      <c r="G436" s="31"/>
      <c r="H436" s="32"/>
      <c r="I436" s="32"/>
      <c r="J436" s="32"/>
      <c r="K436" s="31"/>
      <c r="L436" s="31"/>
      <c r="M436" s="3" t="str">
        <f t="shared" ca="1" si="21"/>
        <v/>
      </c>
      <c r="P436">
        <f>'Combined Delivery Data'!B466</f>
        <v>0</v>
      </c>
      <c r="Q436">
        <f t="shared" si="22"/>
        <v>0</v>
      </c>
      <c r="R436">
        <f t="shared" si="23"/>
        <v>452</v>
      </c>
      <c r="S436" s="28">
        <f>IF($P436="","",IF(SUMPRODUCT(MAX(($A$2:$A$497=$P436)*ROW($A$2:$A$497)))=0,"",INDEX($B:$B,SUMPRODUCT(MAX(($A$2:$A$497=$P436)*ROW($A$2:$A$497))))))</f>
        <v>0</v>
      </c>
      <c r="T436" t="str">
        <f>IF($P436="","",IF(SUMPRODUCT(MAX(($A$2:$A$497=$P436)*ROW($A$2:$A$497)))=0,"",INDEX($C:$C,SUMPRODUCT(MAX(($A$2:$A$497=$P436)*ROW($A$2:$A$497))))&amp;" -&gt; "&amp;INDEX($D:$D,SUMPRODUCT(MAX(($A$2:$A$497=$P436)*ROW($A$2:$A$497))))))</f>
        <v xml:space="preserve"> -&gt; </v>
      </c>
    </row>
    <row r="437" spans="1:20">
      <c r="A437" s="31"/>
      <c r="B437" s="32"/>
      <c r="C437" s="31"/>
      <c r="D437" s="31"/>
      <c r="E437" s="31"/>
      <c r="F437" s="31"/>
      <c r="G437" s="31"/>
      <c r="H437" s="32"/>
      <c r="I437" s="32"/>
      <c r="J437" s="32"/>
      <c r="K437" s="31"/>
      <c r="L437" s="31"/>
      <c r="M437" s="3" t="str">
        <f t="shared" ca="1" si="21"/>
        <v/>
      </c>
      <c r="P437">
        <f>'Combined Delivery Data'!B467</f>
        <v>0</v>
      </c>
      <c r="Q437">
        <f t="shared" si="22"/>
        <v>0</v>
      </c>
      <c r="R437">
        <f t="shared" si="23"/>
        <v>452</v>
      </c>
      <c r="S437" s="28">
        <f>IF($P437="","",IF(SUMPRODUCT(MAX(($A$2:$A$497=$P437)*ROW($A$2:$A$497)))=0,"",INDEX($B:$B,SUMPRODUCT(MAX(($A$2:$A$497=$P437)*ROW($A$2:$A$497))))))</f>
        <v>0</v>
      </c>
      <c r="T437" t="str">
        <f>IF($P437="","",IF(SUMPRODUCT(MAX(($A$2:$A$497=$P437)*ROW($A$2:$A$497)))=0,"",INDEX($C:$C,SUMPRODUCT(MAX(($A$2:$A$497=$P437)*ROW($A$2:$A$497))))&amp;" -&gt; "&amp;INDEX($D:$D,SUMPRODUCT(MAX(($A$2:$A$497=$P437)*ROW($A$2:$A$497))))))</f>
        <v xml:space="preserve"> -&gt; </v>
      </c>
    </row>
    <row r="438" spans="1:20">
      <c r="A438" s="31"/>
      <c r="B438" s="32"/>
      <c r="C438" s="31"/>
      <c r="D438" s="31"/>
      <c r="E438" s="31"/>
      <c r="F438" s="31"/>
      <c r="G438" s="31"/>
      <c r="H438" s="32"/>
      <c r="I438" s="32"/>
      <c r="J438" s="32"/>
      <c r="K438" s="31"/>
      <c r="L438" s="31"/>
      <c r="M438" s="3" t="str">
        <f t="shared" ca="1" si="21"/>
        <v/>
      </c>
      <c r="P438">
        <f>'Combined Delivery Data'!B468</f>
        <v>0</v>
      </c>
      <c r="Q438">
        <f t="shared" si="22"/>
        <v>0</v>
      </c>
      <c r="R438">
        <f t="shared" si="23"/>
        <v>452</v>
      </c>
      <c r="S438" s="28">
        <f>IF($P438="","",IF(SUMPRODUCT(MAX(($A$2:$A$497=$P438)*ROW($A$2:$A$497)))=0,"",INDEX($B:$B,SUMPRODUCT(MAX(($A$2:$A$497=$P438)*ROW($A$2:$A$497))))))</f>
        <v>0</v>
      </c>
      <c r="T438" t="str">
        <f>IF($P438="","",IF(SUMPRODUCT(MAX(($A$2:$A$497=$P438)*ROW($A$2:$A$497)))=0,"",INDEX($C:$C,SUMPRODUCT(MAX(($A$2:$A$497=$P438)*ROW($A$2:$A$497))))&amp;" -&gt; "&amp;INDEX($D:$D,SUMPRODUCT(MAX(($A$2:$A$497=$P438)*ROW($A$2:$A$497))))))</f>
        <v xml:space="preserve"> -&gt; </v>
      </c>
    </row>
    <row r="439" spans="1:20">
      <c r="A439" s="31"/>
      <c r="B439" s="32"/>
      <c r="C439" s="31"/>
      <c r="D439" s="31"/>
      <c r="E439" s="31"/>
      <c r="F439" s="31"/>
      <c r="G439" s="31"/>
      <c r="H439" s="32"/>
      <c r="I439" s="32"/>
      <c r="J439" s="32"/>
      <c r="K439" s="31"/>
      <c r="L439" s="31"/>
      <c r="M439" s="3" t="str">
        <f t="shared" ca="1" si="21"/>
        <v/>
      </c>
      <c r="P439">
        <f>'Combined Delivery Data'!B469</f>
        <v>0</v>
      </c>
      <c r="Q439">
        <f t="shared" si="22"/>
        <v>0</v>
      </c>
      <c r="R439">
        <f t="shared" si="23"/>
        <v>452</v>
      </c>
      <c r="S439" s="28">
        <f>IF($P439="","",IF(SUMPRODUCT(MAX(($A$2:$A$497=$P439)*ROW($A$2:$A$497)))=0,"",INDEX($B:$B,SUMPRODUCT(MAX(($A$2:$A$497=$P439)*ROW($A$2:$A$497))))))</f>
        <v>0</v>
      </c>
      <c r="T439" t="str">
        <f>IF($P439="","",IF(SUMPRODUCT(MAX(($A$2:$A$497=$P439)*ROW($A$2:$A$497)))=0,"",INDEX($C:$C,SUMPRODUCT(MAX(($A$2:$A$497=$P439)*ROW($A$2:$A$497))))&amp;" -&gt; "&amp;INDEX($D:$D,SUMPRODUCT(MAX(($A$2:$A$497=$P439)*ROW($A$2:$A$497))))))</f>
        <v xml:space="preserve"> -&gt; </v>
      </c>
    </row>
    <row r="440" spans="1:20">
      <c r="A440" s="31"/>
      <c r="B440" s="32"/>
      <c r="C440" s="31"/>
      <c r="D440" s="31"/>
      <c r="E440" s="31"/>
      <c r="F440" s="31"/>
      <c r="G440" s="31"/>
      <c r="H440" s="32"/>
      <c r="I440" s="32"/>
      <c r="J440" s="32"/>
      <c r="K440" s="31"/>
      <c r="L440" s="31"/>
      <c r="M440" s="3" t="str">
        <f t="shared" ca="1" si="21"/>
        <v/>
      </c>
      <c r="P440">
        <f>'Combined Delivery Data'!B470</f>
        <v>0</v>
      </c>
      <c r="Q440">
        <f t="shared" si="22"/>
        <v>0</v>
      </c>
      <c r="R440">
        <f t="shared" si="23"/>
        <v>452</v>
      </c>
      <c r="S440" s="28">
        <f>IF($P440="","",IF(SUMPRODUCT(MAX(($A$2:$A$497=$P440)*ROW($A$2:$A$497)))=0,"",INDEX($B:$B,SUMPRODUCT(MAX(($A$2:$A$497=$P440)*ROW($A$2:$A$497))))))</f>
        <v>0</v>
      </c>
      <c r="T440" t="str">
        <f>IF($P440="","",IF(SUMPRODUCT(MAX(($A$2:$A$497=$P440)*ROW($A$2:$A$497)))=0,"",INDEX($C:$C,SUMPRODUCT(MAX(($A$2:$A$497=$P440)*ROW($A$2:$A$497))))&amp;" -&gt; "&amp;INDEX($D:$D,SUMPRODUCT(MAX(($A$2:$A$497=$P440)*ROW($A$2:$A$497))))))</f>
        <v xml:space="preserve"> -&gt; </v>
      </c>
    </row>
    <row r="441" spans="1:20">
      <c r="A441" s="31"/>
      <c r="B441" s="32"/>
      <c r="C441" s="31"/>
      <c r="D441" s="31"/>
      <c r="E441" s="31"/>
      <c r="F441" s="31"/>
      <c r="G441" s="31"/>
      <c r="H441" s="32"/>
      <c r="I441" s="32"/>
      <c r="J441" s="32"/>
      <c r="K441" s="31"/>
      <c r="L441" s="31"/>
      <c r="M441" s="3" t="str">
        <f t="shared" ca="1" si="21"/>
        <v/>
      </c>
      <c r="P441">
        <f>'Combined Delivery Data'!B471</f>
        <v>0</v>
      </c>
      <c r="Q441">
        <f t="shared" si="22"/>
        <v>0</v>
      </c>
      <c r="R441">
        <f t="shared" si="23"/>
        <v>452</v>
      </c>
      <c r="S441" s="28">
        <f>IF($P441="","",IF(SUMPRODUCT(MAX(($A$2:$A$497=$P441)*ROW($A$2:$A$497)))=0,"",INDEX($B:$B,SUMPRODUCT(MAX(($A$2:$A$497=$P441)*ROW($A$2:$A$497))))))</f>
        <v>0</v>
      </c>
      <c r="T441" t="str">
        <f>IF($P441="","",IF(SUMPRODUCT(MAX(($A$2:$A$497=$P441)*ROW($A$2:$A$497)))=0,"",INDEX($C:$C,SUMPRODUCT(MAX(($A$2:$A$497=$P441)*ROW($A$2:$A$497))))&amp;" -&gt; "&amp;INDEX($D:$D,SUMPRODUCT(MAX(($A$2:$A$497=$P441)*ROW($A$2:$A$497))))))</f>
        <v xml:space="preserve"> -&gt; </v>
      </c>
    </row>
    <row r="442" spans="1:20">
      <c r="A442" s="31"/>
      <c r="B442" s="32"/>
      <c r="C442" s="31"/>
      <c r="D442" s="31"/>
      <c r="E442" s="31"/>
      <c r="F442" s="31"/>
      <c r="G442" s="31"/>
      <c r="H442" s="32"/>
      <c r="I442" s="32"/>
      <c r="J442" s="32"/>
      <c r="K442" s="31"/>
      <c r="L442" s="31"/>
      <c r="M442" s="3" t="str">
        <f t="shared" ca="1" si="21"/>
        <v/>
      </c>
      <c r="P442">
        <f>'Combined Delivery Data'!B472</f>
        <v>0</v>
      </c>
      <c r="Q442">
        <f t="shared" si="22"/>
        <v>0</v>
      </c>
      <c r="R442">
        <f t="shared" si="23"/>
        <v>452</v>
      </c>
      <c r="S442" s="28">
        <f>IF($P442="","",IF(SUMPRODUCT(MAX(($A$2:$A$497=$P442)*ROW($A$2:$A$497)))=0,"",INDEX($B:$B,SUMPRODUCT(MAX(($A$2:$A$497=$P442)*ROW($A$2:$A$497))))))</f>
        <v>0</v>
      </c>
      <c r="T442" t="str">
        <f>IF($P442="","",IF(SUMPRODUCT(MAX(($A$2:$A$497=$P442)*ROW($A$2:$A$497)))=0,"",INDEX($C:$C,SUMPRODUCT(MAX(($A$2:$A$497=$P442)*ROW($A$2:$A$497))))&amp;" -&gt; "&amp;INDEX($D:$D,SUMPRODUCT(MAX(($A$2:$A$497=$P442)*ROW($A$2:$A$497))))))</f>
        <v xml:space="preserve"> -&gt; </v>
      </c>
    </row>
    <row r="443" spans="1:20">
      <c r="A443" s="31"/>
      <c r="B443" s="32"/>
      <c r="C443" s="31"/>
      <c r="D443" s="31"/>
      <c r="E443" s="31"/>
      <c r="F443" s="31"/>
      <c r="G443" s="31"/>
      <c r="H443" s="32"/>
      <c r="I443" s="32"/>
      <c r="J443" s="32"/>
      <c r="K443" s="31"/>
      <c r="L443" s="31"/>
      <c r="M443" s="3" t="str">
        <f t="shared" ca="1" si="21"/>
        <v/>
      </c>
      <c r="P443">
        <f>'Combined Delivery Data'!B473</f>
        <v>0</v>
      </c>
      <c r="Q443">
        <f t="shared" si="22"/>
        <v>0</v>
      </c>
      <c r="R443">
        <f t="shared" si="23"/>
        <v>452</v>
      </c>
      <c r="S443" s="28">
        <f>IF($P443="","",IF(SUMPRODUCT(MAX(($A$2:$A$497=$P443)*ROW($A$2:$A$497)))=0,"",INDEX($B:$B,SUMPRODUCT(MAX(($A$2:$A$497=$P443)*ROW($A$2:$A$497))))))</f>
        <v>0</v>
      </c>
      <c r="T443" t="str">
        <f>IF($P443="","",IF(SUMPRODUCT(MAX(($A$2:$A$497=$P443)*ROW($A$2:$A$497)))=0,"",INDEX($C:$C,SUMPRODUCT(MAX(($A$2:$A$497=$P443)*ROW($A$2:$A$497))))&amp;" -&gt; "&amp;INDEX($D:$D,SUMPRODUCT(MAX(($A$2:$A$497=$P443)*ROW($A$2:$A$497))))))</f>
        <v xml:space="preserve"> -&gt; </v>
      </c>
    </row>
    <row r="444" spans="1:20">
      <c r="A444" s="31"/>
      <c r="B444" s="32"/>
      <c r="C444" s="31"/>
      <c r="D444" s="31"/>
      <c r="E444" s="31"/>
      <c r="F444" s="31"/>
      <c r="G444" s="31"/>
      <c r="H444" s="32"/>
      <c r="I444" s="32"/>
      <c r="J444" s="32"/>
      <c r="K444" s="31"/>
      <c r="L444" s="31"/>
      <c r="M444" s="3" t="str">
        <f t="shared" ca="1" si="21"/>
        <v/>
      </c>
      <c r="P444">
        <f>'Combined Delivery Data'!B474</f>
        <v>0</v>
      </c>
      <c r="Q444">
        <f t="shared" si="22"/>
        <v>0</v>
      </c>
      <c r="R444">
        <f t="shared" si="23"/>
        <v>452</v>
      </c>
      <c r="S444" s="28">
        <f>IF($P444="","",IF(SUMPRODUCT(MAX(($A$2:$A$497=$P444)*ROW($A$2:$A$497)))=0,"",INDEX($B:$B,SUMPRODUCT(MAX(($A$2:$A$497=$P444)*ROW($A$2:$A$497))))))</f>
        <v>0</v>
      </c>
      <c r="T444" t="str">
        <f>IF($P444="","",IF(SUMPRODUCT(MAX(($A$2:$A$497=$P444)*ROW($A$2:$A$497)))=0,"",INDEX($C:$C,SUMPRODUCT(MAX(($A$2:$A$497=$P444)*ROW($A$2:$A$497))))&amp;" -&gt; "&amp;INDEX($D:$D,SUMPRODUCT(MAX(($A$2:$A$497=$P444)*ROW($A$2:$A$497))))))</f>
        <v xml:space="preserve"> -&gt; </v>
      </c>
    </row>
    <row r="445" spans="1:20">
      <c r="A445" s="31"/>
      <c r="B445" s="32"/>
      <c r="C445" s="31"/>
      <c r="D445" s="31"/>
      <c r="E445" s="31"/>
      <c r="F445" s="31"/>
      <c r="G445" s="31"/>
      <c r="H445" s="32"/>
      <c r="I445" s="32"/>
      <c r="J445" s="32"/>
      <c r="K445" s="31"/>
      <c r="L445" s="31"/>
      <c r="M445" s="3" t="str">
        <f t="shared" ca="1" si="21"/>
        <v/>
      </c>
      <c r="P445">
        <f>'Combined Delivery Data'!B475</f>
        <v>0</v>
      </c>
      <c r="Q445">
        <f t="shared" si="22"/>
        <v>0</v>
      </c>
      <c r="R445">
        <f t="shared" si="23"/>
        <v>452</v>
      </c>
      <c r="S445" s="28">
        <f>IF($P445="","",IF(SUMPRODUCT(MAX(($A$2:$A$497=$P445)*ROW($A$2:$A$497)))=0,"",INDEX($B:$B,SUMPRODUCT(MAX(($A$2:$A$497=$P445)*ROW($A$2:$A$497))))))</f>
        <v>0</v>
      </c>
      <c r="T445" t="str">
        <f>IF($P445="","",IF(SUMPRODUCT(MAX(($A$2:$A$497=$P445)*ROW($A$2:$A$497)))=0,"",INDEX($C:$C,SUMPRODUCT(MAX(($A$2:$A$497=$P445)*ROW($A$2:$A$497))))&amp;" -&gt; "&amp;INDEX($D:$D,SUMPRODUCT(MAX(($A$2:$A$497=$P445)*ROW($A$2:$A$497))))))</f>
        <v xml:space="preserve"> -&gt; </v>
      </c>
    </row>
    <row r="446" spans="1:20">
      <c r="A446" s="31"/>
      <c r="B446" s="32"/>
      <c r="C446" s="31"/>
      <c r="D446" s="31"/>
      <c r="E446" s="31"/>
      <c r="F446" s="31"/>
      <c r="G446" s="31"/>
      <c r="H446" s="32"/>
      <c r="I446" s="32"/>
      <c r="J446" s="32"/>
      <c r="K446" s="31"/>
      <c r="L446" s="31"/>
      <c r="M446" s="3" t="str">
        <f t="shared" ca="1" si="21"/>
        <v/>
      </c>
      <c r="P446">
        <f>'Combined Delivery Data'!B476</f>
        <v>0</v>
      </c>
      <c r="Q446">
        <f t="shared" si="22"/>
        <v>0</v>
      </c>
      <c r="R446">
        <f t="shared" si="23"/>
        <v>452</v>
      </c>
      <c r="S446" s="28">
        <f>IF($P446="","",IF(SUMPRODUCT(MAX(($A$2:$A$497=$P446)*ROW($A$2:$A$497)))=0,"",INDEX($B:$B,SUMPRODUCT(MAX(($A$2:$A$497=$P446)*ROW($A$2:$A$497))))))</f>
        <v>0</v>
      </c>
      <c r="T446" t="str">
        <f>IF($P446="","",IF(SUMPRODUCT(MAX(($A$2:$A$497=$P446)*ROW($A$2:$A$497)))=0,"",INDEX($C:$C,SUMPRODUCT(MAX(($A$2:$A$497=$P446)*ROW($A$2:$A$497))))&amp;" -&gt; "&amp;INDEX($D:$D,SUMPRODUCT(MAX(($A$2:$A$497=$P446)*ROW($A$2:$A$497))))))</f>
        <v xml:space="preserve"> -&gt; </v>
      </c>
    </row>
    <row r="447" spans="1:20">
      <c r="A447" s="31"/>
      <c r="B447" s="32"/>
      <c r="C447" s="31"/>
      <c r="D447" s="31"/>
      <c r="E447" s="31"/>
      <c r="F447" s="31"/>
      <c r="G447" s="31"/>
      <c r="H447" s="32"/>
      <c r="I447" s="32"/>
      <c r="J447" s="32"/>
      <c r="K447" s="31"/>
      <c r="L447" s="31"/>
      <c r="M447" s="3" t="str">
        <f t="shared" ca="1" si="21"/>
        <v/>
      </c>
      <c r="P447">
        <f>'Combined Delivery Data'!B477</f>
        <v>0</v>
      </c>
      <c r="Q447">
        <f t="shared" si="22"/>
        <v>0</v>
      </c>
      <c r="R447">
        <f t="shared" si="23"/>
        <v>452</v>
      </c>
      <c r="S447" s="28">
        <f>IF($P447="","",IF(SUMPRODUCT(MAX(($A$2:$A$497=$P447)*ROW($A$2:$A$497)))=0,"",INDEX($B:$B,SUMPRODUCT(MAX(($A$2:$A$497=$P447)*ROW($A$2:$A$497))))))</f>
        <v>0</v>
      </c>
      <c r="T447" t="str">
        <f>IF($P447="","",IF(SUMPRODUCT(MAX(($A$2:$A$497=$P447)*ROW($A$2:$A$497)))=0,"",INDEX($C:$C,SUMPRODUCT(MAX(($A$2:$A$497=$P447)*ROW($A$2:$A$497))))&amp;" -&gt; "&amp;INDEX($D:$D,SUMPRODUCT(MAX(($A$2:$A$497=$P447)*ROW($A$2:$A$497))))))</f>
        <v xml:space="preserve"> -&gt; </v>
      </c>
    </row>
    <row r="448" spans="1:20">
      <c r="A448" s="31"/>
      <c r="B448" s="32"/>
      <c r="C448" s="31"/>
      <c r="D448" s="31"/>
      <c r="E448" s="31"/>
      <c r="F448" s="31"/>
      <c r="G448" s="31"/>
      <c r="H448" s="32"/>
      <c r="I448" s="32"/>
      <c r="J448" s="32"/>
      <c r="K448" s="31"/>
      <c r="L448" s="31"/>
      <c r="M448" s="3" t="str">
        <f t="shared" ref="M448:M497" ca="1" si="24">IF($A448="","",IF($G448="Did not pass re-test","Sent back again",IF(NOT(ISNUMBER($B448)),"Missing sent-back date",IF(ISNUMBER($J448),"Fixed in "&amp;($J448-$B448)&amp;" d",IF($I448="","UNCLAIMED "&amp;(TODAY()-$B448)&amp;" d",IF(TODAY()&gt;$I448,(TODAY()-$I448)&amp;" d LATE","Open "&amp;(TODAY()-$B448)&amp;" d"))))))</f>
        <v/>
      </c>
      <c r="P448">
        <f>'Combined Delivery Data'!B478</f>
        <v>0</v>
      </c>
      <c r="Q448">
        <f t="shared" si="22"/>
        <v>0</v>
      </c>
      <c r="R448">
        <f t="shared" si="23"/>
        <v>452</v>
      </c>
      <c r="S448" s="28">
        <f>IF($P448="","",IF(SUMPRODUCT(MAX(($A$2:$A$497=$P448)*ROW($A$2:$A$497)))=0,"",INDEX($B:$B,SUMPRODUCT(MAX(($A$2:$A$497=$P448)*ROW($A$2:$A$497))))))</f>
        <v>0</v>
      </c>
      <c r="T448" t="str">
        <f>IF($P448="","",IF(SUMPRODUCT(MAX(($A$2:$A$497=$P448)*ROW($A$2:$A$497)))=0,"",INDEX($C:$C,SUMPRODUCT(MAX(($A$2:$A$497=$P448)*ROW($A$2:$A$497))))&amp;" -&gt; "&amp;INDEX($D:$D,SUMPRODUCT(MAX(($A$2:$A$497=$P448)*ROW($A$2:$A$497))))))</f>
        <v xml:space="preserve"> -&gt; </v>
      </c>
    </row>
    <row r="449" spans="1:20">
      <c r="A449" s="31"/>
      <c r="B449" s="32"/>
      <c r="C449" s="31"/>
      <c r="D449" s="31"/>
      <c r="E449" s="31"/>
      <c r="F449" s="31"/>
      <c r="G449" s="31"/>
      <c r="H449" s="32"/>
      <c r="I449" s="32"/>
      <c r="J449" s="32"/>
      <c r="K449" s="31"/>
      <c r="L449" s="31"/>
      <c r="M449" s="3" t="str">
        <f t="shared" ca="1" si="24"/>
        <v/>
      </c>
      <c r="P449">
        <f>'Combined Delivery Data'!B479</f>
        <v>0</v>
      </c>
      <c r="Q449">
        <f t="shared" si="22"/>
        <v>0</v>
      </c>
      <c r="R449">
        <f t="shared" si="23"/>
        <v>452</v>
      </c>
      <c r="S449" s="28">
        <f>IF($P449="","",IF(SUMPRODUCT(MAX(($A$2:$A$497=$P449)*ROW($A$2:$A$497)))=0,"",INDEX($B:$B,SUMPRODUCT(MAX(($A$2:$A$497=$P449)*ROW($A$2:$A$497))))))</f>
        <v>0</v>
      </c>
      <c r="T449" t="str">
        <f>IF($P449="","",IF(SUMPRODUCT(MAX(($A$2:$A$497=$P449)*ROW($A$2:$A$497)))=0,"",INDEX($C:$C,SUMPRODUCT(MAX(($A$2:$A$497=$P449)*ROW($A$2:$A$497))))&amp;" -&gt; "&amp;INDEX($D:$D,SUMPRODUCT(MAX(($A$2:$A$497=$P449)*ROW($A$2:$A$497))))))</f>
        <v xml:space="preserve"> -&gt; </v>
      </c>
    </row>
    <row r="450" spans="1:20">
      <c r="A450" s="31"/>
      <c r="B450" s="32"/>
      <c r="C450" s="31"/>
      <c r="D450" s="31"/>
      <c r="E450" s="31"/>
      <c r="F450" s="31"/>
      <c r="G450" s="31"/>
      <c r="H450" s="32"/>
      <c r="I450" s="32"/>
      <c r="J450" s="32"/>
      <c r="K450" s="31"/>
      <c r="L450" s="31"/>
      <c r="M450" s="3" t="str">
        <f t="shared" ca="1" si="24"/>
        <v/>
      </c>
      <c r="P450">
        <f>'Combined Delivery Data'!B480</f>
        <v>0</v>
      </c>
      <c r="Q450">
        <f t="shared" si="22"/>
        <v>0</v>
      </c>
      <c r="R450">
        <f t="shared" si="23"/>
        <v>452</v>
      </c>
      <c r="S450" s="28">
        <f>IF($P450="","",IF(SUMPRODUCT(MAX(($A$2:$A$497=$P450)*ROW($A$2:$A$497)))=0,"",INDEX($B:$B,SUMPRODUCT(MAX(($A$2:$A$497=$P450)*ROW($A$2:$A$497))))))</f>
        <v>0</v>
      </c>
      <c r="T450" t="str">
        <f>IF($P450="","",IF(SUMPRODUCT(MAX(($A$2:$A$497=$P450)*ROW($A$2:$A$497)))=0,"",INDEX($C:$C,SUMPRODUCT(MAX(($A$2:$A$497=$P450)*ROW($A$2:$A$497))))&amp;" -&gt; "&amp;INDEX($D:$D,SUMPRODUCT(MAX(($A$2:$A$497=$P450)*ROW($A$2:$A$497))))))</f>
        <v xml:space="preserve"> -&gt; </v>
      </c>
    </row>
    <row r="451" spans="1:20">
      <c r="A451" s="31"/>
      <c r="B451" s="32"/>
      <c r="C451" s="31"/>
      <c r="D451" s="31"/>
      <c r="E451" s="31"/>
      <c r="F451" s="31"/>
      <c r="G451" s="31"/>
      <c r="H451" s="32"/>
      <c r="I451" s="32"/>
      <c r="J451" s="32"/>
      <c r="K451" s="31"/>
      <c r="L451" s="31"/>
      <c r="M451" s="3" t="str">
        <f t="shared" ca="1" si="24"/>
        <v/>
      </c>
      <c r="P451">
        <f>'Combined Delivery Data'!B481</f>
        <v>0</v>
      </c>
      <c r="Q451">
        <f t="shared" si="22"/>
        <v>0</v>
      </c>
      <c r="R451">
        <f t="shared" si="23"/>
        <v>452</v>
      </c>
      <c r="S451" s="28">
        <f>IF($P451="","",IF(SUMPRODUCT(MAX(($A$2:$A$497=$P451)*ROW($A$2:$A$497)))=0,"",INDEX($B:$B,SUMPRODUCT(MAX(($A$2:$A$497=$P451)*ROW($A$2:$A$497))))))</f>
        <v>0</v>
      </c>
      <c r="T451" t="str">
        <f>IF($P451="","",IF(SUMPRODUCT(MAX(($A$2:$A$497=$P451)*ROW($A$2:$A$497)))=0,"",INDEX($C:$C,SUMPRODUCT(MAX(($A$2:$A$497=$P451)*ROW($A$2:$A$497))))&amp;" -&gt; "&amp;INDEX($D:$D,SUMPRODUCT(MAX(($A$2:$A$497=$P451)*ROW($A$2:$A$497))))))</f>
        <v xml:space="preserve"> -&gt; </v>
      </c>
    </row>
    <row r="452" spans="1:20">
      <c r="A452" s="31"/>
      <c r="B452" s="32"/>
      <c r="C452" s="31"/>
      <c r="D452" s="31"/>
      <c r="E452" s="31"/>
      <c r="F452" s="31"/>
      <c r="G452" s="31"/>
      <c r="H452" s="32"/>
      <c r="I452" s="32"/>
      <c r="J452" s="32"/>
      <c r="K452" s="31"/>
      <c r="L452" s="31"/>
      <c r="M452" s="3" t="str">
        <f t="shared" ca="1" si="24"/>
        <v/>
      </c>
      <c r="P452">
        <f>'Combined Delivery Data'!B482</f>
        <v>0</v>
      </c>
      <c r="Q452">
        <f t="shared" si="22"/>
        <v>0</v>
      </c>
      <c r="R452">
        <f t="shared" si="23"/>
        <v>452</v>
      </c>
      <c r="S452" s="28">
        <f>IF($P452="","",IF(SUMPRODUCT(MAX(($A$2:$A$497=$P452)*ROW($A$2:$A$497)))=0,"",INDEX($B:$B,SUMPRODUCT(MAX(($A$2:$A$497=$P452)*ROW($A$2:$A$497))))))</f>
        <v>0</v>
      </c>
      <c r="T452" t="str">
        <f>IF($P452="","",IF(SUMPRODUCT(MAX(($A$2:$A$497=$P452)*ROW($A$2:$A$497)))=0,"",INDEX($C:$C,SUMPRODUCT(MAX(($A$2:$A$497=$P452)*ROW($A$2:$A$497))))&amp;" -&gt; "&amp;INDEX($D:$D,SUMPRODUCT(MAX(($A$2:$A$497=$P452)*ROW($A$2:$A$497))))))</f>
        <v xml:space="preserve"> -&gt; </v>
      </c>
    </row>
    <row r="453" spans="1:20">
      <c r="A453" s="31"/>
      <c r="B453" s="32"/>
      <c r="C453" s="31"/>
      <c r="D453" s="31"/>
      <c r="E453" s="31"/>
      <c r="F453" s="31"/>
      <c r="G453" s="31"/>
      <c r="H453" s="32"/>
      <c r="I453" s="32"/>
      <c r="J453" s="32"/>
      <c r="K453" s="31"/>
      <c r="L453" s="31"/>
      <c r="M453" s="3" t="str">
        <f t="shared" ca="1" si="24"/>
        <v/>
      </c>
      <c r="P453">
        <f>'Combined Delivery Data'!B483</f>
        <v>0</v>
      </c>
      <c r="Q453">
        <f t="shared" si="22"/>
        <v>0</v>
      </c>
      <c r="R453">
        <f t="shared" si="23"/>
        <v>452</v>
      </c>
      <c r="S453" s="28">
        <f>IF($P453="","",IF(SUMPRODUCT(MAX(($A$2:$A$497=$P453)*ROW($A$2:$A$497)))=0,"",INDEX($B:$B,SUMPRODUCT(MAX(($A$2:$A$497=$P453)*ROW($A$2:$A$497))))))</f>
        <v>0</v>
      </c>
      <c r="T453" t="str">
        <f>IF($P453="","",IF(SUMPRODUCT(MAX(($A$2:$A$497=$P453)*ROW($A$2:$A$497)))=0,"",INDEX($C:$C,SUMPRODUCT(MAX(($A$2:$A$497=$P453)*ROW($A$2:$A$497))))&amp;" -&gt; "&amp;INDEX($D:$D,SUMPRODUCT(MAX(($A$2:$A$497=$P453)*ROW($A$2:$A$497))))))</f>
        <v xml:space="preserve"> -&gt; </v>
      </c>
    </row>
    <row r="454" spans="1:20">
      <c r="A454" s="31"/>
      <c r="B454" s="32"/>
      <c r="C454" s="31"/>
      <c r="D454" s="31"/>
      <c r="E454" s="31"/>
      <c r="F454" s="31"/>
      <c r="G454" s="31"/>
      <c r="H454" s="32"/>
      <c r="I454" s="32"/>
      <c r="J454" s="32"/>
      <c r="K454" s="31"/>
      <c r="L454" s="31"/>
      <c r="M454" s="3" t="str">
        <f t="shared" ca="1" si="24"/>
        <v/>
      </c>
      <c r="P454">
        <f>'Combined Delivery Data'!B484</f>
        <v>0</v>
      </c>
      <c r="Q454">
        <f t="shared" si="22"/>
        <v>0</v>
      </c>
      <c r="R454">
        <f t="shared" si="23"/>
        <v>452</v>
      </c>
      <c r="S454" s="28">
        <f>IF($P454="","",IF(SUMPRODUCT(MAX(($A$2:$A$497=$P454)*ROW($A$2:$A$497)))=0,"",INDEX($B:$B,SUMPRODUCT(MAX(($A$2:$A$497=$P454)*ROW($A$2:$A$497))))))</f>
        <v>0</v>
      </c>
      <c r="T454" t="str">
        <f>IF($P454="","",IF(SUMPRODUCT(MAX(($A$2:$A$497=$P454)*ROW($A$2:$A$497)))=0,"",INDEX($C:$C,SUMPRODUCT(MAX(($A$2:$A$497=$P454)*ROW($A$2:$A$497))))&amp;" -&gt; "&amp;INDEX($D:$D,SUMPRODUCT(MAX(($A$2:$A$497=$P454)*ROW($A$2:$A$497))))))</f>
        <v xml:space="preserve"> -&gt; </v>
      </c>
    </row>
    <row r="455" spans="1:20">
      <c r="A455" s="31"/>
      <c r="B455" s="32"/>
      <c r="C455" s="31"/>
      <c r="D455" s="31"/>
      <c r="E455" s="31"/>
      <c r="F455" s="31"/>
      <c r="G455" s="31"/>
      <c r="H455" s="32"/>
      <c r="I455" s="32"/>
      <c r="J455" s="32"/>
      <c r="K455" s="31"/>
      <c r="L455" s="31"/>
      <c r="M455" s="3" t="str">
        <f t="shared" ca="1" si="24"/>
        <v/>
      </c>
      <c r="P455">
        <f>'Combined Delivery Data'!B485</f>
        <v>0</v>
      </c>
      <c r="Q455">
        <f t="shared" si="22"/>
        <v>0</v>
      </c>
      <c r="R455">
        <f t="shared" si="23"/>
        <v>452</v>
      </c>
      <c r="S455" s="28">
        <f>IF($P455="","",IF(SUMPRODUCT(MAX(($A$2:$A$497=$P455)*ROW($A$2:$A$497)))=0,"",INDEX($B:$B,SUMPRODUCT(MAX(($A$2:$A$497=$P455)*ROW($A$2:$A$497))))))</f>
        <v>0</v>
      </c>
      <c r="T455" t="str">
        <f>IF($P455="","",IF(SUMPRODUCT(MAX(($A$2:$A$497=$P455)*ROW($A$2:$A$497)))=0,"",INDEX($C:$C,SUMPRODUCT(MAX(($A$2:$A$497=$P455)*ROW($A$2:$A$497))))&amp;" -&gt; "&amp;INDEX($D:$D,SUMPRODUCT(MAX(($A$2:$A$497=$P455)*ROW($A$2:$A$497))))))</f>
        <v xml:space="preserve"> -&gt; </v>
      </c>
    </row>
    <row r="456" spans="1:20">
      <c r="A456" s="31"/>
      <c r="B456" s="32"/>
      <c r="C456" s="31"/>
      <c r="D456" s="31"/>
      <c r="E456" s="31"/>
      <c r="F456" s="31"/>
      <c r="G456" s="31"/>
      <c r="H456" s="32"/>
      <c r="I456" s="32"/>
      <c r="J456" s="32"/>
      <c r="K456" s="31"/>
      <c r="L456" s="31"/>
      <c r="M456" s="3" t="str">
        <f t="shared" ca="1" si="24"/>
        <v/>
      </c>
      <c r="P456">
        <f>'Combined Delivery Data'!B486</f>
        <v>0</v>
      </c>
      <c r="Q456">
        <f t="shared" si="22"/>
        <v>0</v>
      </c>
      <c r="R456">
        <f t="shared" si="23"/>
        <v>452</v>
      </c>
      <c r="S456" s="28">
        <f>IF($P456="","",IF(SUMPRODUCT(MAX(($A$2:$A$497=$P456)*ROW($A$2:$A$497)))=0,"",INDEX($B:$B,SUMPRODUCT(MAX(($A$2:$A$497=$P456)*ROW($A$2:$A$497))))))</f>
        <v>0</v>
      </c>
      <c r="T456" t="str">
        <f>IF($P456="","",IF(SUMPRODUCT(MAX(($A$2:$A$497=$P456)*ROW($A$2:$A$497)))=0,"",INDEX($C:$C,SUMPRODUCT(MAX(($A$2:$A$497=$P456)*ROW($A$2:$A$497))))&amp;" -&gt; "&amp;INDEX($D:$D,SUMPRODUCT(MAX(($A$2:$A$497=$P456)*ROW($A$2:$A$497))))))</f>
        <v xml:space="preserve"> -&gt; </v>
      </c>
    </row>
    <row r="457" spans="1:20">
      <c r="A457" s="31"/>
      <c r="B457" s="32"/>
      <c r="C457" s="31"/>
      <c r="D457" s="31"/>
      <c r="E457" s="31"/>
      <c r="F457" s="31"/>
      <c r="G457" s="31"/>
      <c r="H457" s="32"/>
      <c r="I457" s="32"/>
      <c r="J457" s="32"/>
      <c r="K457" s="31"/>
      <c r="L457" s="31"/>
      <c r="M457" s="3" t="str">
        <f t="shared" ca="1" si="24"/>
        <v/>
      </c>
      <c r="P457">
        <f>'Combined Delivery Data'!B487</f>
        <v>0</v>
      </c>
      <c r="Q457">
        <f t="shared" si="22"/>
        <v>0</v>
      </c>
      <c r="R457">
        <f t="shared" si="23"/>
        <v>452</v>
      </c>
      <c r="S457" s="28">
        <f>IF($P457="","",IF(SUMPRODUCT(MAX(($A$2:$A$497=$P457)*ROW($A$2:$A$497)))=0,"",INDEX($B:$B,SUMPRODUCT(MAX(($A$2:$A$497=$P457)*ROW($A$2:$A$497))))))</f>
        <v>0</v>
      </c>
      <c r="T457" t="str">
        <f>IF($P457="","",IF(SUMPRODUCT(MAX(($A$2:$A$497=$P457)*ROW($A$2:$A$497)))=0,"",INDEX($C:$C,SUMPRODUCT(MAX(($A$2:$A$497=$P457)*ROW($A$2:$A$497))))&amp;" -&gt; "&amp;INDEX($D:$D,SUMPRODUCT(MAX(($A$2:$A$497=$P457)*ROW($A$2:$A$497))))))</f>
        <v xml:space="preserve"> -&gt; </v>
      </c>
    </row>
    <row r="458" spans="1:20">
      <c r="A458" s="31"/>
      <c r="B458" s="32"/>
      <c r="C458" s="31"/>
      <c r="D458" s="31"/>
      <c r="E458" s="31"/>
      <c r="F458" s="31"/>
      <c r="G458" s="31"/>
      <c r="H458" s="32"/>
      <c r="I458" s="32"/>
      <c r="J458" s="32"/>
      <c r="K458" s="31"/>
      <c r="L458" s="31"/>
      <c r="M458" s="3" t="str">
        <f t="shared" ca="1" si="24"/>
        <v/>
      </c>
      <c r="P458">
        <f>'Combined Delivery Data'!B488</f>
        <v>0</v>
      </c>
      <c r="Q458">
        <f t="shared" si="22"/>
        <v>0</v>
      </c>
      <c r="R458">
        <f t="shared" si="23"/>
        <v>452</v>
      </c>
      <c r="S458" s="28">
        <f>IF($P458="","",IF(SUMPRODUCT(MAX(($A$2:$A$497=$P458)*ROW($A$2:$A$497)))=0,"",INDEX($B:$B,SUMPRODUCT(MAX(($A$2:$A$497=$P458)*ROW($A$2:$A$497))))))</f>
        <v>0</v>
      </c>
      <c r="T458" t="str">
        <f>IF($P458="","",IF(SUMPRODUCT(MAX(($A$2:$A$497=$P458)*ROW($A$2:$A$497)))=0,"",INDEX($C:$C,SUMPRODUCT(MAX(($A$2:$A$497=$P458)*ROW($A$2:$A$497))))&amp;" -&gt; "&amp;INDEX($D:$D,SUMPRODUCT(MAX(($A$2:$A$497=$P458)*ROW($A$2:$A$497))))))</f>
        <v xml:space="preserve"> -&gt; </v>
      </c>
    </row>
    <row r="459" spans="1:20">
      <c r="A459" s="31"/>
      <c r="B459" s="32"/>
      <c r="C459" s="31"/>
      <c r="D459" s="31"/>
      <c r="E459" s="31"/>
      <c r="F459" s="31"/>
      <c r="G459" s="31"/>
      <c r="H459" s="32"/>
      <c r="I459" s="32"/>
      <c r="J459" s="32"/>
      <c r="K459" s="31"/>
      <c r="L459" s="31"/>
      <c r="M459" s="3" t="str">
        <f t="shared" ca="1" si="24"/>
        <v/>
      </c>
      <c r="P459">
        <f>'Combined Delivery Data'!B489</f>
        <v>0</v>
      </c>
      <c r="Q459">
        <f t="shared" si="22"/>
        <v>0</v>
      </c>
      <c r="R459">
        <f t="shared" si="23"/>
        <v>452</v>
      </c>
      <c r="S459" s="28">
        <f>IF($P459="","",IF(SUMPRODUCT(MAX(($A$2:$A$497=$P459)*ROW($A$2:$A$497)))=0,"",INDEX($B:$B,SUMPRODUCT(MAX(($A$2:$A$497=$P459)*ROW($A$2:$A$497))))))</f>
        <v>0</v>
      </c>
      <c r="T459" t="str">
        <f>IF($P459="","",IF(SUMPRODUCT(MAX(($A$2:$A$497=$P459)*ROW($A$2:$A$497)))=0,"",INDEX($C:$C,SUMPRODUCT(MAX(($A$2:$A$497=$P459)*ROW($A$2:$A$497))))&amp;" -&gt; "&amp;INDEX($D:$D,SUMPRODUCT(MAX(($A$2:$A$497=$P459)*ROW($A$2:$A$497))))))</f>
        <v xml:space="preserve"> -&gt; </v>
      </c>
    </row>
    <row r="460" spans="1:20">
      <c r="A460" s="31"/>
      <c r="B460" s="32"/>
      <c r="C460" s="31"/>
      <c r="D460" s="31"/>
      <c r="E460" s="31"/>
      <c r="F460" s="31"/>
      <c r="G460" s="31"/>
      <c r="H460" s="32"/>
      <c r="I460" s="32"/>
      <c r="J460" s="32"/>
      <c r="K460" s="31"/>
      <c r="L460" s="31"/>
      <c r="M460" s="3" t="str">
        <f t="shared" ca="1" si="24"/>
        <v/>
      </c>
      <c r="P460">
        <f>'Combined Delivery Data'!B490</f>
        <v>0</v>
      </c>
      <c r="Q460">
        <f t="shared" si="22"/>
        <v>0</v>
      </c>
      <c r="R460">
        <f t="shared" si="23"/>
        <v>452</v>
      </c>
      <c r="S460" s="28">
        <f>IF($P460="","",IF(SUMPRODUCT(MAX(($A$2:$A$497=$P460)*ROW($A$2:$A$497)))=0,"",INDEX($B:$B,SUMPRODUCT(MAX(($A$2:$A$497=$P460)*ROW($A$2:$A$497))))))</f>
        <v>0</v>
      </c>
      <c r="T460" t="str">
        <f>IF($P460="","",IF(SUMPRODUCT(MAX(($A$2:$A$497=$P460)*ROW($A$2:$A$497)))=0,"",INDEX($C:$C,SUMPRODUCT(MAX(($A$2:$A$497=$P460)*ROW($A$2:$A$497))))&amp;" -&gt; "&amp;INDEX($D:$D,SUMPRODUCT(MAX(($A$2:$A$497=$P460)*ROW($A$2:$A$497))))))</f>
        <v xml:space="preserve"> -&gt; </v>
      </c>
    </row>
    <row r="461" spans="1:20">
      <c r="A461" s="31"/>
      <c r="B461" s="32"/>
      <c r="C461" s="31"/>
      <c r="D461" s="31"/>
      <c r="E461" s="31"/>
      <c r="F461" s="31"/>
      <c r="G461" s="31"/>
      <c r="H461" s="32"/>
      <c r="I461" s="32"/>
      <c r="J461" s="32"/>
      <c r="K461" s="31"/>
      <c r="L461" s="31"/>
      <c r="M461" s="3" t="str">
        <f t="shared" ca="1" si="24"/>
        <v/>
      </c>
      <c r="P461">
        <f>'Combined Delivery Data'!B491</f>
        <v>0</v>
      </c>
      <c r="Q461">
        <f t="shared" si="22"/>
        <v>0</v>
      </c>
      <c r="R461">
        <f t="shared" si="23"/>
        <v>452</v>
      </c>
      <c r="S461" s="28">
        <f>IF($P461="","",IF(SUMPRODUCT(MAX(($A$2:$A$497=$P461)*ROW($A$2:$A$497)))=0,"",INDEX($B:$B,SUMPRODUCT(MAX(($A$2:$A$497=$P461)*ROW($A$2:$A$497))))))</f>
        <v>0</v>
      </c>
      <c r="T461" t="str">
        <f>IF($P461="","",IF(SUMPRODUCT(MAX(($A$2:$A$497=$P461)*ROW($A$2:$A$497)))=0,"",INDEX($C:$C,SUMPRODUCT(MAX(($A$2:$A$497=$P461)*ROW($A$2:$A$497))))&amp;" -&gt; "&amp;INDEX($D:$D,SUMPRODUCT(MAX(($A$2:$A$497=$P461)*ROW($A$2:$A$497))))))</f>
        <v xml:space="preserve"> -&gt; </v>
      </c>
    </row>
    <row r="462" spans="1:20">
      <c r="A462" s="31"/>
      <c r="B462" s="32"/>
      <c r="C462" s="31"/>
      <c r="D462" s="31"/>
      <c r="E462" s="31"/>
      <c r="F462" s="31"/>
      <c r="G462" s="31"/>
      <c r="H462" s="32"/>
      <c r="I462" s="32"/>
      <c r="J462" s="32"/>
      <c r="K462" s="31"/>
      <c r="L462" s="31"/>
      <c r="M462" s="3" t="str">
        <f t="shared" ca="1" si="24"/>
        <v/>
      </c>
      <c r="P462">
        <f>'Combined Delivery Data'!B492</f>
        <v>0</v>
      </c>
      <c r="Q462">
        <f t="shared" si="22"/>
        <v>0</v>
      </c>
      <c r="R462">
        <f t="shared" si="23"/>
        <v>452</v>
      </c>
      <c r="S462" s="28">
        <f>IF($P462="","",IF(SUMPRODUCT(MAX(($A$2:$A$497=$P462)*ROW($A$2:$A$497)))=0,"",INDEX($B:$B,SUMPRODUCT(MAX(($A$2:$A$497=$P462)*ROW($A$2:$A$497))))))</f>
        <v>0</v>
      </c>
      <c r="T462" t="str">
        <f>IF($P462="","",IF(SUMPRODUCT(MAX(($A$2:$A$497=$P462)*ROW($A$2:$A$497)))=0,"",INDEX($C:$C,SUMPRODUCT(MAX(($A$2:$A$497=$P462)*ROW($A$2:$A$497))))&amp;" -&gt; "&amp;INDEX($D:$D,SUMPRODUCT(MAX(($A$2:$A$497=$P462)*ROW($A$2:$A$497))))))</f>
        <v xml:space="preserve"> -&gt; </v>
      </c>
    </row>
    <row r="463" spans="1:20">
      <c r="A463" s="31"/>
      <c r="B463" s="32"/>
      <c r="C463" s="31"/>
      <c r="D463" s="31"/>
      <c r="E463" s="31"/>
      <c r="F463" s="31"/>
      <c r="G463" s="31"/>
      <c r="H463" s="32"/>
      <c r="I463" s="32"/>
      <c r="J463" s="32"/>
      <c r="K463" s="31"/>
      <c r="L463" s="31"/>
      <c r="M463" s="3" t="str">
        <f t="shared" ca="1" si="24"/>
        <v/>
      </c>
      <c r="P463">
        <f>'Combined Delivery Data'!B493</f>
        <v>0</v>
      </c>
      <c r="Q463">
        <f t="shared" si="22"/>
        <v>0</v>
      </c>
      <c r="R463">
        <f t="shared" si="23"/>
        <v>452</v>
      </c>
      <c r="S463" s="28">
        <f>IF($P463="","",IF(SUMPRODUCT(MAX(($A$2:$A$497=$P463)*ROW($A$2:$A$497)))=0,"",INDEX($B:$B,SUMPRODUCT(MAX(($A$2:$A$497=$P463)*ROW($A$2:$A$497))))))</f>
        <v>0</v>
      </c>
      <c r="T463" t="str">
        <f>IF($P463="","",IF(SUMPRODUCT(MAX(($A$2:$A$497=$P463)*ROW($A$2:$A$497)))=0,"",INDEX($C:$C,SUMPRODUCT(MAX(($A$2:$A$497=$P463)*ROW($A$2:$A$497))))&amp;" -&gt; "&amp;INDEX($D:$D,SUMPRODUCT(MAX(($A$2:$A$497=$P463)*ROW($A$2:$A$497))))))</f>
        <v xml:space="preserve"> -&gt; </v>
      </c>
    </row>
    <row r="464" spans="1:20">
      <c r="A464" s="31"/>
      <c r="B464" s="32"/>
      <c r="C464" s="31"/>
      <c r="D464" s="31"/>
      <c r="E464" s="31"/>
      <c r="F464" s="31"/>
      <c r="G464" s="31"/>
      <c r="H464" s="32"/>
      <c r="I464" s="32"/>
      <c r="J464" s="32"/>
      <c r="K464" s="31"/>
      <c r="L464" s="31"/>
      <c r="M464" s="3" t="str">
        <f t="shared" ca="1" si="24"/>
        <v/>
      </c>
      <c r="P464">
        <f>'Combined Delivery Data'!B494</f>
        <v>0</v>
      </c>
      <c r="Q464">
        <f t="shared" si="22"/>
        <v>0</v>
      </c>
      <c r="R464">
        <f t="shared" si="23"/>
        <v>452</v>
      </c>
      <c r="S464" s="28">
        <f>IF($P464="","",IF(SUMPRODUCT(MAX(($A$2:$A$497=$P464)*ROW($A$2:$A$497)))=0,"",INDEX($B:$B,SUMPRODUCT(MAX(($A$2:$A$497=$P464)*ROW($A$2:$A$497))))))</f>
        <v>0</v>
      </c>
      <c r="T464" t="str">
        <f>IF($P464="","",IF(SUMPRODUCT(MAX(($A$2:$A$497=$P464)*ROW($A$2:$A$497)))=0,"",INDEX($C:$C,SUMPRODUCT(MAX(($A$2:$A$497=$P464)*ROW($A$2:$A$497))))&amp;" -&gt; "&amp;INDEX($D:$D,SUMPRODUCT(MAX(($A$2:$A$497=$P464)*ROW($A$2:$A$497))))))</f>
        <v xml:space="preserve"> -&gt; </v>
      </c>
    </row>
    <row r="465" spans="1:20">
      <c r="A465" s="31"/>
      <c r="B465" s="32"/>
      <c r="C465" s="31"/>
      <c r="D465" s="31"/>
      <c r="E465" s="31"/>
      <c r="F465" s="31"/>
      <c r="G465" s="31"/>
      <c r="H465" s="32"/>
      <c r="I465" s="32"/>
      <c r="J465" s="32"/>
      <c r="K465" s="31"/>
      <c r="L465" s="31"/>
      <c r="M465" s="3" t="str">
        <f t="shared" ca="1" si="24"/>
        <v/>
      </c>
      <c r="P465">
        <f>'Combined Delivery Data'!B495</f>
        <v>0</v>
      </c>
      <c r="Q465">
        <f t="shared" ref="Q465:Q497" si="25">IF($P465="","",COUNTIF($A$2:$A$497,$P465))</f>
        <v>0</v>
      </c>
      <c r="R465">
        <f t="shared" ref="R465:R497" si="26">IF($P465="","",SUMPRODUCT(($A$2:$A$497=$P465)*($G$2:$G$497&lt;&gt;"Yes")*($G$2:$G$497&lt;&gt;"Did not pass re-test")))</f>
        <v>452</v>
      </c>
      <c r="S465" s="28">
        <f>IF($P465="","",IF(SUMPRODUCT(MAX(($A$2:$A$497=$P465)*ROW($A$2:$A$497)))=0,"",INDEX($B:$B,SUMPRODUCT(MAX(($A$2:$A$497=$P465)*ROW($A$2:$A$497))))))</f>
        <v>0</v>
      </c>
      <c r="T465" t="str">
        <f>IF($P465="","",IF(SUMPRODUCT(MAX(($A$2:$A$497=$P465)*ROW($A$2:$A$497)))=0,"",INDEX($C:$C,SUMPRODUCT(MAX(($A$2:$A$497=$P465)*ROW($A$2:$A$497))))&amp;" -&gt; "&amp;INDEX($D:$D,SUMPRODUCT(MAX(($A$2:$A$497=$P465)*ROW($A$2:$A$497))))))</f>
        <v xml:space="preserve"> -&gt; </v>
      </c>
    </row>
    <row r="466" spans="1:20">
      <c r="A466" s="31"/>
      <c r="B466" s="32"/>
      <c r="C466" s="31"/>
      <c r="D466" s="31"/>
      <c r="E466" s="31"/>
      <c r="F466" s="31"/>
      <c r="G466" s="31"/>
      <c r="H466" s="32"/>
      <c r="I466" s="32"/>
      <c r="J466" s="32"/>
      <c r="K466" s="31"/>
      <c r="L466" s="31"/>
      <c r="M466" s="3" t="str">
        <f t="shared" ca="1" si="24"/>
        <v/>
      </c>
      <c r="P466">
        <f>'Combined Delivery Data'!B496</f>
        <v>0</v>
      </c>
      <c r="Q466">
        <f t="shared" si="25"/>
        <v>0</v>
      </c>
      <c r="R466">
        <f t="shared" si="26"/>
        <v>452</v>
      </c>
      <c r="S466" s="28">
        <f>IF($P466="","",IF(SUMPRODUCT(MAX(($A$2:$A$497=$P466)*ROW($A$2:$A$497)))=0,"",INDEX($B:$B,SUMPRODUCT(MAX(($A$2:$A$497=$P466)*ROW($A$2:$A$497))))))</f>
        <v>0</v>
      </c>
      <c r="T466" t="str">
        <f>IF($P466="","",IF(SUMPRODUCT(MAX(($A$2:$A$497=$P466)*ROW($A$2:$A$497)))=0,"",INDEX($C:$C,SUMPRODUCT(MAX(($A$2:$A$497=$P466)*ROW($A$2:$A$497))))&amp;" -&gt; "&amp;INDEX($D:$D,SUMPRODUCT(MAX(($A$2:$A$497=$P466)*ROW($A$2:$A$497))))))</f>
        <v xml:space="preserve"> -&gt; </v>
      </c>
    </row>
    <row r="467" spans="1:20">
      <c r="A467" s="31"/>
      <c r="B467" s="32"/>
      <c r="C467" s="31"/>
      <c r="D467" s="31"/>
      <c r="E467" s="31"/>
      <c r="F467" s="31"/>
      <c r="G467" s="31"/>
      <c r="H467" s="32"/>
      <c r="I467" s="32"/>
      <c r="J467" s="32"/>
      <c r="K467" s="31"/>
      <c r="L467" s="31"/>
      <c r="M467" s="3" t="str">
        <f t="shared" ca="1" si="24"/>
        <v/>
      </c>
      <c r="P467">
        <f>'Combined Delivery Data'!B497</f>
        <v>0</v>
      </c>
      <c r="Q467">
        <f t="shared" si="25"/>
        <v>0</v>
      </c>
      <c r="R467">
        <f t="shared" si="26"/>
        <v>452</v>
      </c>
      <c r="S467" s="28">
        <f>IF($P467="","",IF(SUMPRODUCT(MAX(($A$2:$A$497=$P467)*ROW($A$2:$A$497)))=0,"",INDEX($B:$B,SUMPRODUCT(MAX(($A$2:$A$497=$P467)*ROW($A$2:$A$497))))))</f>
        <v>0</v>
      </c>
      <c r="T467" t="str">
        <f>IF($P467="","",IF(SUMPRODUCT(MAX(($A$2:$A$497=$P467)*ROW($A$2:$A$497)))=0,"",INDEX($C:$C,SUMPRODUCT(MAX(($A$2:$A$497=$P467)*ROW($A$2:$A$497))))&amp;" -&gt; "&amp;INDEX($D:$D,SUMPRODUCT(MAX(($A$2:$A$497=$P467)*ROW($A$2:$A$497))))))</f>
        <v xml:space="preserve"> -&gt; </v>
      </c>
    </row>
    <row r="468" spans="1:20">
      <c r="A468" s="31"/>
      <c r="B468" s="32"/>
      <c r="C468" s="31"/>
      <c r="D468" s="31"/>
      <c r="E468" s="31"/>
      <c r="F468" s="31"/>
      <c r="G468" s="31"/>
      <c r="H468" s="32"/>
      <c r="I468" s="32"/>
      <c r="J468" s="32"/>
      <c r="K468" s="31"/>
      <c r="L468" s="31"/>
      <c r="M468" s="3" t="str">
        <f t="shared" ca="1" si="24"/>
        <v/>
      </c>
      <c r="P468">
        <f>'Combined Delivery Data'!B498</f>
        <v>0</v>
      </c>
      <c r="Q468">
        <f t="shared" si="25"/>
        <v>0</v>
      </c>
      <c r="R468">
        <f t="shared" si="26"/>
        <v>452</v>
      </c>
      <c r="S468" s="28">
        <f>IF($P468="","",IF(SUMPRODUCT(MAX(($A$2:$A$497=$P468)*ROW($A$2:$A$497)))=0,"",INDEX($B:$B,SUMPRODUCT(MAX(($A$2:$A$497=$P468)*ROW($A$2:$A$497))))))</f>
        <v>0</v>
      </c>
      <c r="T468" t="str">
        <f>IF($P468="","",IF(SUMPRODUCT(MAX(($A$2:$A$497=$P468)*ROW($A$2:$A$497)))=0,"",INDEX($C:$C,SUMPRODUCT(MAX(($A$2:$A$497=$P468)*ROW($A$2:$A$497))))&amp;" -&gt; "&amp;INDEX($D:$D,SUMPRODUCT(MAX(($A$2:$A$497=$P468)*ROW($A$2:$A$497))))))</f>
        <v xml:space="preserve"> -&gt; </v>
      </c>
    </row>
    <row r="469" spans="1:20">
      <c r="A469" s="31"/>
      <c r="B469" s="32"/>
      <c r="C469" s="31"/>
      <c r="D469" s="31"/>
      <c r="E469" s="31"/>
      <c r="F469" s="31"/>
      <c r="G469" s="31"/>
      <c r="H469" s="32"/>
      <c r="I469" s="32"/>
      <c r="J469" s="32"/>
      <c r="K469" s="31"/>
      <c r="L469" s="31"/>
      <c r="M469" s="3" t="str">
        <f t="shared" ca="1" si="24"/>
        <v/>
      </c>
      <c r="P469">
        <f>'Combined Delivery Data'!B499</f>
        <v>0</v>
      </c>
      <c r="Q469">
        <f t="shared" si="25"/>
        <v>0</v>
      </c>
      <c r="R469">
        <f t="shared" si="26"/>
        <v>452</v>
      </c>
      <c r="S469" s="28">
        <f>IF($P469="","",IF(SUMPRODUCT(MAX(($A$2:$A$497=$P469)*ROW($A$2:$A$497)))=0,"",INDEX($B:$B,SUMPRODUCT(MAX(($A$2:$A$497=$P469)*ROW($A$2:$A$497))))))</f>
        <v>0</v>
      </c>
      <c r="T469" t="str">
        <f>IF($P469="","",IF(SUMPRODUCT(MAX(($A$2:$A$497=$P469)*ROW($A$2:$A$497)))=0,"",INDEX($C:$C,SUMPRODUCT(MAX(($A$2:$A$497=$P469)*ROW($A$2:$A$497))))&amp;" -&gt; "&amp;INDEX($D:$D,SUMPRODUCT(MAX(($A$2:$A$497=$P469)*ROW($A$2:$A$497))))))</f>
        <v xml:space="preserve"> -&gt; </v>
      </c>
    </row>
    <row r="470" spans="1:20">
      <c r="A470" s="31"/>
      <c r="B470" s="32"/>
      <c r="C470" s="31"/>
      <c r="D470" s="31"/>
      <c r="E470" s="31"/>
      <c r="F470" s="31"/>
      <c r="G470" s="31"/>
      <c r="H470" s="32"/>
      <c r="I470" s="32"/>
      <c r="J470" s="32"/>
      <c r="K470" s="31"/>
      <c r="L470" s="31"/>
      <c r="M470" s="3" t="str">
        <f t="shared" ca="1" si="24"/>
        <v/>
      </c>
      <c r="P470">
        <f>'Combined Delivery Data'!B500</f>
        <v>0</v>
      </c>
      <c r="Q470">
        <f t="shared" si="25"/>
        <v>0</v>
      </c>
      <c r="R470">
        <f t="shared" si="26"/>
        <v>452</v>
      </c>
      <c r="S470" s="28">
        <f>IF($P470="","",IF(SUMPRODUCT(MAX(($A$2:$A$497=$P470)*ROW($A$2:$A$497)))=0,"",INDEX($B:$B,SUMPRODUCT(MAX(($A$2:$A$497=$P470)*ROW($A$2:$A$497))))))</f>
        <v>0</v>
      </c>
      <c r="T470" t="str">
        <f>IF($P470="","",IF(SUMPRODUCT(MAX(($A$2:$A$497=$P470)*ROW($A$2:$A$497)))=0,"",INDEX($C:$C,SUMPRODUCT(MAX(($A$2:$A$497=$P470)*ROW($A$2:$A$497))))&amp;" -&gt; "&amp;INDEX($D:$D,SUMPRODUCT(MAX(($A$2:$A$497=$P470)*ROW($A$2:$A$497))))))</f>
        <v xml:space="preserve"> -&gt; </v>
      </c>
    </row>
    <row r="471" spans="1:20">
      <c r="A471" s="31"/>
      <c r="B471" s="32"/>
      <c r="C471" s="31"/>
      <c r="D471" s="31"/>
      <c r="E471" s="31"/>
      <c r="F471" s="31"/>
      <c r="G471" s="31"/>
      <c r="H471" s="32"/>
      <c r="I471" s="32"/>
      <c r="J471" s="32"/>
      <c r="K471" s="31"/>
      <c r="L471" s="31"/>
      <c r="M471" s="3" t="str">
        <f t="shared" ca="1" si="24"/>
        <v/>
      </c>
      <c r="P471">
        <f>'Combined Delivery Data'!B501</f>
        <v>0</v>
      </c>
      <c r="Q471">
        <f t="shared" si="25"/>
        <v>0</v>
      </c>
      <c r="R471">
        <f t="shared" si="26"/>
        <v>452</v>
      </c>
      <c r="S471" s="28">
        <f>IF($P471="","",IF(SUMPRODUCT(MAX(($A$2:$A$497=$P471)*ROW($A$2:$A$497)))=0,"",INDEX($B:$B,SUMPRODUCT(MAX(($A$2:$A$497=$P471)*ROW($A$2:$A$497))))))</f>
        <v>0</v>
      </c>
      <c r="T471" t="str">
        <f>IF($P471="","",IF(SUMPRODUCT(MAX(($A$2:$A$497=$P471)*ROW($A$2:$A$497)))=0,"",INDEX($C:$C,SUMPRODUCT(MAX(($A$2:$A$497=$P471)*ROW($A$2:$A$497))))&amp;" -&gt; "&amp;INDEX($D:$D,SUMPRODUCT(MAX(($A$2:$A$497=$P471)*ROW($A$2:$A$497))))))</f>
        <v xml:space="preserve"> -&gt; </v>
      </c>
    </row>
    <row r="472" spans="1:20">
      <c r="A472" s="31"/>
      <c r="B472" s="32"/>
      <c r="C472" s="31"/>
      <c r="D472" s="31"/>
      <c r="E472" s="31"/>
      <c r="F472" s="31"/>
      <c r="G472" s="31"/>
      <c r="H472" s="32"/>
      <c r="I472" s="32"/>
      <c r="J472" s="32"/>
      <c r="K472" s="31"/>
      <c r="L472" s="31"/>
      <c r="M472" s="3" t="str">
        <f t="shared" ca="1" si="24"/>
        <v/>
      </c>
      <c r="P472">
        <f>'Combined Delivery Data'!B502</f>
        <v>0</v>
      </c>
      <c r="Q472">
        <f t="shared" si="25"/>
        <v>0</v>
      </c>
      <c r="R472">
        <f t="shared" si="26"/>
        <v>452</v>
      </c>
      <c r="S472" s="28">
        <f>IF($P472="","",IF(SUMPRODUCT(MAX(($A$2:$A$497=$P472)*ROW($A$2:$A$497)))=0,"",INDEX($B:$B,SUMPRODUCT(MAX(($A$2:$A$497=$P472)*ROW($A$2:$A$497))))))</f>
        <v>0</v>
      </c>
      <c r="T472" t="str">
        <f>IF($P472="","",IF(SUMPRODUCT(MAX(($A$2:$A$497=$P472)*ROW($A$2:$A$497)))=0,"",INDEX($C:$C,SUMPRODUCT(MAX(($A$2:$A$497=$P472)*ROW($A$2:$A$497))))&amp;" -&gt; "&amp;INDEX($D:$D,SUMPRODUCT(MAX(($A$2:$A$497=$P472)*ROW($A$2:$A$497))))))</f>
        <v xml:space="preserve"> -&gt; </v>
      </c>
    </row>
    <row r="473" spans="1:20">
      <c r="A473" s="31"/>
      <c r="B473" s="32"/>
      <c r="C473" s="31"/>
      <c r="D473" s="31"/>
      <c r="E473" s="31"/>
      <c r="F473" s="31"/>
      <c r="G473" s="31"/>
      <c r="H473" s="32"/>
      <c r="I473" s="32"/>
      <c r="J473" s="32"/>
      <c r="K473" s="31"/>
      <c r="L473" s="31"/>
      <c r="M473" s="3" t="str">
        <f t="shared" ca="1" si="24"/>
        <v/>
      </c>
      <c r="P473">
        <f>'Combined Delivery Data'!B503</f>
        <v>0</v>
      </c>
      <c r="Q473">
        <f t="shared" si="25"/>
        <v>0</v>
      </c>
      <c r="R473">
        <f t="shared" si="26"/>
        <v>452</v>
      </c>
      <c r="S473" s="28">
        <f>IF($P473="","",IF(SUMPRODUCT(MAX(($A$2:$A$497=$P473)*ROW($A$2:$A$497)))=0,"",INDEX($B:$B,SUMPRODUCT(MAX(($A$2:$A$497=$P473)*ROW($A$2:$A$497))))))</f>
        <v>0</v>
      </c>
      <c r="T473" t="str">
        <f>IF($P473="","",IF(SUMPRODUCT(MAX(($A$2:$A$497=$P473)*ROW($A$2:$A$497)))=0,"",INDEX($C:$C,SUMPRODUCT(MAX(($A$2:$A$497=$P473)*ROW($A$2:$A$497))))&amp;" -&gt; "&amp;INDEX($D:$D,SUMPRODUCT(MAX(($A$2:$A$497=$P473)*ROW($A$2:$A$497))))))</f>
        <v xml:space="preserve"> -&gt; </v>
      </c>
    </row>
    <row r="474" spans="1:20">
      <c r="A474" s="31"/>
      <c r="B474" s="32"/>
      <c r="C474" s="31"/>
      <c r="D474" s="31"/>
      <c r="E474" s="31"/>
      <c r="F474" s="31"/>
      <c r="G474" s="31"/>
      <c r="H474" s="32"/>
      <c r="I474" s="32"/>
      <c r="J474" s="32"/>
      <c r="K474" s="31"/>
      <c r="L474" s="31"/>
      <c r="M474" s="3" t="str">
        <f t="shared" ca="1" si="24"/>
        <v/>
      </c>
      <c r="P474">
        <f>'Combined Delivery Data'!B504</f>
        <v>0</v>
      </c>
      <c r="Q474">
        <f t="shared" si="25"/>
        <v>0</v>
      </c>
      <c r="R474">
        <f t="shared" si="26"/>
        <v>452</v>
      </c>
      <c r="S474" s="28">
        <f>IF($P474="","",IF(SUMPRODUCT(MAX(($A$2:$A$497=$P474)*ROW($A$2:$A$497)))=0,"",INDEX($B:$B,SUMPRODUCT(MAX(($A$2:$A$497=$P474)*ROW($A$2:$A$497))))))</f>
        <v>0</v>
      </c>
      <c r="T474" t="str">
        <f>IF($P474="","",IF(SUMPRODUCT(MAX(($A$2:$A$497=$P474)*ROW($A$2:$A$497)))=0,"",INDEX($C:$C,SUMPRODUCT(MAX(($A$2:$A$497=$P474)*ROW($A$2:$A$497))))&amp;" -&gt; "&amp;INDEX($D:$D,SUMPRODUCT(MAX(($A$2:$A$497=$P474)*ROW($A$2:$A$497))))))</f>
        <v xml:space="preserve"> -&gt; </v>
      </c>
    </row>
    <row r="475" spans="1:20">
      <c r="A475" s="31"/>
      <c r="B475" s="32"/>
      <c r="C475" s="31"/>
      <c r="D475" s="31"/>
      <c r="E475" s="31"/>
      <c r="F475" s="31"/>
      <c r="G475" s="31"/>
      <c r="H475" s="32"/>
      <c r="I475" s="32"/>
      <c r="J475" s="32"/>
      <c r="K475" s="31"/>
      <c r="L475" s="31"/>
      <c r="M475" s="3" t="str">
        <f t="shared" ca="1" si="24"/>
        <v/>
      </c>
      <c r="P475">
        <f>'Combined Delivery Data'!B505</f>
        <v>0</v>
      </c>
      <c r="Q475">
        <f t="shared" si="25"/>
        <v>0</v>
      </c>
      <c r="R475">
        <f t="shared" si="26"/>
        <v>452</v>
      </c>
      <c r="S475" s="28">
        <f>IF($P475="","",IF(SUMPRODUCT(MAX(($A$2:$A$497=$P475)*ROW($A$2:$A$497)))=0,"",INDEX($B:$B,SUMPRODUCT(MAX(($A$2:$A$497=$P475)*ROW($A$2:$A$497))))))</f>
        <v>0</v>
      </c>
      <c r="T475" t="str">
        <f>IF($P475="","",IF(SUMPRODUCT(MAX(($A$2:$A$497=$P475)*ROW($A$2:$A$497)))=0,"",INDEX($C:$C,SUMPRODUCT(MAX(($A$2:$A$497=$P475)*ROW($A$2:$A$497))))&amp;" -&gt; "&amp;INDEX($D:$D,SUMPRODUCT(MAX(($A$2:$A$497=$P475)*ROW($A$2:$A$497))))))</f>
        <v xml:space="preserve"> -&gt; </v>
      </c>
    </row>
    <row r="476" spans="1:20">
      <c r="A476" s="31"/>
      <c r="B476" s="32"/>
      <c r="C476" s="31"/>
      <c r="D476" s="31"/>
      <c r="E476" s="31"/>
      <c r="F476" s="31"/>
      <c r="G476" s="31"/>
      <c r="H476" s="32"/>
      <c r="I476" s="32"/>
      <c r="J476" s="32"/>
      <c r="K476" s="31"/>
      <c r="L476" s="31"/>
      <c r="M476" s="3" t="str">
        <f t="shared" ca="1" si="24"/>
        <v/>
      </c>
      <c r="P476">
        <f>'Combined Delivery Data'!B506</f>
        <v>0</v>
      </c>
      <c r="Q476">
        <f t="shared" si="25"/>
        <v>0</v>
      </c>
      <c r="R476">
        <f t="shared" si="26"/>
        <v>452</v>
      </c>
      <c r="S476" s="28">
        <f>IF($P476="","",IF(SUMPRODUCT(MAX(($A$2:$A$497=$P476)*ROW($A$2:$A$497)))=0,"",INDEX($B:$B,SUMPRODUCT(MAX(($A$2:$A$497=$P476)*ROW($A$2:$A$497))))))</f>
        <v>0</v>
      </c>
      <c r="T476" t="str">
        <f>IF($P476="","",IF(SUMPRODUCT(MAX(($A$2:$A$497=$P476)*ROW($A$2:$A$497)))=0,"",INDEX($C:$C,SUMPRODUCT(MAX(($A$2:$A$497=$P476)*ROW($A$2:$A$497))))&amp;" -&gt; "&amp;INDEX($D:$D,SUMPRODUCT(MAX(($A$2:$A$497=$P476)*ROW($A$2:$A$497))))))</f>
        <v xml:space="preserve"> -&gt; </v>
      </c>
    </row>
    <row r="477" spans="1:20">
      <c r="A477" s="31"/>
      <c r="B477" s="32"/>
      <c r="C477" s="31"/>
      <c r="D477" s="31"/>
      <c r="E477" s="31"/>
      <c r="F477" s="31"/>
      <c r="G477" s="31"/>
      <c r="H477" s="32"/>
      <c r="I477" s="32"/>
      <c r="J477" s="32"/>
      <c r="K477" s="31"/>
      <c r="L477" s="31"/>
      <c r="M477" s="3" t="str">
        <f t="shared" ca="1" si="24"/>
        <v/>
      </c>
      <c r="P477">
        <f>'Combined Delivery Data'!B507</f>
        <v>0</v>
      </c>
      <c r="Q477">
        <f t="shared" si="25"/>
        <v>0</v>
      </c>
      <c r="R477">
        <f t="shared" si="26"/>
        <v>452</v>
      </c>
      <c r="S477" s="28">
        <f>IF($P477="","",IF(SUMPRODUCT(MAX(($A$2:$A$497=$P477)*ROW($A$2:$A$497)))=0,"",INDEX($B:$B,SUMPRODUCT(MAX(($A$2:$A$497=$P477)*ROW($A$2:$A$497))))))</f>
        <v>0</v>
      </c>
      <c r="T477" t="str">
        <f>IF($P477="","",IF(SUMPRODUCT(MAX(($A$2:$A$497=$P477)*ROW($A$2:$A$497)))=0,"",INDEX($C:$C,SUMPRODUCT(MAX(($A$2:$A$497=$P477)*ROW($A$2:$A$497))))&amp;" -&gt; "&amp;INDEX($D:$D,SUMPRODUCT(MAX(($A$2:$A$497=$P477)*ROW($A$2:$A$497))))))</f>
        <v xml:space="preserve"> -&gt; </v>
      </c>
    </row>
    <row r="478" spans="1:20">
      <c r="A478" s="31"/>
      <c r="B478" s="32"/>
      <c r="C478" s="31"/>
      <c r="D478" s="31"/>
      <c r="E478" s="31"/>
      <c r="F478" s="31"/>
      <c r="G478" s="31"/>
      <c r="H478" s="32"/>
      <c r="I478" s="32"/>
      <c r="J478" s="32"/>
      <c r="K478" s="31"/>
      <c r="L478" s="31"/>
      <c r="M478" s="3" t="str">
        <f t="shared" ca="1" si="24"/>
        <v/>
      </c>
      <c r="P478">
        <f>'Combined Delivery Data'!B508</f>
        <v>0</v>
      </c>
      <c r="Q478">
        <f t="shared" si="25"/>
        <v>0</v>
      </c>
      <c r="R478">
        <f t="shared" si="26"/>
        <v>452</v>
      </c>
      <c r="S478" s="28">
        <f>IF($P478="","",IF(SUMPRODUCT(MAX(($A$2:$A$497=$P478)*ROW($A$2:$A$497)))=0,"",INDEX($B:$B,SUMPRODUCT(MAX(($A$2:$A$497=$P478)*ROW($A$2:$A$497))))))</f>
        <v>0</v>
      </c>
      <c r="T478" t="str">
        <f>IF($P478="","",IF(SUMPRODUCT(MAX(($A$2:$A$497=$P478)*ROW($A$2:$A$497)))=0,"",INDEX($C:$C,SUMPRODUCT(MAX(($A$2:$A$497=$P478)*ROW($A$2:$A$497))))&amp;" -&gt; "&amp;INDEX($D:$D,SUMPRODUCT(MAX(($A$2:$A$497=$P478)*ROW($A$2:$A$497))))))</f>
        <v xml:space="preserve"> -&gt; </v>
      </c>
    </row>
    <row r="479" spans="1:20">
      <c r="A479" s="31"/>
      <c r="B479" s="32"/>
      <c r="C479" s="31"/>
      <c r="D479" s="31"/>
      <c r="E479" s="31"/>
      <c r="F479" s="31"/>
      <c r="G479" s="31"/>
      <c r="H479" s="32"/>
      <c r="I479" s="32"/>
      <c r="J479" s="32"/>
      <c r="K479" s="31"/>
      <c r="L479" s="31"/>
      <c r="M479" s="3" t="str">
        <f t="shared" ca="1" si="24"/>
        <v/>
      </c>
      <c r="P479">
        <f>'Combined Delivery Data'!B509</f>
        <v>0</v>
      </c>
      <c r="Q479">
        <f t="shared" si="25"/>
        <v>0</v>
      </c>
      <c r="R479">
        <f t="shared" si="26"/>
        <v>452</v>
      </c>
      <c r="S479" s="28">
        <f>IF($P479="","",IF(SUMPRODUCT(MAX(($A$2:$A$497=$P479)*ROW($A$2:$A$497)))=0,"",INDEX($B:$B,SUMPRODUCT(MAX(($A$2:$A$497=$P479)*ROW($A$2:$A$497))))))</f>
        <v>0</v>
      </c>
      <c r="T479" t="str">
        <f>IF($P479="","",IF(SUMPRODUCT(MAX(($A$2:$A$497=$P479)*ROW($A$2:$A$497)))=0,"",INDEX($C:$C,SUMPRODUCT(MAX(($A$2:$A$497=$P479)*ROW($A$2:$A$497))))&amp;" -&gt; "&amp;INDEX($D:$D,SUMPRODUCT(MAX(($A$2:$A$497=$P479)*ROW($A$2:$A$497))))))</f>
        <v xml:space="preserve"> -&gt; </v>
      </c>
    </row>
    <row r="480" spans="1:20">
      <c r="A480" s="31"/>
      <c r="B480" s="32"/>
      <c r="C480" s="31"/>
      <c r="D480" s="31"/>
      <c r="E480" s="31"/>
      <c r="F480" s="31"/>
      <c r="G480" s="31"/>
      <c r="H480" s="32"/>
      <c r="I480" s="32"/>
      <c r="J480" s="32"/>
      <c r="K480" s="31"/>
      <c r="L480" s="31"/>
      <c r="M480" s="3" t="str">
        <f t="shared" ca="1" si="24"/>
        <v/>
      </c>
      <c r="P480">
        <f>'Combined Delivery Data'!B510</f>
        <v>0</v>
      </c>
      <c r="Q480">
        <f t="shared" si="25"/>
        <v>0</v>
      </c>
      <c r="R480">
        <f t="shared" si="26"/>
        <v>452</v>
      </c>
      <c r="S480" s="28">
        <f>IF($P480="","",IF(SUMPRODUCT(MAX(($A$2:$A$497=$P480)*ROW($A$2:$A$497)))=0,"",INDEX($B:$B,SUMPRODUCT(MAX(($A$2:$A$497=$P480)*ROW($A$2:$A$497))))))</f>
        <v>0</v>
      </c>
      <c r="T480" t="str">
        <f>IF($P480="","",IF(SUMPRODUCT(MAX(($A$2:$A$497=$P480)*ROW($A$2:$A$497)))=0,"",INDEX($C:$C,SUMPRODUCT(MAX(($A$2:$A$497=$P480)*ROW($A$2:$A$497))))&amp;" -&gt; "&amp;INDEX($D:$D,SUMPRODUCT(MAX(($A$2:$A$497=$P480)*ROW($A$2:$A$497))))))</f>
        <v xml:space="preserve"> -&gt; </v>
      </c>
    </row>
    <row r="481" spans="1:20">
      <c r="A481" s="31"/>
      <c r="B481" s="32"/>
      <c r="C481" s="31"/>
      <c r="D481" s="31"/>
      <c r="E481" s="31"/>
      <c r="F481" s="31"/>
      <c r="G481" s="31"/>
      <c r="H481" s="32"/>
      <c r="I481" s="32"/>
      <c r="J481" s="32"/>
      <c r="K481" s="31"/>
      <c r="L481" s="31"/>
      <c r="M481" s="3" t="str">
        <f t="shared" ca="1" si="24"/>
        <v/>
      </c>
      <c r="P481">
        <f>'Combined Delivery Data'!B511</f>
        <v>0</v>
      </c>
      <c r="Q481">
        <f t="shared" si="25"/>
        <v>0</v>
      </c>
      <c r="R481">
        <f t="shared" si="26"/>
        <v>452</v>
      </c>
      <c r="S481" s="28">
        <f>IF($P481="","",IF(SUMPRODUCT(MAX(($A$2:$A$497=$P481)*ROW($A$2:$A$497)))=0,"",INDEX($B:$B,SUMPRODUCT(MAX(($A$2:$A$497=$P481)*ROW($A$2:$A$497))))))</f>
        <v>0</v>
      </c>
      <c r="T481" t="str">
        <f>IF($P481="","",IF(SUMPRODUCT(MAX(($A$2:$A$497=$P481)*ROW($A$2:$A$497)))=0,"",INDEX($C:$C,SUMPRODUCT(MAX(($A$2:$A$497=$P481)*ROW($A$2:$A$497))))&amp;" -&gt; "&amp;INDEX($D:$D,SUMPRODUCT(MAX(($A$2:$A$497=$P481)*ROW($A$2:$A$497))))))</f>
        <v xml:space="preserve"> -&gt; </v>
      </c>
    </row>
    <row r="482" spans="1:20">
      <c r="A482" s="31"/>
      <c r="B482" s="32"/>
      <c r="C482" s="31"/>
      <c r="D482" s="31"/>
      <c r="E482" s="31"/>
      <c r="F482" s="31"/>
      <c r="G482" s="31"/>
      <c r="H482" s="32"/>
      <c r="I482" s="32"/>
      <c r="J482" s="32"/>
      <c r="K482" s="31"/>
      <c r="L482" s="31"/>
      <c r="M482" s="3" t="str">
        <f t="shared" ca="1" si="24"/>
        <v/>
      </c>
      <c r="P482">
        <f>'Combined Delivery Data'!B512</f>
        <v>0</v>
      </c>
      <c r="Q482">
        <f t="shared" si="25"/>
        <v>0</v>
      </c>
      <c r="R482">
        <f t="shared" si="26"/>
        <v>452</v>
      </c>
      <c r="S482" s="28">
        <f>IF($P482="","",IF(SUMPRODUCT(MAX(($A$2:$A$497=$P482)*ROW($A$2:$A$497)))=0,"",INDEX($B:$B,SUMPRODUCT(MAX(($A$2:$A$497=$P482)*ROW($A$2:$A$497))))))</f>
        <v>0</v>
      </c>
      <c r="T482" t="str">
        <f>IF($P482="","",IF(SUMPRODUCT(MAX(($A$2:$A$497=$P482)*ROW($A$2:$A$497)))=0,"",INDEX($C:$C,SUMPRODUCT(MAX(($A$2:$A$497=$P482)*ROW($A$2:$A$497))))&amp;" -&gt; "&amp;INDEX($D:$D,SUMPRODUCT(MAX(($A$2:$A$497=$P482)*ROW($A$2:$A$497))))))</f>
        <v xml:space="preserve"> -&gt; </v>
      </c>
    </row>
    <row r="483" spans="1:20">
      <c r="A483" s="31"/>
      <c r="B483" s="32"/>
      <c r="C483" s="31"/>
      <c r="D483" s="31"/>
      <c r="E483" s="31"/>
      <c r="F483" s="31"/>
      <c r="G483" s="31"/>
      <c r="H483" s="32"/>
      <c r="I483" s="32"/>
      <c r="J483" s="32"/>
      <c r="K483" s="31"/>
      <c r="L483" s="31"/>
      <c r="M483" s="3" t="str">
        <f t="shared" ca="1" si="24"/>
        <v/>
      </c>
      <c r="P483">
        <f>'Combined Delivery Data'!B513</f>
        <v>0</v>
      </c>
      <c r="Q483">
        <f t="shared" si="25"/>
        <v>0</v>
      </c>
      <c r="R483">
        <f t="shared" si="26"/>
        <v>452</v>
      </c>
      <c r="S483" s="28">
        <f>IF($P483="","",IF(SUMPRODUCT(MAX(($A$2:$A$497=$P483)*ROW($A$2:$A$497)))=0,"",INDEX($B:$B,SUMPRODUCT(MAX(($A$2:$A$497=$P483)*ROW($A$2:$A$497))))))</f>
        <v>0</v>
      </c>
      <c r="T483" t="str">
        <f>IF($P483="","",IF(SUMPRODUCT(MAX(($A$2:$A$497=$P483)*ROW($A$2:$A$497)))=0,"",INDEX($C:$C,SUMPRODUCT(MAX(($A$2:$A$497=$P483)*ROW($A$2:$A$497))))&amp;" -&gt; "&amp;INDEX($D:$D,SUMPRODUCT(MAX(($A$2:$A$497=$P483)*ROW($A$2:$A$497))))))</f>
        <v xml:space="preserve"> -&gt; </v>
      </c>
    </row>
    <row r="484" spans="1:20">
      <c r="A484" s="31"/>
      <c r="B484" s="32"/>
      <c r="C484" s="31"/>
      <c r="D484" s="31"/>
      <c r="E484" s="31"/>
      <c r="F484" s="31"/>
      <c r="G484" s="31"/>
      <c r="H484" s="32"/>
      <c r="I484" s="32"/>
      <c r="J484" s="32"/>
      <c r="K484" s="31"/>
      <c r="L484" s="31"/>
      <c r="M484" s="3" t="str">
        <f t="shared" ca="1" si="24"/>
        <v/>
      </c>
      <c r="P484">
        <f>'Combined Delivery Data'!B514</f>
        <v>0</v>
      </c>
      <c r="Q484">
        <f t="shared" si="25"/>
        <v>0</v>
      </c>
      <c r="R484">
        <f t="shared" si="26"/>
        <v>452</v>
      </c>
      <c r="S484" s="28">
        <f>IF($P484="","",IF(SUMPRODUCT(MAX(($A$2:$A$497=$P484)*ROW($A$2:$A$497)))=0,"",INDEX($B:$B,SUMPRODUCT(MAX(($A$2:$A$497=$P484)*ROW($A$2:$A$497))))))</f>
        <v>0</v>
      </c>
      <c r="T484" t="str">
        <f>IF($P484="","",IF(SUMPRODUCT(MAX(($A$2:$A$497=$P484)*ROW($A$2:$A$497)))=0,"",INDEX($C:$C,SUMPRODUCT(MAX(($A$2:$A$497=$P484)*ROW($A$2:$A$497))))&amp;" -&gt; "&amp;INDEX($D:$D,SUMPRODUCT(MAX(($A$2:$A$497=$P484)*ROW($A$2:$A$497))))))</f>
        <v xml:space="preserve"> -&gt; </v>
      </c>
    </row>
    <row r="485" spans="1:20">
      <c r="A485" s="31"/>
      <c r="B485" s="32"/>
      <c r="C485" s="31"/>
      <c r="D485" s="31"/>
      <c r="E485" s="31"/>
      <c r="F485" s="31"/>
      <c r="G485" s="31"/>
      <c r="H485" s="32"/>
      <c r="I485" s="32"/>
      <c r="J485" s="32"/>
      <c r="K485" s="31"/>
      <c r="L485" s="31"/>
      <c r="M485" s="3" t="str">
        <f t="shared" ca="1" si="24"/>
        <v/>
      </c>
      <c r="P485">
        <f>'Combined Delivery Data'!B515</f>
        <v>0</v>
      </c>
      <c r="Q485">
        <f t="shared" si="25"/>
        <v>0</v>
      </c>
      <c r="R485">
        <f t="shared" si="26"/>
        <v>452</v>
      </c>
      <c r="S485" s="28">
        <f>IF($P485="","",IF(SUMPRODUCT(MAX(($A$2:$A$497=$P485)*ROW($A$2:$A$497)))=0,"",INDEX($B:$B,SUMPRODUCT(MAX(($A$2:$A$497=$P485)*ROW($A$2:$A$497))))))</f>
        <v>0</v>
      </c>
      <c r="T485" t="str">
        <f>IF($P485="","",IF(SUMPRODUCT(MAX(($A$2:$A$497=$P485)*ROW($A$2:$A$497)))=0,"",INDEX($C:$C,SUMPRODUCT(MAX(($A$2:$A$497=$P485)*ROW($A$2:$A$497))))&amp;" -&gt; "&amp;INDEX($D:$D,SUMPRODUCT(MAX(($A$2:$A$497=$P485)*ROW($A$2:$A$497))))))</f>
        <v xml:space="preserve"> -&gt; </v>
      </c>
    </row>
    <row r="486" spans="1:20">
      <c r="A486" s="31"/>
      <c r="B486" s="32"/>
      <c r="C486" s="31"/>
      <c r="D486" s="31"/>
      <c r="E486" s="31"/>
      <c r="F486" s="31"/>
      <c r="G486" s="31"/>
      <c r="H486" s="32"/>
      <c r="I486" s="32"/>
      <c r="J486" s="32"/>
      <c r="K486" s="31"/>
      <c r="L486" s="31"/>
      <c r="M486" s="3" t="str">
        <f t="shared" ca="1" si="24"/>
        <v/>
      </c>
      <c r="P486">
        <f>'Combined Delivery Data'!B516</f>
        <v>0</v>
      </c>
      <c r="Q486">
        <f t="shared" si="25"/>
        <v>0</v>
      </c>
      <c r="R486">
        <f t="shared" si="26"/>
        <v>452</v>
      </c>
      <c r="S486" s="28">
        <f>IF($P486="","",IF(SUMPRODUCT(MAX(($A$2:$A$497=$P486)*ROW($A$2:$A$497)))=0,"",INDEX($B:$B,SUMPRODUCT(MAX(($A$2:$A$497=$P486)*ROW($A$2:$A$497))))))</f>
        <v>0</v>
      </c>
      <c r="T486" t="str">
        <f>IF($P486="","",IF(SUMPRODUCT(MAX(($A$2:$A$497=$P486)*ROW($A$2:$A$497)))=0,"",INDEX($C:$C,SUMPRODUCT(MAX(($A$2:$A$497=$P486)*ROW($A$2:$A$497))))&amp;" -&gt; "&amp;INDEX($D:$D,SUMPRODUCT(MAX(($A$2:$A$497=$P486)*ROW($A$2:$A$497))))))</f>
        <v xml:space="preserve"> -&gt; </v>
      </c>
    </row>
    <row r="487" spans="1:20">
      <c r="A487" s="31"/>
      <c r="B487" s="32"/>
      <c r="C487" s="31"/>
      <c r="D487" s="31"/>
      <c r="E487" s="31"/>
      <c r="F487" s="31"/>
      <c r="G487" s="31"/>
      <c r="H487" s="32"/>
      <c r="I487" s="32"/>
      <c r="J487" s="32"/>
      <c r="K487" s="31"/>
      <c r="L487" s="31"/>
      <c r="M487" s="3" t="str">
        <f t="shared" ca="1" si="24"/>
        <v/>
      </c>
      <c r="P487">
        <f>'Combined Delivery Data'!B517</f>
        <v>0</v>
      </c>
      <c r="Q487">
        <f t="shared" si="25"/>
        <v>0</v>
      </c>
      <c r="R487">
        <f t="shared" si="26"/>
        <v>452</v>
      </c>
      <c r="S487" s="28">
        <f>IF($P487="","",IF(SUMPRODUCT(MAX(($A$2:$A$497=$P487)*ROW($A$2:$A$497)))=0,"",INDEX($B:$B,SUMPRODUCT(MAX(($A$2:$A$497=$P487)*ROW($A$2:$A$497))))))</f>
        <v>0</v>
      </c>
      <c r="T487" t="str">
        <f>IF($P487="","",IF(SUMPRODUCT(MAX(($A$2:$A$497=$P487)*ROW($A$2:$A$497)))=0,"",INDEX($C:$C,SUMPRODUCT(MAX(($A$2:$A$497=$P487)*ROW($A$2:$A$497))))&amp;" -&gt; "&amp;INDEX($D:$D,SUMPRODUCT(MAX(($A$2:$A$497=$P487)*ROW($A$2:$A$497))))))</f>
        <v xml:space="preserve"> -&gt; </v>
      </c>
    </row>
    <row r="488" spans="1:20">
      <c r="A488" s="31"/>
      <c r="B488" s="32"/>
      <c r="C488" s="31"/>
      <c r="D488" s="31"/>
      <c r="E488" s="31"/>
      <c r="F488" s="31"/>
      <c r="G488" s="31"/>
      <c r="H488" s="32"/>
      <c r="I488" s="32"/>
      <c r="J488" s="32"/>
      <c r="K488" s="31"/>
      <c r="L488" s="31"/>
      <c r="M488" s="3" t="str">
        <f t="shared" ca="1" si="24"/>
        <v/>
      </c>
      <c r="P488">
        <f>'Combined Delivery Data'!B518</f>
        <v>0</v>
      </c>
      <c r="Q488">
        <f t="shared" si="25"/>
        <v>0</v>
      </c>
      <c r="R488">
        <f t="shared" si="26"/>
        <v>452</v>
      </c>
      <c r="S488" s="28">
        <f>IF($P488="","",IF(SUMPRODUCT(MAX(($A$2:$A$497=$P488)*ROW($A$2:$A$497)))=0,"",INDEX($B:$B,SUMPRODUCT(MAX(($A$2:$A$497=$P488)*ROW($A$2:$A$497))))))</f>
        <v>0</v>
      </c>
      <c r="T488" t="str">
        <f>IF($P488="","",IF(SUMPRODUCT(MAX(($A$2:$A$497=$P488)*ROW($A$2:$A$497)))=0,"",INDEX($C:$C,SUMPRODUCT(MAX(($A$2:$A$497=$P488)*ROW($A$2:$A$497))))&amp;" -&gt; "&amp;INDEX($D:$D,SUMPRODUCT(MAX(($A$2:$A$497=$P488)*ROW($A$2:$A$497))))))</f>
        <v xml:space="preserve"> -&gt; </v>
      </c>
    </row>
    <row r="489" spans="1:20">
      <c r="A489" s="31"/>
      <c r="B489" s="32"/>
      <c r="C489" s="31"/>
      <c r="D489" s="31"/>
      <c r="E489" s="31"/>
      <c r="F489" s="31"/>
      <c r="G489" s="31"/>
      <c r="H489" s="32"/>
      <c r="I489" s="32"/>
      <c r="J489" s="32"/>
      <c r="K489" s="31"/>
      <c r="L489" s="31"/>
      <c r="M489" s="3" t="str">
        <f t="shared" ca="1" si="24"/>
        <v/>
      </c>
      <c r="P489">
        <f>'Combined Delivery Data'!B519</f>
        <v>0</v>
      </c>
      <c r="Q489">
        <f t="shared" si="25"/>
        <v>0</v>
      </c>
      <c r="R489">
        <f t="shared" si="26"/>
        <v>452</v>
      </c>
      <c r="S489" s="28">
        <f>IF($P489="","",IF(SUMPRODUCT(MAX(($A$2:$A$497=$P489)*ROW($A$2:$A$497)))=0,"",INDEX($B:$B,SUMPRODUCT(MAX(($A$2:$A$497=$P489)*ROW($A$2:$A$497))))))</f>
        <v>0</v>
      </c>
      <c r="T489" t="str">
        <f>IF($P489="","",IF(SUMPRODUCT(MAX(($A$2:$A$497=$P489)*ROW($A$2:$A$497)))=0,"",INDEX($C:$C,SUMPRODUCT(MAX(($A$2:$A$497=$P489)*ROW($A$2:$A$497))))&amp;" -&gt; "&amp;INDEX($D:$D,SUMPRODUCT(MAX(($A$2:$A$497=$P489)*ROW($A$2:$A$497))))))</f>
        <v xml:space="preserve"> -&gt; </v>
      </c>
    </row>
    <row r="490" spans="1:20">
      <c r="A490" s="31"/>
      <c r="B490" s="32"/>
      <c r="C490" s="31"/>
      <c r="D490" s="31"/>
      <c r="E490" s="31"/>
      <c r="F490" s="31"/>
      <c r="G490" s="31"/>
      <c r="H490" s="32"/>
      <c r="I490" s="32"/>
      <c r="J490" s="32"/>
      <c r="K490" s="31"/>
      <c r="L490" s="31"/>
      <c r="M490" s="3" t="str">
        <f t="shared" ca="1" si="24"/>
        <v/>
      </c>
      <c r="P490">
        <f>'Combined Delivery Data'!B520</f>
        <v>0</v>
      </c>
      <c r="Q490">
        <f t="shared" si="25"/>
        <v>0</v>
      </c>
      <c r="R490">
        <f t="shared" si="26"/>
        <v>452</v>
      </c>
      <c r="S490" s="28">
        <f>IF($P490="","",IF(SUMPRODUCT(MAX(($A$2:$A$497=$P490)*ROW($A$2:$A$497)))=0,"",INDEX($B:$B,SUMPRODUCT(MAX(($A$2:$A$497=$P490)*ROW($A$2:$A$497))))))</f>
        <v>0</v>
      </c>
      <c r="T490" t="str">
        <f>IF($P490="","",IF(SUMPRODUCT(MAX(($A$2:$A$497=$P490)*ROW($A$2:$A$497)))=0,"",INDEX($C:$C,SUMPRODUCT(MAX(($A$2:$A$497=$P490)*ROW($A$2:$A$497))))&amp;" -&gt; "&amp;INDEX($D:$D,SUMPRODUCT(MAX(($A$2:$A$497=$P490)*ROW($A$2:$A$497))))))</f>
        <v xml:space="preserve"> -&gt; </v>
      </c>
    </row>
    <row r="491" spans="1:20">
      <c r="A491" s="31"/>
      <c r="B491" s="32"/>
      <c r="C491" s="31"/>
      <c r="D491" s="31"/>
      <c r="E491" s="31"/>
      <c r="F491" s="31"/>
      <c r="G491" s="31"/>
      <c r="H491" s="32"/>
      <c r="I491" s="32"/>
      <c r="J491" s="32"/>
      <c r="K491" s="31"/>
      <c r="L491" s="31"/>
      <c r="M491" s="3" t="str">
        <f t="shared" ca="1" si="24"/>
        <v/>
      </c>
      <c r="P491">
        <f>'Combined Delivery Data'!B521</f>
        <v>0</v>
      </c>
      <c r="Q491">
        <f t="shared" si="25"/>
        <v>0</v>
      </c>
      <c r="R491">
        <f t="shared" si="26"/>
        <v>452</v>
      </c>
      <c r="S491" s="28">
        <f>IF($P491="","",IF(SUMPRODUCT(MAX(($A$2:$A$497=$P491)*ROW($A$2:$A$497)))=0,"",INDEX($B:$B,SUMPRODUCT(MAX(($A$2:$A$497=$P491)*ROW($A$2:$A$497))))))</f>
        <v>0</v>
      </c>
      <c r="T491" t="str">
        <f>IF($P491="","",IF(SUMPRODUCT(MAX(($A$2:$A$497=$P491)*ROW($A$2:$A$497)))=0,"",INDEX($C:$C,SUMPRODUCT(MAX(($A$2:$A$497=$P491)*ROW($A$2:$A$497))))&amp;" -&gt; "&amp;INDEX($D:$D,SUMPRODUCT(MAX(($A$2:$A$497=$P491)*ROW($A$2:$A$497))))))</f>
        <v xml:space="preserve"> -&gt; </v>
      </c>
    </row>
    <row r="492" spans="1:20">
      <c r="A492" s="31"/>
      <c r="B492" s="32"/>
      <c r="C492" s="31"/>
      <c r="D492" s="31"/>
      <c r="E492" s="31"/>
      <c r="F492" s="31"/>
      <c r="G492" s="31"/>
      <c r="H492" s="32"/>
      <c r="I492" s="32"/>
      <c r="J492" s="32"/>
      <c r="K492" s="31"/>
      <c r="L492" s="31"/>
      <c r="M492" s="3" t="str">
        <f t="shared" ca="1" si="24"/>
        <v/>
      </c>
      <c r="P492">
        <f>'Combined Delivery Data'!B522</f>
        <v>0</v>
      </c>
      <c r="Q492">
        <f t="shared" si="25"/>
        <v>0</v>
      </c>
      <c r="R492">
        <f t="shared" si="26"/>
        <v>452</v>
      </c>
      <c r="S492" s="28">
        <f>IF($P492="","",IF(SUMPRODUCT(MAX(($A$2:$A$497=$P492)*ROW($A$2:$A$497)))=0,"",INDEX($B:$B,SUMPRODUCT(MAX(($A$2:$A$497=$P492)*ROW($A$2:$A$497))))))</f>
        <v>0</v>
      </c>
      <c r="T492" t="str">
        <f>IF($P492="","",IF(SUMPRODUCT(MAX(($A$2:$A$497=$P492)*ROW($A$2:$A$497)))=0,"",INDEX($C:$C,SUMPRODUCT(MAX(($A$2:$A$497=$P492)*ROW($A$2:$A$497))))&amp;" -&gt; "&amp;INDEX($D:$D,SUMPRODUCT(MAX(($A$2:$A$497=$P492)*ROW($A$2:$A$497))))))</f>
        <v xml:space="preserve"> -&gt; </v>
      </c>
    </row>
    <row r="493" spans="1:20">
      <c r="A493" s="31"/>
      <c r="B493" s="32"/>
      <c r="C493" s="31"/>
      <c r="D493" s="31"/>
      <c r="E493" s="31"/>
      <c r="F493" s="31"/>
      <c r="G493" s="31"/>
      <c r="H493" s="32"/>
      <c r="I493" s="32"/>
      <c r="J493" s="32"/>
      <c r="K493" s="31"/>
      <c r="L493" s="31"/>
      <c r="M493" s="3" t="str">
        <f t="shared" ca="1" si="24"/>
        <v/>
      </c>
      <c r="P493">
        <f>'Combined Delivery Data'!B523</f>
        <v>0</v>
      </c>
      <c r="Q493">
        <f t="shared" si="25"/>
        <v>0</v>
      </c>
      <c r="R493">
        <f t="shared" si="26"/>
        <v>452</v>
      </c>
      <c r="S493" s="28">
        <f>IF($P493="","",IF(SUMPRODUCT(MAX(($A$2:$A$497=$P493)*ROW($A$2:$A$497)))=0,"",INDEX($B:$B,SUMPRODUCT(MAX(($A$2:$A$497=$P493)*ROW($A$2:$A$497))))))</f>
        <v>0</v>
      </c>
      <c r="T493" t="str">
        <f>IF($P493="","",IF(SUMPRODUCT(MAX(($A$2:$A$497=$P493)*ROW($A$2:$A$497)))=0,"",INDEX($C:$C,SUMPRODUCT(MAX(($A$2:$A$497=$P493)*ROW($A$2:$A$497))))&amp;" -&gt; "&amp;INDEX($D:$D,SUMPRODUCT(MAX(($A$2:$A$497=$P493)*ROW($A$2:$A$497))))))</f>
        <v xml:space="preserve"> -&gt; </v>
      </c>
    </row>
    <row r="494" spans="1:20">
      <c r="A494" s="31"/>
      <c r="B494" s="32"/>
      <c r="C494" s="31"/>
      <c r="D494" s="31"/>
      <c r="E494" s="31"/>
      <c r="F494" s="31"/>
      <c r="G494" s="31"/>
      <c r="H494" s="32"/>
      <c r="I494" s="32"/>
      <c r="J494" s="32"/>
      <c r="K494" s="31"/>
      <c r="L494" s="31"/>
      <c r="M494" s="3" t="str">
        <f t="shared" ca="1" si="24"/>
        <v/>
      </c>
      <c r="P494">
        <f>'Combined Delivery Data'!B524</f>
        <v>0</v>
      </c>
      <c r="Q494">
        <f t="shared" si="25"/>
        <v>0</v>
      </c>
      <c r="R494">
        <f t="shared" si="26"/>
        <v>452</v>
      </c>
      <c r="S494" s="28">
        <f>IF($P494="","",IF(SUMPRODUCT(MAX(($A$2:$A$497=$P494)*ROW($A$2:$A$497)))=0,"",INDEX($B:$B,SUMPRODUCT(MAX(($A$2:$A$497=$P494)*ROW($A$2:$A$497))))))</f>
        <v>0</v>
      </c>
      <c r="T494" t="str">
        <f>IF($P494="","",IF(SUMPRODUCT(MAX(($A$2:$A$497=$P494)*ROW($A$2:$A$497)))=0,"",INDEX($C:$C,SUMPRODUCT(MAX(($A$2:$A$497=$P494)*ROW($A$2:$A$497))))&amp;" -&gt; "&amp;INDEX($D:$D,SUMPRODUCT(MAX(($A$2:$A$497=$P494)*ROW($A$2:$A$497))))))</f>
        <v xml:space="preserve"> -&gt; </v>
      </c>
    </row>
    <row r="495" spans="1:20">
      <c r="A495" s="31"/>
      <c r="B495" s="32"/>
      <c r="C495" s="31"/>
      <c r="D495" s="31"/>
      <c r="E495" s="31"/>
      <c r="F495" s="31"/>
      <c r="G495" s="31"/>
      <c r="H495" s="32"/>
      <c r="I495" s="32"/>
      <c r="J495" s="32"/>
      <c r="K495" s="31"/>
      <c r="L495" s="31"/>
      <c r="M495" s="3" t="str">
        <f t="shared" ca="1" si="24"/>
        <v/>
      </c>
      <c r="P495">
        <f>'Combined Delivery Data'!B525</f>
        <v>0</v>
      </c>
      <c r="Q495">
        <f t="shared" si="25"/>
        <v>0</v>
      </c>
      <c r="R495">
        <f t="shared" si="26"/>
        <v>452</v>
      </c>
      <c r="S495" s="28">
        <f>IF($P495="","",IF(SUMPRODUCT(MAX(($A$2:$A$497=$P495)*ROW($A$2:$A$497)))=0,"",INDEX($B:$B,SUMPRODUCT(MAX(($A$2:$A$497=$P495)*ROW($A$2:$A$497))))))</f>
        <v>0</v>
      </c>
      <c r="T495" t="str">
        <f>IF($P495="","",IF(SUMPRODUCT(MAX(($A$2:$A$497=$P495)*ROW($A$2:$A$497)))=0,"",INDEX($C:$C,SUMPRODUCT(MAX(($A$2:$A$497=$P495)*ROW($A$2:$A$497))))&amp;" -&gt; "&amp;INDEX($D:$D,SUMPRODUCT(MAX(($A$2:$A$497=$P495)*ROW($A$2:$A$497))))))</f>
        <v xml:space="preserve"> -&gt; </v>
      </c>
    </row>
    <row r="496" spans="1:20">
      <c r="A496" s="31"/>
      <c r="B496" s="32"/>
      <c r="C496" s="31"/>
      <c r="D496" s="31"/>
      <c r="E496" s="31"/>
      <c r="F496" s="31"/>
      <c r="G496" s="31"/>
      <c r="H496" s="32"/>
      <c r="I496" s="32"/>
      <c r="J496" s="32"/>
      <c r="K496" s="31"/>
      <c r="L496" s="31"/>
      <c r="M496" s="3" t="str">
        <f t="shared" ca="1" si="24"/>
        <v/>
      </c>
      <c r="P496">
        <f>'Combined Delivery Data'!B526</f>
        <v>0</v>
      </c>
      <c r="Q496">
        <f t="shared" si="25"/>
        <v>0</v>
      </c>
      <c r="R496">
        <f t="shared" si="26"/>
        <v>452</v>
      </c>
      <c r="S496" s="28">
        <f>IF($P496="","",IF(SUMPRODUCT(MAX(($A$2:$A$497=$P496)*ROW($A$2:$A$497)))=0,"",INDEX($B:$B,SUMPRODUCT(MAX(($A$2:$A$497=$P496)*ROW($A$2:$A$497))))))</f>
        <v>0</v>
      </c>
      <c r="T496" t="str">
        <f>IF($P496="","",IF(SUMPRODUCT(MAX(($A$2:$A$497=$P496)*ROW($A$2:$A$497)))=0,"",INDEX($C:$C,SUMPRODUCT(MAX(($A$2:$A$497=$P496)*ROW($A$2:$A$497))))&amp;" -&gt; "&amp;INDEX($D:$D,SUMPRODUCT(MAX(($A$2:$A$497=$P496)*ROW($A$2:$A$497))))))</f>
        <v xml:space="preserve"> -&gt; </v>
      </c>
    </row>
    <row r="497" spans="1:20">
      <c r="A497" s="31"/>
      <c r="B497" s="32"/>
      <c r="C497" s="31"/>
      <c r="D497" s="31"/>
      <c r="E497" s="31"/>
      <c r="F497" s="31"/>
      <c r="G497" s="31"/>
      <c r="H497" s="32"/>
      <c r="I497" s="32"/>
      <c r="J497" s="32"/>
      <c r="K497" s="31"/>
      <c r="L497" s="31"/>
      <c r="M497" s="3" t="str">
        <f t="shared" ca="1" si="24"/>
        <v/>
      </c>
      <c r="P497">
        <f>'Combined Delivery Data'!B527</f>
        <v>0</v>
      </c>
      <c r="Q497">
        <f t="shared" si="25"/>
        <v>0</v>
      </c>
      <c r="R497">
        <f t="shared" si="26"/>
        <v>452</v>
      </c>
      <c r="S497" s="28">
        <f>IF($P497="","",IF(SUMPRODUCT(MAX(($A$2:$A$497=$P497)*ROW($A$2:$A$497)))=0,"",INDEX($B:$B,SUMPRODUCT(MAX(($A$2:$A$497=$P497)*ROW($A$2:$A$497))))))</f>
        <v>0</v>
      </c>
      <c r="T497" t="str">
        <f>IF($P497="","",IF(SUMPRODUCT(MAX(($A$2:$A$497=$P497)*ROW($A$2:$A$497)))=0,"",INDEX($C:$C,SUMPRODUCT(MAX(($A$2:$A$497=$P497)*ROW($A$2:$A$497))))&amp;" -&gt; "&amp;INDEX($D:$D,SUMPRODUCT(MAX(($A$2:$A$497=$P497)*ROW($A$2:$A$497))))))</f>
        <v xml:space="preserve"> -&gt; </v>
      </c>
    </row>
    <row r="498" spans="1:20" ht="15"/>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5" t="s">
        <v>415</v>
      </c>
      <c r="B1" s="261"/>
      <c r="C1" s="261"/>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310</v>
      </c>
      <c r="B14" s="11">
        <v>9</v>
      </c>
      <c r="C14" s="12">
        <v>46387</v>
      </c>
    </row>
    <row r="15" spans="1:8" ht="14.25" customHeight="1">
      <c r="A15" s="11" t="s">
        <v>301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6" t="s">
        <v>432</v>
      </c>
      <c r="B1" s="261"/>
      <c r="C1" s="261"/>
      <c r="D1" s="261"/>
      <c r="E1" s="261"/>
      <c r="F1" s="261"/>
      <c r="G1" s="261"/>
      <c r="H1" s="261"/>
      <c r="I1" s="261"/>
      <c r="J1" s="261"/>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438</v>
      </c>
      <c r="D13" s="9" t="s">
        <v>439</v>
      </c>
      <c r="E13" s="9" t="s">
        <v>46</v>
      </c>
      <c r="F13" s="9"/>
      <c r="G13" s="9"/>
      <c r="H13" s="10"/>
      <c r="I13" s="10">
        <v>46115</v>
      </c>
      <c r="J13" s="10">
        <v>46115</v>
      </c>
    </row>
    <row r="14" spans="1:10" ht="14.25" customHeight="1">
      <c r="A14" s="9" t="s">
        <v>40</v>
      </c>
      <c r="B14" s="9" t="s">
        <v>204</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182</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439</v>
      </c>
      <c r="E23" s="9" t="s">
        <v>46</v>
      </c>
      <c r="F23" s="9"/>
      <c r="G23" s="9"/>
      <c r="H23" s="10"/>
      <c r="I23" s="10">
        <v>46115</v>
      </c>
      <c r="J23" s="10">
        <v>46115</v>
      </c>
    </row>
    <row r="24" spans="1:10" ht="14.25" customHeight="1">
      <c r="A24" s="9" t="s">
        <v>40</v>
      </c>
      <c r="B24" s="9" t="s">
        <v>204</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182</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439</v>
      </c>
      <c r="E33" s="9" t="s">
        <v>60</v>
      </c>
      <c r="F33" s="9"/>
      <c r="G33" s="9"/>
      <c r="H33" s="10"/>
      <c r="I33" s="10">
        <v>46122</v>
      </c>
      <c r="J33" s="10">
        <v>46122</v>
      </c>
    </row>
    <row r="34" spans="1:10" ht="14.25" customHeight="1">
      <c r="A34" s="9" t="s">
        <v>40</v>
      </c>
      <c r="B34" s="9" t="s">
        <v>204</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182</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439</v>
      </c>
      <c r="E48" s="9" t="s">
        <v>60</v>
      </c>
      <c r="F48" s="9"/>
      <c r="G48" s="9"/>
      <c r="H48" s="10"/>
      <c r="I48" s="10"/>
      <c r="J48" s="10"/>
    </row>
    <row r="49" spans="1:10" ht="14.25" customHeight="1">
      <c r="A49" s="9" t="s">
        <v>40</v>
      </c>
      <c r="B49" s="9" t="s">
        <v>204</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182</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262</v>
      </c>
      <c r="C53" s="9" t="s">
        <v>98</v>
      </c>
      <c r="D53" s="9" t="s">
        <v>439</v>
      </c>
      <c r="E53" s="9" t="s">
        <v>60</v>
      </c>
      <c r="F53" s="9"/>
      <c r="G53" s="9"/>
      <c r="H53" s="10"/>
      <c r="I53" s="10"/>
      <c r="J53" s="10"/>
    </row>
    <row r="54" spans="1:10" ht="14.25" customHeight="1">
      <c r="A54" s="9" t="s">
        <v>40</v>
      </c>
      <c r="B54" s="9" t="s">
        <v>204</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182</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262</v>
      </c>
      <c r="C58" s="9" t="s">
        <v>99</v>
      </c>
      <c r="D58" s="9" t="s">
        <v>439</v>
      </c>
      <c r="E58" s="9" t="s">
        <v>46</v>
      </c>
      <c r="F58" s="9"/>
      <c r="G58" s="9"/>
      <c r="H58" s="9"/>
      <c r="I58" s="10"/>
      <c r="J58" s="10"/>
    </row>
    <row r="59" spans="1:10" ht="14.25" customHeight="1">
      <c r="A59" s="9" t="s">
        <v>40</v>
      </c>
      <c r="B59" s="9" t="s">
        <v>204</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182</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204</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204</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204</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204</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204</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204</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204</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204</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204</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204</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204</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204</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204</v>
      </c>
      <c r="C183" s="3" t="s">
        <v>175</v>
      </c>
      <c r="D183" s="3" t="s">
        <v>84</v>
      </c>
      <c r="E183" s="3"/>
      <c r="F183" s="3"/>
      <c r="G183" s="3"/>
      <c r="H183" s="3"/>
      <c r="I183" s="3"/>
      <c r="J183" s="3"/>
    </row>
    <row r="184" spans="1:10">
      <c r="A184" s="3" t="s">
        <v>126</v>
      </c>
      <c r="B184" s="3" t="s">
        <v>219</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338</v>
      </c>
      <c r="G1" s="5" t="s">
        <v>441</v>
      </c>
      <c r="H1" s="5" t="s">
        <v>20</v>
      </c>
      <c r="I1" t="s">
        <v>35</v>
      </c>
      <c r="J1" s="5" t="s">
        <v>442</v>
      </c>
      <c r="K1" s="5" t="s">
        <v>182</v>
      </c>
      <c r="L1" s="5" t="s">
        <v>355</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144</v>
      </c>
      <c r="N2" t="s">
        <v>458</v>
      </c>
      <c r="R2" t="s">
        <v>256</v>
      </c>
      <c r="T2" t="s">
        <v>49</v>
      </c>
    </row>
    <row r="3" spans="1:20" ht="15" customHeight="1">
      <c r="A3" t="s">
        <v>40</v>
      </c>
      <c r="B3" t="s">
        <v>44</v>
      </c>
      <c r="C3" t="s">
        <v>60</v>
      </c>
      <c r="D3" t="s">
        <v>129</v>
      </c>
      <c r="E3" t="s">
        <v>50</v>
      </c>
      <c r="F3" t="s">
        <v>233</v>
      </c>
      <c r="G3" t="s">
        <v>44</v>
      </c>
      <c r="H3" t="s">
        <v>47</v>
      </c>
      <c r="I3" t="s">
        <v>53</v>
      </c>
      <c r="J3" t="s">
        <v>262</v>
      </c>
      <c r="K3" t="s">
        <v>48</v>
      </c>
      <c r="L3" t="s">
        <v>53</v>
      </c>
      <c r="M3" t="s">
        <v>44</v>
      </c>
      <c r="N3" t="s">
        <v>459</v>
      </c>
      <c r="R3" t="s">
        <v>45</v>
      </c>
      <c r="T3" t="s">
        <v>94</v>
      </c>
    </row>
    <row r="4" spans="1:20" ht="15" customHeight="1">
      <c r="A4" t="s">
        <v>126</v>
      </c>
      <c r="B4" t="s">
        <v>59</v>
      </c>
      <c r="C4" t="s">
        <v>46</v>
      </c>
      <c r="D4" t="s">
        <v>144</v>
      </c>
      <c r="E4" t="s">
        <v>53</v>
      </c>
      <c r="F4" t="s">
        <v>262</v>
      </c>
      <c r="G4" t="s">
        <v>59</v>
      </c>
      <c r="H4" t="s">
        <v>88</v>
      </c>
      <c r="I4" t="s">
        <v>205</v>
      </c>
      <c r="J4" t="s">
        <v>204</v>
      </c>
      <c r="L4" t="s">
        <v>50</v>
      </c>
      <c r="M4" t="s">
        <v>103</v>
      </c>
      <c r="N4" t="s">
        <v>460</v>
      </c>
      <c r="R4" t="s">
        <v>461</v>
      </c>
      <c r="T4" t="s">
        <v>72</v>
      </c>
    </row>
    <row r="5" spans="1:20" ht="15" customHeight="1">
      <c r="A5" t="s">
        <v>430</v>
      </c>
      <c r="B5" t="s">
        <v>439</v>
      </c>
      <c r="C5" t="s">
        <v>77</v>
      </c>
      <c r="F5" t="s">
        <v>204</v>
      </c>
      <c r="G5" t="s">
        <v>439</v>
      </c>
      <c r="H5" t="s">
        <v>129</v>
      </c>
      <c r="I5" t="s">
        <v>253</v>
      </c>
      <c r="J5" t="s">
        <v>219</v>
      </c>
      <c r="L5" t="s">
        <v>462</v>
      </c>
      <c r="M5" t="s">
        <v>88</v>
      </c>
      <c r="N5" t="s">
        <v>463</v>
      </c>
    </row>
    <row r="6" spans="1:20" ht="15" customHeight="1">
      <c r="A6" t="s">
        <v>310</v>
      </c>
      <c r="B6" t="s">
        <v>84</v>
      </c>
      <c r="F6" t="s">
        <v>219</v>
      </c>
      <c r="G6" t="s">
        <v>84</v>
      </c>
      <c r="H6" t="s">
        <v>144</v>
      </c>
      <c r="I6" t="s">
        <v>464</v>
      </c>
      <c r="J6" t="s">
        <v>182</v>
      </c>
      <c r="M6" t="s">
        <v>48</v>
      </c>
      <c r="N6" t="s">
        <v>463</v>
      </c>
    </row>
    <row r="7" spans="1:20" ht="15" customHeight="1">
      <c r="A7" t="s">
        <v>301</v>
      </c>
      <c r="B7" t="s">
        <v>65</v>
      </c>
      <c r="F7" t="s">
        <v>182</v>
      </c>
      <c r="G7" t="s">
        <v>65</v>
      </c>
      <c r="H7" t="s">
        <v>199</v>
      </c>
      <c r="I7" t="s">
        <v>465</v>
      </c>
      <c r="M7" t="s">
        <v>129</v>
      </c>
      <c r="N7" t="s">
        <v>466</v>
      </c>
    </row>
    <row r="8" spans="1:20" ht="15" customHeight="1">
      <c r="B8" t="s">
        <v>76</v>
      </c>
      <c r="F8" t="s">
        <v>128</v>
      </c>
      <c r="G8" t="s">
        <v>76</v>
      </c>
      <c r="I8" t="s">
        <v>171</v>
      </c>
      <c r="M8" t="s">
        <v>60</v>
      </c>
      <c r="N8" t="s">
        <v>467</v>
      </c>
    </row>
    <row r="9" spans="1:20" ht="15" customHeight="1">
      <c r="B9" t="s">
        <v>103</v>
      </c>
      <c r="F9" t="s">
        <v>42</v>
      </c>
      <c r="G9" t="s">
        <v>103</v>
      </c>
      <c r="I9" t="s">
        <v>133</v>
      </c>
      <c r="M9" t="s">
        <v>155</v>
      </c>
      <c r="N9" t="s">
        <v>468</v>
      </c>
    </row>
    <row r="10" spans="1:20" ht="15" customHeight="1">
      <c r="B10" t="s">
        <v>155</v>
      </c>
      <c r="G10" t="s">
        <v>155</v>
      </c>
      <c r="I10" t="s">
        <v>469</v>
      </c>
      <c r="M10" t="s">
        <v>47</v>
      </c>
      <c r="N10" t="s">
        <v>470</v>
      </c>
    </row>
    <row r="11" spans="1:20">
      <c r="B11" t="s">
        <v>471</v>
      </c>
      <c r="G11" t="s">
        <v>60</v>
      </c>
      <c r="M11" t="s">
        <v>76</v>
      </c>
      <c r="N11" t="s">
        <v>472</v>
      </c>
    </row>
    <row r="12" spans="1:20">
      <c r="B12" t="s">
        <v>473</v>
      </c>
      <c r="G12" t="s">
        <v>46</v>
      </c>
      <c r="M12" t="s">
        <v>46</v>
      </c>
      <c r="N12" t="s">
        <v>474</v>
      </c>
    </row>
    <row r="13" spans="1:20">
      <c r="G13" t="s">
        <v>77</v>
      </c>
      <c r="M13" t="s">
        <v>77</v>
      </c>
      <c r="N13" t="s">
        <v>475</v>
      </c>
    </row>
    <row r="14" spans="1:20">
      <c r="M14" t="s">
        <v>84</v>
      </c>
      <c r="N14" t="s">
        <v>476</v>
      </c>
    </row>
    <row r="15" spans="1:20">
      <c r="M15" t="s">
        <v>59</v>
      </c>
      <c r="N15" t="s">
        <v>477</v>
      </c>
    </row>
    <row r="16" spans="1:20">
      <c r="M16" t="s">
        <v>65</v>
      </c>
      <c r="N16" t="s">
        <v>478</v>
      </c>
    </row>
    <row r="17" spans="13:14">
      <c r="M17" t="s">
        <v>439</v>
      </c>
      <c r="N17" t="s">
        <v>478</v>
      </c>
    </row>
    <row r="18" spans="13:14">
      <c r="M18" t="s">
        <v>228</v>
      </c>
      <c r="N18" t="s">
        <v>479</v>
      </c>
    </row>
    <row r="19" spans="13:14">
      <c r="M19" t="s">
        <v>199</v>
      </c>
      <c r="N19" t="s">
        <v>480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481</v>
      </c>
      <c r="C2" s="171"/>
      <c r="D2" s="171"/>
      <c r="E2" s="171"/>
      <c r="F2" s="171"/>
      <c r="G2" s="171"/>
      <c r="H2" s="171"/>
      <c r="I2" s="171"/>
      <c r="J2" s="171"/>
      <c r="K2" s="171"/>
      <c r="L2" s="171"/>
      <c r="M2" s="217" t="str">
        <f ca="1">"As of "&amp;TEXT(TODAY(),"d mmm yyyy")&amp;". Live from Combined Delivery Data."</f>
        <v>As of 7 Oct 2026. Live from Combined Delivery Data.</v>
      </c>
      <c r="N2" s="217"/>
      <c r="O2" s="217"/>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32 of 72</v>
      </c>
      <c r="C5" s="218" t="str">
        <f>IF(C7+E7=0,"No CMS reports are blocked.","reports are blocked. "&amp;C7&amp;" are approved and waiting for a production release, "&amp;E7&amp;" are blocked in build or QA.")</f>
        <v>reports are blocked. 27 are approved and waiting for a production release, 5 are blocked in build or QA.</v>
      </c>
      <c r="D5" s="218"/>
      <c r="E5" s="218"/>
      <c r="F5" s="218"/>
      <c r="G5" s="218"/>
      <c r="H5" s="218"/>
      <c r="I5" s="218"/>
      <c r="J5" s="218"/>
      <c r="K5" s="218"/>
      <c r="L5" s="218"/>
      <c r="M5" s="218"/>
      <c r="N5" s="218"/>
      <c r="O5" s="218"/>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19" cm="1">
        <f t="array" ref="C7">COUNTIFS(cmsDom,"CMS",cmsStatus,"Ready for Release in Prod")</f>
        <v>27</v>
      </c>
      <c r="D7" s="220"/>
      <c r="E7" s="223" cm="1">
        <f t="array" ref="E7">COUNTIFS(cmsDom,"CMS",cmsBlocked,"Yes*",cmsStatus,"&lt;&gt;Ready for Release in Prod",cmsStatus,"&lt;&gt;RELEASED IN PROD")</f>
        <v>5</v>
      </c>
      <c r="F7" s="224"/>
      <c r="G7" s="225" cm="1">
        <f t="array" ref="G7">SUM(COUNTIFS(cmsDom,"CMS",cmsBlocked,"&lt;&gt;Yes*",cmsStatus,{"DB Dev","PBI Dev","QA","DPO Approval"}))</f>
        <v>25</v>
      </c>
      <c r="H7" s="226"/>
      <c r="I7" s="227" cm="1">
        <f t="array" ref="I7">COUNTIFS(cmsDom,"CMS",cmsBlocked,"&lt;&gt;Yes*",cmsStatus,"NOT STARTED")</f>
        <v>14</v>
      </c>
      <c r="J7" s="228"/>
      <c r="K7" s="229" cm="1">
        <f t="array" ref="K7">COUNTIFS(cmsDom,"CMS",cmsStatus,"RELEASED IN PROD")</f>
        <v>1</v>
      </c>
      <c r="L7" s="230"/>
      <c r="M7" s="231" t="s">
        <v>482</v>
      </c>
      <c r="N7" s="232"/>
      <c r="O7" s="233"/>
      <c r="P7" s="171"/>
      <c r="Q7" s="171"/>
      <c r="R7" s="171"/>
      <c r="S7" s="171"/>
      <c r="T7" s="171"/>
      <c r="U7" s="171"/>
      <c r="V7" s="171"/>
      <c r="W7" s="171"/>
      <c r="X7" s="171"/>
      <c r="Y7" s="171"/>
      <c r="Z7" s="171"/>
    </row>
    <row r="8" spans="1:26" ht="30" customHeight="1">
      <c r="A8" s="171"/>
      <c r="B8" s="171"/>
      <c r="C8" s="221" t="s">
        <v>483</v>
      </c>
      <c r="D8" s="222"/>
      <c r="E8" s="221" t="s">
        <v>484</v>
      </c>
      <c r="F8" s="222"/>
      <c r="G8" s="221" t="s">
        <v>485</v>
      </c>
      <c r="H8" s="222"/>
      <c r="I8" s="221" t="s">
        <v>486</v>
      </c>
      <c r="J8" s="222"/>
      <c r="K8" s="221" t="s">
        <v>487</v>
      </c>
      <c r="L8" s="222"/>
      <c r="M8" s="22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2"/>
      <c r="O8" s="234"/>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488</v>
      </c>
      <c r="C10" s="241" t="s">
        <v>489</v>
      </c>
      <c r="D10" s="241"/>
      <c r="E10" s="241"/>
      <c r="F10" s="241"/>
      <c r="G10" s="241"/>
      <c r="H10" s="241"/>
      <c r="I10" s="241"/>
      <c r="J10" s="241"/>
      <c r="K10" s="241"/>
      <c r="L10" s="241"/>
      <c r="M10" s="241"/>
      <c r="N10" s="241"/>
      <c r="O10" s="241"/>
      <c r="P10" s="171"/>
      <c r="Q10" s="171"/>
      <c r="R10" s="171"/>
      <c r="S10" s="171"/>
      <c r="T10" s="171"/>
      <c r="U10" s="171"/>
      <c r="V10" s="171"/>
      <c r="W10" s="171"/>
      <c r="X10" s="171"/>
      <c r="Y10" s="171"/>
      <c r="Z10" s="171"/>
    </row>
    <row r="11" spans="1:26" ht="30" customHeight="1">
      <c r="A11" s="171"/>
      <c r="B11" s="188" t="s">
        <v>490</v>
      </c>
      <c r="C11" s="185" t="s">
        <v>491</v>
      </c>
      <c r="D11" s="185" t="s">
        <v>492</v>
      </c>
      <c r="E11" s="185" t="s">
        <v>182</v>
      </c>
      <c r="F11" s="185" t="s">
        <v>219</v>
      </c>
      <c r="G11" s="185" t="s">
        <v>204</v>
      </c>
      <c r="H11" s="185" t="s">
        <v>262</v>
      </c>
      <c r="I11" s="185" t="s">
        <v>486</v>
      </c>
      <c r="J11" s="185" t="s">
        <v>493</v>
      </c>
      <c r="K11" s="185" t="s">
        <v>494</v>
      </c>
      <c r="L11" s="185" t="s">
        <v>495</v>
      </c>
      <c r="M11" s="242" t="s">
        <v>496</v>
      </c>
      <c r="N11" s="243"/>
      <c r="O11" s="244"/>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5" t="str">
        <f ca="1">IF($K12=0,"",IF($J12=$K12,"Delivered",IF($L12="","No milestone in Dim Table",IF(TODAY()&gt;$L12,TEXT(TODAY()-$L12,"0")&amp;" days past milestone, "&amp;($K12-$J12)&amp;" of "&amp;$K12&amp;" not released",TEXT($L12-TODAY(),"0")&amp;" days to milestone"&amp;IF($D12&gt;0,", "&amp;$D12&amp;" blocked","")))))</f>
        <v>28 days past milestone, 14 of 14 not released</v>
      </c>
      <c r="N12" s="246"/>
      <c r="O12" s="247"/>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7 days past milestone, 12 of 12 not released</v>
      </c>
      <c r="N13" s="236"/>
      <c r="O13" s="237"/>
      <c r="P13" s="171"/>
      <c r="Q13" s="171"/>
      <c r="R13" s="171"/>
      <c r="S13" s="171"/>
      <c r="T13" s="171"/>
      <c r="U13" s="171"/>
      <c r="V13" s="171"/>
      <c r="W13" s="171"/>
      <c r="X13" s="171"/>
      <c r="Y13" s="171"/>
      <c r="Z13" s="171"/>
    </row>
    <row r="14" spans="1:26" ht="21.75" customHeight="1">
      <c r="A14" s="171"/>
      <c r="B14" s="195" t="s">
        <v>193</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5</v>
      </c>
      <c r="F14" s="196" cm="1">
        <f t="array" ref="F14">COUNTIFS(cmsDom,"CMS",cmsMonth,$B14,cmsBlocked,"&lt;&gt;Yes*",cmsStatus,"QA")</f>
        <v>3</v>
      </c>
      <c r="G14" s="196" cm="1">
        <f t="array" ref="G14">COUNTIFS(cmsDom,"CMS",cmsMonth,$B14,cmsBlocked,"&lt;&gt;Yes*",cmsStatus,"PBI Dev")</f>
        <v>2</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1</v>
      </c>
      <c r="K14" s="196" cm="1">
        <f t="array" ref="K14">COUNTIFS(cmsDom,"CMS",cmsMonth,$B14)</f>
        <v>18</v>
      </c>
      <c r="L14" s="197">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23 days to milestone, 3 blocked</v>
      </c>
      <c r="N14" s="236"/>
      <c r="O14" s="237"/>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2</v>
      </c>
      <c r="E15" s="196" cm="1">
        <f t="array" ref="E15">COUNTIFS(cmsDom,"CMS",cmsMonth,$B15,cmsBlocked,"&lt;&gt;Yes*",cmsStatus,"DPO Approval")</f>
        <v>1</v>
      </c>
      <c r="F15" s="196" cm="1">
        <f t="array" ref="F15">COUNTIFS(cmsDom,"CMS",cmsMonth,$B15,cmsBlocked,"&lt;&gt;Yes*",cmsStatus,"QA")</f>
        <v>2</v>
      </c>
      <c r="G15" s="196" cm="1">
        <f t="array" ref="G15">COUNTIFS(cmsDom,"CMS",cmsMonth,$B15,cmsBlocked,"&lt;&gt;Yes*",cmsStatus,"PBI Dev")</f>
        <v>3</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54 days to milestone, 2 blocked</v>
      </c>
      <c r="N15" s="236"/>
      <c r="O15" s="237"/>
      <c r="P15" s="171"/>
      <c r="Q15" s="171"/>
      <c r="R15" s="171"/>
      <c r="S15" s="171"/>
      <c r="T15" s="171"/>
      <c r="U15" s="171"/>
      <c r="V15" s="171"/>
      <c r="W15" s="171"/>
      <c r="X15" s="171"/>
      <c r="Y15" s="171"/>
      <c r="Z15" s="171"/>
    </row>
    <row r="16" spans="1:26" ht="21.75" customHeight="1">
      <c r="A16" s="171"/>
      <c r="B16" s="192" t="s">
        <v>271</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2</v>
      </c>
      <c r="H16" s="193" cm="1">
        <f t="array" ref="H16">COUNTIFS(cmsDom,"CMS",cmsMonth,$B16,cmsBlocked,"&lt;&gt;Yes*",cmsStatus,"DB Dev")</f>
        <v>4</v>
      </c>
      <c r="I16" s="193" cm="1">
        <f t="array" ref="I16">COUNTIFS(cmsDom,"CMS",cmsMonth,$B16,cmsBlocked,"&lt;&gt;Yes*",cmsStatus,"NOT STARTED")</f>
        <v>9</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85 days to milestone</v>
      </c>
      <c r="N16" s="239"/>
      <c r="O16" s="240"/>
      <c r="P16" s="171"/>
      <c r="Q16" s="171"/>
      <c r="R16" s="171"/>
      <c r="S16" s="171"/>
      <c r="T16" s="171"/>
      <c r="U16" s="171"/>
      <c r="V16" s="171"/>
      <c r="W16" s="171"/>
      <c r="X16" s="171"/>
      <c r="Y16" s="171"/>
      <c r="Z16" s="171"/>
    </row>
    <row r="17" spans="1:26" ht="24" customHeight="1">
      <c r="A17" s="171"/>
      <c r="B17" s="186" t="s">
        <v>497</v>
      </c>
      <c r="C17" s="198">
        <f t="shared" ref="C17:K17" si="0">SUM(C12:C16)</f>
        <v>27</v>
      </c>
      <c r="D17" s="198">
        <f t="shared" si="0"/>
        <v>5</v>
      </c>
      <c r="E17" s="198">
        <f t="shared" si="0"/>
        <v>8</v>
      </c>
      <c r="F17" s="198">
        <f t="shared" si="0"/>
        <v>5</v>
      </c>
      <c r="G17" s="198">
        <f t="shared" si="0"/>
        <v>7</v>
      </c>
      <c r="H17" s="198">
        <f t="shared" si="0"/>
        <v>5</v>
      </c>
      <c r="I17" s="198">
        <f t="shared" si="0"/>
        <v>14</v>
      </c>
      <c r="J17" s="198">
        <f t="shared" si="0"/>
        <v>1</v>
      </c>
      <c r="K17" s="198">
        <f t="shared" si="0"/>
        <v>72</v>
      </c>
      <c r="L17" s="187"/>
      <c r="M17" s="248" t="str">
        <f>IF(SUM(C17:J17)=K17,"","Counts do not add up to the report total")</f>
        <v/>
      </c>
      <c r="N17" s="249"/>
      <c r="O17" s="25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498</v>
      </c>
      <c r="C19" s="241" t="s">
        <v>499</v>
      </c>
      <c r="D19" s="241"/>
      <c r="E19" s="241"/>
      <c r="F19" s="241"/>
      <c r="G19" s="241"/>
      <c r="H19" s="241"/>
      <c r="I19" s="241"/>
      <c r="J19" s="241"/>
      <c r="K19" s="241"/>
      <c r="L19" s="241"/>
      <c r="M19" s="241"/>
      <c r="N19" s="241"/>
      <c r="O19" s="24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(41)</v>
      </c>
      <c r="C35" s="241" t="s">
        <v>500</v>
      </c>
      <c r="D35" s="241"/>
      <c r="E35" s="241"/>
      <c r="F35" s="241"/>
      <c r="G35" s="241"/>
      <c r="H35" s="241"/>
      <c r="I35" s="241"/>
      <c r="J35" s="241"/>
      <c r="K35" s="241"/>
      <c r="L35" s="241"/>
      <c r="M35" s="241"/>
      <c r="N35" s="241"/>
      <c r="O35" s="241"/>
      <c r="P35" s="171"/>
      <c r="Q35" s="171"/>
      <c r="R35" s="171"/>
      <c r="S35" s="171"/>
      <c r="T35" s="171"/>
      <c r="U35" s="171"/>
      <c r="V35" s="171"/>
      <c r="W35" s="171"/>
      <c r="X35" s="171"/>
      <c r="Y35" s="171"/>
      <c r="Z35" s="171"/>
    </row>
    <row r="36" spans="1:26" ht="21.75" customHeight="1">
      <c r="A36" s="171"/>
      <c r="B36" s="201" t="s">
        <v>501</v>
      </c>
      <c r="C36" s="199" t="s">
        <v>490</v>
      </c>
      <c r="D36" s="199" t="s">
        <v>502</v>
      </c>
      <c r="E36" s="199" t="s">
        <v>433</v>
      </c>
      <c r="F36" s="199" t="s">
        <v>503</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202" t="str">
        <v>July</v>
      </c>
      <c r="D37" s="202" t="str">
        <v>Ready for Release in Prod</v>
      </c>
      <c r="E37" s="202" t="str">
        <v>Blocked - log it on Rework Log</v>
      </c>
      <c r="F37" s="202" t="str">
        <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RPT_02_Warning Tag HEFPA</v>
      </c>
      <c r="C38" s="202" t="str">
        <v>July</v>
      </c>
      <c r="D38" s="202" t="str">
        <v>Ready for Release in Prod</v>
      </c>
      <c r="E38" s="202" t="str">
        <v>Blocked - log it on Rework Log</v>
      </c>
      <c r="F38" s="202" t="str">
        <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RPT_02_Warning tag Printout</v>
      </c>
      <c r="C39" s="202" t="str">
        <v>July</v>
      </c>
      <c r="D39" s="202" t="str">
        <v>Ready for Release in Prod</v>
      </c>
      <c r="E39" s="202" t="str">
        <v>Blocked - log it on Rework Log</v>
      </c>
      <c r="F39" s="202" t="str">
        <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RPT_02_Corrosion</v>
      </c>
      <c r="C40" s="202" t="str">
        <v>July</v>
      </c>
      <c r="D40" s="202" t="str">
        <v>Ready for Release in Prod</v>
      </c>
      <c r="E40" s="202" t="str">
        <v>Blocked - log it on Rework Log</v>
      </c>
      <c r="F40" s="202" t="str">
        <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RPT_02_House Pipe Test Comment Control</v>
      </c>
      <c r="C41" s="202" t="str">
        <v>July</v>
      </c>
      <c r="D41" s="202" t="str">
        <v>Ready for Release in Prod</v>
      </c>
      <c r="E41" s="202" t="str">
        <v>Blocked - log it on Rework Log</v>
      </c>
      <c r="F41" s="202" t="str">
        <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RPT_02_Required Regulator Inspection Performed Control</v>
      </c>
      <c r="C42" s="202" t="str">
        <v>July</v>
      </c>
      <c r="D42" s="202" t="str">
        <v>Ready for Release in Prod</v>
      </c>
      <c r="E42" s="202" t="str">
        <v>Blocked - log it on Rework Log</v>
      </c>
      <c r="F42" s="202" t="str">
        <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Regulator Inspections</v>
      </c>
      <c r="C43" s="202" t="str">
        <v>July</v>
      </c>
      <c r="D43" s="202" t="str">
        <v>Ready for Release in Prod</v>
      </c>
      <c r="E43" s="202" t="str">
        <v>Blocked - log it on Rework Log</v>
      </c>
      <c r="F43" s="202" t="str">
        <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Regulator Inspection Printout</v>
      </c>
      <c r="C44" s="202" t="str">
        <v>July</v>
      </c>
      <c r="D44" s="202" t="str">
        <v>Ready for Release in Prod</v>
      </c>
      <c r="E44" s="202" t="str">
        <v>Blocked - log it on Rework Log</v>
      </c>
      <c r="F44" s="202" t="str">
        <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RPT_02_20 Year Regulator Inspection</v>
      </c>
      <c r="C45" s="202" t="str">
        <v>July</v>
      </c>
      <c r="D45" s="202" t="str">
        <v>Ready for Release in Prod</v>
      </c>
      <c r="E45" s="202" t="str">
        <v>Blocked - log it on Rework Log</v>
      </c>
      <c r="F45" s="202" t="str">
        <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v>
      </c>
      <c r="C46" s="204" t="str">
        <v>July</v>
      </c>
      <c r="D46" s="204" t="str">
        <v>Ready for Release in Prod</v>
      </c>
      <c r="E46" s="204" t="str">
        <v>Blocked - log it on Rework Log</v>
      </c>
      <c r="F46" s="204" t="str">
        <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494</v>
      </c>
      <c r="C48" s="241"/>
      <c r="D48" s="241"/>
      <c r="E48" s="241"/>
      <c r="F48" s="241"/>
      <c r="G48" s="241"/>
      <c r="H48" s="241"/>
      <c r="I48" s="241"/>
      <c r="J48" s="241"/>
      <c r="K48" s="241"/>
      <c r="L48" s="241"/>
      <c r="M48" s="241"/>
      <c r="N48" s="241"/>
      <c r="O48" s="241"/>
      <c r="P48" s="171"/>
      <c r="Q48" s="171"/>
      <c r="R48" s="171"/>
      <c r="S48" s="171"/>
      <c r="T48" s="171"/>
      <c r="U48" s="171"/>
      <c r="V48" s="171"/>
      <c r="W48" s="171"/>
      <c r="X48" s="171"/>
      <c r="Y48" s="171"/>
      <c r="Z48" s="171"/>
    </row>
    <row r="49" spans="1:26" ht="15.75" customHeight="1">
      <c r="A49" s="171"/>
      <c r="B49" s="251"/>
      <c r="C49" s="253" t="s">
        <v>490</v>
      </c>
      <c r="D49" s="253"/>
      <c r="E49" s="253" t="s">
        <v>433</v>
      </c>
      <c r="F49" s="253"/>
      <c r="G49" s="253" t="s">
        <v>443</v>
      </c>
      <c r="H49" s="253"/>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2"/>
      <c r="C50" s="254" t="s">
        <v>504</v>
      </c>
      <c r="D50" s="255"/>
      <c r="E50" s="254" t="s">
        <v>504</v>
      </c>
      <c r="F50" s="255"/>
      <c r="G50" s="254" t="s">
        <v>504</v>
      </c>
      <c r="H50" s="256"/>
      <c r="I50" s="257" t="str">
        <f>IF(ISTEXT(B53),"No reports match",IF(ROWS(_xlfn.ANCHORARRAY(B53))=1,"1 report","" &amp; ROWS(_xlfn.ANCHORARRAY(B53)) &amp; " reports"))</f>
        <v>No reports match</v>
      </c>
      <c r="J50" s="258"/>
      <c r="K50" s="258"/>
      <c r="L50" s="258"/>
      <c r="M50" s="258"/>
      <c r="N50" s="258"/>
      <c r="O50" s="259"/>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501</v>
      </c>
      <c r="C52" s="208" t="s">
        <v>490</v>
      </c>
      <c r="D52" s="208" t="s">
        <v>502</v>
      </c>
      <c r="E52" s="208" t="s">
        <v>35</v>
      </c>
      <c r="F52" s="208" t="s">
        <v>505</v>
      </c>
      <c r="G52" s="208" t="s">
        <v>506</v>
      </c>
      <c r="H52" s="208" t="s">
        <v>507</v>
      </c>
      <c r="I52" s="208" t="s">
        <v>508</v>
      </c>
      <c r="J52" s="210" t="s">
        <v>509</v>
      </c>
      <c r="K52" s="210" t="s">
        <v>510</v>
      </c>
      <c r="L52" s="210" t="s">
        <v>511</v>
      </c>
      <c r="M52" s="210" t="s">
        <v>512</v>
      </c>
      <c r="N52" s="210" t="s">
        <v>513</v>
      </c>
      <c r="O52" s="208" t="s">
        <v>514</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Yes – Blocked in Prod</v>
      </c>
      <c r="F53" s="202" t="str">
        <v>Rupa</v>
      </c>
      <c r="G53" s="202" t="str">
        <v>Navya</v>
      </c>
      <c r="H53" s="202" t="str">
        <v>Kushal</v>
      </c>
      <c r="I53" s="202" t="str">
        <v>Jeanne Waldron, Anthony Massimino</v>
      </c>
      <c r="J53" s="213">
        <v>46245</v>
      </c>
      <c r="K53" s="213">
        <v>46245</v>
      </c>
      <c r="L53" s="213">
        <v>46252</v>
      </c>
      <c r="M53" s="213">
        <v>46273</v>
      </c>
      <c r="N53" s="214">
        <v>1</v>
      </c>
      <c r="O53" s="202" t="str">
        <v>Blocked - log it on Rework Log</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Yes – Blocked in Prod</v>
      </c>
      <c r="F54" s="202" t="str">
        <v>Sree</v>
      </c>
      <c r="G54" s="202" t="str">
        <v>Shraddha</v>
      </c>
      <c r="H54" s="202" t="str">
        <v>Kushal</v>
      </c>
      <c r="I54" s="202" t="str">
        <v>Jeanne Waldron, Anthony Massimino</v>
      </c>
      <c r="J54" s="213">
        <v>46255</v>
      </c>
      <c r="K54" s="213">
        <v>46246</v>
      </c>
      <c r="L54" s="213">
        <v>46255</v>
      </c>
      <c r="M54" s="213">
        <v>46273</v>
      </c>
      <c r="N54" s="214">
        <v>3</v>
      </c>
      <c r="O54" s="202" t="str">
        <v>Blocked - log it on Rework Log</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Yes – Blocked in Prod</v>
      </c>
      <c r="F55" s="202" t="str">
        <v>Sree</v>
      </c>
      <c r="G55" s="202" t="str">
        <v>Shraddha</v>
      </c>
      <c r="H55" s="202" t="str">
        <v>Kushal</v>
      </c>
      <c r="I55" s="202" t="str">
        <v>Jeanne Waldron, Anthony Massimino</v>
      </c>
      <c r="J55" s="213">
        <v>46246</v>
      </c>
      <c r="K55" s="213">
        <v>46251</v>
      </c>
      <c r="L55" s="213">
        <v>46258</v>
      </c>
      <c r="M55" s="213">
        <v>46273</v>
      </c>
      <c r="N55" s="214">
        <v>1</v>
      </c>
      <c r="O55" s="202" t="str">
        <v>Blocked - log it on Rework Log</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Yes – Blocked in Prod</v>
      </c>
      <c r="F56" s="202" t="str">
        <v>Siva</v>
      </c>
      <c r="G56" s="202" t="str">
        <v>Sarath</v>
      </c>
      <c r="H56" s="202" t="str">
        <v>Preety</v>
      </c>
      <c r="I56" s="202" t="str">
        <v>Jeanne Waldron, Anthony Massimino</v>
      </c>
      <c r="J56" s="213">
        <v>46266</v>
      </c>
      <c r="K56" s="213">
        <v>46253</v>
      </c>
      <c r="L56" s="213">
        <v>46269</v>
      </c>
      <c r="M56" s="213">
        <v>46273</v>
      </c>
      <c r="N56" s="214">
        <v>2</v>
      </c>
      <c r="O56" s="202" t="str">
        <v>Blocked - log it on Rework Log</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Yes – Blocked in Prod</v>
      </c>
      <c r="F57" s="202" t="str">
        <v>Geetha</v>
      </c>
      <c r="G57" s="202" t="str">
        <v>Shraddha</v>
      </c>
      <c r="H57" s="202" t="str">
        <v>Preety</v>
      </c>
      <c r="I57" s="202" t="str">
        <v>Jeanne Waldron, Anthony Massimino</v>
      </c>
      <c r="J57" s="213">
        <v>46251</v>
      </c>
      <c r="K57" s="213">
        <v>46244</v>
      </c>
      <c r="L57" s="213">
        <v>46254</v>
      </c>
      <c r="M57" s="213">
        <v>46273</v>
      </c>
      <c r="N57" s="214">
        <v>1</v>
      </c>
      <c r="O57" s="202" t="str">
        <v>Blocked - log it on Rework Log</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Yes – Blocked in Prod</v>
      </c>
      <c r="F58" s="202" t="str">
        <v>Siddu</v>
      </c>
      <c r="G58" s="202" t="str">
        <v>Navya</v>
      </c>
      <c r="H58" s="202" t="str">
        <v>Bardia</v>
      </c>
      <c r="I58" s="202" t="str">
        <v>Jeanne Waldron, Anthony Massimino</v>
      </c>
      <c r="J58" s="213">
        <v>46252</v>
      </c>
      <c r="K58" s="213">
        <v>46251</v>
      </c>
      <c r="L58" s="213">
        <v>46255</v>
      </c>
      <c r="M58" s="213">
        <v>46273</v>
      </c>
      <c r="N58" s="214">
        <v>2</v>
      </c>
      <c r="O58" s="202" t="str">
        <v>Blocked - log it on Rework Log</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Yes – Blocked in Prod</v>
      </c>
      <c r="F59" s="202" t="str">
        <v>Sree</v>
      </c>
      <c r="G59" s="202" t="str">
        <v>Sarath</v>
      </c>
      <c r="H59" s="202" t="str">
        <v>Bardia</v>
      </c>
      <c r="I59" s="202" t="str">
        <v>Jeanne Waldron, Anthony Massimino</v>
      </c>
      <c r="J59" s="213">
        <v>46258</v>
      </c>
      <c r="K59" s="213">
        <v>46266</v>
      </c>
      <c r="L59" s="213">
        <v>46267</v>
      </c>
      <c r="M59" s="213">
        <v>46273</v>
      </c>
      <c r="N59" s="214">
        <v>3</v>
      </c>
      <c r="O59" s="202" t="str">
        <v>Blocked - log it on Rework Log</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Yes – Blocked in Prod</v>
      </c>
      <c r="F60" s="202" t="str">
        <v>Sree</v>
      </c>
      <c r="G60" s="202" t="str">
        <v>Shraddha</v>
      </c>
      <c r="H60" s="202" t="str">
        <v>Bardia</v>
      </c>
      <c r="I60" s="202" t="str">
        <v>Jeanne Waldron, Anthony Massimino</v>
      </c>
      <c r="J60" s="213">
        <v>46258</v>
      </c>
      <c r="K60" s="213">
        <v>46246</v>
      </c>
      <c r="L60" s="213">
        <v>46267</v>
      </c>
      <c r="M60" s="213">
        <v>46273</v>
      </c>
      <c r="N60" s="214">
        <v>1</v>
      </c>
      <c r="O60" s="202" t="str">
        <v>Blocked - log it on Rework Log</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Yes – Blocked in Prod</v>
      </c>
      <c r="F61" s="202" t="str">
        <v>Siddu</v>
      </c>
      <c r="G61" s="202" t="str">
        <v>Navya</v>
      </c>
      <c r="H61" s="202" t="str">
        <v>Bardia</v>
      </c>
      <c r="I61" s="202" t="str">
        <v>Natalie Lattanzio</v>
      </c>
      <c r="J61" s="213">
        <v>46255</v>
      </c>
      <c r="K61" s="213">
        <v>46255</v>
      </c>
      <c r="L61" s="213">
        <v>46255</v>
      </c>
      <c r="M61" s="213">
        <v>46269</v>
      </c>
      <c r="N61" s="214">
        <v>1</v>
      </c>
      <c r="O61" s="202" t="str">
        <v>Blocked - log it on Rework Log</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Yes – Blocked in Prod</v>
      </c>
      <c r="F62" s="202" t="str">
        <v>Nick</v>
      </c>
      <c r="G62" s="202" t="str">
        <v>Navya</v>
      </c>
      <c r="H62" s="202" t="str">
        <v>Bardia</v>
      </c>
      <c r="I62" s="202" t="str">
        <v>Natalie Lattanzio</v>
      </c>
      <c r="J62" s="213">
        <v>46254</v>
      </c>
      <c r="K62" s="213">
        <v>46254</v>
      </c>
      <c r="L62" s="213">
        <v>46254</v>
      </c>
      <c r="M62" s="213">
        <v>46269</v>
      </c>
      <c r="N62" s="214">
        <v>2</v>
      </c>
      <c r="O62" s="202" t="str">
        <v>Blocked - log it on Rework Log</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Yes – Blocked in Prod</v>
      </c>
      <c r="F63" s="202" t="str">
        <v>Nick</v>
      </c>
      <c r="G63" s="202" t="str">
        <v>Shraddha</v>
      </c>
      <c r="H63" s="202" t="str">
        <v>Preety</v>
      </c>
      <c r="I63" s="202" t="str">
        <v>Natalie Lattanzio</v>
      </c>
      <c r="J63" s="213">
        <v>46245</v>
      </c>
      <c r="K63" s="213">
        <v>46258</v>
      </c>
      <c r="L63" s="213">
        <v>46258</v>
      </c>
      <c r="M63" s="213">
        <v>46269</v>
      </c>
      <c r="N63" s="214">
        <v>2</v>
      </c>
      <c r="O63" s="202" t="str">
        <v>Blocked - log it on Rework Log</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Yes – Blocked in Prod</v>
      </c>
      <c r="F64" s="202" t="str">
        <v>Rupa</v>
      </c>
      <c r="G64" s="202" t="str">
        <v>Shraddha</v>
      </c>
      <c r="H64" s="202" t="str">
        <v>Preety</v>
      </c>
      <c r="I64" s="202" t="str">
        <v>Jeanne Waldron, Anthony Massimino</v>
      </c>
      <c r="J64" s="213">
        <v>46251</v>
      </c>
      <c r="K64" s="213">
        <v>46255</v>
      </c>
      <c r="L64" s="213">
        <v>46258</v>
      </c>
      <c r="M64" s="213">
        <v>46273</v>
      </c>
      <c r="N64" s="214">
        <v>1</v>
      </c>
      <c r="O64" s="202" t="str">
        <v>Blocked - log it on Rework Log</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Yes – Blocked in Prod</v>
      </c>
      <c r="F65" s="202" t="str">
        <v>Siva</v>
      </c>
      <c r="G65" s="202" t="str">
        <v>Navya</v>
      </c>
      <c r="H65" s="202" t="str">
        <v>Preety</v>
      </c>
      <c r="I65" s="202" t="str">
        <v>Jeanne Waldron, Anthony Massimino</v>
      </c>
      <c r="J65" s="213">
        <v>46248</v>
      </c>
      <c r="K65" s="213">
        <v>46251</v>
      </c>
      <c r="L65" s="213">
        <v>46258</v>
      </c>
      <c r="M65" s="213">
        <v>46273</v>
      </c>
      <c r="N65" s="214">
        <v>0</v>
      </c>
      <c r="O65" s="202" t="str">
        <v>Blocked - log it on Rework Log</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Yes – Blocked in Prod</v>
      </c>
      <c r="F66" s="202" t="str">
        <v>Rupa</v>
      </c>
      <c r="G66" s="202" t="str">
        <v>Sarath</v>
      </c>
      <c r="H66" s="202" t="str">
        <v>Preety</v>
      </c>
      <c r="I66" s="202" t="str">
        <v>Natalie Lattanzio</v>
      </c>
      <c r="J66" s="213">
        <v>46245</v>
      </c>
      <c r="K66" s="213">
        <v>46248</v>
      </c>
      <c r="L66" s="213">
        <v>46261</v>
      </c>
      <c r="M66" s="213">
        <v>46269</v>
      </c>
      <c r="N66" s="214">
        <v>0</v>
      </c>
      <c r="O66" s="202" t="str">
        <v>Blocked - log it on Rework Log</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Yes – Blocked in Prod</v>
      </c>
      <c r="F67" s="202" t="str">
        <v>Geetha</v>
      </c>
      <c r="G67" s="202" t="str">
        <v>Navya</v>
      </c>
      <c r="H67" s="202" t="str">
        <v>Preety</v>
      </c>
      <c r="I67" s="202" t="str">
        <v>Jeanne Waldron, Anthony Massimino</v>
      </c>
      <c r="J67" s="213">
        <v>46252</v>
      </c>
      <c r="K67" s="213">
        <v>46295</v>
      </c>
      <c r="L67" s="213">
        <v>46296</v>
      </c>
      <c r="M67" s="213">
        <v>46296</v>
      </c>
      <c r="N67" s="214">
        <v>3</v>
      </c>
      <c r="O67" s="202" t="str">
        <v>Blocked - log it on Rework Log</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Yes – needs DPO Approval to fix</v>
      </c>
      <c r="F68" s="202" t="str">
        <v>Siva</v>
      </c>
      <c r="G68" s="202" t="str">
        <v>Sarath</v>
      </c>
      <c r="H68" s="202" t="str">
        <v>Preety</v>
      </c>
      <c r="I68" s="202" t="str">
        <v>Shaunna Peters</v>
      </c>
      <c r="J68" s="213">
        <v>46255</v>
      </c>
      <c r="K68" s="213">
        <v>46258</v>
      </c>
      <c r="L68" s="213">
        <v>46273</v>
      </c>
      <c r="M68" s="213">
        <v>46283</v>
      </c>
      <c r="N68" s="214">
        <v>3</v>
      </c>
      <c r="O68" s="202" t="str">
        <v>Blocked - log it on Rework Log</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Yes – Blocked in Prod</v>
      </c>
      <c r="F69" s="202" t="str">
        <v>Fetwi</v>
      </c>
      <c r="G69" s="202" t="str">
        <v>Shraddha</v>
      </c>
      <c r="H69" s="202" t="str">
        <v>Preety</v>
      </c>
      <c r="I69" s="202" t="str">
        <v>Shaunna Peters</v>
      </c>
      <c r="J69" s="213">
        <v>46244</v>
      </c>
      <c r="K69" s="213">
        <v>46265</v>
      </c>
      <c r="L69" s="213">
        <v>46265</v>
      </c>
      <c r="M69" s="213">
        <v>46283</v>
      </c>
      <c r="N69" s="214">
        <v>1</v>
      </c>
      <c r="O69" s="202" t="str">
        <v>Blocked - log it on Rework Log</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Yes – Blocked in Prod</v>
      </c>
      <c r="F70" s="202" t="str">
        <v>Siddu</v>
      </c>
      <c r="G70" s="202" t="str">
        <v>Navya</v>
      </c>
      <c r="H70" s="202" t="str">
        <v>Preety</v>
      </c>
      <c r="I70" s="202" t="str">
        <v>Jeanne Waldron, Anthony Massimino</v>
      </c>
      <c r="J70" s="213">
        <v>46244</v>
      </c>
      <c r="K70" s="213">
        <v>46261</v>
      </c>
      <c r="L70" s="213">
        <v>46266</v>
      </c>
      <c r="M70" s="213">
        <v>46283</v>
      </c>
      <c r="N70" s="214">
        <v>1</v>
      </c>
      <c r="O70" s="202" t="str">
        <v>Blocked - log it on Rework Log</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Yes – Blocked in Prod</v>
      </c>
      <c r="F71" s="202" t="str">
        <v>Nick</v>
      </c>
      <c r="G71" s="202" t="str">
        <v>Shraddha</v>
      </c>
      <c r="H71" s="202" t="str">
        <v>Kushal</v>
      </c>
      <c r="I71" s="202" t="str">
        <v>Jeanne Waldron, Anthony Massimino</v>
      </c>
      <c r="J71" s="213">
        <v>46246</v>
      </c>
      <c r="K71" s="213">
        <v>46261</v>
      </c>
      <c r="L71" s="213">
        <v>46265</v>
      </c>
      <c r="M71" s="213">
        <v>46283</v>
      </c>
      <c r="N71" s="214">
        <v>0</v>
      </c>
      <c r="O71" s="202" t="str">
        <v>Blocked - log it on Rework Log</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Yes – Blocked in Prod</v>
      </c>
      <c r="F72" s="202" t="str">
        <v>Geetha</v>
      </c>
      <c r="G72" s="202" t="str">
        <v>Sarath</v>
      </c>
      <c r="H72" s="202" t="str">
        <v>Bardia</v>
      </c>
      <c r="I72" s="202" t="str">
        <v>Shaunna Peters</v>
      </c>
      <c r="J72" s="213">
        <v>46253</v>
      </c>
      <c r="K72" s="213">
        <v>46255</v>
      </c>
      <c r="L72" s="213">
        <v>46269</v>
      </c>
      <c r="M72" s="213">
        <v>46283</v>
      </c>
      <c r="N72" s="214">
        <v>0</v>
      </c>
      <c r="O72" s="202" t="str">
        <v>Blocked - log it on Rework Log</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Yes – Blocked in Prod</v>
      </c>
      <c r="F74" s="202" t="str">
        <v>Fetwi</v>
      </c>
      <c r="G74" s="202" t="str">
        <v>Navya</v>
      </c>
      <c r="H74" s="202" t="str">
        <v>Bardia</v>
      </c>
      <c r="I74" s="202" t="str">
        <v>Shaunna Peters</v>
      </c>
      <c r="J74" s="213">
        <v>46245</v>
      </c>
      <c r="K74" s="213">
        <v>46252</v>
      </c>
      <c r="L74" s="213">
        <v>46273</v>
      </c>
      <c r="M74" s="213">
        <v>46283</v>
      </c>
      <c r="N74" s="214">
        <v>1</v>
      </c>
      <c r="O74" s="202" t="str">
        <v>Blocked - log it on Rework Log</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Yes – Blocked in Prod</v>
      </c>
      <c r="F75" s="202" t="str">
        <v>Rupa</v>
      </c>
      <c r="G75" s="202" t="str">
        <v>Shraddha</v>
      </c>
      <c r="H75" s="202" t="str">
        <v>Bardia</v>
      </c>
      <c r="I75" s="202" t="str">
        <v>Jeanne Timmons, Shaunna Peters</v>
      </c>
      <c r="J75" s="213">
        <v>46248</v>
      </c>
      <c r="K75" s="213">
        <v>46260</v>
      </c>
      <c r="L75" s="213">
        <v>46276</v>
      </c>
      <c r="M75" s="213">
        <v>46283</v>
      </c>
      <c r="N75" s="214">
        <v>0</v>
      </c>
      <c r="O75" s="202" t="str">
        <v>Blocked - log it on Rework Log</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Yes – Blocked in Prod</v>
      </c>
      <c r="F77" s="202" t="str">
        <v>Rupa</v>
      </c>
      <c r="G77" s="202" t="str">
        <v>Shraddha</v>
      </c>
      <c r="H77" s="202" t="str">
        <v>Bardia</v>
      </c>
      <c r="I77" s="202" t="str">
        <v>Oneil Lashley</v>
      </c>
      <c r="J77" s="213">
        <v>46251</v>
      </c>
      <c r="K77" s="213">
        <v>46262</v>
      </c>
      <c r="L77" s="213">
        <v>46281</v>
      </c>
      <c r="M77" s="213">
        <v>46286</v>
      </c>
      <c r="N77" s="214">
        <v>1</v>
      </c>
      <c r="O77" s="202" t="str">
        <v>Blocked - log it on Rework Log</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Yes – Blocked in Prod</v>
      </c>
      <c r="F78" s="202" t="str">
        <v>Siddu</v>
      </c>
      <c r="G78" s="202" t="str">
        <v>Navya</v>
      </c>
      <c r="H78" s="202" t="str">
        <v>Preety</v>
      </c>
      <c r="I78" s="202" t="str">
        <v>Reginald Durham</v>
      </c>
      <c r="J78" s="213">
        <v>46253</v>
      </c>
      <c r="K78" s="213">
        <v>46262</v>
      </c>
      <c r="L78" s="213">
        <v>46269</v>
      </c>
      <c r="M78" s="213">
        <v>46282</v>
      </c>
      <c r="N78" s="214">
        <v>0</v>
      </c>
      <c r="O78" s="202" t="str">
        <v>Blocked - log it on Rework Log</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46295</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Yes – Blocked in Prod</v>
      </c>
      <c r="F81" s="202" t="str">
        <v>Sree</v>
      </c>
      <c r="G81" s="202" t="str">
        <v>Sarath</v>
      </c>
      <c r="H81" s="202" t="str">
        <v>Preety</v>
      </c>
      <c r="I81" s="202" t="str">
        <v>Oneil Lashley</v>
      </c>
      <c r="J81" s="213" t="str">
        <v/>
      </c>
      <c r="K81" s="213">
        <v>46268</v>
      </c>
      <c r="L81" s="213">
        <v>46282</v>
      </c>
      <c r="M81" s="213">
        <v>46286</v>
      </c>
      <c r="N81" s="214">
        <v>1</v>
      </c>
      <c r="O81" s="202" t="str">
        <v>Blocked - log it on Rework Log</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v>46301</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Ready for Release in Prod</v>
      </c>
      <c r="E83" s="202" t="str">
        <v>No</v>
      </c>
      <c r="F83" s="202" t="str">
        <v>Fetwi</v>
      </c>
      <c r="G83" s="202" t="str">
        <v>Navya</v>
      </c>
      <c r="H83" s="202" t="str">
        <v>Preety</v>
      </c>
      <c r="I83" s="202" t="str">
        <v>Oneil Lashley</v>
      </c>
      <c r="J83" s="213">
        <v>46253</v>
      </c>
      <c r="K83" s="213">
        <v>46266</v>
      </c>
      <c r="L83" s="213">
        <v>46290</v>
      </c>
      <c r="M83" s="213">
        <v>46301</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RELEASED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Yes – needs DPO Approval to fix</v>
      </c>
      <c r="F86" s="202" t="str">
        <v>Siddu</v>
      </c>
      <c r="G86" s="202" t="str">
        <v>Shraddha</v>
      </c>
      <c r="H86" s="202" t="str">
        <v>Olu</v>
      </c>
      <c r="I86" s="202" t="str">
        <v>Michelle Fitten</v>
      </c>
      <c r="J86" s="213">
        <v>46259</v>
      </c>
      <c r="K86" s="213">
        <v>46282</v>
      </c>
      <c r="L86" s="213">
        <v>46289</v>
      </c>
      <c r="M86" s="213" t="str">
        <v/>
      </c>
      <c r="N86" s="214">
        <v>0</v>
      </c>
      <c r="O86" s="202" t="str">
        <v>Blocked - log it on Rework Log</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DPO Approval</v>
      </c>
      <c r="E87" s="202" t="str">
        <v>No</v>
      </c>
      <c r="F87" s="202" t="str">
        <v>Siddu</v>
      </c>
      <c r="G87" s="202" t="str">
        <v>Navya</v>
      </c>
      <c r="H87" s="202" t="str">
        <v>Preety</v>
      </c>
      <c r="I87" s="202" t="str">
        <v>Alex Giangolini</v>
      </c>
      <c r="J87" s="213">
        <v>46266</v>
      </c>
      <c r="K87" s="213">
        <v>46294</v>
      </c>
      <c r="L87" s="213">
        <v>46300</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Yes – Blocked in Prod</v>
      </c>
      <c r="F95" s="202" t="str">
        <v>Fetwi</v>
      </c>
      <c r="G95" s="202" t="str">
        <v>Navya</v>
      </c>
      <c r="H95" s="202" t="str">
        <v>Preety</v>
      </c>
      <c r="I95" s="202" t="str">
        <v>Zishan Momin</v>
      </c>
      <c r="J95" s="213">
        <v>46259</v>
      </c>
      <c r="K95" s="213">
        <v>46281</v>
      </c>
      <c r="L95" s="213">
        <v>46293</v>
      </c>
      <c r="M95" s="213">
        <v>46297</v>
      </c>
      <c r="N95" s="214">
        <v>0</v>
      </c>
      <c r="O95" s="202" t="str">
        <v>Blocked - log it on Rework Log</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QA</v>
      </c>
      <c r="E96" s="202" t="str">
        <v>No</v>
      </c>
      <c r="F96" s="202" t="str">
        <v>Rupa</v>
      </c>
      <c r="G96" s="202" t="str">
        <v>Shraddha</v>
      </c>
      <c r="H96" s="202" t="str">
        <v>Preety</v>
      </c>
      <c r="I96" s="202" t="str">
        <v>Shaunna Peters</v>
      </c>
      <c r="J96" s="213">
        <v>46258</v>
      </c>
      <c r="K96" s="213">
        <v>46276</v>
      </c>
      <c r="L96" s="213">
        <v>46301</v>
      </c>
      <c r="M96" s="213" t="str">
        <v/>
      </c>
      <c r="N96" s="214">
        <v>0</v>
      </c>
      <c r="O96" s="202" t="str">
        <v>Move status to DPO Approval</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DPO Approval</v>
      </c>
      <c r="E97" s="202" t="str">
        <v/>
      </c>
      <c r="F97" s="202" t="str">
        <v>Rupa</v>
      </c>
      <c r="G97" s="202" t="str">
        <v>Shraddha</v>
      </c>
      <c r="H97" s="202" t="str">
        <v>Preety</v>
      </c>
      <c r="I97" s="202" t="str">
        <v>Simone Brooks</v>
      </c>
      <c r="J97" s="213">
        <v>46259</v>
      </c>
      <c r="K97" s="213">
        <v>46289</v>
      </c>
      <c r="L97" s="213">
        <v>46298</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Yes – needs DB Dev to fix</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Blocked - log it on Rework Log</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QA</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Navya</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Navya</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Shraddha</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Shraddha</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Navya</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Navya</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Shraddha</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Navya</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Shraddha</v>
      </c>
      <c r="H118" s="202" t="str">
        <v/>
      </c>
      <c r="I118" s="202" t="str">
        <v>Oneil Lashley</v>
      </c>
      <c r="J118" s="213">
        <v>46301</v>
      </c>
      <c r="K118" s="213" t="str">
        <v/>
      </c>
      <c r="L118" s="213" t="str">
        <v/>
      </c>
      <c r="M118" s="213" t="str">
        <v/>
      </c>
      <c r="N118" s="214">
        <v>0</v>
      </c>
      <c r="O118" s="202" t="str">
        <v>Move status to PBI Dev</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DB Dev</v>
      </c>
      <c r="E119" s="211" t="str">
        <v/>
      </c>
      <c r="F119" s="202" t="str">
        <v>Rupa</v>
      </c>
      <c r="G119" s="202" t="str">
        <v>Shraddha</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PBI Dev</v>
      </c>
      <c r="E120" s="202" t="str">
        <v/>
      </c>
      <c r="F120" s="202" t="str">
        <v>Rupa</v>
      </c>
      <c r="G120" s="202" t="str">
        <v>Navya</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DB Dev</v>
      </c>
      <c r="E121" s="202" t="str">
        <v/>
      </c>
      <c r="F121" s="202" t="str">
        <v>Greeta</v>
      </c>
      <c r="G121" s="202" t="str">
        <v>Shraddha</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PBI Dev</v>
      </c>
      <c r="E122" s="202" t="str">
        <v/>
      </c>
      <c r="F122" s="202" t="str">
        <v>Greeta</v>
      </c>
      <c r="G122" s="202" t="str">
        <v>Navya</v>
      </c>
      <c r="H122" s="202" t="str">
        <v/>
      </c>
      <c r="I122" s="202" t="str">
        <v>Shaunna Peters</v>
      </c>
      <c r="J122" s="213">
        <v>46296</v>
      </c>
      <c r="K122" s="213" t="str">
        <v/>
      </c>
      <c r="L122" s="213" t="str">
        <v/>
      </c>
      <c r="M122" s="213" t="str">
        <v/>
      </c>
      <c r="N122" s="214">
        <v>0</v>
      </c>
      <c r="O122" s="202" t="str">
        <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Navya</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Shraddha</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515</v>
      </c>
      <c r="C1" t="s">
        <v>516</v>
      </c>
      <c r="D1" t="s">
        <v>35</v>
      </c>
      <c r="E1" t="s">
        <v>517</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204</v>
      </c>
      <c r="D16" t="s">
        <v>464</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182</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182</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193</v>
      </c>
      <c r="C28" t="s">
        <v>182</v>
      </c>
      <c r="D28" t="s">
        <v>53</v>
      </c>
      <c r="E28" t="str">
        <f t="shared" si="0"/>
        <v>DPO Approval</v>
      </c>
    </row>
    <row r="29" spans="1:5">
      <c r="A29" t="s">
        <v>198</v>
      </c>
      <c r="B29" t="s">
        <v>193</v>
      </c>
      <c r="C29" t="s">
        <v>182</v>
      </c>
      <c r="D29" t="s">
        <v>53</v>
      </c>
      <c r="E29" t="str">
        <f t="shared" si="0"/>
        <v>DPO Approval</v>
      </c>
    </row>
    <row r="30" spans="1:5">
      <c r="A30" t="s">
        <v>202</v>
      </c>
      <c r="B30" t="s">
        <v>193</v>
      </c>
      <c r="C30" t="s">
        <v>128</v>
      </c>
      <c r="D30" t="s">
        <v>133</v>
      </c>
      <c r="E30" t="str">
        <f t="shared" si="0"/>
        <v>Blocked in Prod</v>
      </c>
    </row>
    <row r="31" spans="1:5">
      <c r="A31" t="s">
        <v>203</v>
      </c>
      <c r="B31" t="s">
        <v>193</v>
      </c>
      <c r="C31" t="s">
        <v>204</v>
      </c>
      <c r="D31" t="s">
        <v>205</v>
      </c>
      <c r="E31" t="str">
        <f t="shared" si="0"/>
        <v>Blocked - Build/QA</v>
      </c>
    </row>
    <row r="32" spans="1:5">
      <c r="A32" t="s">
        <v>207</v>
      </c>
      <c r="B32" t="s">
        <v>193</v>
      </c>
      <c r="C32" t="s">
        <v>182</v>
      </c>
      <c r="D32" t="s">
        <v>53</v>
      </c>
      <c r="E32" t="str">
        <f t="shared" si="0"/>
        <v>DPO Approval</v>
      </c>
    </row>
    <row r="33" spans="1:5">
      <c r="A33" t="s">
        <v>209</v>
      </c>
      <c r="B33" t="s">
        <v>193</v>
      </c>
      <c r="C33" t="s">
        <v>128</v>
      </c>
      <c r="D33" t="s">
        <v>133</v>
      </c>
      <c r="E33" t="str">
        <f t="shared" si="0"/>
        <v>Blocked in Prod</v>
      </c>
    </row>
    <row r="34" spans="1:5">
      <c r="A34" t="s">
        <v>211</v>
      </c>
      <c r="B34" t="s">
        <v>193</v>
      </c>
      <c r="C34" t="s">
        <v>182</v>
      </c>
      <c r="D34" t="s">
        <v>253</v>
      </c>
      <c r="E34" t="str">
        <f t="shared" ref="E34:E65" si="1">IF(C34="Ready for Release in Prod","Blocked in Prod",IF(C34="RELEASED IN PROD","Released",IF(LEFT(D34,3)="Yes","Blocked - Build/QA",IF(C34="NOT STARTED","Not Started",C34))))</f>
        <v>Blocked - Build/QA</v>
      </c>
    </row>
    <row r="35" spans="1:5">
      <c r="A35" t="s">
        <v>214</v>
      </c>
      <c r="B35" t="s">
        <v>193</v>
      </c>
      <c r="C35" t="s">
        <v>182</v>
      </c>
      <c r="D35" t="s">
        <v>53</v>
      </c>
      <c r="E35" t="str">
        <f t="shared" si="1"/>
        <v>DPO Approval</v>
      </c>
    </row>
    <row r="36" spans="1:5">
      <c r="A36" t="s">
        <v>216</v>
      </c>
      <c r="B36" t="s">
        <v>193</v>
      </c>
      <c r="C36" t="s">
        <v>219</v>
      </c>
      <c r="D36" t="s">
        <v>53</v>
      </c>
      <c r="E36" t="str">
        <f t="shared" si="1"/>
        <v>QA</v>
      </c>
    </row>
    <row r="37" spans="1:5">
      <c r="A37" t="s">
        <v>218</v>
      </c>
      <c r="B37" t="s">
        <v>193</v>
      </c>
      <c r="C37" t="s">
        <v>219</v>
      </c>
      <c r="D37" t="s">
        <v>53</v>
      </c>
      <c r="E37" t="str">
        <f t="shared" si="1"/>
        <v>QA</v>
      </c>
    </row>
    <row r="38" spans="1:5">
      <c r="A38" t="s">
        <v>221</v>
      </c>
      <c r="B38" t="s">
        <v>193</v>
      </c>
      <c r="C38" t="s">
        <v>182</v>
      </c>
      <c r="D38" t="s">
        <v>53</v>
      </c>
      <c r="E38" t="str">
        <f t="shared" si="1"/>
        <v>DPO Approval</v>
      </c>
    </row>
    <row r="39" spans="1:5">
      <c r="A39" t="s">
        <v>222</v>
      </c>
      <c r="B39" t="s">
        <v>193</v>
      </c>
      <c r="C39" t="s">
        <v>204</v>
      </c>
      <c r="D39" t="s">
        <v>53</v>
      </c>
      <c r="E39" t="str">
        <f t="shared" si="1"/>
        <v>PBI Dev</v>
      </c>
    </row>
    <row r="40" spans="1:5">
      <c r="A40" t="s">
        <v>223</v>
      </c>
      <c r="B40" t="s">
        <v>193</v>
      </c>
      <c r="C40" t="s">
        <v>262</v>
      </c>
      <c r="D40" t="s">
        <v>53</v>
      </c>
      <c r="E40" t="str">
        <f t="shared" si="1"/>
        <v>DB Dev</v>
      </c>
    </row>
    <row r="41" spans="1:5">
      <c r="A41" t="s">
        <v>227</v>
      </c>
      <c r="B41" t="s">
        <v>193</v>
      </c>
      <c r="C41" t="s">
        <v>204</v>
      </c>
      <c r="D41" t="s">
        <v>53</v>
      </c>
      <c r="E41" t="str">
        <f t="shared" si="1"/>
        <v>PBI Dev</v>
      </c>
    </row>
    <row r="42" spans="1:5">
      <c r="A42" t="s">
        <v>232</v>
      </c>
      <c r="B42" t="s">
        <v>193</v>
      </c>
      <c r="C42" t="s">
        <v>233</v>
      </c>
      <c r="D42" t="s">
        <v>53</v>
      </c>
      <c r="E42" t="str">
        <f t="shared" si="1"/>
        <v>Not Started</v>
      </c>
    </row>
    <row r="43" spans="1:5">
      <c r="A43" t="s">
        <v>236</v>
      </c>
      <c r="B43" t="s">
        <v>193</v>
      </c>
      <c r="C43" t="s">
        <v>204</v>
      </c>
      <c r="D43" t="s">
        <v>205</v>
      </c>
      <c r="E43" t="str">
        <f t="shared" si="1"/>
        <v>Blocked - Build/QA</v>
      </c>
    </row>
    <row r="44" spans="1:5">
      <c r="A44" t="s">
        <v>238</v>
      </c>
      <c r="B44" t="s">
        <v>193</v>
      </c>
      <c r="C44" t="s">
        <v>182</v>
      </c>
      <c r="D44" t="s">
        <v>53</v>
      </c>
      <c r="E44" t="str">
        <f t="shared" si="1"/>
        <v>DPO Approval</v>
      </c>
    </row>
    <row r="45" spans="1:5">
      <c r="A45" t="s">
        <v>241</v>
      </c>
      <c r="B45" t="s">
        <v>193</v>
      </c>
      <c r="C45" t="s">
        <v>204</v>
      </c>
      <c r="D45" t="s">
        <v>53</v>
      </c>
      <c r="E45" t="str">
        <f t="shared" si="1"/>
        <v>PBI Dev</v>
      </c>
    </row>
    <row r="46" spans="1:5">
      <c r="A46" t="s">
        <v>242</v>
      </c>
      <c r="B46" t="s">
        <v>243</v>
      </c>
      <c r="C46" t="s">
        <v>219</v>
      </c>
      <c r="E46" t="str">
        <f t="shared" si="1"/>
        <v>QA</v>
      </c>
    </row>
    <row r="47" spans="1:5">
      <c r="A47" t="s">
        <v>246</v>
      </c>
      <c r="B47" t="s">
        <v>243</v>
      </c>
      <c r="C47" t="s">
        <v>204</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204</v>
      </c>
      <c r="D51" t="s">
        <v>253</v>
      </c>
      <c r="E51" t="str">
        <f t="shared" si="1"/>
        <v>Blocked - Build/QA</v>
      </c>
    </row>
    <row r="52" spans="1:5">
      <c r="A52" t="s">
        <v>255</v>
      </c>
      <c r="B52" t="s">
        <v>243</v>
      </c>
      <c r="C52" t="s">
        <v>204</v>
      </c>
      <c r="E52" t="str">
        <f t="shared" si="1"/>
        <v>PBI Dev</v>
      </c>
    </row>
    <row r="53" spans="1:5">
      <c r="A53" t="s">
        <v>259</v>
      </c>
      <c r="B53" t="s">
        <v>243</v>
      </c>
      <c r="C53" t="s">
        <v>233</v>
      </c>
      <c r="E53" t="str">
        <f t="shared" si="1"/>
        <v>Not Started</v>
      </c>
    </row>
    <row r="54" spans="1:5">
      <c r="A54" t="s">
        <v>260</v>
      </c>
      <c r="B54" t="s">
        <v>243</v>
      </c>
      <c r="C54" t="s">
        <v>233</v>
      </c>
      <c r="E54" t="str">
        <f t="shared" si="1"/>
        <v>Not Started</v>
      </c>
    </row>
    <row r="55" spans="1:5">
      <c r="A55" t="s">
        <v>261</v>
      </c>
      <c r="B55" t="s">
        <v>243</v>
      </c>
      <c r="C55" t="s">
        <v>262</v>
      </c>
      <c r="E55" t="str">
        <f t="shared" si="1"/>
        <v>DB Dev</v>
      </c>
    </row>
    <row r="56" spans="1:5">
      <c r="A56" t="s">
        <v>265</v>
      </c>
      <c r="B56" t="s">
        <v>243</v>
      </c>
      <c r="C56" t="s">
        <v>204</v>
      </c>
      <c r="E56" t="str">
        <f t="shared" si="1"/>
        <v>PBI Dev</v>
      </c>
    </row>
    <row r="57" spans="1:5">
      <c r="A57" t="s">
        <v>267</v>
      </c>
      <c r="B57" t="s">
        <v>243</v>
      </c>
      <c r="C57" t="s">
        <v>204</v>
      </c>
      <c r="E57" t="str">
        <f t="shared" si="1"/>
        <v>PBI Dev</v>
      </c>
    </row>
    <row r="58" spans="1:5">
      <c r="A58" t="s">
        <v>268</v>
      </c>
      <c r="B58" t="s">
        <v>243</v>
      </c>
      <c r="C58" t="s">
        <v>233</v>
      </c>
      <c r="E58" t="str">
        <f t="shared" si="1"/>
        <v>Not Started</v>
      </c>
    </row>
    <row r="59" spans="1:5">
      <c r="A59" t="s">
        <v>270</v>
      </c>
      <c r="B59" t="s">
        <v>271</v>
      </c>
      <c r="C59" t="s">
        <v>233</v>
      </c>
      <c r="E59" t="str">
        <f t="shared" si="1"/>
        <v>Not Started</v>
      </c>
    </row>
    <row r="60" spans="1:5">
      <c r="A60" t="s">
        <v>274</v>
      </c>
      <c r="B60" t="s">
        <v>271</v>
      </c>
      <c r="C60" t="s">
        <v>233</v>
      </c>
      <c r="E60" t="str">
        <f t="shared" si="1"/>
        <v>Not Started</v>
      </c>
    </row>
    <row r="61" spans="1:5">
      <c r="A61" t="s">
        <v>275</v>
      </c>
      <c r="B61" t="s">
        <v>271</v>
      </c>
      <c r="C61" t="s">
        <v>233</v>
      </c>
      <c r="E61" t="str">
        <f t="shared" si="1"/>
        <v>Not Started</v>
      </c>
    </row>
    <row r="62" spans="1:5">
      <c r="A62" t="s">
        <v>277</v>
      </c>
      <c r="B62" t="s">
        <v>271</v>
      </c>
      <c r="C62" t="s">
        <v>233</v>
      </c>
      <c r="E62" t="str">
        <f t="shared" si="1"/>
        <v>Not Started</v>
      </c>
    </row>
    <row r="63" spans="1:5">
      <c r="A63" t="s">
        <v>278</v>
      </c>
      <c r="B63" t="s">
        <v>271</v>
      </c>
      <c r="C63" t="s">
        <v>233</v>
      </c>
      <c r="E63" t="str">
        <f t="shared" si="1"/>
        <v>Not Started</v>
      </c>
    </row>
    <row r="64" spans="1:5">
      <c r="A64" t="s">
        <v>280</v>
      </c>
      <c r="B64" t="s">
        <v>271</v>
      </c>
      <c r="C64" t="s">
        <v>233</v>
      </c>
      <c r="E64" t="str">
        <f t="shared" si="1"/>
        <v>Not Started</v>
      </c>
    </row>
    <row r="65" spans="1:5">
      <c r="A65" t="s">
        <v>282</v>
      </c>
      <c r="B65" t="s">
        <v>271</v>
      </c>
      <c r="C65" t="s">
        <v>233</v>
      </c>
      <c r="E65" t="str">
        <f t="shared" si="1"/>
        <v>Not Started</v>
      </c>
    </row>
    <row r="66" spans="1:5">
      <c r="A66" t="s">
        <v>284</v>
      </c>
      <c r="B66" t="s">
        <v>271</v>
      </c>
      <c r="C66" t="s">
        <v>233</v>
      </c>
      <c r="E66" t="str">
        <f t="shared" ref="E66:E97" si="2">IF(C66="Ready for Release in Prod","Blocked in Prod",IF(C66="RELEASED IN PROD","Released",IF(LEFT(D66,3)="Yes","Blocked - Build/QA",IF(C66="NOT STARTED","Not Started",C66))))</f>
        <v>Not Started</v>
      </c>
    </row>
    <row r="67" spans="1:5">
      <c r="A67" t="s">
        <v>286</v>
      </c>
      <c r="B67" t="s">
        <v>271</v>
      </c>
      <c r="C67" t="s">
        <v>233</v>
      </c>
      <c r="E67" t="str">
        <f t="shared" si="2"/>
        <v>Not Started</v>
      </c>
    </row>
    <row r="68" spans="1:5">
      <c r="A68" t="s">
        <v>287</v>
      </c>
      <c r="B68" t="s">
        <v>271</v>
      </c>
      <c r="C68" t="s">
        <v>233</v>
      </c>
      <c r="E68" t="str">
        <f t="shared" si="2"/>
        <v>Not Started</v>
      </c>
    </row>
    <row r="69" spans="1:5">
      <c r="A69" t="s">
        <v>290</v>
      </c>
      <c r="B69" t="s">
        <v>271</v>
      </c>
      <c r="C69" t="s">
        <v>233</v>
      </c>
      <c r="E69" t="str">
        <f t="shared" si="2"/>
        <v>Not Started</v>
      </c>
    </row>
    <row r="70" spans="1:5">
      <c r="A70" t="s">
        <v>292</v>
      </c>
      <c r="B70" t="s">
        <v>271</v>
      </c>
      <c r="C70" t="s">
        <v>233</v>
      </c>
      <c r="E70" t="str">
        <f t="shared" si="2"/>
        <v>Not Started</v>
      </c>
    </row>
    <row r="71" spans="1:5">
      <c r="A71" t="s">
        <v>295</v>
      </c>
      <c r="B71" t="s">
        <v>271</v>
      </c>
      <c r="C71" t="s">
        <v>233</v>
      </c>
      <c r="E71" t="str">
        <f t="shared" si="2"/>
        <v>Not Started</v>
      </c>
    </row>
    <row r="72" spans="1:5">
      <c r="A72" t="s">
        <v>296</v>
      </c>
      <c r="B72" t="s">
        <v>271</v>
      </c>
      <c r="C72" t="s">
        <v>233</v>
      </c>
      <c r="E72" t="str">
        <f t="shared" si="2"/>
        <v>Not Started</v>
      </c>
    </row>
    <row r="73" spans="1:5">
      <c r="A73" t="s">
        <v>299</v>
      </c>
      <c r="B73" t="s">
        <v>271</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518</v>
      </c>
      <c r="B1" t="s">
        <v>519</v>
      </c>
      <c r="C1" t="s">
        <v>520</v>
      </c>
    </row>
    <row r="2" spans="1:3">
      <c r="A2" t="s">
        <v>504</v>
      </c>
      <c r="B2" t="s">
        <v>504</v>
      </c>
      <c r="C2" t="s">
        <v>504</v>
      </c>
    </row>
    <row r="3" spans="1:3">
      <c r="A3" t="str" cm="1">
        <f t="array" ref="A3:A7">_xlfn.LET(_xlpm.u,_xlfn.UNIQUE(_xlfn._xlws.FILTER(cmsMonth,(cmsDom="CMS")*(cmsMonth&lt;&gt;""))),_xlfn.SORTBY(_xlpm.u,MONTH(DATEVALUE("1 "&amp;_xlpm.u&amp;" 2026"))))</f>
        <v>July</v>
      </c>
      <c r="B3" t="s">
        <v>491</v>
      </c>
      <c r="C3" t="str" cm="1">
        <f t="array" ref="C3:C18">_xlfn.LET(_xlpm.v,_xlfn.VSTACK(cmsDBDev,cmsPBIDev,cmsQA),_xlpm.d,_xlfn.VSTACK(cmsDom,cmsDom,cmsDom),_xlfn._xlws.SORT(_xlfn.UNIQUE(_xlfn._xlws.FILTER(_xlpm.v,(_xlpm.d="CMS")*(_xlpm.v&lt;&gt;"")))))</f>
        <v>Bardia</v>
      </c>
    </row>
    <row r="4" spans="1:3">
      <c r="A4" t="str">
        <v>August</v>
      </c>
      <c r="B4" t="s">
        <v>492</v>
      </c>
      <c r="C4" t="str">
        <v>Fetwi</v>
      </c>
    </row>
    <row r="5" spans="1:3">
      <c r="A5" t="str">
        <v>September</v>
      </c>
      <c r="B5" t="s">
        <v>182</v>
      </c>
      <c r="C5" t="str">
        <v>Geetha</v>
      </c>
    </row>
    <row r="6" spans="1:3">
      <c r="A6" t="str">
        <v>October</v>
      </c>
      <c r="B6" t="s">
        <v>219</v>
      </c>
      <c r="C6" t="str">
        <v>Greeta</v>
      </c>
    </row>
    <row r="7" spans="1:3">
      <c r="A7" t="str">
        <v>November</v>
      </c>
      <c r="B7" t="s">
        <v>204</v>
      </c>
      <c r="C7" t="str">
        <v>Kushal</v>
      </c>
    </row>
    <row r="8" spans="1:3">
      <c r="B8" t="s">
        <v>262</v>
      </c>
      <c r="C8" t="str">
        <v>Michael</v>
      </c>
    </row>
    <row r="9" spans="1:3">
      <c r="B9" t="s">
        <v>486</v>
      </c>
      <c r="C9" t="str">
        <v>Navya</v>
      </c>
    </row>
    <row r="10" spans="1:3">
      <c r="B10" t="s">
        <v>493</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2026-10-07T13:19:36Z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