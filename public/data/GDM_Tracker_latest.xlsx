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66" documentId="13_ncr:1_{52745E9B-3AA1-4770-AAD3-E6166BFC13AE}" xr6:coauthVersionLast="47" xr6:coauthVersionMax="47" xr10:uidLastSave="{0B849884-D53B-45EC-843E-8CFB68EAEDBB}"/>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<sst xmlns="http://schemas.openxmlformats.org/spreadsheetml/2006/main" count="3671" uniqueCount="529">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</sst>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3">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90" activePane="bottomLeft" state="frozen"/>
      <selection pane="bottomLeft" activeCell="B58" sqref="B58"/>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332</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2" priority="74">
      <formula>AND($B2&lt;&gt;"",MOD(ROW(),2)=0)</formula>
    </cfRule>
  </conditionalFormatting>
  <conditionalFormatting sqref="C2:C119">
    <cfRule type="expression" dxfId="171" priority="635">
      <formula>LEFT($AK2,4)="Move"</formula>
    </cfRule>
  </conditionalFormatting>
  <conditionalFormatting sqref="D2:D528">
    <cfRule type="expression" dxfId="170" priority="58">
      <formula>ISNUMBER(SEARCH("Blocked",$D2))</formula>
    </cfRule>
    <cfRule type="expression" dxfId="169" priority="59">
      <formula>ISNUMBER(SEARCH("overdue",$D2))</formula>
    </cfRule>
    <cfRule type="expression" dxfId="168" priority="60">
      <formula>ISNUMBER(SEARCH("no target",$D2))</formula>
    </cfRule>
    <cfRule type="expression" dxfId="167" priority="61">
      <formula>ISNUMBER(SEARCH("Review",$D2))</formula>
    </cfRule>
    <cfRule type="expression" dxfId="166" priority="62">
      <formula>OR($D2="On track",$D2="Delivered")</formula>
    </cfRule>
  </conditionalFormatting>
  <conditionalFormatting sqref="D88">
    <cfRule type="expression" dxfId="165" priority="634">
      <formula>AND($B50&lt;&gt;"",MOD(ROW(),2)=0)</formula>
    </cfRule>
  </conditionalFormatting>
  <conditionalFormatting sqref="J2:O119">
    <cfRule type="expression" dxfId="164" priority="36">
      <formula>$AJ2="Yes – needs DB Dev to fix"</formula>
    </cfRule>
  </conditionalFormatting>
  <conditionalFormatting sqref="J117:O193">
    <cfRule type="expression" dxfId="163" priority="41">
      <formula>$AH117="Yes – needs DB Dev to fix"</formula>
    </cfRule>
  </conditionalFormatting>
  <conditionalFormatting sqref="K41">
    <cfRule type="expression" dxfId="162" priority="617">
      <formula>AND($B41&lt;&gt;"",MOD(ROW(),2)=0)</formula>
    </cfRule>
    <cfRule type="expression" dxfId="161" priority="618">
      <formula>$AJ41="Yes – needs DB Dev to fix"</formula>
    </cfRule>
  </conditionalFormatting>
  <conditionalFormatting sqref="K42">
    <cfRule type="expression" dxfId="160" priority="620">
      <formula>$AJ41="Yes – needs DB Dev to fix"</formula>
    </cfRule>
    <cfRule type="expression" dxfId="159" priority="619">
      <formula>AND($B41&lt;&gt;"",MOD(ROW(),2)=0)</formula>
    </cfRule>
  </conditionalFormatting>
  <conditionalFormatting sqref="K73:L100">
    <cfRule type="expression" dxfId="158" priority="133">
      <formula>$AF73="Yes – needs DB Dev to fix"</formula>
    </cfRule>
  </conditionalFormatting>
  <conditionalFormatting sqref="K101:L116">
    <cfRule type="expression" dxfId="157" priority="363">
      <formula>$AA101="Yes – needs DB Dev to fix"</formula>
    </cfRule>
  </conditionalFormatting>
  <conditionalFormatting sqref="K117:L528">
    <cfRule type="expression" dxfId="156" priority="590">
      <formula>$X117="Yes – needs DB Dev to fix"</formula>
    </cfRule>
  </conditionalFormatting>
  <conditionalFormatting sqref="M73">
    <cfRule type="expression" dxfId="155" priority="40">
      <formula>$AF73="Yes – needs DB Dev to fix"</formula>
    </cfRule>
  </conditionalFormatting>
  <conditionalFormatting sqref="M79:M81">
    <cfRule type="expression" dxfId="154" priority="14">
      <formula>$AF79="Yes – needs DB Dev to fix"</formula>
    </cfRule>
  </conditionalFormatting>
  <conditionalFormatting sqref="M83:M84">
    <cfRule type="expression" dxfId="153" priority="16">
      <formula>$AF83="Yes – needs DB Dev to fix"</formula>
    </cfRule>
  </conditionalFormatting>
  <conditionalFormatting sqref="M91">
    <cfRule type="expression" dxfId="152" priority="20">
      <formula>$AF91="Yes – needs DB Dev to fix"</formula>
    </cfRule>
  </conditionalFormatting>
  <conditionalFormatting sqref="M93:M94">
    <cfRule type="expression" dxfId="151" priority="13">
      <formula>$AF93="Yes – needs DB Dev to fix"</formula>
    </cfRule>
  </conditionalFormatting>
  <conditionalFormatting sqref="M73:P100">
    <cfRule type="expression" dxfId="150" priority="318">
      <formula>$AD73="Yes – needs PBI Dev to fix"</formula>
    </cfRule>
  </conditionalFormatting>
  <conditionalFormatting sqref="M101:P116">
    <cfRule type="expression" dxfId="149" priority="365">
      <formula>$AA101="Yes – needs PBI Dev to fix"</formula>
    </cfRule>
  </conditionalFormatting>
  <conditionalFormatting sqref="M117:P528">
    <cfRule type="expression" dxfId="148" priority="591">
      <formula>$X117="Yes – needs PBI Dev to fix"</formula>
    </cfRule>
  </conditionalFormatting>
  <conditionalFormatting sqref="N58">
    <cfRule type="expression" dxfId="147" priority="21">
      <formula>$AD58="Yes – needs PBI Dev to fix"</formula>
    </cfRule>
  </conditionalFormatting>
  <conditionalFormatting sqref="N70">
    <cfRule type="expression" dxfId="146" priority="22">
      <formula>$AD70="Yes – needs PBI Dev to fix"</formula>
    </cfRule>
  </conditionalFormatting>
  <conditionalFormatting sqref="N82">
    <cfRule type="expression" dxfId="145" priority="18">
      <formula>$AD82="Yes – needs PBI Dev to fix"</formula>
    </cfRule>
  </conditionalFormatting>
  <conditionalFormatting sqref="O101:O113">
    <cfRule type="expression" dxfId="144" priority="15">
      <formula>$AD101="Yes – needs PBI Dev to fix"</formula>
    </cfRule>
  </conditionalFormatting>
  <conditionalFormatting sqref="Q73:Q100">
    <cfRule type="expression" dxfId="143" priority="34">
      <formula>$AJ73="Yes – needs DB Dev to fix"</formula>
    </cfRule>
    <cfRule type="expression" dxfId="142" priority="35">
      <formula>$AF73="Yes – needs DB Dev to fix"</formula>
    </cfRule>
    <cfRule type="expression" dxfId="141" priority="137">
      <formula>$AF73="Yes – needs PBI Dev to fix"</formula>
    </cfRule>
  </conditionalFormatting>
  <conditionalFormatting sqref="Q101:R116 X101:X116 V101:V119">
    <cfRule type="expression" dxfId="140" priority="33">
      <formula>$AA101="Yes – needs QA to fix"</formula>
    </cfRule>
  </conditionalFormatting>
  <conditionalFormatting sqref="Q117:R528">
    <cfRule type="expression" dxfId="139" priority="592">
      <formula>$X117="Yes – needs QA to fix"</formula>
    </cfRule>
  </conditionalFormatting>
  <conditionalFormatting sqref="Q2:U64 U10:V19 X10:X19 J29 M29:P29 J32:J33 M32:P33 K40:K41 M40:P41 Q65 T65:U65 Q66:U115 V101:V115 X101:X116 Q116:V116">
    <cfRule type="expression" dxfId="138" priority="48">
      <formula>$AJ2="Yes – needs PBI Dev to fix"</formula>
    </cfRule>
  </conditionalFormatting>
  <conditionalFormatting sqref="R58">
    <cfRule type="expression" dxfId="137" priority="335">
      <formula>$AJ65="Yes – needs PBI Dev to fix"</formula>
    </cfRule>
    <cfRule type="expression" dxfId="136" priority="333">
      <formula>AND($B65&lt;&gt;"",MOD(ROW(),2)=0)</formula>
    </cfRule>
  </conditionalFormatting>
  <conditionalFormatting sqref="R60">
    <cfRule type="expression" dxfId="135" priority="26">
      <formula>$AJ67="Yes – needs PBI Dev to fix"</formula>
    </cfRule>
    <cfRule type="expression" dxfId="134" priority="25">
      <formula>AND($B67&lt;&gt;"",MOD(ROW(),2)=0)</formula>
    </cfRule>
  </conditionalFormatting>
  <conditionalFormatting sqref="R60:S60">
    <cfRule type="expression" dxfId="133" priority="23">
      <formula>AND($B67&lt;&gt;"",MOD(ROW(),2)=0)</formula>
    </cfRule>
    <cfRule type="expression" dxfId="132" priority="24">
      <formula>$AJ67="Yes – needs PBI Dev to fix"</formula>
    </cfRule>
  </conditionalFormatting>
  <conditionalFormatting sqref="R73:U100 T96:T101">
    <cfRule type="expression" dxfId="131" priority="139">
      <formula>$AF73="Yes – needs QA to fix"</formula>
    </cfRule>
  </conditionalFormatting>
  <conditionalFormatting sqref="S101:U116">
    <cfRule type="expression" dxfId="130" priority="379">
      <formula>$AA101="Yes – needs DPO Approval to fix"</formula>
    </cfRule>
  </conditionalFormatting>
  <conditionalFormatting sqref="S117:U528">
    <cfRule type="expression" dxfId="129" priority="593">
      <formula>$X117="Yes – needs DPO Approval to fix"</formula>
    </cfRule>
  </conditionalFormatting>
  <conditionalFormatting sqref="X101:X528 U101:V528">
    <cfRule type="expression" dxfId="128" priority="66">
      <formula>$V101="Yes"</formula>
    </cfRule>
  </conditionalFormatting>
  <conditionalFormatting sqref="U73:Y100">
    <cfRule type="expression" dxfId="127" priority="141">
      <formula>$AF73="Yes – needs DPO Approval to fix"</formula>
    </cfRule>
  </conditionalFormatting>
  <conditionalFormatting sqref="X117:X528">
    <cfRule type="expression" dxfId="126" priority="594">
      <formula>LEFT($X117,3)="Yes"</formula>
    </cfRule>
  </conditionalFormatting>
  <conditionalFormatting sqref="X73:Z100">
    <cfRule type="expression" dxfId="125" priority="493">
      <formula>$Y73="Yes"</formula>
    </cfRule>
  </conditionalFormatting>
  <conditionalFormatting sqref="Z117:AA528">
    <cfRule type="expression" dxfId="124" priority="71">
      <formula>ISNUMBER(SEARCH("log it",$Z117))</formula>
    </cfRule>
    <cfRule type="expression" dxfId="123" priority="71">
      <formula>ISNUMBER(SEARCH("Open rework",$Z117))</formula>
    </cfRule>
    <cfRule type="expression" dxfId="122" priority="73">
      <formula>$Z117&lt;&gt;""</formula>
    </cfRule>
    <cfRule type="expression" dxfId="121" priority="72">
      <formula>ISNUMBER(SEARCH("Duplicate",$Z117))</formula>
    </cfRule>
    <cfRule type="expression" dxfId="120" priority="71">
      <formula>ISNUMBER(SEARCH("Move old",$Z117))</formula>
    </cfRule>
  </conditionalFormatting>
  <conditionalFormatting sqref="AA3">
    <cfRule type="expression" dxfId="119" priority="622">
      <formula>$AJ3="Yes – needs DPO Approval to fix"</formula>
    </cfRule>
    <cfRule type="expression" dxfId="118" priority="621">
      <formula>AND($B3&lt;&gt;"",MOD(ROW(),2)=0)</formula>
    </cfRule>
  </conditionalFormatting>
  <conditionalFormatting sqref="AA101:AA115 U116:AA116 U2:Z54 U55:X55 Z55 U56:Z58 U59:X59 Z59 U60:Z70 U71:W71 Z71 U72:Z116">
    <cfRule type="expression" dxfId="117" priority="31">
      <formula>$AJ2="Yes – needs QA to fix"</formula>
    </cfRule>
  </conditionalFormatting>
  <conditionalFormatting sqref="AA101:AA116">
    <cfRule type="expression" dxfId="116" priority="28">
      <formula>$AJ101="Yes – needs PBI Dev to fix"</formula>
    </cfRule>
    <cfRule type="expression" dxfId="115" priority="29">
      <formula>$AA101="Yes – needs QA to fix"</formula>
    </cfRule>
    <cfRule type="expression" dxfId="114" priority="30">
      <formula>$V101="Yes"</formula>
    </cfRule>
    <cfRule type="expression" dxfId="113" priority="387">
      <formula>LEFT($AA101,3)="Yes"</formula>
    </cfRule>
  </conditionalFormatting>
  <conditionalFormatting sqref="AA2:AE2 AB3:AE3 AA4:AE100">
    <cfRule type="expression" dxfId="112" priority="115">
      <formula>$AJ2="Yes – needs DPO Approval to fix"</formula>
    </cfRule>
  </conditionalFormatting>
  <conditionalFormatting sqref="AB101:AC116">
    <cfRule type="expression" dxfId="111" priority="395">
      <formula>ISNUMBER(SEARCH("Open rework",$AB101))</formula>
    </cfRule>
    <cfRule type="expression" dxfId="110" priority="396">
      <formula>ISNUMBER(SEARCH("Move old",$AB101))</formula>
    </cfRule>
    <cfRule type="expression" dxfId="109" priority="397">
      <formula>ISNUMBER(SEARCH("log it",$AB101))</formula>
    </cfRule>
    <cfRule type="expression" dxfId="108" priority="398">
      <formula>ISNUMBER(SEARCH("Duplicate",$AB101))</formula>
    </cfRule>
    <cfRule type="expression" dxfId="107" priority="399">
      <formula>$AB101&lt;&gt;""</formula>
    </cfRule>
  </conditionalFormatting>
  <conditionalFormatting sqref="AF2:AF119">
    <cfRule type="expression" dxfId="106" priority="87">
      <formula>$AF2="Yes"</formula>
    </cfRule>
  </conditionalFormatting>
  <conditionalFormatting sqref="AF73:AF100">
    <cfRule type="expression" dxfId="105" priority="145">
      <formula>LEFT($AF73,3)="Yes"</formula>
    </cfRule>
  </conditionalFormatting>
  <conditionalFormatting sqref="AG73:AG100">
    <cfRule type="expression" dxfId="104" priority="155">
      <formula>$AG73&lt;&gt;""</formula>
    </cfRule>
    <cfRule type="expression" dxfId="103" priority="152">
      <formula>ISNUMBER(SEARCH("Move old",$AG73))</formula>
    </cfRule>
    <cfRule type="expression" dxfId="102" priority="154">
      <formula>ISNUMBER(SEARCH("Duplicate",$AG73))</formula>
    </cfRule>
    <cfRule type="expression" dxfId="101" priority="153">
      <formula>ISNUMBER(SEARCH("log it",$AG73))</formula>
    </cfRule>
    <cfRule type="expression" dxfId="100" priority="151">
      <formula>ISNUMBER(SEARCH("Open rework",$AG73))</formula>
    </cfRule>
  </conditionalFormatting>
  <conditionalFormatting sqref="AJ2:AJ119">
    <cfRule type="expression" dxfId="99" priority="89">
      <formula>LEFT($AJ2,3)="Yes"</formula>
    </cfRule>
  </conditionalFormatting>
  <conditionalFormatting sqref="AK2:AK119">
    <cfRule type="expression" dxfId="98" priority="97">
      <formula>ISNUMBER(SEARCH("Move old",$AK2))</formula>
    </cfRule>
    <cfRule type="expression" dxfId="97" priority="95">
      <formula>ISNUMBER(SEARCH("log it",$AK2))</formula>
    </cfRule>
    <cfRule type="expression" dxfId="96" priority="96">
      <formula>ISNUMBER(SEARCH("Open rework",$AK2))</formula>
    </cfRule>
    <cfRule type="expression" dxfId="95" priority="99">
      <formula>$AK2&lt;&gt;""</formula>
    </cfRule>
    <cfRule type="expression" dxfId="94" priority="98">
      <formula>ISNUMBER(SEARCH("Duplicate",$AK2))</formula>
    </cfRule>
  </conditionalFormatting>
  <conditionalFormatting sqref="AL45:AL47">
    <cfRule type="expression" dxfId="93" priority="38">
      <formula>AND($B49&lt;&gt;"",MOD(ROW(),2)=0)</formula>
    </cfRule>
  </conditionalFormatting>
  <conditionalFormatting sqref="L109:L110">
    <cfRule type="expression" dxfId="92" priority="12">
      <formula>$AA109="Yes – needs PBI Dev to fix"</formula>
    </cfRule>
  </conditionalFormatting>
  <conditionalFormatting sqref="N109:N110">
    <cfRule type="expression" dxfId="91" priority="11">
      <formula>$AD109="Yes – needs PBI Dev to fix"</formula>
    </cfRule>
  </conditionalFormatting>
  <conditionalFormatting sqref="K117:K119">
    <cfRule type="expression" dxfId="90" priority="10">
      <formula>$AA117="Yes – needs DB Dev to fix"</formula>
    </cfRule>
  </conditionalFormatting>
  <conditionalFormatting sqref="Q117:Q119">
    <cfRule type="expression" dxfId="89" priority="8">
      <formula>$AA117="Yes – needs QA to fix"</formula>
    </cfRule>
  </conditionalFormatting>
  <conditionalFormatting sqref="Q117:Q119">
    <cfRule type="expression" dxfId="88" priority="9">
      <formula>$AJ117="Yes – needs PBI Dev to fix"</formula>
    </cfRule>
  </conditionalFormatting>
  <conditionalFormatting sqref="K117:K119">
    <cfRule type="expression" dxfId="87" priority="7">
      <formula>$AA117="Yes – needs DB Dev to fix"</formula>
    </cfRule>
  </conditionalFormatting>
  <conditionalFormatting sqref="Q117:Q119">
    <cfRule type="expression" dxfId="86" priority="5">
      <formula>$AA117="Yes – needs QA to fix"</formula>
    </cfRule>
  </conditionalFormatting>
  <conditionalFormatting sqref="Q117:Q119">
    <cfRule type="expression" dxfId="85" priority="6">
      <formula>$AJ117="Yes – needs PBI Dev to fix"</formula>
    </cfRule>
  </conditionalFormatting>
  <conditionalFormatting sqref="V117:V119">
    <cfRule type="expression" dxfId="84" priority="4">
      <formula>$AJ117="Yes – needs PBI Dev to fix"</formula>
    </cfRule>
  </conditionalFormatting>
  <conditionalFormatting sqref="V117:V119">
    <cfRule type="expression" dxfId="83" priority="3">
      <formula>$AJ117="Yes – needs QA to fix"</formula>
    </cfRule>
  </conditionalFormatting>
  <conditionalFormatting sqref="M109">
    <cfRule type="expression" dxfId="82" priority="2">
      <formula>$AA109="Yes – needs DB Dev to fix"</formula>
    </cfRule>
  </conditionalFormatting>
  <conditionalFormatting sqref="M109">
    <cfRule type="expression" dxfId="81" priority="1">
      <formula>$AA109="Yes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Q66:R528 L117:M528 L2:L10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43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29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23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15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1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311</v>
      </c>
      <c r="B6" t="s">
        <v>84</v>
      </c>
      <c r="F6" t="s">
        <v>206</v>
      </c>
      <c r="G6" t="s">
        <v>84</v>
      </c>
      <c r="H6" t="s">
        <v>144</v>
      </c>
      <c r="I6" t="s">
        <v>472</v>
      </c>
      <c r="J6" t="s">
        <v>187</v>
      </c>
      <c r="M6" t="s">
        <v>48</v>
      </c>
      <c r="N6" t="s">
        <v>471</v>
      </c>
    </row>
    <row r="7" spans="1:20" ht="15" customHeight="1">
      <c r="A7" t="s">
        <v>302</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4" t="str">
        <f ca="1">"As of "&amp;TEXT(TODAY(),"d mmm yyyy")&amp;". Live from Combined Delivery Data."</f>
        <v>As of 15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25" t="str">
        <f>IF(C7+E7=0,"No CMS reports are blocked.","reports are blocked. "&amp;C7&amp;" are approved and waiting for a production release, "&amp;E7&amp;" are blocked in build or QA.")</f>
        <v>reports are blocked. 28 are approved and waiting for a production release, 3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28</v>
      </c>
      <c r="D7" s="227"/>
      <c r="E7" s="230" cm="1">
        <f t="array" ref="E7">COUNTIFS(cmsDom,"CMS",cmsBlocked,"Yes*",cmsStatus,"&lt;&gt;Ready for Release in Prod",cmsStatus,"&lt;&gt;RELEASED IN PROD")</f>
        <v>3</v>
      </c>
      <c r="F7" s="231"/>
      <c r="G7" s="232" cm="1">
        <f t="array" ref="G7">SUM(COUNTIFS(cmsDom,"CMS",cmsBlocked,"&lt;&gt;Yes*",cmsStatus,{"DB Dev","PBI Dev","QA","DPO Approval"}))</f>
        <v>27</v>
      </c>
      <c r="H7" s="233"/>
      <c r="I7" s="234" cm="1">
        <f t="array" ref="I7">COUNTIFS(cmsDom,"CMS",cmsBlocked,"&lt;&gt;Yes*",cmsStatus,"NOT STARTED")</f>
        <v>13</v>
      </c>
      <c r="J7" s="235"/>
      <c r="K7" s="236" cm="1">
        <f t="array" ref="K7">COUNTIFS(cmsDom,"CMS",cmsStatus,"RELEASED IN PROD")</f>
        <v>1</v>
      </c>
      <c r="L7" s="237"/>
      <c r="M7" s="238" t="s">
        <v>490</v>
      </c>
      <c r="N7" s="239"/>
      <c r="O7" s="240"/>
      <c r="P7" s="142"/>
      <c r="Q7" s="142"/>
      <c r="R7" s="142"/>
      <c r="S7" s="142"/>
      <c r="T7" s="142"/>
      <c r="U7" s="142"/>
      <c r="V7" s="142"/>
      <c r="W7" s="142"/>
      <c r="X7" s="142"/>
      <c r="Y7" s="142"/>
      <c r="Z7" s="142"/>
    </row>
    <row r="8" spans="1:26" ht="30" customHeight="1">
      <c r="A8" s="142"/>
      <c r="B8" s="142"/>
      <c r="C8" s="228" t="s">
        <v>491</v>
      </c>
      <c r="D8" s="229"/>
      <c r="E8" s="228" t="s">
        <v>492</v>
      </c>
      <c r="F8" s="229"/>
      <c r="G8" s="228" t="s">
        <v>493</v>
      </c>
      <c r="H8" s="229"/>
      <c r="I8" s="228" t="s">
        <v>494</v>
      </c>
      <c r="J8" s="229"/>
      <c r="K8" s="228" t="s">
        <v>495</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8" t="s">
        <v>497</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9" t="s">
        <v>504</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36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15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15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46 days to milestone, 1 blocked</v>
      </c>
      <c r="N15" s="243"/>
      <c r="O15" s="244"/>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77 days to milestone</v>
      </c>
      <c r="N16" s="246"/>
      <c r="O16" s="247"/>
      <c r="P16" s="142"/>
      <c r="Q16" s="142"/>
      <c r="R16" s="142"/>
      <c r="S16" s="142"/>
      <c r="T16" s="142"/>
      <c r="U16" s="142"/>
      <c r="V16" s="142"/>
      <c r="W16" s="142"/>
      <c r="X16" s="142"/>
      <c r="Y16" s="142"/>
      <c r="Z16" s="142"/>
    </row>
    <row r="17" spans="1:26" ht="24" customHeight="1">
      <c r="A17" s="142"/>
      <c r="B17" s="157" t="s">
        <v>505</v>
      </c>
      <c r="C17" s="169">
        <f t="shared" ref="C17:K17" si="0">SUM(C12:C16)</f>
        <v>28</v>
      </c>
      <c r="D17" s="169">
        <f t="shared" si="0"/>
        <v>3</v>
      </c>
      <c r="E17" s="169">
        <f t="shared" si="0"/>
        <v>8</v>
      </c>
      <c r="F17" s="169">
        <f t="shared" si="0"/>
        <v>7</v>
      </c>
      <c r="G17" s="169">
        <f t="shared" si="0"/>
        <v>8</v>
      </c>
      <c r="H17" s="169">
        <f t="shared" si="0"/>
        <v>4</v>
      </c>
      <c r="I17" s="169">
        <f t="shared" si="0"/>
        <v>13</v>
      </c>
      <c r="J17" s="169">
        <f t="shared" si="0"/>
        <v>1</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8" t="s">
        <v>507</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8" t="s">
        <v>508</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498</v>
      </c>
      <c r="D49" s="260"/>
      <c r="E49" s="260" t="s">
        <v>440</v>
      </c>
      <c r="F49" s="260"/>
      <c r="G49" s="260" t="s">
        <v>450</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512</v>
      </c>
      <c r="D50" s="262"/>
      <c r="E50" s="261" t="s">
        <v>512</v>
      </c>
      <c r="F50" s="262"/>
      <c r="G50" s="261" t="s">
        <v>512</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2026-10-15T16:36:55Z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