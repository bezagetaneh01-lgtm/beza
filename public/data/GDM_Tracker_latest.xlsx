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822" documentId="13_ncr:1_{52745E9B-3AA1-4770-AAD3-E6166BFC13AE}" xr6:coauthVersionLast="47" xr6:coauthVersionMax="47" xr10:uidLastSave="{25947E3B-DA19-4CCF-947F-262FCBE8B09D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<sst xmlns="http://schemas.openxmlformats.org/spreadsheetml/2006/main" count="2201" uniqueCount="262">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</sst>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Normal="100" workbookViewId="0">
      <pane xSplit="2" ySplit="28" topLeftCell="AA30" activePane="bottomRight" state="frozen"/>
      <selection pane="bottomRight" activeCell="B31" sqref="B31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122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122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130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131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46245</v>
      </c>
      <c r="R35" s="36"/>
      <c r="S35" s="70"/>
      <c r="T35" s="55" t="s">
        <v>131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122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136</v>
      </c>
      <c r="C37" s="33" t="s">
        <v>130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/>
      <c r="S37" s="70"/>
      <c r="T37" s="55" t="s">
        <v>131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130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131</v>
      </c>
      <c r="U38" s="60">
        <v>46227</v>
      </c>
      <c r="V38" s="36">
        <v>46251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125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122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145</v>
      </c>
      <c r="C41" s="33" t="s">
        <v>125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46251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122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146</v>
      </c>
      <c r="C42" s="33" t="s">
        <v>130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148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2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152</v>
      </c>
      <c r="C44" s="33" t="s">
        <v>125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153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6" t="s">
        <v>69</v>
      </c>
      <c r="P45" s="4">
        <v>46241</v>
      </c>
      <c r="Q45" s="36">
        <v>46252</v>
      </c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154</v>
      </c>
      <c r="C46" s="33" t="s">
        <v>130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155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156</v>
      </c>
      <c r="C47" s="33" t="s">
        <v>130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150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157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158</v>
      </c>
      <c r="C48" s="33" t="s">
        <v>125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157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159</v>
      </c>
      <c r="C49" s="33" t="s">
        <v>125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150</v>
      </c>
      <c r="J49" s="33" t="s">
        <v>140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160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157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161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150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157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162</v>
      </c>
      <c r="C52" s="33" t="s">
        <v>125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157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163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164</v>
      </c>
      <c r="C54" s="33" t="s">
        <v>125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150</v>
      </c>
      <c r="J54" s="33" t="s">
        <v>76</v>
      </c>
      <c r="K54" s="4">
        <v>46234</v>
      </c>
      <c r="L54" s="36"/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165</v>
      </c>
      <c r="C55" s="33" t="s">
        <v>166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167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168</v>
      </c>
      <c r="C56" s="33" t="s">
        <v>166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167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169</v>
      </c>
      <c r="C57" s="33" t="s">
        <v>166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167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170</v>
      </c>
      <c r="C58" s="33" t="s">
        <v>166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167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171</v>
      </c>
      <c r="C59" s="33" t="s">
        <v>166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173</v>
      </c>
      <c r="C60" s="33" t="s">
        <v>166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167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174</v>
      </c>
      <c r="C61" s="33" t="s">
        <v>166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175</v>
      </c>
      <c r="C62" s="33" t="s">
        <v>166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167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176</v>
      </c>
      <c r="C63" s="33" t="s">
        <v>166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167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177</v>
      </c>
      <c r="C64" s="33" t="s">
        <v>166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167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178</v>
      </c>
      <c r="C65" s="33" t="s">
        <v>166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167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179</v>
      </c>
      <c r="C66" s="33" t="s">
        <v>166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167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180</v>
      </c>
      <c r="C67" s="33" t="s">
        <v>166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167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181</v>
      </c>
      <c r="C68" s="33" t="s">
        <v>166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167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182</v>
      </c>
      <c r="C69" s="33" t="s">
        <v>166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167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183</v>
      </c>
      <c r="C70" s="33" t="s">
        <v>166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167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184</v>
      </c>
      <c r="C71" s="33" t="s">
        <v>166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167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185</v>
      </c>
      <c r="C72" s="33" t="s">
        <v>166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167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6" priority="34">
      <formula>AND($B2&lt;&gt;"",MOD(ROW(),2)=0)</formula>
    </cfRule>
  </conditionalFormatting>
  <conditionalFormatting sqref="D2:D499"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0">
      <formula>ISNUMBER(SEARCH("no target",$D2))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32:J33 J29 T10:U19 M29:O29 M32:O33 M40:O41">
    <cfRule type="expression" dxfId="90" priority="17">
      <formula>$AF10="Yes – needs PBI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73:L73">
    <cfRule type="expression" dxfId="88" priority="93">
      <formula>$AB73="Yes – needs DB Dev to fix"</formula>
    </cfRule>
  </conditionalFormatting>
  <conditionalFormatting sqref="K74:L499">
    <cfRule type="expression" dxfId="87" priority="27">
      <formula>$Y74="Yes – needs DB Dev to fix"</formula>
    </cfRule>
  </conditionalFormatting>
  <conditionalFormatting sqref="J2:N164">
    <cfRule type="expression" dxfId="86" priority="1">
      <formula>$AF2="Yes – needs DB Dev to fix"</formula>
    </cfRule>
  </conditionalFormatting>
  <conditionalFormatting sqref="P73">
    <cfRule type="expression" dxfId="85" priority="97">
      <formula>$AB73="Yes – needs PBI Dev to fix"</formula>
    </cfRule>
  </conditionalFormatting>
  <conditionalFormatting sqref="P74:Q499">
    <cfRule type="expression" dxfId="84" priority="29">
      <formula>$Y74="Yes – needs QA to fix"</formula>
    </cfRule>
  </conditionalFormatting>
  <conditionalFormatting sqref="P2:T73">
    <cfRule type="expression" dxfId="83" priority="15">
      <formula>$AF2="Yes – needs PBI Dev to fix"</formula>
    </cfRule>
  </conditionalFormatting>
  <conditionalFormatting sqref="Q73:T73">
    <cfRule type="expression" dxfId="82" priority="99">
      <formula>$AB73="Yes – needs QA to fix"</formula>
    </cfRule>
  </conditionalFormatting>
  <conditionalFormatting sqref="R74:T499">
    <cfRule type="expression" dxfId="81" priority="30">
      <formula>$Y74="Yes – needs DPO Approval to fix"</formula>
    </cfRule>
  </conditionalFormatting>
  <conditionalFormatting sqref="T74:U499">
    <cfRule type="expression" dxfId="80" priority="26">
      <formula>$U74="Yes"</formula>
    </cfRule>
  </conditionalFormatting>
  <conditionalFormatting sqref="T73:V73">
    <cfRule type="expression" dxfId="79" priority="101">
      <formula>$AB73="Yes – needs DPO Approval to fix"</formula>
    </cfRule>
  </conditionalFormatting>
  <conditionalFormatting sqref="T2:X73">
    <cfRule type="expression" dxfId="78" priority="72">
      <formula>$AF2="Yes – needs QA to fix"</formula>
    </cfRule>
  </conditionalFormatting>
  <conditionalFormatting sqref="W73:X73">
    <cfRule type="expression" dxfId="77" priority="103">
      <formula>$W73="Yes"</formula>
    </cfRule>
  </conditionalFormatting>
  <conditionalFormatting sqref="Y74:Y499">
    <cfRule type="expression" dxfId="76" priority="23">
      <formula>LEFT($Y74,3)="Yes"</formula>
    </cfRule>
  </conditionalFormatting>
  <conditionalFormatting sqref="Y2:AA2 Z3:AA3 Y4:AA73">
    <cfRule type="expression" dxfId="75" priority="75">
      <formula>$AF2="Yes – needs DPO Approval to fix"</formula>
    </cfRule>
  </conditionalFormatting>
  <conditionalFormatting sqref="Z74:Z499">
    <cfRule type="expression" dxfId="74" priority="31">
      <formula>ISNUMBER(SEARCH("Move old",$Z74))</formula>
    </cfRule>
    <cfRule type="expression" dxfId="73" priority="31">
      <formula>ISNUMBER(SEARCH("Open rework",$Z74))</formula>
    </cfRule>
    <cfRule type="expression" dxfId="72" priority="31">
      <formula>ISNUMBER(SEARCH("log it",$Z74))</formula>
    </cfRule>
    <cfRule type="expression" dxfId="71" priority="32">
      <formula>ISNUMBER(SEARCH("Duplicate",$Z74))</formula>
    </cfRule>
    <cfRule type="expression" dxfId="70" priority="33">
      <formula>$Z74&lt;&gt;""</formula>
    </cfRule>
  </conditionalFormatting>
  <conditionalFormatting sqref="AB2:AB73">
    <cfRule type="expression" dxfId="69" priority="47">
      <formula>$AB2="Yes"</formula>
    </cfRule>
  </conditionalFormatting>
  <conditionalFormatting sqref="AB73">
    <cfRule type="expression" dxfId="68" priority="105">
      <formula>LEFT($AB73,3)="Yes"</formula>
    </cfRule>
  </conditionalFormatting>
  <conditionalFormatting sqref="AC73">
    <cfRule type="expression" dxfId="67" priority="111">
      <formula>ISNUMBER(SEARCH("Open rework",$AC73))</formula>
    </cfRule>
    <cfRule type="expression" dxfId="66" priority="112">
      <formula>ISNUMBER(SEARCH("Move old",$AC73))</formula>
    </cfRule>
    <cfRule type="expression" dxfId="65" priority="113">
      <formula>ISNUMBER(SEARCH("log it",$AC73))</formula>
    </cfRule>
    <cfRule type="expression" dxfId="64" priority="114">
      <formula>ISNUMBER(SEARCH("Duplicate",$AC73))</formula>
    </cfRule>
    <cfRule type="expression" dxfId="63" priority="115">
      <formula>$AC73&lt;&gt;""</formula>
    </cfRule>
  </conditionalFormatting>
  <conditionalFormatting sqref="AF2:AF73">
    <cfRule type="expression" dxfId="62" priority="49">
      <formula>LEFT($AF2,3)="Yes"</formula>
    </cfRule>
  </conditionalFormatting>
  <conditionalFormatting sqref="AG2:AG73">
    <cfRule type="expression" dxfId="61" priority="55">
      <formula>ISNUMBER(SEARCH("log it",$AG2))</formula>
    </cfRule>
    <cfRule type="expression" dxfId="60" priority="56">
      <formula>ISNUMBER(SEARCH("Open rework",$AG2))</formula>
    </cfRule>
    <cfRule type="expression" dxfId="59" priority="57">
      <formula>ISNUMBER(SEARCH("Move old",$AG2))</formula>
    </cfRule>
    <cfRule type="expression" dxfId="58" priority="58">
      <formula>ISNUMBER(SEARCH("Duplicate",$AG2))</formula>
    </cfRule>
    <cfRule type="expression" dxfId="57" priority="59">
      <formula>$AG2&lt;&gt;""</formula>
    </cfRule>
  </conditionalFormatting>
  <conditionalFormatting sqref="M73:O73">
    <cfRule type="expression" dxfId="56" priority="278">
      <formula>$AA73="Yes – needs PBI Dev to fix"</formula>
    </cfRule>
  </conditionalFormatting>
  <conditionalFormatting sqref="M74:O499">
    <cfRule type="expression" dxfId="55" priority="280">
      <formula>$Y74="Yes – needs PBI Dev to fix"</formula>
    </cfRule>
  </conditionalFormatting>
  <conditionalFormatting sqref="K41">
    <cfRule type="expression" dxfId="54" priority="284">
      <formula>AND($B41&lt;&gt;"",MOD(ROW(),2)=0)</formula>
    </cfRule>
    <cfRule type="expression" dxfId="53" priority="285">
      <formula>$AF41="Yes – needs DB Dev to fix"</formula>
    </cfRule>
  </conditionalFormatting>
  <conditionalFormatting sqref="K42">
    <cfRule type="expression" dxfId="52" priority="286">
      <formula>AND($B41&lt;&gt;"",MOD(ROW(),2)=0)</formula>
    </cfRule>
    <cfRule type="expression" dxfId="51" priority="287">
      <formula>$AF41="Yes – needs DB Dev to fix"</formula>
    </cfRule>
  </conditionalFormatting>
  <conditionalFormatting sqref="Y3">
    <cfRule type="expression" dxfId="50" priority="288">
      <formula>AND($B3&lt;&gt;"",MOD(ROW(),2)=0)</formula>
    </cfRule>
    <cfRule type="expression" dxfId="49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189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190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191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192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193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194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195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196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197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198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199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A8" sqref="A8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201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>
      <c r="A3" s="33" t="s">
        <v>129</v>
      </c>
      <c r="B3" s="36">
        <v>46230</v>
      </c>
      <c r="C3" s="33" t="s">
        <v>114</v>
      </c>
      <c r="D3" s="33" t="s">
        <v>125</v>
      </c>
      <c r="E3" s="33" t="s">
        <v>131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18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114</v>
      </c>
      <c r="D4" s="31" t="s">
        <v>125</v>
      </c>
      <c r="E4" s="31" t="s">
        <v>131</v>
      </c>
      <c r="F4" s="31" t="s">
        <v>216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217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125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10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125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14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125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9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3"/>
      <c r="B8" s="32"/>
      <c r="C8" s="31"/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3" priority="2">
      <formula>AND($B5&lt;&gt;"",MOD(ROW(),2)=0)</formula>
    </cfRule>
  </conditionalFormatting>
  <conditionalFormatting sqref="A3:H3 K3:M3 A4:M4 A9:M500 M4:M71 B5:M8">
    <cfRule type="expression" dxfId="12" priority="12">
      <formula>AND($A3&lt;&gt;"",$G3="Yes")</formula>
    </cfRule>
    <cfRule type="expression" dxfId="11" priority="13">
      <formula>AND($A3&lt;&gt;"",$J3&lt;&gt;"")</formula>
    </cfRule>
    <cfRule type="expression" dxfId="10" priority="14">
      <formula>$A3&lt;&gt;""</formula>
    </cfRule>
  </conditionalFormatting>
  <conditionalFormatting sqref="C3:C200">
    <cfRule type="expression" dxfId="9" priority="15">
      <formula>$A3=""</formula>
    </cfRule>
  </conditionalFormatting>
  <conditionalFormatting sqref="G3:G200">
    <cfRule type="expression" dxfId="8" priority="16">
      <formula>$A3=""</formula>
    </cfRule>
  </conditionalFormatting>
  <conditionalFormatting sqref="K3:M3 A4:M4 A9:M500 A3:H3 M4:M71 B5:M8">
    <cfRule type="expression" dxfId="7" priority="11">
      <formula>AND($A3&lt;&gt;"",$G3="Did not pass re-test")</formula>
    </cfRule>
  </conditionalFormatting>
  <conditionalFormatting sqref="M3:M500">
    <cfRule type="expression" dxfId="6" priority="5">
      <formula>ISNUMBER(SEARCH("Sent back again",$M3))</formula>
    </cfRule>
    <cfRule type="expression" dxfId="5" priority="6">
      <formula>ISNUMBER(SEARCH("LATE",$M3))</formula>
    </cfRule>
    <cfRule type="expression" dxfId="4" priority="7">
      <formula>ISNUMBER(SEARCH("UNCLAIMED",$M3))</formula>
    </cfRule>
    <cfRule type="expression" dxfId="3" priority="8">
      <formula>ISNUMBER(SEARCH("Missing",$M3))</formula>
    </cfRule>
    <cfRule type="expression" dxfId="2" priority="9">
      <formula>ISNUMBER(SEARCH("Fixed in",$M3))</formula>
    </cfRule>
    <cfRule type="expression" dxfId="1" priority="10">
      <formula>ISNUMBER(SEARCH("Open",$M3))</formula>
    </cfRule>
  </conditionalFormatting>
  <conditionalFormatting sqref="A8">
    <cfRule type="expression" dxfId="0" priority="1">
      <formula>AND($B8&lt;&gt;"",MOD(ROW(),2)=0)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130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130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125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130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130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130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130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130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130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130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130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130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130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130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130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130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130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130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130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130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130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130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130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130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130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130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130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130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130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130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130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125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130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130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130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125</v>
      </c>
      <c r="C156" s="9" t="s">
        <v>129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125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125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130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125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130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125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130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125</v>
      </c>
      <c r="C167" s="3" t="s">
        <v>141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130</v>
      </c>
      <c r="C168" s="3" t="s">
        <v>141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141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130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125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130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125</v>
      </c>
      <c r="C176" s="3" t="s">
        <v>146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130</v>
      </c>
      <c r="C177" s="3" t="s">
        <v>146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146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125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130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125</v>
      </c>
      <c r="C182" s="3" t="s">
        <v>154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130</v>
      </c>
      <c r="C183" s="3" t="s">
        <v>154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154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231</v>
      </c>
      <c r="B1" s="79"/>
      <c r="C1" s="79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131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166</v>
      </c>
      <c r="G3" t="s">
        <v>38</v>
      </c>
      <c r="H3" t="s">
        <v>40</v>
      </c>
      <c r="I3" t="s">
        <v>45</v>
      </c>
      <c r="J3" t="s">
        <v>125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125</v>
      </c>
      <c r="G4" t="s">
        <v>51</v>
      </c>
      <c r="H4" t="s">
        <v>80</v>
      </c>
      <c r="I4" t="s">
        <v>255</v>
      </c>
      <c r="J4" t="s">
        <v>130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130</v>
      </c>
      <c r="G5" t="s">
        <v>57</v>
      </c>
      <c r="H5" t="s">
        <v>115</v>
      </c>
      <c r="I5" t="s">
        <v>122</v>
      </c>
      <c r="J5" t="s">
        <v>114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131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140</v>
      </c>
      <c r="N9" s="45" t="s">
        <v>254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2026-08-14T16:54:11Z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