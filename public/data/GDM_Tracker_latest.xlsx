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55" documentId="13_ncr:1_{52745E9B-3AA1-4770-AAD3-E6166BFC13AE}" xr6:coauthVersionLast="47" xr6:coauthVersionMax="47" xr10:uidLastSave="{E54E3459-626C-4AF0-AD3F-CB9943853FC0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2" l="1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<sst xmlns="http://schemas.openxmlformats.org/spreadsheetml/2006/main" count="3024" uniqueCount="429">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</sst>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L60" activePane="topRight" state="frozen"/>
      <selection pane="topRight" activeCell="M82" sqref="M8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Overdue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/>
      <c r="S60" s="36"/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36"/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7" priority="32">
      <formula>ISNUMBER(SEARCH("Blocked",$D2))</formula>
    </cfRule>
    <cfRule type="expression" dxfId="126" priority="33">
      <formula>ISNUMBER(SEARCH("overdue",$D2))</formula>
    </cfRule>
    <cfRule type="expression" dxfId="125" priority="34">
      <formula>ISNUMBER(SEARCH("no target",$D2))</formula>
    </cfRule>
    <cfRule type="expression" dxfId="124" priority="35">
      <formula>ISNUMBER(SEARCH("Review",$D2))</formula>
    </cfRule>
    <cfRule type="expression" dxfId="123" priority="36">
      <formula>OR($D2="On track",$D2="Delivered")</formula>
    </cfRule>
  </conditionalFormatting>
  <conditionalFormatting sqref="J2:O115">
    <cfRule type="expression" dxfId="122" priority="10">
      <formula>$AJ2="Yes – needs DB Dev to fix"</formula>
    </cfRule>
  </conditionalFormatting>
  <conditionalFormatting sqref="J116:O192">
    <cfRule type="expression" dxfId="121" priority="15">
      <formula>$AH116="Yes – needs DB Dev to fix"</formula>
    </cfRule>
  </conditionalFormatting>
  <conditionalFormatting sqref="K41">
    <cfRule type="expression" dxfId="120" priority="591">
      <formula>AND($B41&lt;&gt;"",MOD(ROW(),2)=0)</formula>
    </cfRule>
    <cfRule type="expression" dxfId="119" priority="592">
      <formula>$AJ41="Yes – needs DB Dev to fix"</formula>
    </cfRule>
  </conditionalFormatting>
  <conditionalFormatting sqref="K42">
    <cfRule type="expression" dxfId="118" priority="593">
      <formula>AND($B41&lt;&gt;"",MOD(ROW(),2)=0)</formula>
    </cfRule>
    <cfRule type="expression" dxfId="117" priority="594">
      <formula>$AJ41="Yes – needs DB Dev to fix"</formula>
    </cfRule>
  </conditionalFormatting>
  <conditionalFormatting sqref="K73:L100">
    <cfRule type="expression" dxfId="116" priority="107">
      <formula>$AF73="Yes – needs DB Dev to fix"</formula>
    </cfRule>
  </conditionalFormatting>
  <conditionalFormatting sqref="K101:L115">
    <cfRule type="expression" dxfId="115" priority="337">
      <formula>$AA101="Yes – needs DB Dev to fix"</formula>
    </cfRule>
  </conditionalFormatting>
  <conditionalFormatting sqref="K116:L527">
    <cfRule type="expression" dxfId="114" priority="564">
      <formula>$X116="Yes – needs DB Dev to fix"</formula>
    </cfRule>
  </conditionalFormatting>
  <conditionalFormatting sqref="M73">
    <cfRule type="expression" dxfId="113" priority="14">
      <formula>$AF73="Yes – needs DB Dev to fix"</formula>
    </cfRule>
  </conditionalFormatting>
  <conditionalFormatting sqref="M79">
    <cfRule type="expression" dxfId="112" priority="1">
      <formula>$AF79="Yes – needs DB Dev to fix"</formula>
    </cfRule>
  </conditionalFormatting>
  <conditionalFormatting sqref="M73:P100">
    <cfRule type="expression" dxfId="111" priority="292">
      <formula>$AD73="Yes – needs PBI Dev to fix"</formula>
    </cfRule>
  </conditionalFormatting>
  <conditionalFormatting sqref="M101:P115">
    <cfRule type="expression" dxfId="110" priority="339">
      <formula>$AA101="Yes – needs PBI Dev to fix"</formula>
    </cfRule>
  </conditionalFormatting>
  <conditionalFormatting sqref="M116:P527">
    <cfRule type="expression" dxfId="109" priority="565">
      <formula>$X116="Yes – needs PBI Dev to fix"</formula>
    </cfRule>
  </conditionalFormatting>
  <conditionalFormatting sqref="O101:O113">
    <cfRule type="expression" dxfId="108" priority="13">
      <formula>$AD101="Yes – needs PBI Dev to fix"</formula>
    </cfRule>
  </conditionalFormatting>
  <conditionalFormatting sqref="Q73:Q100">
    <cfRule type="expression" dxfId="107" priority="8">
      <formula>$AJ73="Yes – needs DB Dev to fix"</formula>
    </cfRule>
    <cfRule type="expression" dxfId="106" priority="9">
      <formula>$AF73="Yes – needs DB Dev to fix"</formula>
    </cfRule>
    <cfRule type="expression" dxfId="105" priority="111">
      <formula>$AF73="Yes – needs PBI Dev to fix"</formula>
    </cfRule>
  </conditionalFormatting>
  <conditionalFormatting sqref="Q101:R115 V101:V115 X101:X115">
    <cfRule type="expression" dxfId="104" priority="7">
      <formula>$AA101="Yes – needs QA to fix"</formula>
    </cfRule>
  </conditionalFormatting>
  <conditionalFormatting sqref="Q116:R527">
    <cfRule type="expression" dxfId="103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2" priority="22">
      <formula>$AJ2="Yes – needs PBI Dev to fix"</formula>
    </cfRule>
  </conditionalFormatting>
  <conditionalFormatting sqref="R58">
    <cfRule type="expression" dxfId="101" priority="307">
      <formula>AND($B65&lt;&gt;"",MOD(ROW(),2)=0)</formula>
    </cfRule>
    <cfRule type="expression" dxfId="100" priority="309">
      <formula>$AJ65="Yes – needs PBI Dev to fix"</formula>
    </cfRule>
  </conditionalFormatting>
  <conditionalFormatting sqref="R73:U100 T96:T101">
    <cfRule type="expression" dxfId="99" priority="113">
      <formula>$AF73="Yes – needs QA to fix"</formula>
    </cfRule>
  </conditionalFormatting>
  <conditionalFormatting sqref="S101:U115">
    <cfRule type="expression" dxfId="98" priority="353">
      <formula>$AA101="Yes – needs DPO Approval to fix"</formula>
    </cfRule>
  </conditionalFormatting>
  <conditionalFormatting sqref="S116:U527">
    <cfRule type="expression" dxfId="97" priority="567">
      <formula>$X116="Yes – needs DPO Approval to fix"</formula>
    </cfRule>
  </conditionalFormatting>
  <conditionalFormatting sqref="U101:V527 X101:X527">
    <cfRule type="expression" dxfId="96" priority="40">
      <formula>$V101="Yes"</formula>
    </cfRule>
  </conditionalFormatting>
  <conditionalFormatting sqref="U73:Y100">
    <cfRule type="expression" dxfId="95" priority="115">
      <formula>$AF73="Yes – needs DPO Approval to fix"</formula>
    </cfRule>
  </conditionalFormatting>
  <conditionalFormatting sqref="X116:X527">
    <cfRule type="expression" dxfId="94" priority="568">
      <formula>LEFT($X116,3)="Yes"</formula>
    </cfRule>
  </conditionalFormatting>
  <conditionalFormatting sqref="X73:Z100">
    <cfRule type="expression" dxfId="93" priority="467">
      <formula>$Y73="Yes"</formula>
    </cfRule>
  </conditionalFormatting>
  <conditionalFormatting sqref="Z116:AA527">
    <cfRule type="expression" dxfId="92" priority="45">
      <formula>ISNUMBER(SEARCH("Move old",$Z116))</formula>
    </cfRule>
    <cfRule type="expression" dxfId="91" priority="45">
      <formula>ISNUMBER(SEARCH("log it",$Z116))</formula>
    </cfRule>
    <cfRule type="expression" dxfId="90" priority="45">
      <formula>ISNUMBER(SEARCH("Open rework",$Z116))</formula>
    </cfRule>
    <cfRule type="expression" dxfId="89" priority="46">
      <formula>ISNUMBER(SEARCH("Duplicate",$Z116))</formula>
    </cfRule>
    <cfRule type="expression" dxfId="88" priority="47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87" priority="48">
      <formula>AND($B2&lt;&gt;"",MOD(ROW(),2)=0)</formula>
    </cfRule>
  </conditionalFormatting>
  <conditionalFormatting sqref="AA3">
    <cfRule type="expression" dxfId="86" priority="595">
      <formula>AND($B3&lt;&gt;"",MOD(ROW(),2)=0)</formula>
    </cfRule>
    <cfRule type="expression" dxfId="85" priority="596">
      <formula>$AJ3="Yes – needs DPO Approval to fix"</formula>
    </cfRule>
  </conditionalFormatting>
  <conditionalFormatting sqref="AA101:AA115 U2:Z115">
    <cfRule type="expression" dxfId="84" priority="5">
      <formula>$AJ2="Yes – needs QA to fix"</formula>
    </cfRule>
  </conditionalFormatting>
  <conditionalFormatting sqref="AA101:AA115">
    <cfRule type="expression" dxfId="83" priority="2">
      <formula>$AJ101="Yes – needs PBI Dev to fix"</formula>
    </cfRule>
    <cfRule type="expression" dxfId="82" priority="3">
      <formula>$AA101="Yes – needs QA to fix"</formula>
    </cfRule>
    <cfRule type="expression" dxfId="81" priority="4">
      <formula>$V101="Yes"</formula>
    </cfRule>
    <cfRule type="expression" dxfId="80" priority="361">
      <formula>LEFT($AA101,3)="Yes"</formula>
    </cfRule>
  </conditionalFormatting>
  <conditionalFormatting sqref="AA2:AE2 AB3:AE3 AA4:AE100">
    <cfRule type="expression" dxfId="79" priority="89">
      <formula>$AJ2="Yes – needs DPO Approval to fix"</formula>
    </cfRule>
  </conditionalFormatting>
  <conditionalFormatting sqref="AB101:AC115">
    <cfRule type="expression" dxfId="78" priority="369">
      <formula>ISNUMBER(SEARCH("Open rework",$AB101))</formula>
    </cfRule>
    <cfRule type="expression" dxfId="77" priority="370">
      <formula>ISNUMBER(SEARCH("Move old",$AB101))</formula>
    </cfRule>
    <cfRule type="expression" dxfId="76" priority="371">
      <formula>ISNUMBER(SEARCH("log it",$AB101))</formula>
    </cfRule>
    <cfRule type="expression" dxfId="75" priority="372">
      <formula>ISNUMBER(SEARCH("Duplicate",$AB101))</formula>
    </cfRule>
    <cfRule type="expression" dxfId="74" priority="373">
      <formula>$AB101&lt;&gt;""</formula>
    </cfRule>
  </conditionalFormatting>
  <conditionalFormatting sqref="AF2:AF115">
    <cfRule type="expression" dxfId="73" priority="61">
      <formula>$AF2="Yes"</formula>
    </cfRule>
  </conditionalFormatting>
  <conditionalFormatting sqref="AF73:AF100">
    <cfRule type="expression" dxfId="72" priority="119">
      <formula>LEFT($AF73,3)="Yes"</formula>
    </cfRule>
  </conditionalFormatting>
  <conditionalFormatting sqref="AG73:AG100">
    <cfRule type="expression" dxfId="71" priority="125">
      <formula>ISNUMBER(SEARCH("Open rework",$AG73))</formula>
    </cfRule>
    <cfRule type="expression" dxfId="70" priority="126">
      <formula>ISNUMBER(SEARCH("Move old",$AG73))</formula>
    </cfRule>
    <cfRule type="expression" dxfId="69" priority="127">
      <formula>ISNUMBER(SEARCH("log it",$AG73))</formula>
    </cfRule>
    <cfRule type="expression" dxfId="68" priority="128">
      <formula>ISNUMBER(SEARCH("Duplicate",$AG73))</formula>
    </cfRule>
    <cfRule type="expression" dxfId="67" priority="129">
      <formula>$AG73&lt;&gt;""</formula>
    </cfRule>
  </conditionalFormatting>
  <conditionalFormatting sqref="AJ2:AJ115">
    <cfRule type="expression" dxfId="66" priority="63">
      <formula>LEFT($AJ2,3)="Yes"</formula>
    </cfRule>
  </conditionalFormatting>
  <conditionalFormatting sqref="AK2:AK115">
    <cfRule type="expression" dxfId="65" priority="69">
      <formula>ISNUMBER(SEARCH("log it",$AK2))</formula>
    </cfRule>
    <cfRule type="expression" dxfId="64" priority="70">
      <formula>ISNUMBER(SEARCH("Open rework",$AK2))</formula>
    </cfRule>
    <cfRule type="expression" dxfId="63" priority="71">
      <formula>ISNUMBER(SEARCH("Move old",$AK2))</formula>
    </cfRule>
    <cfRule type="expression" dxfId="62" priority="72">
      <formula>ISNUMBER(SEARCH("Duplicate",$AK2))</formula>
    </cfRule>
    <cfRule type="expression" dxfId="61" priority="73">
      <formula>$AK2&lt;&gt;""</formula>
    </cfRule>
  </conditionalFormatting>
  <conditionalFormatting sqref="AL45:AL47">
    <cfRule type="expression" dxfId="60" priority="12">
      <formula>AND($B49&lt;&gt;"",MOD(ROW(),2)=0)</formula>
    </cfRule>
  </conditionalFormatting>
  <conditionalFormatting sqref="D88">
    <cfRule type="expression" dxfId="59" priority="608">
      <formula>AND($B50&lt;&gt;"",MOD(ROW(),2)=0)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>
      <c r="A6" s="42" t="s">
        <v>0</v>
      </c>
      <c r="B6" s="171" t="str">
        <f>IF($B$4="","",IFERROR(INDEX('Combined Delivery Data'!$A:$A,MATCH($B$4,'Combined Delivery Data'!$B:$B,0)),""))</f>
        <v/>
      </c>
      <c r="C6" s="175"/>
      <c r="D6" s="175"/>
      <c r="E6" s="176"/>
    </row>
    <row r="7" spans="1:5">
      <c r="A7" s="42" t="s">
        <v>329</v>
      </c>
      <c r="B7" s="171" t="str">
        <f>IF($B$4="","",IFERROR(INDEX('Combined Delivery Data'!$C:$C,MATCH($B$4,'Combined Delivery Data'!$B:$B,0)),""))</f>
        <v/>
      </c>
      <c r="C7" s="175"/>
      <c r="D7" s="175"/>
      <c r="E7" s="176"/>
    </row>
    <row r="8" spans="1:5">
      <c r="A8" s="42" t="s">
        <v>3</v>
      </c>
      <c r="B8" s="171" t="str">
        <f>IF($B$4="","",IFERROR(INDEX('Combined Delivery Data'!$D:$D,MATCH($B$4,'Combined Delivery Data'!$B:$B,0)),""))</f>
        <v/>
      </c>
      <c r="C8" s="175"/>
      <c r="D8" s="175"/>
      <c r="E8" s="176"/>
    </row>
    <row r="9" spans="1:5">
      <c r="A9" s="42" t="s">
        <v>4</v>
      </c>
      <c r="B9" s="171" t="str">
        <f>IF($B$4="","",IFERROR(INDEX('Combined Delivery Data'!$E:$E,MATCH($B$4,'Combined Delivery Data'!$B:$B,0)),""))</f>
        <v/>
      </c>
      <c r="C9" s="175"/>
      <c r="D9" s="175"/>
      <c r="E9" s="176"/>
    </row>
    <row r="10" spans="1:5">
      <c r="A10" s="42" t="s">
        <v>5</v>
      </c>
      <c r="B10" s="171" t="str">
        <f>IF($B$4="","",IFERROR(INDEX('Combined Delivery Data'!$F:$F,MATCH($B$4,'Combined Delivery Data'!$B:$B,0)),""))</f>
        <v/>
      </c>
      <c r="C10" s="175"/>
      <c r="D10" s="175"/>
      <c r="E10" s="176"/>
    </row>
    <row r="11" spans="1:5">
      <c r="A11" s="42" t="s">
        <v>9</v>
      </c>
      <c r="B11" s="171" t="str">
        <f>IF($B$4="","",IFERROR(INDEX('Combined Delivery Data'!$J:$J,MATCH($B$4,'Combined Delivery Data'!$B:$B,0)),""))</f>
        <v/>
      </c>
      <c r="C11" s="175"/>
      <c r="D11" s="175"/>
      <c r="E11" s="176"/>
    </row>
    <row r="12" spans="1:5">
      <c r="A12" s="42" t="s">
        <v>15</v>
      </c>
      <c r="B12" s="171" t="str">
        <f>IF($B$4="","",IFERROR(INDEX('Combined Delivery Data'!$P:$P,MATCH($B$4,'Combined Delivery Data'!$B:$B,0)),""))</f>
        <v/>
      </c>
      <c r="C12" s="175"/>
      <c r="D12" s="175"/>
      <c r="E12" s="176"/>
    </row>
    <row r="13" spans="1:5">
      <c r="A13" s="42" t="s">
        <v>20</v>
      </c>
      <c r="B13" s="171" t="str">
        <f>IF($B$4="","",IFERROR(INDEX('Combined Delivery Data'!$U:$U,MATCH($B$4,'Combined Delivery Data'!$B:$B,0)),""))</f>
        <v/>
      </c>
      <c r="C13" s="175"/>
      <c r="D13" s="175"/>
      <c r="E13" s="176"/>
    </row>
    <row r="14" spans="1:5">
      <c r="A14" s="42" t="s">
        <v>330</v>
      </c>
      <c r="B14" s="170" t="str">
        <f>IF($B$4="","",IFERROR(INDEX('Combined Delivery Data'!$K:$K,MATCH($B$4,'Combined Delivery Data'!$B:$B,0)),""))</f>
        <v/>
      </c>
      <c r="C14" s="175"/>
      <c r="D14" s="175"/>
      <c r="E14" s="176"/>
    </row>
    <row r="15" spans="1:5">
      <c r="A15" s="42" t="s">
        <v>331</v>
      </c>
      <c r="B15" s="170" t="str">
        <f>IF($B$4="","",IFERROR(INDEX('Combined Delivery Data'!$L:$L,MATCH($B$4,'Combined Delivery Data'!$B:$B,0)),""))</f>
        <v/>
      </c>
      <c r="C15" s="175"/>
      <c r="D15" s="175"/>
      <c r="E15" s="176"/>
    </row>
    <row r="16" spans="1:5">
      <c r="A16" s="42" t="s">
        <v>332</v>
      </c>
      <c r="B16" s="170" t="str">
        <f>IF($B$4="","",IFERROR(INDEX('Combined Delivery Data'!$M:$M,MATCH($B$4,'Combined Delivery Data'!$B:$B,0)),""))</f>
        <v/>
      </c>
      <c r="C16" s="175"/>
      <c r="D16" s="175"/>
      <c r="E16" s="176"/>
    </row>
    <row r="17" spans="1:5">
      <c r="A17" s="42" t="s">
        <v>333</v>
      </c>
      <c r="B17" s="170" t="str">
        <f>IF($B$4="","",IFERROR(INDEX('Combined Delivery Data'!$O:$O,MATCH($B$4,'Combined Delivery Data'!$B:$B,0)),""))</f>
        <v/>
      </c>
      <c r="C17" s="175"/>
      <c r="D17" s="175"/>
      <c r="E17" s="176"/>
    </row>
    <row r="18" spans="1:5">
      <c r="A18" s="42" t="s">
        <v>334</v>
      </c>
      <c r="B18" s="170" t="str">
        <f>IF($B$4="","",IFERROR(INDEX('Combined Delivery Data'!$Q:$Q,MATCH($B$4,'Combined Delivery Data'!$B:$B,0)),""))</f>
        <v/>
      </c>
      <c r="C18" s="175"/>
      <c r="D18" s="175"/>
      <c r="E18" s="176"/>
    </row>
    <row r="19" spans="1:5">
      <c r="A19" s="42" t="s">
        <v>335</v>
      </c>
      <c r="B19" s="170" t="str">
        <f>IF($B$4="","",IFERROR(INDEX('Combined Delivery Data'!$R:$R,MATCH($B$4,'Combined Delivery Data'!$B:$B,0)),""))</f>
        <v/>
      </c>
      <c r="C19" s="175"/>
      <c r="D19" s="175"/>
      <c r="E19" s="176"/>
    </row>
    <row r="20" spans="1:5">
      <c r="A20" s="42" t="s">
        <v>336</v>
      </c>
      <c r="B20" s="170" t="str">
        <f>IF($B$4="","",IFERROR(INDEX('Combined Delivery Data'!$S:$S,MATCH($B$4,'Combined Delivery Data'!$B:$B,0)),""))</f>
        <v/>
      </c>
      <c r="C20" s="175"/>
      <c r="D20" s="175"/>
      <c r="E20" s="176"/>
    </row>
    <row r="21" spans="1:5">
      <c r="A21" s="42" t="s">
        <v>29</v>
      </c>
      <c r="B21" s="171" t="str">
        <f>IF($B$4="","",IFERROR(INDEX('Combined Delivery Data'!$T:$T,MATCH($B$4,'Combined Delivery Data'!$B:$B,0)),""))</f>
        <v/>
      </c>
      <c r="C21" s="175"/>
      <c r="D21" s="175"/>
      <c r="E21" s="176"/>
    </row>
    <row r="22" spans="1:5">
      <c r="A22" s="42" t="s">
        <v>31</v>
      </c>
      <c r="B22" s="171" t="str">
        <f>IF($B$4="","",IFERROR(INDEX('Combined Delivery Data'!$V:$V,MATCH($B$4,'Combined Delivery Data'!$B:$B,0)),""))</f>
        <v/>
      </c>
      <c r="C22" s="175"/>
      <c r="D22" s="175"/>
      <c r="E22" s="176"/>
    </row>
    <row r="23" spans="1:5">
      <c r="A23" s="42" t="s">
        <v>32</v>
      </c>
      <c r="B23" s="170" t="str">
        <f>IF($B$4="","",IFERROR(INDEX('Combined Delivery Data'!$W:$W,MATCH($B$4,'Combined Delivery Data'!$B:$B,0)),""))</f>
        <v/>
      </c>
      <c r="C23" s="175"/>
      <c r="D23" s="175"/>
      <c r="E23" s="176"/>
    </row>
    <row r="24" spans="1:5">
      <c r="A24" s="42" t="s">
        <v>35</v>
      </c>
      <c r="B24" s="171" t="str">
        <f>IF($B$4="","",IFERROR(INDEX('Combined Delivery Data'!$X:$X,MATCH($B$4,'Combined Delivery Data'!$B:$B,0)),""))</f>
        <v/>
      </c>
      <c r="C24" s="175"/>
      <c r="D24" s="175"/>
      <c r="E24" s="176"/>
    </row>
    <row r="25" spans="1:5">
      <c r="A25" s="42" t="s">
        <v>36</v>
      </c>
      <c r="B25" s="171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1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1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1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1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1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29" activePane="bottomLeft" state="frozen"/>
      <selection pane="bottomLeft" activeCell="L34" sqref="L3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2" t="s">
        <v>341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42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7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6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6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5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5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5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53</v>
      </c>
      <c r="H32" s="32"/>
      <c r="I32" s="32"/>
      <c r="J32" s="32"/>
      <c r="K32" s="31"/>
      <c r="L32" s="31"/>
      <c r="M32" s="3" t="str">
        <f t="shared" ca="1" si="0"/>
        <v>UNCLAIMED 4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5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0"/>
        <v/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1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46268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466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466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466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466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466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466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466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466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466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466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466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466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466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466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466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466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466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466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466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466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466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466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466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466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466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466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466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466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466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466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466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466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466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466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466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466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466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466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466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466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466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466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466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466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466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466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466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466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466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466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466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466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466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466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466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466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466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466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466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466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466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466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466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466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466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466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466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466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466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466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466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466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466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466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466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466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466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466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466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466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466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466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466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466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466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466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466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466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466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466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466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466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466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466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466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466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466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466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466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466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466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466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466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466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466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466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466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466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466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466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466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466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466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466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466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466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466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466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466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466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466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466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466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466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466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466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466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466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466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466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466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466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466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466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466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466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466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466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466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466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466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466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466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466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466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466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466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466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466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466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466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466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466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466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466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466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466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466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466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466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466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466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466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466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466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466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466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466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466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466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466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466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466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466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466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466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466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466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466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466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466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466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466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466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466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466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466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466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466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466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466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466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466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466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466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466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466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466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466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466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466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466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466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466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466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466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466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466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466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466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466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466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466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466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466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466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466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466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466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466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466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466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466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466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466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466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466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466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466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466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466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466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466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466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466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466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466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466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466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466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466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466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466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466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466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466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466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466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466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466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466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466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466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466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466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466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466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466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466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466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466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466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466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466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466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466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466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466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466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466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466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466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466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466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466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466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466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466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466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466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466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466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466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466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466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466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466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466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466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466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466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466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466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466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466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466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466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466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466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466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466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466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466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466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466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466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466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466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466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466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466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466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466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466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466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466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466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466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466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466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466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466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466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466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466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466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466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466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466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466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466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466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466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466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466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466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466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466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466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466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466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466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466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466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466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466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466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466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466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466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466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466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466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466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466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466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466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466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466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466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466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466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466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466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466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466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466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466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466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466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466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466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466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466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466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466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466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466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466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466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466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466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466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466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466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466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466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466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466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466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466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466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466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466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466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466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466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466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466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466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466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466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466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466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466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466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466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466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466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466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389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390</v>
      </c>
      <c r="C2" s="8" t="s">
        <v>1</v>
      </c>
      <c r="D2" s="8" t="s">
        <v>391</v>
      </c>
      <c r="E2" s="8" t="s">
        <v>392</v>
      </c>
      <c r="F2" s="8" t="s">
        <v>6</v>
      </c>
      <c r="G2" s="8" t="s">
        <v>5</v>
      </c>
      <c r="H2" s="8" t="s">
        <v>393</v>
      </c>
      <c r="I2" s="8" t="s">
        <v>394</v>
      </c>
      <c r="J2" s="8" t="s">
        <v>395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396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396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396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396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396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397</v>
      </c>
      <c r="B1" s="174"/>
      <c r="C1" s="174"/>
    </row>
    <row r="2" spans="1:3" ht="14.25" customHeight="1">
      <c r="A2" s="8" t="s">
        <v>0</v>
      </c>
      <c r="B2" s="8" t="s">
        <v>398</v>
      </c>
      <c r="C2" s="8" t="s">
        <v>394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399</v>
      </c>
      <c r="B11" s="11">
        <v>18</v>
      </c>
      <c r="C11" s="12">
        <v>46386</v>
      </c>
    </row>
    <row r="12" spans="1:3" ht="14.25" customHeight="1">
      <c r="A12" s="11" t="s">
        <v>399</v>
      </c>
      <c r="B12" s="11">
        <v>18</v>
      </c>
      <c r="C12" s="12">
        <v>46417</v>
      </c>
    </row>
    <row r="13" spans="1:3" ht="14.25" customHeight="1">
      <c r="A13" s="11" t="s">
        <v>399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400</v>
      </c>
      <c r="F1" s="1" t="s">
        <v>329</v>
      </c>
      <c r="G1" s="5" t="s">
        <v>401</v>
      </c>
      <c r="H1" s="5" t="s">
        <v>20</v>
      </c>
      <c r="I1" t="s">
        <v>35</v>
      </c>
      <c r="J1" s="5" t="s">
        <v>402</v>
      </c>
      <c r="K1" s="5" t="s">
        <v>129</v>
      </c>
      <c r="L1" s="5" t="s">
        <v>348</v>
      </c>
      <c r="M1" s="1" t="s">
        <v>403</v>
      </c>
      <c r="N1" s="1" t="s">
        <v>404</v>
      </c>
      <c r="R1" t="s">
        <v>13</v>
      </c>
      <c r="T1" t="s">
        <v>405</v>
      </c>
    </row>
    <row r="2" spans="1:20" ht="13.5" customHeight="1">
      <c r="A2" s="2" t="s">
        <v>406</v>
      </c>
      <c r="B2" s="2" t="s">
        <v>407</v>
      </c>
      <c r="C2" s="2" t="s">
        <v>408</v>
      </c>
      <c r="D2" s="2" t="s">
        <v>409</v>
      </c>
      <c r="E2" s="2" t="s">
        <v>410</v>
      </c>
      <c r="F2" s="2" t="s">
        <v>411</v>
      </c>
      <c r="G2" t="s">
        <v>412</v>
      </c>
      <c r="H2" t="s">
        <v>413</v>
      </c>
      <c r="I2" t="s">
        <v>414</v>
      </c>
      <c r="J2" s="29" t="s">
        <v>415</v>
      </c>
      <c r="K2" s="29" t="s">
        <v>416</v>
      </c>
      <c r="L2" s="29" t="s">
        <v>417</v>
      </c>
      <c r="M2" t="s">
        <v>147</v>
      </c>
      <c r="N2" s="45" t="s">
        <v>418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419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420</v>
      </c>
      <c r="J4" t="s">
        <v>150</v>
      </c>
      <c r="L4" t="s">
        <v>50</v>
      </c>
      <c r="M4" t="s">
        <v>103</v>
      </c>
      <c r="N4" s="45" t="s">
        <v>419</v>
      </c>
      <c r="R4" t="s">
        <v>172</v>
      </c>
      <c r="T4" t="s">
        <v>72</v>
      </c>
    </row>
    <row r="5" spans="1:20" ht="15" customHeight="1">
      <c r="A5" t="s">
        <v>399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421</v>
      </c>
      <c r="M5" t="s">
        <v>88</v>
      </c>
      <c r="N5" s="45" t="s">
        <v>419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422</v>
      </c>
      <c r="J6" t="s">
        <v>129</v>
      </c>
      <c r="M6" t="s">
        <v>48</v>
      </c>
      <c r="N6" s="45" t="s">
        <v>419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423</v>
      </c>
      <c r="M7" t="s">
        <v>130</v>
      </c>
      <c r="N7" s="45" t="s">
        <v>419</v>
      </c>
    </row>
    <row r="8" spans="1:20" ht="15" customHeight="1">
      <c r="B8" t="s">
        <v>76</v>
      </c>
      <c r="F8" t="s">
        <v>42</v>
      </c>
      <c r="G8" t="s">
        <v>76</v>
      </c>
      <c r="I8" t="s">
        <v>424</v>
      </c>
      <c r="M8" t="s">
        <v>60</v>
      </c>
      <c r="N8" s="45" t="s">
        <v>419</v>
      </c>
    </row>
    <row r="9" spans="1:20" ht="15" customHeight="1">
      <c r="B9" t="s">
        <v>103</v>
      </c>
      <c r="G9" t="s">
        <v>103</v>
      </c>
      <c r="I9" t="s">
        <v>425</v>
      </c>
      <c r="M9" t="s">
        <v>160</v>
      </c>
      <c r="N9" s="45" t="s">
        <v>419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419</v>
      </c>
    </row>
    <row r="11" spans="1:20">
      <c r="B11" t="s">
        <v>426</v>
      </c>
      <c r="G11" t="s">
        <v>60</v>
      </c>
      <c r="M11" t="s">
        <v>76</v>
      </c>
      <c r="N11" s="45" t="s">
        <v>419</v>
      </c>
    </row>
    <row r="12" spans="1:20">
      <c r="B12" t="s">
        <v>427</v>
      </c>
      <c r="G12" t="s">
        <v>46</v>
      </c>
      <c r="M12" t="s">
        <v>46</v>
      </c>
      <c r="N12" s="45" t="s">
        <v>419</v>
      </c>
    </row>
    <row r="13" spans="1:20">
      <c r="G13" t="s">
        <v>77</v>
      </c>
      <c r="M13" t="s">
        <v>77</v>
      </c>
      <c r="N13" s="45" t="s">
        <v>419</v>
      </c>
    </row>
    <row r="14" spans="1:20">
      <c r="M14" t="s">
        <v>84</v>
      </c>
      <c r="N14" s="45" t="s">
        <v>428</v>
      </c>
    </row>
    <row r="15" spans="1:20">
      <c r="M15" t="s">
        <v>59</v>
      </c>
      <c r="N15" s="45" t="s">
        <v>419</v>
      </c>
    </row>
    <row r="16" spans="1:20">
      <c r="M16" t="s">
        <v>118</v>
      </c>
      <c r="N16" s="45" t="s">
        <v>419</v>
      </c>
    </row>
    <row r="17" spans="13:14">
      <c r="M17" t="s">
        <v>65</v>
      </c>
      <c r="N17" s="45" t="s">
        <v>419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2026-09-07T08:43:55Z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