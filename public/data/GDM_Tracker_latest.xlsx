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26" documentId="13_ncr:1_{52745E9B-3AA1-4770-AAD3-E6166BFC13AE}" xr6:coauthVersionLast="47" xr6:coauthVersionMax="47" xr10:uidLastSave="{2D094A55-847E-4CD1-B69D-9E2ADFDCA6C8}"/>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<sst xmlns="http://schemas.openxmlformats.org/spreadsheetml/2006/main" count="3246" uniqueCount="474">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</sst>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H97" activePane="topRight" state="frozen"/>
      <selection pane="topRight" activeCell="J104" sqref="J10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Open rework row - mark Blocked or close it</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v>46293</v>
      </c>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181</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211</v>
      </c>
      <c r="AE61" s="33" t="s">
        <v>72</v>
      </c>
      <c r="AF61" s="38"/>
      <c r="AG61" s="36"/>
      <c r="AH61" s="39"/>
      <c r="AI61" s="33"/>
      <c r="AJ61" s="40" t="s">
        <v>212</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46295</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c r="X63" s="36">
        <v>46295</v>
      </c>
      <c r="Y63" s="36"/>
      <c r="Z63" s="36"/>
      <c r="AA63" s="51">
        <v>46295</v>
      </c>
      <c r="AB63" s="36"/>
      <c r="AC63" s="36"/>
      <c r="AD63" s="33" t="s">
        <v>217</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222</v>
      </c>
      <c r="C67" s="33" t="s">
        <v>216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46259</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224</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225</v>
      </c>
      <c r="K68" s="85">
        <v>46276</v>
      </c>
      <c r="L68" s="86">
        <v>46258</v>
      </c>
      <c r="M68" s="86">
        <v>46258</v>
      </c>
      <c r="N68" s="86"/>
      <c r="O68" s="86" t="s">
        <v>193</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233</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234</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226</v>
      </c>
      <c r="U71" s="33" t="s">
        <v>47</v>
      </c>
      <c r="V71" s="58">
        <v>46290</v>
      </c>
      <c r="W71" s="36"/>
      <c r="X71" s="36"/>
      <c r="Y71" s="36">
        <v>46293</v>
      </c>
      <c r="Z71" s="36"/>
      <c r="AA71" s="51">
        <v>46295</v>
      </c>
      <c r="AB71" s="36"/>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216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226</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238</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239</v>
      </c>
      <c r="J73" s="31" t="s">
        <v>76</v>
      </c>
      <c r="K73" s="43">
        <v>46304</v>
      </c>
      <c r="L73" s="43">
        <v>46259</v>
      </c>
      <c r="M73" s="46">
        <v>46259</v>
      </c>
      <c r="N73" s="44" t="s">
        <v>45</v>
      </c>
      <c r="O73" s="44" t="s">
        <v>193</v>
      </c>
      <c r="P73" s="65" t="s">
        <v>77</v>
      </c>
      <c r="Q73" s="43">
        <v>46313</v>
      </c>
      <c r="R73" s="43">
        <v>46289</v>
      </c>
      <c r="S73" s="43">
        <v>46289</v>
      </c>
      <c r="T73" s="69" t="s">
        <v>240</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241</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239</v>
      </c>
      <c r="J74" s="53" t="s">
        <v>225</v>
      </c>
      <c r="K74" s="43">
        <v>46304</v>
      </c>
      <c r="L74" s="43">
        <v>46269</v>
      </c>
      <c r="M74" s="44">
        <v>46269</v>
      </c>
      <c r="N74" s="44"/>
      <c r="O74" s="44" t="s">
        <v>193</v>
      </c>
      <c r="P74" s="74" t="s">
        <v>77</v>
      </c>
      <c r="Q74" s="43">
        <v>46313</v>
      </c>
      <c r="R74" s="43"/>
      <c r="S74" s="44"/>
      <c r="T74" s="69" t="s">
        <v>240</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242</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193</v>
      </c>
      <c r="P75" s="139"/>
      <c r="Q75" s="137">
        <v>46313</v>
      </c>
      <c r="R75" s="137"/>
      <c r="S75" s="138"/>
      <c r="T75" s="140" t="s">
        <v>240</v>
      </c>
      <c r="U75" s="141"/>
      <c r="V75" s="142">
        <v>46316</v>
      </c>
      <c r="W75" s="137"/>
      <c r="X75" s="133"/>
      <c r="Y75" s="133"/>
      <c r="Z75" s="143"/>
      <c r="AA75" s="142">
        <v>46325</v>
      </c>
      <c r="AB75" s="137"/>
      <c r="AC75" s="137"/>
      <c r="AD75" s="133" t="s">
        <v>243</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244</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193</v>
      </c>
      <c r="P76" s="139"/>
      <c r="Q76" s="137">
        <v>46313</v>
      </c>
      <c r="R76" s="137"/>
      <c r="S76" s="138"/>
      <c r="T76" s="140" t="s">
        <v>240</v>
      </c>
      <c r="U76" s="141"/>
      <c r="V76" s="142">
        <v>46316</v>
      </c>
      <c r="W76" s="137"/>
      <c r="X76" s="133"/>
      <c r="Y76" s="133"/>
      <c r="Z76" s="143"/>
      <c r="AA76" s="142">
        <v>46325</v>
      </c>
      <c r="AB76" s="137"/>
      <c r="AC76" s="137"/>
      <c r="AD76" s="133" t="s">
        <v>243</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245</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193</v>
      </c>
      <c r="P77" s="139"/>
      <c r="Q77" s="137">
        <v>46313</v>
      </c>
      <c r="R77" s="137"/>
      <c r="S77" s="138"/>
      <c r="T77" s="140" t="s">
        <v>240</v>
      </c>
      <c r="U77" s="141"/>
      <c r="V77" s="142">
        <v>46316</v>
      </c>
      <c r="W77" s="137"/>
      <c r="X77" s="133"/>
      <c r="Y77" s="133"/>
      <c r="Z77" s="143"/>
      <c r="AA77" s="142">
        <v>46325</v>
      </c>
      <c r="AB77" s="137"/>
      <c r="AC77" s="137"/>
      <c r="AD77" s="133" t="s">
        <v>243</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246</v>
      </c>
      <c r="C78" s="144" t="s">
        <v>216</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247</v>
      </c>
      <c r="P78" s="150" t="s">
        <v>60</v>
      </c>
      <c r="Q78" s="148">
        <v>46313</v>
      </c>
      <c r="R78" s="148">
        <v>46289</v>
      </c>
      <c r="S78" s="149"/>
      <c r="T78" s="151" t="s">
        <v>240</v>
      </c>
      <c r="U78" s="152"/>
      <c r="V78" s="153">
        <v>46316</v>
      </c>
      <c r="W78" s="148"/>
      <c r="X78" s="144"/>
      <c r="Y78" s="144"/>
      <c r="Z78" s="154"/>
      <c r="AA78" s="153">
        <v>46325</v>
      </c>
      <c r="AB78" s="148"/>
      <c r="AC78" s="148"/>
      <c r="AD78" s="144" t="s">
        <v>186</v>
      </c>
      <c r="AE78" s="144" t="s">
        <v>94</v>
      </c>
      <c r="AF78" s="144"/>
      <c r="AG78" s="144"/>
      <c r="AH78" s="144"/>
      <c r="AI78" s="144"/>
      <c r="AJ78" s="144" t="s">
        <v>212</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248</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249</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250</v>
      </c>
      <c r="O79" s="44" t="s">
        <v>193</v>
      </c>
      <c r="P79" s="74" t="s">
        <v>60</v>
      </c>
      <c r="Q79" s="43">
        <v>46313</v>
      </c>
      <c r="R79" s="43"/>
      <c r="S79" s="44"/>
      <c r="T79" s="69" t="s">
        <v>240</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252</v>
      </c>
      <c r="C80" s="31" t="s">
        <v>230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247</v>
      </c>
      <c r="P80" s="74" t="s">
        <v>60</v>
      </c>
      <c r="Q80" s="43">
        <v>46313</v>
      </c>
      <c r="R80" s="43"/>
      <c r="S80" s="44"/>
      <c r="T80" s="69" t="s">
        <v>240</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253</v>
      </c>
      <c r="C81" s="144" t="s">
        <v>230</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250</v>
      </c>
      <c r="O81" s="149" t="s">
        <v>247</v>
      </c>
      <c r="P81" s="150" t="s">
        <v>60</v>
      </c>
      <c r="Q81" s="148">
        <v>46313</v>
      </c>
      <c r="R81" s="148">
        <v>46295</v>
      </c>
      <c r="S81" s="149">
        <v>46294</v>
      </c>
      <c r="T81" s="167" t="s">
        <v>254</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255</v>
      </c>
      <c r="C82" s="31" t="s">
        <v>256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247</v>
      </c>
      <c r="P82" s="74" t="s">
        <v>77</v>
      </c>
      <c r="Q82" s="43">
        <v>46313</v>
      </c>
      <c r="R82" s="43"/>
      <c r="S82" s="44"/>
      <c r="T82" s="68" t="s">
        <v>254</v>
      </c>
      <c r="U82" s="46" t="s">
        <v>47</v>
      </c>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250</v>
      </c>
      <c r="O83" s="44" t="s">
        <v>247</v>
      </c>
      <c r="P83" s="74" t="s">
        <v>77</v>
      </c>
      <c r="Q83" s="43">
        <v>46313</v>
      </c>
      <c r="R83" s="43"/>
      <c r="S83" s="44"/>
      <c r="T83" s="68" t="s">
        <v>254</v>
      </c>
      <c r="U83" s="46" t="s">
        <v>47</v>
      </c>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260</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239</v>
      </c>
      <c r="J84" s="53" t="s">
        <v>76</v>
      </c>
      <c r="K84" s="43">
        <v>46304</v>
      </c>
      <c r="L84" s="43">
        <v>46286</v>
      </c>
      <c r="M84" s="46">
        <v>46286</v>
      </c>
      <c r="N84" s="44" t="s">
        <v>250</v>
      </c>
      <c r="O84" s="44" t="s">
        <v>247</v>
      </c>
      <c r="P84" s="74" t="s">
        <v>60</v>
      </c>
      <c r="Q84" s="43">
        <v>46313</v>
      </c>
      <c r="R84" s="43"/>
      <c r="S84" s="44"/>
      <c r="T84" s="68" t="s">
        <v>254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207</v>
      </c>
      <c r="G85" s="31"/>
      <c r="H85" s="49">
        <v>46325</v>
      </c>
      <c r="I85" s="55" t="s">
        <v>239</v>
      </c>
      <c r="J85" s="53" t="s">
        <v>44</v>
      </c>
      <c r="K85" s="43">
        <v>46304</v>
      </c>
      <c r="L85" s="43">
        <v>46276</v>
      </c>
      <c r="M85" s="44"/>
      <c r="N85" s="44"/>
      <c r="O85" s="44" t="s">
        <v>247</v>
      </c>
      <c r="P85" s="74" t="s">
        <v>60</v>
      </c>
      <c r="Q85" s="43">
        <v>46313</v>
      </c>
      <c r="R85" s="43"/>
      <c r="S85" s="44"/>
      <c r="T85" s="68" t="s">
        <v>254</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264</v>
      </c>
      <c r="J86" s="53" t="s">
        <v>84</v>
      </c>
      <c r="K86" s="49">
        <v>46332</v>
      </c>
      <c r="L86" s="43">
        <v>46332</v>
      </c>
      <c r="M86" s="44">
        <v>46290</v>
      </c>
      <c r="N86" s="44"/>
      <c r="O86" s="44" t="s">
        <v>247</v>
      </c>
      <c r="P86" s="74"/>
      <c r="Q86" s="49">
        <v>46339</v>
      </c>
      <c r="R86" s="43"/>
      <c r="S86" s="44"/>
      <c r="T86" s="68" t="s">
        <v>254</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266</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264</v>
      </c>
      <c r="J87" s="53" t="s">
        <v>59</v>
      </c>
      <c r="K87" s="49">
        <v>46332</v>
      </c>
      <c r="L87" s="43"/>
      <c r="M87" s="44"/>
      <c r="N87" s="44"/>
      <c r="O87" s="44" t="s">
        <v>247</v>
      </c>
      <c r="P87" s="74"/>
      <c r="Q87" s="49">
        <v>46339</v>
      </c>
      <c r="R87" s="43"/>
      <c r="S87" s="44"/>
      <c r="T87" s="68" t="s">
        <v>254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264</v>
      </c>
      <c r="J88" s="53" t="s">
        <v>59</v>
      </c>
      <c r="K88" s="49">
        <v>46332</v>
      </c>
      <c r="L88" s="43"/>
      <c r="M88" s="44"/>
      <c r="N88" s="44"/>
      <c r="O88" s="44" t="s">
        <v>247</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270</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264</v>
      </c>
      <c r="J89" s="53" t="s">
        <v>225</v>
      </c>
      <c r="K89" s="49">
        <v>46332</v>
      </c>
      <c r="L89" s="43">
        <v>46282</v>
      </c>
      <c r="M89" s="44">
        <v>46282</v>
      </c>
      <c r="N89" s="44"/>
      <c r="O89" s="44" t="s">
        <v>247</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264</v>
      </c>
      <c r="J90" s="53" t="s">
        <v>225</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273</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247</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264</v>
      </c>
      <c r="J92" s="53" t="s">
        <v>84</v>
      </c>
      <c r="K92" s="49">
        <v>46332</v>
      </c>
      <c r="L92" s="43">
        <v>46332</v>
      </c>
      <c r="M92" s="44">
        <v>46275</v>
      </c>
      <c r="N92" s="44"/>
      <c r="O92" s="44" t="s">
        <v>247</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272</v>
      </c>
      <c r="P93" s="74"/>
      <c r="Q93" s="49">
        <v>46339</v>
      </c>
      <c r="R93" s="43"/>
      <c r="S93" s="44"/>
      <c r="T93" s="68" t="s">
        <v>269</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264</v>
      </c>
      <c r="J94" s="53" t="s">
        <v>154</v>
      </c>
      <c r="K94" s="49">
        <v>46332</v>
      </c>
      <c r="L94" s="43"/>
      <c r="M94" s="44"/>
      <c r="N94" s="44"/>
      <c r="O94" s="36" t="s">
        <v>272</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264</v>
      </c>
      <c r="J95" s="53" t="s">
        <v>76</v>
      </c>
      <c r="K95" s="49">
        <v>46332</v>
      </c>
      <c r="L95" s="43"/>
      <c r="M95" s="44"/>
      <c r="N95" s="44"/>
      <c r="O95" s="36" t="s">
        <v>272</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272</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c r="A97" s="31" t="s">
        <v>126</v>
      </c>
      <c r="B97" s="31" t="s">
        <v>286</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t="s">
        <v>287</v>
      </c>
      <c r="K97" s="49">
        <v>46332</v>
      </c>
      <c r="L97" s="49">
        <v>46332</v>
      </c>
      <c r="M97" s="44"/>
      <c r="N97" s="44"/>
      <c r="O97" s="36" t="s">
        <v>272</v>
      </c>
      <c r="P97" s="74"/>
      <c r="Q97" s="49">
        <v>46339</v>
      </c>
      <c r="R97" s="43"/>
      <c r="S97" s="44"/>
      <c r="T97" s="68" t="s">
        <v>282</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c r="A98" s="31" t="s">
        <v>126</v>
      </c>
      <c r="B98" s="31" t="s">
        <v>289</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264</v>
      </c>
      <c r="J98" s="53" t="s">
        <v>287</v>
      </c>
      <c r="K98" s="49">
        <v>46332</v>
      </c>
      <c r="L98" s="49">
        <v>46332</v>
      </c>
      <c r="M98" s="44"/>
      <c r="N98" s="44"/>
      <c r="O98" s="36" t="s">
        <v>272</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264</v>
      </c>
      <c r="J99" s="53" t="s">
        <v>65</v>
      </c>
      <c r="K99" s="49">
        <v>46332</v>
      </c>
      <c r="L99" s="43"/>
      <c r="M99" s="44"/>
      <c r="N99" s="44"/>
      <c r="O99" s="44" t="s">
        <v>247</v>
      </c>
      <c r="P99" s="74"/>
      <c r="Q99" s="49">
        <v>46339</v>
      </c>
      <c r="R99" s="43"/>
      <c r="S99" s="44"/>
      <c r="T99" s="68" t="s">
        <v>282</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t="s">
        <v>84</v>
      </c>
      <c r="K100" s="49">
        <v>46332</v>
      </c>
      <c r="L100" s="43"/>
      <c r="M100" s="44"/>
      <c r="N100" s="44"/>
      <c r="O100" s="36" t="s">
        <v>272</v>
      </c>
      <c r="P100" s="74"/>
      <c r="Q100" s="49">
        <v>46339</v>
      </c>
      <c r="R100" s="43"/>
      <c r="S100" s="44"/>
      <c r="T100" s="68" t="s">
        <v>282</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295</v>
      </c>
      <c r="B101" s="31" t="s">
        <v>296</v>
      </c>
      <c r="C101" s="31" t="s">
        <v>256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t="s">
        <v>59</v>
      </c>
      <c r="K101" s="28">
        <v>46363</v>
      </c>
      <c r="L101" s="43"/>
      <c r="M101" s="31"/>
      <c r="N101" s="31"/>
      <c r="O101" s="36" t="s">
        <v>272</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295</v>
      </c>
      <c r="B102" s="31" t="s">
        <v>299</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t="s">
        <v>44</v>
      </c>
      <c r="K102" s="28">
        <v>46363</v>
      </c>
      <c r="L102" s="43"/>
      <c r="M102" s="31"/>
      <c r="N102" s="31"/>
      <c r="O102" s="36" t="s">
        <v>272</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295</v>
      </c>
      <c r="B103" s="31" t="s">
        <v>302</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t="s">
        <v>44</v>
      </c>
      <c r="K103" s="28">
        <v>46363</v>
      </c>
      <c r="L103" s="43"/>
      <c r="M103" s="31"/>
      <c r="N103" s="31"/>
      <c r="O103" s="36" t="s">
        <v>272</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t="s">
        <v>84</v>
      </c>
      <c r="K104" s="28">
        <v>46363</v>
      </c>
      <c r="L104" s="43"/>
      <c r="M104" s="31"/>
      <c r="N104" s="31"/>
      <c r="O104" s="36" t="s">
        <v>306</v>
      </c>
      <c r="P104" s="74"/>
      <c r="Q104" s="28">
        <v>46370</v>
      </c>
      <c r="R104" s="43"/>
      <c r="S104" s="31"/>
      <c r="T104" s="68" t="s">
        <v>300</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295</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306</v>
      </c>
      <c r="P105" s="74"/>
      <c r="Q105" s="28">
        <v>46370</v>
      </c>
      <c r="R105" s="43"/>
      <c r="S105" s="31"/>
      <c r="T105" s="68" t="s">
        <v>300</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295</v>
      </c>
      <c r="B106" s="31" t="s">
        <v>310</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306</v>
      </c>
      <c r="P106" s="74"/>
      <c r="Q106" s="28">
        <v>46370</v>
      </c>
      <c r="R106" s="43"/>
      <c r="S106" s="31"/>
      <c r="T106" s="68" t="s">
        <v>300</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295</v>
      </c>
      <c r="B107" s="31" t="s">
        <v>312</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306</v>
      </c>
      <c r="P107" s="74"/>
      <c r="Q107" s="28">
        <v>46370</v>
      </c>
      <c r="R107" s="43"/>
      <c r="S107" s="31"/>
      <c r="T107" s="68" t="s">
        <v>300</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295</v>
      </c>
      <c r="B108" s="31" t="s">
        <v>314</v>
      </c>
      <c r="C108" s="31" t="s">
        <v>256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300</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317</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295</v>
      </c>
      <c r="B110" s="31" t="s">
        <v>320</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322</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324</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325</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326</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328</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W2:Y527 G66:V73 A74:V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3">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X62:X72 M84 S73 K2:L115"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5"/>
      <c r="C4" s="176"/>
      <c r="D4" s="176"/>
      <c r="E4" s="176"/>
    </row>
    <row r="6" spans="1:5">
      <c r="A6" s="42" t="s">
        <v>0</v>
      </c>
      <c r="B6" s="173" t="str">
        <f>IF($B$4="","",IFERROR(INDEX('Combined Delivery Data'!$A:$A,MATCH($B$4,'Combined Delivery Data'!$B:$B,0)),""))</f>
        <v/>
      </c>
      <c r="C6" s="177"/>
      <c r="D6" s="177"/>
      <c r="E6" s="178"/>
    </row>
    <row r="7" spans="1:5">
      <c r="A7" s="42" t="s">
        <v>332</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333</v>
      </c>
      <c r="B14" s="172" t="str">
        <f>IF($B$4="","",IFERROR(INDEX('Combined Delivery Data'!$K:$K,MATCH($B$4,'Combined Delivery Data'!$B:$B,0)),""))</f>
        <v/>
      </c>
      <c r="C14" s="177"/>
      <c r="D14" s="177"/>
      <c r="E14" s="178"/>
    </row>
    <row r="15" spans="1:5">
      <c r="A15" s="42" t="s">
        <v>334</v>
      </c>
      <c r="B15" s="172" t="str">
        <f>IF($B$4="","",IFERROR(INDEX('Combined Delivery Data'!$L:$L,MATCH($B$4,'Combined Delivery Data'!$B:$B,0)),""))</f>
        <v/>
      </c>
      <c r="C15" s="177"/>
      <c r="D15" s="177"/>
      <c r="E15" s="178"/>
    </row>
    <row r="16" spans="1:5">
      <c r="A16" s="42" t="s">
        <v>335</v>
      </c>
      <c r="B16" s="172" t="str">
        <f>IF($B$4="","",IFERROR(INDEX('Combined Delivery Data'!$M:$M,MATCH($B$4,'Combined Delivery Data'!$B:$B,0)),""))</f>
        <v/>
      </c>
      <c r="C16" s="177"/>
      <c r="D16" s="177"/>
      <c r="E16" s="178"/>
    </row>
    <row r="17" spans="1:5">
      <c r="A17" s="42" t="s">
        <v>336</v>
      </c>
      <c r="B17" s="172" t="str">
        <f>IF($B$4="","",IFERROR(INDEX('Combined Delivery Data'!$O:$O,MATCH($B$4,'Combined Delivery Data'!$B:$B,0)),""))</f>
        <v/>
      </c>
      <c r="C17" s="177"/>
      <c r="D17" s="177"/>
      <c r="E17" s="178"/>
    </row>
    <row r="18" spans="1:5">
      <c r="A18" s="42" t="s">
        <v>337</v>
      </c>
      <c r="B18" s="172" t="str">
        <f>IF($B$4="","",IFERROR(INDEX('Combined Delivery Data'!$Q:$Q,MATCH($B$4,'Combined Delivery Data'!$B:$B,0)),""))</f>
        <v/>
      </c>
      <c r="C18" s="177"/>
      <c r="D18" s="177"/>
      <c r="E18" s="178"/>
    </row>
    <row r="19" spans="1:5">
      <c r="A19" s="42" t="s">
        <v>338</v>
      </c>
      <c r="B19" s="172" t="str">
        <f>IF($B$4="","",IFERROR(INDEX('Combined Delivery Data'!$R:$R,MATCH($B$4,'Combined Delivery Data'!$B:$B,0)),""))</f>
        <v/>
      </c>
      <c r="C19" s="177"/>
      <c r="D19" s="177"/>
      <c r="E19" s="178"/>
    </row>
    <row r="20" spans="1:5">
      <c r="A20" s="42" t="s">
        <v>339</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340</v>
      </c>
      <c r="B26" s="173" t="str">
        <f>IF($B$4="","",IFERROR(INDEX('Rework Log'!$Q:$Q,MATCH($B$4,'Rework Log'!$P:$P,0)),""))</f>
        <v/>
      </c>
      <c r="C26" s="177"/>
      <c r="D26" s="177"/>
      <c r="E26" s="178"/>
    </row>
    <row r="27" spans="1:5">
      <c r="A27" s="42" t="s">
        <v>341</v>
      </c>
      <c r="B27" s="173" t="str">
        <f>IF($B$4="","",IFERROR(INDEX('Rework Log'!$R:$R,MATCH($B$4,'Rework Log'!$P:$P,0)),""))</f>
        <v/>
      </c>
      <c r="C27" s="177"/>
      <c r="D27" s="177"/>
      <c r="E27" s="178"/>
    </row>
    <row r="28" spans="1:5">
      <c r="A28" s="42" t="s">
        <v>342</v>
      </c>
      <c r="B28" s="173" t="str">
        <f>IF($B$4="","",IFERROR(INDEX('Rework Log'!$S:$S,MATCH($B$4,'Rework Log'!$P:$P,0)),""))</f>
        <v/>
      </c>
      <c r="C28" s="177"/>
      <c r="D28" s="177"/>
      <c r="E28" s="178"/>
    </row>
    <row r="29" spans="1:5">
      <c r="A29" s="42" t="s">
        <v>343</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344</v>
      </c>
      <c r="B1" s="174"/>
      <c r="C1" s="174"/>
      <c r="D1" s="174"/>
      <c r="E1" s="174"/>
      <c r="F1" s="174"/>
      <c r="G1" s="174"/>
      <c r="H1" s="174"/>
      <c r="I1" s="174"/>
      <c r="J1" s="174"/>
      <c r="K1" s="174"/>
      <c r="L1" s="174"/>
      <c r="M1" s="174"/>
      <c r="P1" s="180" t="s">
        <v>345</v>
      </c>
      <c r="Q1" s="180"/>
      <c r="R1" s="180"/>
      <c r="S1" s="180"/>
      <c r="T1" s="180"/>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216</v>
      </c>
      <c r="D3" s="33" t="s">
        <v>256</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256</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256</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256</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256</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256</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256</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256</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256</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256</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256</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164</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164</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256</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164</v>
      </c>
      <c r="E17" s="31" t="s">
        <v>143</v>
      </c>
      <c r="F17" s="31" t="s">
        <v>374</v>
      </c>
      <c r="G17" s="31" t="s">
        <v>50</v>
      </c>
      <c r="H17" s="32" t="s">
        <v>46</v>
      </c>
      <c r="I17" s="32"/>
      <c r="J17" s="32"/>
      <c r="K17" s="31"/>
      <c r="L17" s="31"/>
      <c r="M17" s="3"/>
      <c r="S17" s="28"/>
    </row>
    <row r="18" spans="1:20">
      <c r="A18" s="33" t="s">
        <v>180</v>
      </c>
      <c r="B18" s="32">
        <v>46261</v>
      </c>
      <c r="C18" s="31" t="s">
        <v>216</v>
      </c>
      <c r="D18" s="31" t="s">
        <v>256</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164</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216</v>
      </c>
      <c r="D20" s="31" t="s">
        <v>164</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216</v>
      </c>
      <c r="D21" s="31" t="s">
        <v>256</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256</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216</v>
      </c>
      <c r="D23" s="31" t="s">
        <v>164</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216</v>
      </c>
      <c r="D24" s="31" t="s">
        <v>164</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216</v>
      </c>
      <c r="D25" s="31" t="s">
        <v>164</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185</v>
      </c>
      <c r="B26" s="32">
        <v>46267</v>
      </c>
      <c r="C26" s="31" t="s">
        <v>216</v>
      </c>
      <c r="D26" s="31" t="s">
        <v>164</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216</v>
      </c>
      <c r="D27" s="31" t="s">
        <v>256</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164</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164</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216</v>
      </c>
      <c r="D30" s="31" t="s">
        <v>164</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216</v>
      </c>
      <c r="D31" s="31" t="s">
        <v>256</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216</v>
      </c>
      <c r="D32" s="31" t="s">
        <v>256</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216</v>
      </c>
      <c r="D33" s="31" t="s">
        <v>256</v>
      </c>
      <c r="E33" s="31" t="s">
        <v>198</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216</v>
      </c>
      <c r="D34" s="31" t="s">
        <v>256</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216</v>
      </c>
      <c r="D35" s="31" t="s">
        <v>164</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216</v>
      </c>
      <c r="D36" s="31" t="s">
        <v>256</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216</v>
      </c>
      <c r="D37" s="31" t="s">
        <v>256</v>
      </c>
      <c r="E37" s="31" t="s">
        <v>129</v>
      </c>
      <c r="F37" s="31" t="s">
        <v>395</v>
      </c>
      <c r="G37" s="31" t="s">
        <v>53</v>
      </c>
      <c r="H37" s="32" t="s">
        <v>65</v>
      </c>
      <c r="I37" s="32"/>
      <c r="J37" s="32">
        <v>46288</v>
      </c>
      <c r="K37" s="31"/>
      <c r="L37" s="31"/>
      <c r="M37" s="3" t="str">
        <f t="shared" ca="1" si="4"/>
        <v>Fixed</v>
      </c>
      <c r="N37" t="s">
        <v>369</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216</v>
      </c>
      <c r="D38" s="31" t="s">
        <v>256</v>
      </c>
      <c r="E38" s="31" t="s">
        <v>129</v>
      </c>
      <c r="F38" s="31" t="s">
        <v>396</v>
      </c>
      <c r="G38" s="31" t="s">
        <v>50</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216</v>
      </c>
      <c r="D39" s="31" t="s">
        <v>164</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216</v>
      </c>
      <c r="D40" s="31" t="s">
        <v>256</v>
      </c>
      <c r="E40" s="31" t="s">
        <v>47</v>
      </c>
      <c r="F40" s="31" t="s">
        <v>400</v>
      </c>
      <c r="G40" s="31" t="s">
        <v>50</v>
      </c>
      <c r="H40" s="32" t="s">
        <v>44</v>
      </c>
      <c r="I40" s="32">
        <v>46283</v>
      </c>
      <c r="J40" s="32">
        <v>46283</v>
      </c>
      <c r="K40" s="31"/>
      <c r="L40" s="31" t="s">
        <v>401</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216</v>
      </c>
      <c r="D41" s="31" t="s">
        <v>164</v>
      </c>
      <c r="E41" s="31" t="s">
        <v>198</v>
      </c>
      <c r="F41" s="31" t="s">
        <v>402</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208</v>
      </c>
      <c r="B42" s="32">
        <v>46282</v>
      </c>
      <c r="C42" s="31" t="s">
        <v>216</v>
      </c>
      <c r="D42" s="31" t="s">
        <v>256</v>
      </c>
      <c r="E42" s="31" t="s">
        <v>47</v>
      </c>
      <c r="F42" s="31" t="s">
        <v>403</v>
      </c>
      <c r="G42" s="31" t="s">
        <v>50</v>
      </c>
      <c r="H42" s="32" t="s">
        <v>154</v>
      </c>
      <c r="I42" s="32">
        <v>46282</v>
      </c>
      <c r="J42" s="32">
        <v>46282</v>
      </c>
      <c r="K42" s="31"/>
      <c r="L42" s="31" t="s">
        <v>404</v>
      </c>
      <c r="M42" s="3" t="str">
        <f t="shared" ca="1" si="4"/>
        <v>Fixed</v>
      </c>
      <c r="P42" t="str">
        <f>'Combined Delivery Data'!B42</f>
        <v>RPT_02_GRO Monitor</v>
      </c>
      <c r="Q42">
        <f t="shared" si="5"/>
        <v>0</v>
      </c>
      <c r="R42">
        <f t="shared" si="6"/>
        <v>0</v>
      </c>
      <c r="S42" s="28" t="str">
        <f t="shared" si="7"/>
        <v/>
      </c>
      <c r="T42" t="str">
        <f t="shared" si="8"/>
        <v/>
      </c>
    </row>
    <row r="43" spans="1:20" ht="15">
      <c r="A43" s="33" t="s">
        <v>210</v>
      </c>
      <c r="B43" s="32">
        <v>46287</v>
      </c>
      <c r="C43" s="31" t="s">
        <v>216</v>
      </c>
      <c r="D43" s="31" t="s">
        <v>256</v>
      </c>
      <c r="E43" s="31" t="s">
        <v>129</v>
      </c>
      <c r="F43" s="31" t="s">
        <v>405</v>
      </c>
      <c r="G43" s="31" t="s">
        <v>53</v>
      </c>
      <c r="H43" s="32"/>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164</v>
      </c>
      <c r="E44" s="31" t="s">
        <v>143</v>
      </c>
      <c r="F44" s="31" t="s">
        <v>406</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216</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216</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407</v>
      </c>
      <c r="B1" s="176"/>
      <c r="C1" s="176"/>
    </row>
    <row r="2" spans="1:8" ht="14.25" customHeight="1">
      <c r="A2" s="8" t="s">
        <v>0</v>
      </c>
      <c r="B2" s="8" t="s">
        <v>408</v>
      </c>
      <c r="C2" s="8" t="s">
        <v>409</v>
      </c>
      <c r="E2" t="s">
        <v>410</v>
      </c>
      <c r="F2" t="s">
        <v>411</v>
      </c>
      <c r="G2" t="s">
        <v>412</v>
      </c>
      <c r="H2" t="s">
        <v>413</v>
      </c>
    </row>
    <row r="3" spans="1:8" ht="14.25" customHeight="1">
      <c r="A3" s="11" t="s">
        <v>40</v>
      </c>
      <c r="B3" s="11">
        <v>8</v>
      </c>
      <c r="C3" s="12">
        <v>46142</v>
      </c>
      <c r="E3" t="s">
        <v>414</v>
      </c>
      <c r="F3" s="28">
        <v>46233</v>
      </c>
      <c r="G3" s="28">
        <v>46274</v>
      </c>
    </row>
    <row r="4" spans="1:8" ht="14.25" customHeight="1">
      <c r="A4" s="11" t="s">
        <v>40</v>
      </c>
      <c r="B4" s="11">
        <v>10</v>
      </c>
      <c r="C4" s="12">
        <v>46172</v>
      </c>
      <c r="E4" t="s">
        <v>415</v>
      </c>
      <c r="F4" s="28">
        <v>46264</v>
      </c>
      <c r="G4" s="28">
        <v>46295</v>
      </c>
    </row>
    <row r="5" spans="1:8" ht="14.25" customHeight="1">
      <c r="A5" s="11" t="s">
        <v>40</v>
      </c>
      <c r="B5" s="11">
        <v>9</v>
      </c>
      <c r="C5" s="12">
        <v>46203</v>
      </c>
      <c r="E5" t="s">
        <v>416</v>
      </c>
      <c r="F5" s="28">
        <v>46295</v>
      </c>
      <c r="G5" s="28">
        <v>46325</v>
      </c>
    </row>
    <row r="6" spans="1:8" ht="14.25" customHeight="1">
      <c r="A6" s="11" t="s">
        <v>126</v>
      </c>
      <c r="B6" s="11">
        <v>15</v>
      </c>
      <c r="C6" s="12">
        <v>46233</v>
      </c>
      <c r="E6" t="s">
        <v>417</v>
      </c>
      <c r="F6" s="28">
        <v>46325</v>
      </c>
      <c r="G6" s="28">
        <v>46356</v>
      </c>
    </row>
    <row r="7" spans="1:8" ht="14.25" customHeight="1">
      <c r="A7" s="11" t="s">
        <v>126</v>
      </c>
      <c r="B7" s="11">
        <v>15</v>
      </c>
      <c r="C7" s="12">
        <v>46264</v>
      </c>
      <c r="E7" t="s">
        <v>418</v>
      </c>
      <c r="F7" s="28">
        <v>46356</v>
      </c>
      <c r="G7" s="28">
        <v>46387</v>
      </c>
    </row>
    <row r="8" spans="1:8" ht="14.25" customHeight="1">
      <c r="A8" s="11" t="s">
        <v>126</v>
      </c>
      <c r="B8" s="11">
        <v>17</v>
      </c>
      <c r="C8" s="12">
        <v>46295</v>
      </c>
      <c r="E8" t="s">
        <v>419</v>
      </c>
      <c r="F8" s="28">
        <v>46387</v>
      </c>
      <c r="G8" s="28">
        <v>46417</v>
      </c>
    </row>
    <row r="9" spans="1:8" ht="14.25" customHeight="1">
      <c r="A9" s="11" t="s">
        <v>126</v>
      </c>
      <c r="B9" s="11">
        <v>20</v>
      </c>
      <c r="C9" s="12">
        <v>46325</v>
      </c>
      <c r="E9" t="s">
        <v>420</v>
      </c>
      <c r="F9" s="28">
        <v>46417</v>
      </c>
      <c r="G9" s="28">
        <v>46445</v>
      </c>
    </row>
    <row r="10" spans="1:8" ht="14.25" customHeight="1">
      <c r="A10" s="11" t="s">
        <v>126</v>
      </c>
      <c r="B10" s="11">
        <v>20</v>
      </c>
      <c r="C10" s="12">
        <v>46356</v>
      </c>
      <c r="E10" t="s">
        <v>421</v>
      </c>
      <c r="F10" s="28">
        <v>46446</v>
      </c>
      <c r="G10" s="28">
        <v>46477</v>
      </c>
    </row>
    <row r="11" spans="1:8" ht="14.25" customHeight="1">
      <c r="A11" s="11" t="s">
        <v>422</v>
      </c>
      <c r="B11" s="11">
        <v>18</v>
      </c>
      <c r="C11" s="12">
        <v>46417</v>
      </c>
      <c r="E11" t="s">
        <v>423</v>
      </c>
      <c r="F11" s="28">
        <v>46477</v>
      </c>
      <c r="G11" s="28">
        <v>46480</v>
      </c>
    </row>
    <row r="12" spans="1:8" ht="14.25" customHeight="1">
      <c r="A12" s="11" t="s">
        <v>422</v>
      </c>
      <c r="B12" s="11">
        <v>18</v>
      </c>
      <c r="C12" s="12">
        <v>46446</v>
      </c>
    </row>
    <row r="13" spans="1:8" ht="14.25" customHeight="1">
      <c r="A13" s="11" t="s">
        <v>422</v>
      </c>
      <c r="B13" s="11">
        <v>19</v>
      </c>
      <c r="C13" s="12">
        <v>46477</v>
      </c>
    </row>
    <row r="14" spans="1:8" ht="14.25" customHeight="1">
      <c r="A14" s="11" t="s">
        <v>304</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424</v>
      </c>
      <c r="B1" s="176"/>
      <c r="C1" s="176"/>
      <c r="D1" s="176"/>
      <c r="E1" s="176"/>
      <c r="F1" s="176"/>
      <c r="G1" s="176"/>
      <c r="H1" s="176"/>
      <c r="I1" s="176"/>
      <c r="J1" s="176"/>
    </row>
    <row r="2" spans="1:10" ht="27" customHeight="1">
      <c r="A2" s="8" t="s">
        <v>0</v>
      </c>
      <c r="B2" s="8" t="s">
        <v>425</v>
      </c>
      <c r="C2" s="8" t="s">
        <v>1</v>
      </c>
      <c r="D2" s="8" t="s">
        <v>426</v>
      </c>
      <c r="E2" s="8" t="s">
        <v>427</v>
      </c>
      <c r="F2" s="8" t="s">
        <v>6</v>
      </c>
      <c r="G2" s="8" t="s">
        <v>5</v>
      </c>
      <c r="H2" s="8" t="s">
        <v>428</v>
      </c>
      <c r="I2" s="8" t="s">
        <v>409</v>
      </c>
      <c r="J2" s="8" t="s">
        <v>429</v>
      </c>
    </row>
    <row r="3" spans="1:10" ht="14.25" customHeight="1">
      <c r="A3" s="9" t="s">
        <v>40</v>
      </c>
      <c r="B3" s="9" t="s">
        <v>256</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256</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256</v>
      </c>
      <c r="C13" s="9" t="s">
        <v>430</v>
      </c>
      <c r="D13" s="9" t="s">
        <v>431</v>
      </c>
      <c r="E13" s="9" t="s">
        <v>46</v>
      </c>
      <c r="F13" s="9"/>
      <c r="G13" s="9"/>
      <c r="H13" s="10"/>
      <c r="I13" s="10">
        <v>46115</v>
      </c>
      <c r="J13" s="10">
        <v>46115</v>
      </c>
    </row>
    <row r="14" spans="1:10" ht="14.25" customHeight="1">
      <c r="A14" s="9" t="s">
        <v>40</v>
      </c>
      <c r="B14" s="9" t="s">
        <v>164</v>
      </c>
      <c r="C14" s="9" t="s">
        <v>430</v>
      </c>
      <c r="D14" s="9" t="s">
        <v>431</v>
      </c>
      <c r="E14" s="9" t="s">
        <v>46</v>
      </c>
      <c r="F14" s="9"/>
      <c r="G14" s="9"/>
      <c r="H14" s="10">
        <v>46115</v>
      </c>
      <c r="I14" s="10">
        <v>46120</v>
      </c>
      <c r="J14" s="10">
        <v>46120</v>
      </c>
    </row>
    <row r="15" spans="1:10" ht="14.25" customHeight="1">
      <c r="A15" s="9" t="s">
        <v>40</v>
      </c>
      <c r="B15" s="9" t="s">
        <v>216</v>
      </c>
      <c r="C15" s="9" t="s">
        <v>430</v>
      </c>
      <c r="D15" s="9" t="s">
        <v>431</v>
      </c>
      <c r="E15" s="9" t="s">
        <v>46</v>
      </c>
      <c r="F15" s="9"/>
      <c r="G15" s="9"/>
      <c r="H15" s="10">
        <v>46120</v>
      </c>
      <c r="I15" s="10">
        <v>46122</v>
      </c>
      <c r="J15" s="10">
        <v>46122</v>
      </c>
    </row>
    <row r="16" spans="1:10" ht="14.25" customHeight="1">
      <c r="A16" s="9" t="s">
        <v>40</v>
      </c>
      <c r="B16" s="9" t="s">
        <v>181</v>
      </c>
      <c r="C16" s="9" t="s">
        <v>430</v>
      </c>
      <c r="D16" s="9" t="s">
        <v>431</v>
      </c>
      <c r="E16" s="9" t="s">
        <v>46</v>
      </c>
      <c r="F16" s="9"/>
      <c r="G16" s="9"/>
      <c r="H16" s="10">
        <v>46122</v>
      </c>
      <c r="I16" s="10"/>
      <c r="J16" s="10"/>
    </row>
    <row r="17" spans="1:10" ht="14.25" customHeight="1">
      <c r="A17" s="9" t="s">
        <v>40</v>
      </c>
      <c r="B17" s="9" t="s">
        <v>42</v>
      </c>
      <c r="C17" s="9" t="s">
        <v>430</v>
      </c>
      <c r="D17" s="9" t="s">
        <v>431</v>
      </c>
      <c r="E17" s="9" t="s">
        <v>46</v>
      </c>
      <c r="F17" s="9"/>
      <c r="G17" s="9"/>
      <c r="H17" s="10"/>
      <c r="I17" s="10"/>
      <c r="J17" s="10"/>
    </row>
    <row r="18" spans="1:10" ht="14.25" customHeight="1">
      <c r="A18" s="9" t="s">
        <v>40</v>
      </c>
      <c r="B18" s="9" t="s">
        <v>256</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256</v>
      </c>
      <c r="C23" s="9" t="s">
        <v>64</v>
      </c>
      <c r="D23" s="9" t="s">
        <v>431</v>
      </c>
      <c r="E23" s="9" t="s">
        <v>46</v>
      </c>
      <c r="F23" s="9"/>
      <c r="G23" s="9"/>
      <c r="H23" s="10"/>
      <c r="I23" s="10">
        <v>46115</v>
      </c>
      <c r="J23" s="10">
        <v>46115</v>
      </c>
    </row>
    <row r="24" spans="1:10" ht="14.25" customHeight="1">
      <c r="A24" s="9" t="s">
        <v>40</v>
      </c>
      <c r="B24" s="9" t="s">
        <v>164</v>
      </c>
      <c r="C24" s="9" t="s">
        <v>64</v>
      </c>
      <c r="D24" s="9" t="s">
        <v>431</v>
      </c>
      <c r="E24" s="9" t="s">
        <v>46</v>
      </c>
      <c r="F24" s="9"/>
      <c r="G24" s="9"/>
      <c r="H24" s="10">
        <v>46115</v>
      </c>
      <c r="I24" s="10">
        <v>46120</v>
      </c>
      <c r="J24" s="10">
        <v>46120</v>
      </c>
    </row>
    <row r="25" spans="1:10" ht="14.25" customHeight="1">
      <c r="A25" s="9" t="s">
        <v>40</v>
      </c>
      <c r="B25" s="9" t="s">
        <v>216</v>
      </c>
      <c r="C25" s="9" t="s">
        <v>64</v>
      </c>
      <c r="D25" s="9" t="s">
        <v>431</v>
      </c>
      <c r="E25" s="9" t="s">
        <v>46</v>
      </c>
      <c r="F25" s="9"/>
      <c r="G25" s="9"/>
      <c r="H25" s="10">
        <v>46120</v>
      </c>
      <c r="I25" s="10">
        <v>46122</v>
      </c>
      <c r="J25" s="10">
        <v>46122</v>
      </c>
    </row>
    <row r="26" spans="1:10" ht="14.25" customHeight="1">
      <c r="A26" s="9" t="s">
        <v>40</v>
      </c>
      <c r="B26" s="9" t="s">
        <v>181</v>
      </c>
      <c r="C26" s="9" t="s">
        <v>64</v>
      </c>
      <c r="D26" s="9" t="s">
        <v>431</v>
      </c>
      <c r="E26" s="9" t="s">
        <v>46</v>
      </c>
      <c r="F26" s="9"/>
      <c r="G26" s="9"/>
      <c r="H26" s="10">
        <v>46122</v>
      </c>
      <c r="I26" s="10"/>
      <c r="J26" s="10"/>
    </row>
    <row r="27" spans="1:10" ht="14.25" customHeight="1">
      <c r="A27" s="9" t="s">
        <v>40</v>
      </c>
      <c r="B27" s="9" t="s">
        <v>42</v>
      </c>
      <c r="C27" s="9" t="s">
        <v>64</v>
      </c>
      <c r="D27" s="9" t="s">
        <v>431</v>
      </c>
      <c r="E27" s="9" t="s">
        <v>46</v>
      </c>
      <c r="F27" s="9"/>
      <c r="G27" s="9"/>
      <c r="H27" s="10"/>
      <c r="I27" s="10"/>
      <c r="J27" s="10"/>
    </row>
    <row r="28" spans="1:10" ht="14.25" customHeight="1">
      <c r="A28" s="9" t="s">
        <v>40</v>
      </c>
      <c r="B28" s="9" t="s">
        <v>256</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256</v>
      </c>
      <c r="C33" s="9" t="s">
        <v>70</v>
      </c>
      <c r="D33" s="9" t="s">
        <v>431</v>
      </c>
      <c r="E33" s="9" t="s">
        <v>60</v>
      </c>
      <c r="F33" s="9"/>
      <c r="G33" s="9"/>
      <c r="H33" s="10"/>
      <c r="I33" s="10">
        <v>46122</v>
      </c>
      <c r="J33" s="10">
        <v>46122</v>
      </c>
    </row>
    <row r="34" spans="1:10" ht="14.25" customHeight="1">
      <c r="A34" s="9" t="s">
        <v>40</v>
      </c>
      <c r="B34" s="9" t="s">
        <v>164</v>
      </c>
      <c r="C34" s="9" t="s">
        <v>70</v>
      </c>
      <c r="D34" s="9" t="s">
        <v>431</v>
      </c>
      <c r="E34" s="9" t="s">
        <v>60</v>
      </c>
      <c r="F34" s="9"/>
      <c r="G34" s="9"/>
      <c r="H34" s="10">
        <v>46122</v>
      </c>
      <c r="I34" s="10">
        <v>46126</v>
      </c>
      <c r="J34" s="10">
        <v>46126</v>
      </c>
    </row>
    <row r="35" spans="1:10" ht="14.25" customHeight="1">
      <c r="A35" s="9" t="s">
        <v>40</v>
      </c>
      <c r="B35" s="9" t="s">
        <v>216</v>
      </c>
      <c r="C35" s="9" t="s">
        <v>70</v>
      </c>
      <c r="D35" s="9" t="s">
        <v>431</v>
      </c>
      <c r="E35" s="9" t="s">
        <v>60</v>
      </c>
      <c r="F35" s="9"/>
      <c r="G35" s="9"/>
      <c r="H35" s="10">
        <v>46126</v>
      </c>
      <c r="I35" s="10">
        <v>46122</v>
      </c>
      <c r="J35" s="10">
        <v>46122</v>
      </c>
    </row>
    <row r="36" spans="1:10" ht="14.25" customHeight="1">
      <c r="A36" s="9" t="s">
        <v>40</v>
      </c>
      <c r="B36" s="9" t="s">
        <v>181</v>
      </c>
      <c r="C36" s="9" t="s">
        <v>70</v>
      </c>
      <c r="D36" s="9" t="s">
        <v>431</v>
      </c>
      <c r="E36" s="9" t="s">
        <v>60</v>
      </c>
      <c r="F36" s="9"/>
      <c r="G36" s="9"/>
      <c r="H36" s="10">
        <v>46122</v>
      </c>
      <c r="I36" s="10"/>
      <c r="J36" s="10"/>
    </row>
    <row r="37" spans="1:10" ht="14.25" customHeight="1">
      <c r="A37" s="9" t="s">
        <v>40</v>
      </c>
      <c r="B37" s="9" t="s">
        <v>42</v>
      </c>
      <c r="C37" s="9" t="s">
        <v>70</v>
      </c>
      <c r="D37" s="9" t="s">
        <v>431</v>
      </c>
      <c r="E37" s="9" t="s">
        <v>60</v>
      </c>
      <c r="F37" s="9"/>
      <c r="G37" s="9"/>
      <c r="H37" s="10"/>
      <c r="I37" s="10"/>
      <c r="J37" s="10"/>
    </row>
    <row r="38" spans="1:10" ht="14.25" customHeight="1">
      <c r="A38" s="9" t="s">
        <v>40</v>
      </c>
      <c r="B38" s="9" t="s">
        <v>256</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256</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256</v>
      </c>
      <c r="C48" s="9" t="s">
        <v>97</v>
      </c>
      <c r="D48" s="9" t="s">
        <v>431</v>
      </c>
      <c r="E48" s="9" t="s">
        <v>60</v>
      </c>
      <c r="F48" s="9"/>
      <c r="G48" s="9"/>
      <c r="H48" s="10"/>
      <c r="I48" s="10"/>
      <c r="J48" s="10"/>
    </row>
    <row r="49" spans="1:10" ht="14.25" customHeight="1">
      <c r="A49" s="9" t="s">
        <v>40</v>
      </c>
      <c r="B49" s="9" t="s">
        <v>164</v>
      </c>
      <c r="C49" s="9" t="s">
        <v>97</v>
      </c>
      <c r="D49" s="9" t="s">
        <v>431</v>
      </c>
      <c r="E49" s="9" t="s">
        <v>60</v>
      </c>
      <c r="F49" s="9"/>
      <c r="G49" s="9"/>
      <c r="H49" s="10"/>
      <c r="I49" s="10">
        <v>46139</v>
      </c>
      <c r="J49" s="10">
        <v>46139</v>
      </c>
    </row>
    <row r="50" spans="1:10" ht="14.25" customHeight="1">
      <c r="A50" s="9" t="s">
        <v>40</v>
      </c>
      <c r="B50" s="9" t="s">
        <v>216</v>
      </c>
      <c r="C50" s="9" t="s">
        <v>97</v>
      </c>
      <c r="D50" s="9" t="s">
        <v>431</v>
      </c>
      <c r="E50" s="9" t="s">
        <v>60</v>
      </c>
      <c r="F50" s="9"/>
      <c r="G50" s="9"/>
      <c r="H50" s="10">
        <v>46139</v>
      </c>
      <c r="I50" s="10">
        <v>46139</v>
      </c>
      <c r="J50" s="10">
        <v>46139</v>
      </c>
    </row>
    <row r="51" spans="1:10" ht="14.25" customHeight="1">
      <c r="A51" s="9" t="s">
        <v>40</v>
      </c>
      <c r="B51" s="9" t="s">
        <v>181</v>
      </c>
      <c r="C51" s="9" t="s">
        <v>97</v>
      </c>
      <c r="D51" s="9" t="s">
        <v>431</v>
      </c>
      <c r="E51" s="9" t="s">
        <v>60</v>
      </c>
      <c r="F51" s="9"/>
      <c r="G51" s="9"/>
      <c r="H51" s="10">
        <v>46139</v>
      </c>
      <c r="I51" s="10"/>
      <c r="J51" s="10"/>
    </row>
    <row r="52" spans="1:10" ht="14.25" customHeight="1">
      <c r="A52" s="9" t="s">
        <v>40</v>
      </c>
      <c r="B52" s="9" t="s">
        <v>42</v>
      </c>
      <c r="C52" s="9" t="s">
        <v>97</v>
      </c>
      <c r="D52" s="9" t="s">
        <v>431</v>
      </c>
      <c r="E52" s="9" t="s">
        <v>60</v>
      </c>
      <c r="F52" s="9"/>
      <c r="G52" s="9"/>
      <c r="H52" s="10"/>
      <c r="I52" s="10"/>
      <c r="J52" s="10"/>
    </row>
    <row r="53" spans="1:10" ht="14.25" customHeight="1">
      <c r="A53" s="9" t="s">
        <v>40</v>
      </c>
      <c r="B53" s="9" t="s">
        <v>256</v>
      </c>
      <c r="C53" s="9" t="s">
        <v>98</v>
      </c>
      <c r="D53" s="9" t="s">
        <v>431</v>
      </c>
      <c r="E53" s="9" t="s">
        <v>60</v>
      </c>
      <c r="F53" s="9"/>
      <c r="G53" s="9"/>
      <c r="H53" s="10"/>
      <c r="I53" s="10"/>
      <c r="J53" s="10"/>
    </row>
    <row r="54" spans="1:10" ht="14.25" customHeight="1">
      <c r="A54" s="9" t="s">
        <v>40</v>
      </c>
      <c r="B54" s="9" t="s">
        <v>164</v>
      </c>
      <c r="C54" s="9" t="s">
        <v>98</v>
      </c>
      <c r="D54" s="9" t="s">
        <v>431</v>
      </c>
      <c r="E54" s="9" t="s">
        <v>60</v>
      </c>
      <c r="F54" s="9"/>
      <c r="G54" s="9"/>
      <c r="H54" s="9"/>
      <c r="I54" s="10">
        <v>46141</v>
      </c>
      <c r="J54" s="10">
        <v>46141</v>
      </c>
    </row>
    <row r="55" spans="1:10" ht="14.25" customHeight="1">
      <c r="A55" s="9" t="s">
        <v>40</v>
      </c>
      <c r="B55" s="9" t="s">
        <v>216</v>
      </c>
      <c r="C55" s="9" t="s">
        <v>98</v>
      </c>
      <c r="D55" s="9" t="s">
        <v>431</v>
      </c>
      <c r="E55" s="9" t="s">
        <v>60</v>
      </c>
      <c r="F55" s="9"/>
      <c r="G55" s="9"/>
      <c r="H55" s="10">
        <v>46141</v>
      </c>
      <c r="I55" s="10">
        <v>46141</v>
      </c>
      <c r="J55" s="10">
        <v>46141</v>
      </c>
    </row>
    <row r="56" spans="1:10" ht="14.25" customHeight="1">
      <c r="A56" s="9" t="s">
        <v>40</v>
      </c>
      <c r="B56" s="9" t="s">
        <v>181</v>
      </c>
      <c r="C56" s="9" t="s">
        <v>98</v>
      </c>
      <c r="D56" s="9" t="s">
        <v>431</v>
      </c>
      <c r="E56" s="9" t="s">
        <v>60</v>
      </c>
      <c r="F56" s="9"/>
      <c r="G56" s="9"/>
      <c r="H56" s="10">
        <v>46141</v>
      </c>
      <c r="I56" s="10"/>
      <c r="J56" s="10"/>
    </row>
    <row r="57" spans="1:10" ht="14.25" customHeight="1">
      <c r="A57" s="9" t="s">
        <v>40</v>
      </c>
      <c r="B57" s="9" t="s">
        <v>42</v>
      </c>
      <c r="C57" s="9" t="s">
        <v>98</v>
      </c>
      <c r="D57" s="9" t="s">
        <v>431</v>
      </c>
      <c r="E57" s="9" t="s">
        <v>60</v>
      </c>
      <c r="F57" s="9"/>
      <c r="G57" s="9"/>
      <c r="H57" s="10"/>
      <c r="I57" s="10"/>
      <c r="J57" s="10"/>
    </row>
    <row r="58" spans="1:10" ht="14.25" customHeight="1">
      <c r="A58" s="9" t="s">
        <v>40</v>
      </c>
      <c r="B58" s="9" t="s">
        <v>256</v>
      </c>
      <c r="C58" s="9" t="s">
        <v>99</v>
      </c>
      <c r="D58" s="9" t="s">
        <v>431</v>
      </c>
      <c r="E58" s="9" t="s">
        <v>46</v>
      </c>
      <c r="F58" s="9"/>
      <c r="G58" s="9"/>
      <c r="H58" s="9"/>
      <c r="I58" s="10"/>
      <c r="J58" s="10"/>
    </row>
    <row r="59" spans="1:10" ht="14.25" customHeight="1">
      <c r="A59" s="9" t="s">
        <v>40</v>
      </c>
      <c r="B59" s="9" t="s">
        <v>164</v>
      </c>
      <c r="C59" s="9" t="s">
        <v>99</v>
      </c>
      <c r="D59" s="9" t="s">
        <v>431</v>
      </c>
      <c r="E59" s="9" t="s">
        <v>46</v>
      </c>
      <c r="F59" s="9"/>
      <c r="G59" s="9"/>
      <c r="H59" s="10"/>
      <c r="I59" s="10">
        <v>46161</v>
      </c>
      <c r="J59" s="10">
        <v>46161</v>
      </c>
    </row>
    <row r="60" spans="1:10" ht="14.25" customHeight="1">
      <c r="A60" s="9" t="s">
        <v>40</v>
      </c>
      <c r="B60" s="9" t="s">
        <v>216</v>
      </c>
      <c r="C60" s="9" t="s">
        <v>99</v>
      </c>
      <c r="D60" s="9" t="s">
        <v>431</v>
      </c>
      <c r="E60" s="9" t="s">
        <v>46</v>
      </c>
      <c r="F60" s="9"/>
      <c r="G60" s="9"/>
      <c r="H60" s="10">
        <v>46161</v>
      </c>
      <c r="I60" s="10">
        <v>46161</v>
      </c>
      <c r="J60" s="10">
        <v>46161</v>
      </c>
    </row>
    <row r="61" spans="1:10" ht="14.25" customHeight="1">
      <c r="A61" s="9" t="s">
        <v>40</v>
      </c>
      <c r="B61" s="9" t="s">
        <v>181</v>
      </c>
      <c r="C61" s="9" t="s">
        <v>99</v>
      </c>
      <c r="D61" s="9" t="s">
        <v>431</v>
      </c>
      <c r="E61" s="9" t="s">
        <v>46</v>
      </c>
      <c r="F61" s="9"/>
      <c r="G61" s="9"/>
      <c r="H61" s="10">
        <v>46161</v>
      </c>
      <c r="I61" s="10"/>
      <c r="J61" s="10"/>
    </row>
    <row r="62" spans="1:10" ht="14.25" customHeight="1">
      <c r="A62" s="9" t="s">
        <v>40</v>
      </c>
      <c r="B62" s="9" t="s">
        <v>42</v>
      </c>
      <c r="C62" s="9" t="s">
        <v>99</v>
      </c>
      <c r="D62" s="9" t="s">
        <v>431</v>
      </c>
      <c r="E62" s="9" t="s">
        <v>46</v>
      </c>
      <c r="F62" s="9"/>
      <c r="G62" s="9"/>
      <c r="H62" s="9"/>
      <c r="I62" s="10"/>
      <c r="J62" s="10"/>
    </row>
    <row r="63" spans="1:10" ht="14.25" customHeight="1">
      <c r="A63" s="9" t="s">
        <v>40</v>
      </c>
      <c r="B63" s="9" t="s">
        <v>256</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256</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256</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256</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256</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256</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256</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256</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256</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256</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256</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256</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256</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256</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256</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256</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256</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256</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256</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256</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256</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256</v>
      </c>
      <c r="C156" s="9" t="s">
        <v>142</v>
      </c>
      <c r="D156" s="9" t="s">
        <v>84</v>
      </c>
      <c r="E156" s="9" t="s">
        <v>60</v>
      </c>
      <c r="F156" s="9"/>
      <c r="G156" s="9" t="s">
        <v>143</v>
      </c>
      <c r="H156" s="9"/>
      <c r="I156" s="9"/>
      <c r="J156" s="9"/>
    </row>
    <row r="157" spans="1:10">
      <c r="A157" s="3" t="s">
        <v>126</v>
      </c>
      <c r="B157" s="3" t="s">
        <v>256</v>
      </c>
      <c r="C157" s="3" t="s">
        <v>145</v>
      </c>
      <c r="D157" s="3" t="s">
        <v>65</v>
      </c>
      <c r="E157" s="3" t="s">
        <v>46</v>
      </c>
      <c r="F157" s="3"/>
      <c r="G157" s="3" t="s">
        <v>143</v>
      </c>
      <c r="H157" s="3"/>
      <c r="I157" s="3"/>
      <c r="J157" s="3"/>
    </row>
    <row r="158" spans="1:10">
      <c r="A158" s="3" t="s">
        <v>126</v>
      </c>
      <c r="B158" s="3" t="s">
        <v>256</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256</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256</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256</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256</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216</v>
      </c>
      <c r="C172" s="3" t="s">
        <v>156</v>
      </c>
      <c r="D172" s="3" t="s">
        <v>76</v>
      </c>
      <c r="E172" s="3" t="s">
        <v>46</v>
      </c>
      <c r="F172" s="3"/>
      <c r="G172" s="3" t="s">
        <v>129</v>
      </c>
      <c r="H172" s="4">
        <v>46226</v>
      </c>
      <c r="I172" s="4">
        <v>46223</v>
      </c>
      <c r="J172" s="4">
        <v>46223</v>
      </c>
    </row>
    <row r="173" spans="1:10">
      <c r="A173" s="3" t="s">
        <v>126</v>
      </c>
      <c r="B173" s="3" t="s">
        <v>256</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216</v>
      </c>
      <c r="C175" s="3" t="s">
        <v>158</v>
      </c>
      <c r="D175" s="3" t="s">
        <v>59</v>
      </c>
      <c r="E175" s="3" t="s">
        <v>60</v>
      </c>
      <c r="F175" s="3"/>
      <c r="G175" s="3" t="s">
        <v>129</v>
      </c>
      <c r="H175" s="4">
        <v>46225</v>
      </c>
      <c r="I175" s="4">
        <v>46223</v>
      </c>
      <c r="J175" s="4">
        <v>46223</v>
      </c>
    </row>
    <row r="176" spans="1:10">
      <c r="A176" s="3" t="s">
        <v>126</v>
      </c>
      <c r="B176" s="3" t="s">
        <v>256</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216</v>
      </c>
      <c r="C178" s="3" t="s">
        <v>160</v>
      </c>
      <c r="D178" s="3" t="s">
        <v>76</v>
      </c>
      <c r="E178" s="3" t="s">
        <v>77</v>
      </c>
      <c r="F178" s="3"/>
      <c r="G178" s="3" t="s">
        <v>143</v>
      </c>
      <c r="H178" s="4">
        <v>46225</v>
      </c>
      <c r="I178" s="4">
        <v>46230</v>
      </c>
      <c r="J178" s="4">
        <v>46230</v>
      </c>
    </row>
    <row r="179" spans="1:10">
      <c r="A179" s="3" t="s">
        <v>126</v>
      </c>
      <c r="B179" s="3" t="s">
        <v>256</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216</v>
      </c>
      <c r="C181" s="3" t="s">
        <v>163</v>
      </c>
      <c r="D181" s="3" t="s">
        <v>103</v>
      </c>
      <c r="E181" s="3"/>
      <c r="F181" s="3"/>
      <c r="G181" s="3"/>
      <c r="H181" s="3"/>
      <c r="I181" s="3"/>
      <c r="J181" s="3"/>
    </row>
    <row r="182" spans="1:10">
      <c r="A182" s="3" t="s">
        <v>126</v>
      </c>
      <c r="B182" s="3" t="s">
        <v>256</v>
      </c>
      <c r="C182" s="3" t="s">
        <v>174</v>
      </c>
      <c r="D182" s="3" t="s">
        <v>84</v>
      </c>
      <c r="E182" s="3"/>
      <c r="F182" s="3"/>
      <c r="G182" s="3"/>
      <c r="H182" s="3"/>
      <c r="I182" s="3"/>
      <c r="J182" s="3"/>
    </row>
    <row r="183" spans="1:10">
      <c r="A183" s="3" t="s">
        <v>126</v>
      </c>
      <c r="B183" s="3" t="s">
        <v>164</v>
      </c>
      <c r="C183" s="3" t="s">
        <v>174</v>
      </c>
      <c r="D183" s="3" t="s">
        <v>84</v>
      </c>
      <c r="E183" s="3"/>
      <c r="F183" s="3"/>
      <c r="G183" s="3"/>
      <c r="H183" s="3"/>
      <c r="I183" s="3"/>
      <c r="J183" s="3"/>
    </row>
    <row r="184" spans="1:10">
      <c r="A184" s="3" t="s">
        <v>126</v>
      </c>
      <c r="B184" s="3" t="s">
        <v>216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432</v>
      </c>
      <c r="F1" s="1" t="s">
        <v>332</v>
      </c>
      <c r="G1" s="5" t="s">
        <v>433</v>
      </c>
      <c r="H1" s="5" t="s">
        <v>20</v>
      </c>
      <c r="I1" t="s">
        <v>35</v>
      </c>
      <c r="J1" s="5" t="s">
        <v>434</v>
      </c>
      <c r="K1" s="5" t="s">
        <v>181</v>
      </c>
      <c r="L1" s="5" t="s">
        <v>351</v>
      </c>
      <c r="M1" s="1" t="s">
        <v>435</v>
      </c>
      <c r="N1" s="1" t="s">
        <v>436</v>
      </c>
      <c r="R1" t="s">
        <v>13</v>
      </c>
      <c r="T1" t="s">
        <v>437</v>
      </c>
    </row>
    <row r="2" spans="1:20" ht="13.5" customHeight="1">
      <c r="A2" s="2" t="s">
        <v>438</v>
      </c>
      <c r="B2" s="2" t="s">
        <v>439</v>
      </c>
      <c r="C2" s="2" t="s">
        <v>440</v>
      </c>
      <c r="D2" s="2" t="s">
        <v>441</v>
      </c>
      <c r="E2" s="2" t="s">
        <v>442</v>
      </c>
      <c r="F2" s="2" t="s">
        <v>443</v>
      </c>
      <c r="G2" t="s">
        <v>444</v>
      </c>
      <c r="H2" t="s">
        <v>445</v>
      </c>
      <c r="I2" t="s">
        <v>446</v>
      </c>
      <c r="J2" s="29" t="s">
        <v>447</v>
      </c>
      <c r="K2" s="29" t="s">
        <v>448</v>
      </c>
      <c r="L2" s="29" t="s">
        <v>449</v>
      </c>
      <c r="M2" t="s">
        <v>143</v>
      </c>
      <c r="N2" t="s">
        <v>450</v>
      </c>
      <c r="R2" t="s">
        <v>250</v>
      </c>
      <c r="T2" t="s">
        <v>49</v>
      </c>
    </row>
    <row r="3" spans="1:20" ht="15" customHeight="1">
      <c r="A3" t="s">
        <v>40</v>
      </c>
      <c r="B3" t="s">
        <v>44</v>
      </c>
      <c r="C3" t="s">
        <v>60</v>
      </c>
      <c r="D3" t="s">
        <v>129</v>
      </c>
      <c r="E3" t="s">
        <v>50</v>
      </c>
      <c r="F3" t="s">
        <v>230</v>
      </c>
      <c r="G3" t="s">
        <v>44</v>
      </c>
      <c r="H3" t="s">
        <v>47</v>
      </c>
      <c r="I3" t="s">
        <v>53</v>
      </c>
      <c r="J3" t="s">
        <v>256</v>
      </c>
      <c r="K3" t="s">
        <v>48</v>
      </c>
      <c r="L3" t="s">
        <v>53</v>
      </c>
      <c r="M3" t="s">
        <v>44</v>
      </c>
      <c r="N3" t="s">
        <v>451</v>
      </c>
      <c r="R3" t="s">
        <v>45</v>
      </c>
      <c r="T3" t="s">
        <v>94</v>
      </c>
    </row>
    <row r="4" spans="1:20" ht="15" customHeight="1">
      <c r="A4" t="s">
        <v>126</v>
      </c>
      <c r="B4" t="s">
        <v>59</v>
      </c>
      <c r="C4" t="s">
        <v>46</v>
      </c>
      <c r="D4" t="s">
        <v>143</v>
      </c>
      <c r="E4" t="s">
        <v>53</v>
      </c>
      <c r="F4" t="s">
        <v>256</v>
      </c>
      <c r="G4" t="s">
        <v>59</v>
      </c>
      <c r="H4" t="s">
        <v>88</v>
      </c>
      <c r="I4" t="s">
        <v>204</v>
      </c>
      <c r="J4" t="s">
        <v>164</v>
      </c>
      <c r="L4" t="s">
        <v>50</v>
      </c>
      <c r="M4" t="s">
        <v>103</v>
      </c>
      <c r="N4" t="s">
        <v>452</v>
      </c>
      <c r="R4" t="s">
        <v>453</v>
      </c>
      <c r="T4" t="s">
        <v>72</v>
      </c>
    </row>
    <row r="5" spans="1:20" ht="15" customHeight="1">
      <c r="A5" t="s">
        <v>422</v>
      </c>
      <c r="B5" t="s">
        <v>431</v>
      </c>
      <c r="C5" t="s">
        <v>77</v>
      </c>
      <c r="F5" t="s">
        <v>164</v>
      </c>
      <c r="G5" t="s">
        <v>431</v>
      </c>
      <c r="H5" t="s">
        <v>129</v>
      </c>
      <c r="I5" t="s">
        <v>212</v>
      </c>
      <c r="J5" t="s">
        <v>216</v>
      </c>
      <c r="L5" t="s">
        <v>454</v>
      </c>
      <c r="M5" t="s">
        <v>88</v>
      </c>
      <c r="N5" t="s">
        <v>455</v>
      </c>
    </row>
    <row r="6" spans="1:20" ht="15" customHeight="1">
      <c r="A6" t="s">
        <v>304</v>
      </c>
      <c r="B6" t="s">
        <v>84</v>
      </c>
      <c r="F6" t="s">
        <v>216</v>
      </c>
      <c r="G6" t="s">
        <v>84</v>
      </c>
      <c r="H6" t="s">
        <v>143</v>
      </c>
      <c r="I6" t="s">
        <v>456</v>
      </c>
      <c r="J6" t="s">
        <v>181</v>
      </c>
      <c r="M6" t="s">
        <v>48</v>
      </c>
      <c r="N6" t="s">
        <v>455</v>
      </c>
    </row>
    <row r="7" spans="1:20" ht="15" customHeight="1">
      <c r="A7" t="s">
        <v>295</v>
      </c>
      <c r="B7" t="s">
        <v>65</v>
      </c>
      <c r="F7" t="s">
        <v>181</v>
      </c>
      <c r="G7" t="s">
        <v>65</v>
      </c>
      <c r="H7" t="s">
        <v>198</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431</v>
      </c>
      <c r="N17" t="s">
        <v>471</v>
      </c>
    </row>
    <row r="18" spans="13:14">
      <c r="M18" t="s">
        <v>225</v>
      </c>
      <c r="N18" t="s">
        <v>472</v>
      </c>
    </row>
    <row r="19" spans="13:14">
      <c r="M19" t="s">
        <v>198</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2026-09-30T12:44:36Z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