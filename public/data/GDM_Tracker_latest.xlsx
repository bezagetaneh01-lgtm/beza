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041" documentId="13_ncr:1_{52745E9B-3AA1-4770-AAD3-E6166BFC13AE}" xr6:coauthVersionLast="47" xr6:coauthVersionMax="47" xr10:uidLastSave="{3261310F-8D4C-4E4E-AC9A-5EA2FB97414B}"/>
  <bookViews>
    <workbookView minimized="1" xWindow="15190" yWindow="4380" windowWidth="17630" windowHeight="863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A73A73">'Combined Delivery Data'!$A$73:$A$73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3" i="2" l="1" a="1"/>
  <c r="D93" i="2" s="1"/>
  <c r="D92" i="2" a="1"/>
  <c r="D92" i="2" s="1"/>
  <c r="D115" i="2" a="1"/>
  <c r="D115" i="2" s="1"/>
  <c r="D114" i="2" a="1"/>
  <c r="D114" i="2" s="1"/>
  <c r="D113" i="2" a="1"/>
  <c r="D113" i="2" s="1"/>
  <c r="D112" i="2" a="1"/>
  <c r="D112" i="2" s="1"/>
  <c r="D111" i="2" a="1"/>
  <c r="D111" i="2" s="1"/>
  <c r="D110" i="2" a="1"/>
  <c r="D110" i="2" s="1"/>
  <c r="D109" i="2" a="1"/>
  <c r="D109" i="2" s="1"/>
  <c r="D108" i="2" a="1"/>
  <c r="D108" i="2" s="1"/>
  <c r="D107" i="2" a="1"/>
  <c r="D107" i="2" s="1"/>
  <c r="D106" i="2" a="1"/>
  <c r="D106" i="2" s="1"/>
  <c r="D105" i="2" a="1"/>
  <c r="D105" i="2" s="1"/>
  <c r="D104" i="2" a="1"/>
  <c r="D104" i="2" s="1"/>
  <c r="D103" i="2" a="1"/>
  <c r="D103" i="2" s="1"/>
  <c r="D102" i="2" a="1"/>
  <c r="D102" i="2" s="1"/>
  <c r="D101" i="2" a="1"/>
  <c r="D101" i="2" s="1"/>
  <c r="D100" i="2" a="1"/>
  <c r="D100" i="2" s="1"/>
  <c r="D99" i="2" a="1"/>
  <c r="D99" i="2" s="1"/>
  <c r="D98" i="2" a="1"/>
  <c r="D98" i="2" s="1"/>
  <c r="D97" i="2" a="1"/>
  <c r="D97" i="2" s="1"/>
  <c r="D96" i="2" a="1"/>
  <c r="D96" i="2" s="1"/>
  <c r="D95" i="2" a="1"/>
  <c r="D95" i="2" s="1"/>
  <c r="D94" i="2" a="1"/>
  <c r="D94" i="2" s="1"/>
  <c r="D91" i="2" a="1"/>
  <c r="D91" i="2" s="1"/>
  <c r="D90" i="2" a="1"/>
  <c r="D90" i="2" s="1"/>
  <c r="D89" i="2" a="1"/>
  <c r="D89" i="2" s="1"/>
  <c r="D88" i="2" a="1"/>
  <c r="D88" i="2" s="1"/>
  <c r="D87" i="2" a="1"/>
  <c r="D87" i="2" s="1"/>
  <c r="D86" i="2" a="1"/>
  <c r="D86" i="2" s="1"/>
  <c r="D85" i="2" a="1"/>
  <c r="D85" i="2" s="1"/>
  <c r="D84" i="2" a="1"/>
  <c r="D84" i="2" s="1"/>
  <c r="D83" i="2" a="1"/>
  <c r="D83" i="2" s="1"/>
  <c r="D82" i="2" a="1"/>
  <c r="D82" i="2" s="1"/>
  <c r="D81" i="2" a="1"/>
  <c r="D81" i="2" s="1"/>
  <c r="D80" i="2" a="1"/>
  <c r="D80" i="2" s="1"/>
  <c r="D79" i="2" a="1"/>
  <c r="D79" i="2" s="1"/>
  <c r="D78" i="2" a="1"/>
  <c r="D78" i="2" s="1"/>
  <c r="D77" i="2" a="1"/>
  <c r="D77" i="2" s="1"/>
  <c r="D76" i="2" a="1"/>
  <c r="D76" i="2" s="1"/>
  <c r="D75" i="2" a="1"/>
  <c r="D75" i="2" s="1"/>
  <c r="D74" i="2" a="1"/>
  <c r="D74" i="2" s="1"/>
  <c r="D73" i="2" a="1"/>
  <c r="D73" i="2" s="1"/>
  <c r="D72" i="2" a="1"/>
  <c r="D72" i="2" s="1"/>
  <c r="D71" i="2" a="1"/>
  <c r="D71" i="2" s="1"/>
  <c r="D70" i="2" a="1"/>
  <c r="D70" i="2" s="1"/>
  <c r="D69" i="2" a="1"/>
  <c r="D69" i="2" s="1"/>
  <c r="D68" i="2" a="1"/>
  <c r="D68" i="2" s="1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 s="1"/>
  <c r="D60" i="2" a="1"/>
  <c r="D60" i="2" s="1"/>
  <c r="D59" i="2" a="1"/>
  <c r="D59" i="2" s="1"/>
  <c r="D58" i="2" a="1"/>
  <c r="D58" i="2" s="1"/>
  <c r="D57" i="2" a="1"/>
  <c r="D57" i="2" s="1"/>
  <c r="D56" i="2" a="1"/>
  <c r="D56" i="2" s="1"/>
  <c r="D55" i="2" a="1"/>
  <c r="D55" i="2" s="1"/>
  <c r="D54" i="2" a="1"/>
  <c r="D54" i="2" s="1"/>
  <c r="D53" i="2" a="1"/>
  <c r="D53" i="2" s="1"/>
  <c r="D52" i="2" a="1"/>
  <c r="D52" i="2" s="1"/>
  <c r="D51" i="2" a="1"/>
  <c r="D51" i="2" s="1"/>
  <c r="D47" i="2" a="1"/>
  <c r="D47" i="2" s="1"/>
  <c r="D46" i="2" a="1"/>
  <c r="D46" i="2" s="1"/>
  <c r="D28" i="2" a="1"/>
  <c r="D28" i="2" s="1"/>
  <c r="D27" i="2" a="1"/>
  <c r="D27" i="2" s="1"/>
  <c r="D26" i="2" a="1"/>
  <c r="D26" i="2" s="1"/>
  <c r="D25" i="2" a="1"/>
  <c r="D25" i="2" s="1"/>
  <c r="D24" i="2" a="1"/>
  <c r="D24" i="2" s="1"/>
  <c r="D23" i="2" a="1"/>
  <c r="D23" i="2" s="1"/>
  <c r="D22" i="2" a="1"/>
  <c r="D22" i="2" s="1"/>
  <c r="D21" i="2" a="1"/>
  <c r="D21" i="2" s="1"/>
  <c r="D20" i="2" a="1"/>
  <c r="D20" i="2" s="1"/>
  <c r="D19" i="2" a="1"/>
  <c r="D19" i="2" s="1"/>
  <c r="D18" i="2" a="1"/>
  <c r="D18" i="2" s="1"/>
  <c r="D17" i="2" a="1"/>
  <c r="D17" i="2" s="1"/>
  <c r="D16" i="2" a="1"/>
  <c r="D16" i="2" s="1"/>
  <c r="D15" i="2" a="1"/>
  <c r="D15" i="2" s="1"/>
  <c r="D14" i="2" a="1"/>
  <c r="D14" i="2" s="1"/>
  <c r="D13" i="2" a="1"/>
  <c r="D13" i="2" s="1"/>
  <c r="D12" i="2" a="1"/>
  <c r="D12" i="2" s="1"/>
  <c r="D11" i="2" a="1"/>
  <c r="D11" i="2" s="1"/>
  <c r="D10" i="2" a="1"/>
  <c r="D10" i="2" s="1"/>
  <c r="D9" i="2" a="1"/>
  <c r="D9" i="2" s="1"/>
  <c r="D8" i="2" a="1"/>
  <c r="D8" i="2" s="1"/>
  <c r="D7" i="2" a="1"/>
  <c r="D7" i="2" s="1"/>
  <c r="D6" i="2" a="1"/>
  <c r="D6" i="2" s="1"/>
  <c r="D5" i="2" a="1"/>
  <c r="D5" i="2" s="1"/>
  <c r="D4" i="2" a="1"/>
  <c r="D4" i="2" s="1"/>
  <c r="D3" i="2" a="1"/>
  <c r="D3" i="2" s="1"/>
  <c r="D2" i="2" a="1"/>
  <c r="D2" i="2" s="1"/>
  <c r="AM115" i="2" a="1"/>
  <c r="AM115" i="2" s="1"/>
  <c r="AM114" i="2" a="1"/>
  <c r="AM114" i="2" s="1"/>
  <c r="AM113" i="2" a="1"/>
  <c r="AM113" i="2" s="1"/>
  <c r="AM112" i="2" a="1"/>
  <c r="AM112" i="2" s="1"/>
  <c r="AM111" i="2" a="1"/>
  <c r="AM111" i="2" s="1"/>
  <c r="AM110" i="2" a="1"/>
  <c r="AM110" i="2" s="1"/>
  <c r="AM109" i="2" a="1"/>
  <c r="AM109" i="2" s="1"/>
  <c r="AM108" i="2" a="1"/>
  <c r="AM108" i="2" s="1"/>
  <c r="AM107" i="2" a="1"/>
  <c r="AM107" i="2" s="1"/>
  <c r="AM106" i="2" a="1"/>
  <c r="AM106" i="2" s="1"/>
  <c r="AM105" i="2" a="1"/>
  <c r="AM105" i="2" s="1"/>
  <c r="AM104" i="2" a="1"/>
  <c r="AM104" i="2" s="1"/>
  <c r="AM103" i="2" a="1"/>
  <c r="AM103" i="2" s="1"/>
  <c r="AM102" i="2" a="1"/>
  <c r="AM102" i="2" s="1"/>
  <c r="AM101" i="2" a="1"/>
  <c r="AM101" i="2" s="1"/>
  <c r="AM100" i="2" a="1"/>
  <c r="AM100" i="2" s="1"/>
  <c r="AM99" i="2" a="1"/>
  <c r="AM99" i="2" s="1"/>
  <c r="AM98" i="2" a="1"/>
  <c r="AM98" i="2" s="1"/>
  <c r="AM97" i="2" a="1"/>
  <c r="AM97" i="2" s="1"/>
  <c r="AM96" i="2" a="1"/>
  <c r="AM96" i="2" s="1"/>
  <c r="AM95" i="2" a="1"/>
  <c r="AM95" i="2" s="1"/>
  <c r="AM94" i="2" a="1"/>
  <c r="AM94" i="2" s="1"/>
  <c r="AM93" i="2" a="1"/>
  <c r="AM93" i="2" s="1"/>
  <c r="AM92" i="2" a="1"/>
  <c r="AM92" i="2" s="1"/>
  <c r="AM91" i="2" a="1"/>
  <c r="AM91" i="2" s="1"/>
  <c r="AM90" i="2" a="1"/>
  <c r="AM90" i="2" s="1"/>
  <c r="AM89" i="2" a="1"/>
  <c r="AM89" i="2" s="1"/>
  <c r="AM88" i="2" a="1"/>
  <c r="AM88" i="2" s="1"/>
  <c r="AM87" i="2" a="1"/>
  <c r="AM87" i="2" s="1"/>
  <c r="AM86" i="2" a="1"/>
  <c r="AM86" i="2" s="1"/>
  <c r="AM85" i="2" a="1"/>
  <c r="AM85" i="2" s="1"/>
  <c r="AM84" i="2" a="1"/>
  <c r="AM84" i="2" s="1"/>
  <c r="AM83" i="2" a="1"/>
  <c r="AM83" i="2" s="1"/>
  <c r="AM82" i="2" a="1"/>
  <c r="AM82" i="2" s="1"/>
  <c r="AM81" i="2" a="1"/>
  <c r="AM81" i="2" s="1"/>
  <c r="AM80" i="2" a="1"/>
  <c r="AM80" i="2" s="1"/>
  <c r="AM79" i="2" a="1"/>
  <c r="AM79" i="2" s="1"/>
  <c r="AM78" i="2" a="1"/>
  <c r="AM78" i="2" s="1"/>
  <c r="AM77" i="2" a="1"/>
  <c r="AM77" i="2" s="1"/>
  <c r="AM76" i="2" a="1"/>
  <c r="AM76" i="2" s="1"/>
  <c r="AM75" i="2" a="1"/>
  <c r="AM75" i="2" s="1"/>
  <c r="AM74" i="2" a="1"/>
  <c r="AM74" i="2" s="1"/>
  <c r="AM73" i="2" a="1"/>
  <c r="AM73" i="2" s="1"/>
  <c r="AM72" i="2" a="1"/>
  <c r="AM72" i="2" s="1"/>
  <c r="AM71" i="2" a="1"/>
  <c r="AM71" i="2" s="1"/>
  <c r="AM70" i="2" a="1"/>
  <c r="AM70" i="2" s="1"/>
  <c r="AM69" i="2" a="1"/>
  <c r="AM69" i="2" s="1"/>
  <c r="AM68" i="2" a="1"/>
  <c r="AM68" i="2" s="1"/>
  <c r="AM67" i="2" a="1"/>
  <c r="AM67" i="2" s="1"/>
  <c r="AM66" i="2" a="1"/>
  <c r="AM66" i="2" s="1"/>
  <c r="AM65" i="2" a="1"/>
  <c r="AM65" i="2" s="1"/>
  <c r="AM64" i="2" a="1"/>
  <c r="AM64" i="2" s="1"/>
  <c r="AM63" i="2" a="1"/>
  <c r="AM63" i="2" s="1"/>
  <c r="AM62" i="2" a="1"/>
  <c r="AM62" i="2" s="1"/>
  <c r="AM61" i="2" a="1"/>
  <c r="AM61" i="2" s="1"/>
  <c r="AM60" i="2" a="1"/>
  <c r="AM60" i="2" s="1"/>
  <c r="AM59" i="2" a="1"/>
  <c r="AM59" i="2" s="1"/>
  <c r="AM58" i="2" a="1"/>
  <c r="AM58" i="2" s="1"/>
  <c r="AM57" i="2" a="1"/>
  <c r="AM57" i="2" s="1"/>
  <c r="AM56" i="2" a="1"/>
  <c r="AM56" i="2" s="1"/>
  <c r="AM55" i="2" a="1"/>
  <c r="AM55" i="2" s="1"/>
  <c r="AM54" i="2" a="1"/>
  <c r="AM54" i="2" s="1"/>
  <c r="AM53" i="2" a="1"/>
  <c r="AM53" i="2" s="1"/>
  <c r="AM52" i="2" a="1"/>
  <c r="AM52" i="2" s="1"/>
  <c r="AM51" i="2" a="1"/>
  <c r="AM51" i="2" s="1"/>
  <c r="AM50" i="2" a="1"/>
  <c r="AM50" i="2" s="1"/>
  <c r="AM49" i="2" a="1"/>
  <c r="AM49" i="2" s="1"/>
  <c r="AM48" i="2" a="1"/>
  <c r="AM48" i="2" s="1"/>
  <c r="AM47" i="2" a="1"/>
  <c r="AM47" i="2" s="1"/>
  <c r="AM46" i="2" a="1"/>
  <c r="AM46" i="2" s="1"/>
  <c r="AM45" i="2" a="1"/>
  <c r="AM45" i="2" s="1"/>
  <c r="AM44" i="2" a="1"/>
  <c r="AM44" i="2" s="1"/>
  <c r="AM43" i="2" a="1"/>
  <c r="AM43" i="2" s="1"/>
  <c r="AM42" i="2" a="1"/>
  <c r="AM42" i="2" s="1"/>
  <c r="D42" i="2" s="1" a="1"/>
  <c r="D42" i="2" s="1"/>
  <c r="AM41" i="2" a="1"/>
  <c r="AM41" i="2" s="1"/>
  <c r="D41" i="2" s="1" a="1"/>
  <c r="D41" i="2" s="1"/>
  <c r="AM40" i="2" a="1"/>
  <c r="AM40" i="2" s="1"/>
  <c r="D40" i="2" s="1" a="1"/>
  <c r="D40" i="2" s="1"/>
  <c r="AM39" i="2" a="1"/>
  <c r="AM39" i="2" s="1"/>
  <c r="D39" i="2" s="1" a="1"/>
  <c r="D39" i="2" s="1"/>
  <c r="AM38" i="2" a="1"/>
  <c r="AM38" i="2" s="1"/>
  <c r="D38" i="2" s="1" a="1"/>
  <c r="D38" i="2" s="1"/>
  <c r="AM37" i="2" a="1"/>
  <c r="AM37" i="2" s="1"/>
  <c r="D37" i="2" s="1" a="1"/>
  <c r="D37" i="2" s="1"/>
  <c r="AM36" i="2" a="1"/>
  <c r="AM36" i="2" s="1"/>
  <c r="AM35" i="2" a="1"/>
  <c r="AM35" i="2" s="1"/>
  <c r="AM34" i="2" a="1"/>
  <c r="AM34" i="2" s="1"/>
  <c r="D34" i="2" s="1" a="1"/>
  <c r="D34" i="2" s="1"/>
  <c r="AM33" i="2" a="1"/>
  <c r="AM33" i="2" s="1"/>
  <c r="D33" i="2" s="1" a="1"/>
  <c r="D33" i="2" s="1"/>
  <c r="AM32" i="2" a="1"/>
  <c r="AM32" i="2" s="1"/>
  <c r="AM31" i="2" a="1"/>
  <c r="AM31" i="2" s="1"/>
  <c r="D31" i="2" s="1" a="1"/>
  <c r="D31" i="2" s="1"/>
  <c r="AM30" i="2" a="1"/>
  <c r="AM30" i="2" s="1"/>
  <c r="D30" i="2" s="1" a="1"/>
  <c r="D30" i="2" s="1"/>
  <c r="AM29" i="2" a="1"/>
  <c r="AM29" i="2" s="1"/>
  <c r="D29" i="2" s="1" a="1"/>
  <c r="D29" i="2" s="1"/>
  <c r="AM28" i="2" a="1"/>
  <c r="AM28" i="2" s="1"/>
  <c r="AM27" i="2" a="1"/>
  <c r="AM27" i="2" s="1"/>
  <c r="AM26" i="2" a="1"/>
  <c r="AM26" i="2" s="1"/>
  <c r="AM25" i="2" a="1"/>
  <c r="AM25" i="2" s="1"/>
  <c r="AM24" i="2" a="1"/>
  <c r="AM24" i="2" s="1"/>
  <c r="AM23" i="2" a="1"/>
  <c r="AM23" i="2" s="1"/>
  <c r="AM22" i="2" a="1"/>
  <c r="AM22" i="2" s="1"/>
  <c r="AM21" i="2" a="1"/>
  <c r="AM21" i="2" s="1"/>
  <c r="AM20" i="2" a="1"/>
  <c r="AM20" i="2" s="1"/>
  <c r="AM19" i="2" a="1"/>
  <c r="AM19" i="2" s="1"/>
  <c r="AM18" i="2" a="1"/>
  <c r="AM18" i="2" s="1"/>
  <c r="AM17" i="2" a="1"/>
  <c r="AM17" i="2" s="1"/>
  <c r="AM16" i="2" a="1"/>
  <c r="AM16" i="2" s="1"/>
  <c r="AM15" i="2" a="1"/>
  <c r="AM15" i="2" s="1"/>
  <c r="AM14" i="2" a="1"/>
  <c r="AM14" i="2" s="1"/>
  <c r="AM13" i="2" a="1"/>
  <c r="AM13" i="2" s="1"/>
  <c r="AM12" i="2" a="1"/>
  <c r="AM12" i="2" s="1"/>
  <c r="AM11" i="2" a="1"/>
  <c r="AM11" i="2" s="1"/>
  <c r="AM10" i="2" a="1"/>
  <c r="AM10" i="2" s="1"/>
  <c r="AM9" i="2" a="1"/>
  <c r="AM9" i="2" s="1"/>
  <c r="AM8" i="2" a="1"/>
  <c r="AM8" i="2" s="1"/>
  <c r="AM7" i="2" a="1"/>
  <c r="AM7" i="2" s="1"/>
  <c r="AM6" i="2" a="1"/>
  <c r="AM6" i="2" s="1"/>
  <c r="AM5" i="2" a="1"/>
  <c r="AM5" i="2" s="1"/>
  <c r="AM4" i="2" a="1"/>
  <c r="AM4" i="2" s="1"/>
  <c r="AM3" i="2" a="1"/>
  <c r="AM3" i="2" s="1"/>
  <c r="AM2" i="2" a="1"/>
  <c r="AM2" i="2" s="1"/>
  <c r="AL115" i="2" a="1"/>
  <c r="AL115" i="2" s="1"/>
  <c r="AL114" i="2" a="1"/>
  <c r="AL114" i="2" s="1"/>
  <c r="AL113" i="2" a="1"/>
  <c r="AL113" i="2" s="1"/>
  <c r="AL112" i="2" a="1"/>
  <c r="AL112" i="2" s="1"/>
  <c r="AL111" i="2" a="1"/>
  <c r="AL111" i="2" s="1"/>
  <c r="AL110" i="2" a="1"/>
  <c r="AL110" i="2" s="1"/>
  <c r="AL109" i="2" a="1"/>
  <c r="AL109" i="2" s="1"/>
  <c r="AL108" i="2" a="1"/>
  <c r="AL108" i="2" s="1"/>
  <c r="AL107" i="2" a="1"/>
  <c r="AL107" i="2" s="1"/>
  <c r="AL106" i="2" a="1"/>
  <c r="AL106" i="2" s="1"/>
  <c r="AL105" i="2" a="1"/>
  <c r="AL105" i="2" s="1"/>
  <c r="AL104" i="2" a="1"/>
  <c r="AL104" i="2" s="1"/>
  <c r="AL103" i="2" a="1"/>
  <c r="AL103" i="2" s="1"/>
  <c r="AL102" i="2" a="1"/>
  <c r="AL102" i="2" s="1"/>
  <c r="AL101" i="2" a="1"/>
  <c r="AL101" i="2" s="1"/>
  <c r="AL100" i="2" a="1"/>
  <c r="AL100" i="2" s="1"/>
  <c r="AL99" i="2" a="1"/>
  <c r="AL99" i="2" s="1"/>
  <c r="AL98" i="2" a="1"/>
  <c r="AL98" i="2" s="1"/>
  <c r="AL97" i="2" a="1"/>
  <c r="AL97" i="2" s="1"/>
  <c r="AL96" i="2" a="1"/>
  <c r="AL96" i="2" s="1"/>
  <c r="AL95" i="2" a="1"/>
  <c r="AL95" i="2" s="1"/>
  <c r="AL94" i="2" a="1"/>
  <c r="AL94" i="2" s="1"/>
  <c r="AL93" i="2" a="1"/>
  <c r="AL93" i="2" s="1"/>
  <c r="AL92" i="2" a="1"/>
  <c r="AL92" i="2" s="1"/>
  <c r="AL91" i="2" a="1"/>
  <c r="AL91" i="2" s="1"/>
  <c r="AL90" i="2" a="1"/>
  <c r="AL90" i="2" s="1"/>
  <c r="AL89" i="2" a="1"/>
  <c r="AL89" i="2" s="1"/>
  <c r="AL88" i="2" a="1"/>
  <c r="AL88" i="2" s="1"/>
  <c r="AL87" i="2" a="1"/>
  <c r="AL87" i="2" s="1"/>
  <c r="AL86" i="2" a="1"/>
  <c r="AL86" i="2" s="1"/>
  <c r="AL85" i="2" a="1"/>
  <c r="AL85" i="2" s="1"/>
  <c r="AL84" i="2" a="1"/>
  <c r="AL84" i="2" s="1"/>
  <c r="AL83" i="2" a="1"/>
  <c r="AL83" i="2" s="1"/>
  <c r="AL82" i="2" a="1"/>
  <c r="AL82" i="2" s="1"/>
  <c r="AL81" i="2" a="1"/>
  <c r="AL81" i="2" s="1"/>
  <c r="AL80" i="2" a="1"/>
  <c r="AL80" i="2" s="1"/>
  <c r="AL79" i="2" a="1"/>
  <c r="AL79" i="2" s="1"/>
  <c r="AL78" i="2" a="1"/>
  <c r="AL78" i="2" s="1"/>
  <c r="AL77" i="2" a="1"/>
  <c r="AL77" i="2" s="1"/>
  <c r="AL76" i="2" a="1"/>
  <c r="AL76" i="2" s="1"/>
  <c r="AL75" i="2" a="1"/>
  <c r="AL75" i="2" s="1"/>
  <c r="AL74" i="2" a="1"/>
  <c r="AL74" i="2" s="1"/>
  <c r="AL73" i="2" a="1"/>
  <c r="AL73" i="2" s="1"/>
  <c r="AL72" i="2" a="1"/>
  <c r="AL72" i="2" s="1"/>
  <c r="AL71" i="2" a="1"/>
  <c r="AL71" i="2" s="1"/>
  <c r="AL70" i="2" a="1"/>
  <c r="AL70" i="2" s="1"/>
  <c r="AL69" i="2" a="1"/>
  <c r="AL69" i="2" s="1"/>
  <c r="AL68" i="2" a="1"/>
  <c r="AL68" i="2" s="1"/>
  <c r="AL67" i="2" a="1"/>
  <c r="AL67" i="2" s="1"/>
  <c r="AL66" i="2" a="1"/>
  <c r="AL66" i="2" s="1"/>
  <c r="AL65" i="2" a="1"/>
  <c r="AL65" i="2" s="1"/>
  <c r="AL64" i="2" a="1"/>
  <c r="AL64" i="2" s="1"/>
  <c r="AL63" i="2" a="1"/>
  <c r="AL63" i="2" s="1"/>
  <c r="AL62" i="2" a="1"/>
  <c r="AL62" i="2" s="1"/>
  <c r="AL61" i="2" a="1"/>
  <c r="AL61" i="2" s="1"/>
  <c r="D61" i="2" s="1" a="1"/>
  <c r="D61" i="2" s="1"/>
  <c r="AL60" i="2" a="1"/>
  <c r="AL60" i="2" s="1"/>
  <c r="AL59" i="2" a="1"/>
  <c r="AL59" i="2" s="1"/>
  <c r="AL58" i="2" a="1"/>
  <c r="AL58" i="2" s="1"/>
  <c r="AL57" i="2" a="1"/>
  <c r="AL57" i="2" s="1"/>
  <c r="AL56" i="2" a="1"/>
  <c r="AL56" i="2" s="1"/>
  <c r="AL55" i="2" a="1"/>
  <c r="AL55" i="2" s="1"/>
  <c r="AL54" i="2" a="1"/>
  <c r="AL54" i="2" s="1"/>
  <c r="AL53" i="2" a="1"/>
  <c r="AL53" i="2" s="1"/>
  <c r="AL52" i="2" a="1"/>
  <c r="AL52" i="2" s="1"/>
  <c r="AL51" i="2" a="1"/>
  <c r="AL51" i="2" s="1"/>
  <c r="AL50" i="2" a="1"/>
  <c r="AL50" i="2" s="1"/>
  <c r="D50" i="2" s="1" a="1"/>
  <c r="D50" i="2" s="1"/>
  <c r="AL49" i="2" a="1"/>
  <c r="AL49" i="2" s="1"/>
  <c r="D49" i="2" s="1" a="1"/>
  <c r="D49" i="2" s="1"/>
  <c r="AL48" i="2" a="1"/>
  <c r="AL48" i="2" s="1"/>
  <c r="D48" i="2" s="1" a="1"/>
  <c r="D48" i="2" s="1"/>
  <c r="AL47" i="2" a="1"/>
  <c r="AL47" i="2" s="1"/>
  <c r="AL46" i="2" a="1"/>
  <c r="AL46" i="2" s="1"/>
  <c r="AL45" i="2" a="1"/>
  <c r="AL45" i="2" s="1"/>
  <c r="D45" i="2" s="1" a="1"/>
  <c r="D45" i="2" s="1"/>
  <c r="AL44" i="2" a="1"/>
  <c r="AL44" i="2" s="1"/>
  <c r="D44" i="2" s="1" a="1"/>
  <c r="D44" i="2" s="1"/>
  <c r="AL43" i="2" a="1"/>
  <c r="AL43" i="2" s="1"/>
  <c r="D43" i="2" s="1" a="1"/>
  <c r="D43" i="2" s="1"/>
  <c r="AL42" i="2" a="1"/>
  <c r="AL42" i="2" s="1"/>
  <c r="AL41" i="2" a="1"/>
  <c r="AL41" i="2" s="1"/>
  <c r="AL40" i="2" a="1"/>
  <c r="AL40" i="2" s="1"/>
  <c r="AL39" i="2" a="1"/>
  <c r="AL39" i="2" s="1"/>
  <c r="AL38" i="2" a="1"/>
  <c r="AL38" i="2" s="1"/>
  <c r="AL37" i="2" a="1"/>
  <c r="AL37" i="2" s="1"/>
  <c r="AL36" i="2" a="1"/>
  <c r="AL36" i="2" s="1"/>
  <c r="D36" i="2" s="1" a="1"/>
  <c r="D36" i="2" s="1"/>
  <c r="AL35" i="2" a="1"/>
  <c r="AL35" i="2" s="1"/>
  <c r="D35" i="2" s="1" a="1"/>
  <c r="D35" i="2" s="1"/>
  <c r="AL34" i="2" a="1"/>
  <c r="AL34" i="2" s="1"/>
  <c r="AL33" i="2" a="1"/>
  <c r="AL33" i="2" s="1"/>
  <c r="AL32" i="2" a="1"/>
  <c r="AL32" i="2" s="1"/>
  <c r="D32" i="2" s="1" a="1"/>
  <c r="D32" i="2" s="1"/>
  <c r="AL31" i="2" a="1"/>
  <c r="AL31" i="2" s="1"/>
  <c r="AL30" i="2" a="1"/>
  <c r="AL30" i="2" s="1"/>
  <c r="AL29" i="2" a="1"/>
  <c r="AL29" i="2" s="1"/>
  <c r="AL28" i="2" a="1"/>
  <c r="AL28" i="2" s="1"/>
  <c r="AL27" i="2" a="1"/>
  <c r="AL27" i="2" s="1"/>
  <c r="AL26" i="2" a="1"/>
  <c r="AL26" i="2" s="1"/>
  <c r="AL25" i="2" a="1"/>
  <c r="AL25" i="2" s="1"/>
  <c r="AL24" i="2" a="1"/>
  <c r="AL24" i="2" s="1"/>
  <c r="AL23" i="2" a="1"/>
  <c r="AL23" i="2" s="1"/>
  <c r="AL22" i="2" a="1"/>
  <c r="AL22" i="2" s="1"/>
  <c r="AL21" i="2" a="1"/>
  <c r="AL21" i="2" s="1"/>
  <c r="AL20" i="2" a="1"/>
  <c r="AL20" i="2" s="1"/>
  <c r="AL19" i="2" a="1"/>
  <c r="AL19" i="2" s="1"/>
  <c r="AL18" i="2" a="1"/>
  <c r="AL18" i="2" s="1"/>
  <c r="AL17" i="2" a="1"/>
  <c r="AL17" i="2" s="1"/>
  <c r="AL16" i="2" a="1"/>
  <c r="AL16" i="2" s="1"/>
  <c r="AL15" i="2" a="1"/>
  <c r="AL15" i="2" s="1"/>
  <c r="AL14" i="2" a="1"/>
  <c r="AL14" i="2" s="1"/>
  <c r="AL13" i="2" a="1"/>
  <c r="AL13" i="2" s="1"/>
  <c r="AL12" i="2" a="1"/>
  <c r="AL12" i="2" s="1"/>
  <c r="AL11" i="2" a="1"/>
  <c r="AL11" i="2" s="1"/>
  <c r="AL10" i="2" a="1"/>
  <c r="AL10" i="2" s="1"/>
  <c r="AL9" i="2" a="1"/>
  <c r="AL9" i="2" s="1"/>
  <c r="AL8" i="2" a="1"/>
  <c r="AL8" i="2" s="1"/>
  <c r="AL7" i="2" a="1"/>
  <c r="AL7" i="2" s="1"/>
  <c r="AL6" i="2" a="1"/>
  <c r="AL6" i="2" s="1"/>
  <c r="AL5" i="2" a="1"/>
  <c r="AL5" i="2" s="1"/>
  <c r="AL4" i="2" a="1"/>
  <c r="AL4" i="2" s="1"/>
  <c r="AL3" i="2" a="1"/>
  <c r="AL3" i="2" s="1"/>
  <c r="AL2" i="2" a="1"/>
  <c r="AL2" i="2" s="1"/>
  <c r="M11" i="4"/>
  <c r="M12" i="4"/>
  <c r="M13" i="4"/>
  <c r="B31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4" i="4"/>
  <c r="M5" i="4"/>
  <c r="M6" i="4"/>
  <c r="M7" i="4"/>
  <c r="M8" i="4"/>
  <c r="M9" i="4"/>
  <c r="M10" i="4"/>
  <c r="M14" i="4"/>
  <c r="M15" i="4"/>
  <c r="M16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AJ2" i="2"/>
  <c r="AJ3" i="2"/>
  <c r="AJ4" i="2"/>
  <c r="AJ5" i="2"/>
  <c r="AJ10" i="2"/>
  <c r="AJ11" i="2"/>
  <c r="AJ12" i="2"/>
  <c r="AJ13" i="2"/>
  <c r="AJ14" i="2"/>
  <c r="AJ15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4" i="2"/>
  <c r="AJ35" i="2"/>
  <c r="AJ36" i="2"/>
  <c r="AJ37" i="2"/>
  <c r="AJ38" i="2"/>
  <c r="AJ39" i="2"/>
  <c r="AJ40" i="2"/>
  <c r="AJ41" i="2"/>
  <c r="AJ43" i="2"/>
  <c r="AJ44" i="2"/>
  <c r="AJ45" i="2"/>
  <c r="AJ46" i="2"/>
  <c r="AJ47" i="2"/>
  <c r="AJ48" i="2"/>
  <c r="AJ49" i="2"/>
  <c r="AJ50" i="2"/>
  <c r="AJ51" i="2"/>
  <c r="AJ52" i="2"/>
  <c r="AJ53" i="2"/>
  <c r="AJ54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6" i="4"/>
  <c r="P7" i="4"/>
  <c r="P6" i="4"/>
  <c r="P5" i="4"/>
  <c r="P4" i="4"/>
  <c r="P3" i="4"/>
  <c r="B29" i="3"/>
  <c r="B28" i="3"/>
  <c r="B27" i="3"/>
  <c r="B26" i="3"/>
  <c r="T6" i="4" l="1"/>
  <c r="S6" i="4"/>
  <c r="T27" i="4"/>
  <c r="S27" i="4"/>
  <c r="S63" i="4"/>
  <c r="T63" i="4"/>
  <c r="T85" i="4"/>
  <c r="S85" i="4"/>
  <c r="T97" i="4"/>
  <c r="S97" i="4"/>
  <c r="T109" i="4"/>
  <c r="S109" i="4"/>
  <c r="T115" i="4"/>
  <c r="S115" i="4"/>
  <c r="T127" i="4"/>
  <c r="S127" i="4"/>
  <c r="T133" i="4"/>
  <c r="S133" i="4"/>
  <c r="T145" i="4"/>
  <c r="S145" i="4"/>
  <c r="T157" i="4"/>
  <c r="S157" i="4"/>
  <c r="T169" i="4"/>
  <c r="S169" i="4"/>
  <c r="T175" i="4"/>
  <c r="S175" i="4"/>
  <c r="T187" i="4"/>
  <c r="S187" i="4"/>
  <c r="T199" i="4"/>
  <c r="S199" i="4"/>
  <c r="T205" i="4"/>
  <c r="S205" i="4"/>
  <c r="T217" i="4"/>
  <c r="S217" i="4"/>
  <c r="T229" i="4"/>
  <c r="S229" i="4"/>
  <c r="T241" i="4"/>
  <c r="S241" i="4"/>
  <c r="T247" i="4"/>
  <c r="S247" i="4"/>
  <c r="T259" i="4"/>
  <c r="S259" i="4"/>
  <c r="T271" i="4"/>
  <c r="S271" i="4"/>
  <c r="T283" i="4"/>
  <c r="S283" i="4"/>
  <c r="T295" i="4"/>
  <c r="S295" i="4"/>
  <c r="T307" i="4"/>
  <c r="S307" i="4"/>
  <c r="T319" i="4"/>
  <c r="S319" i="4"/>
  <c r="T331" i="4"/>
  <c r="S331" i="4"/>
  <c r="T343" i="4"/>
  <c r="S343" i="4"/>
  <c r="T355" i="4"/>
  <c r="S355" i="4"/>
  <c r="T367" i="4"/>
  <c r="S367" i="4"/>
  <c r="T379" i="4"/>
  <c r="S379" i="4"/>
  <c r="T391" i="4"/>
  <c r="S391" i="4"/>
  <c r="T397" i="4"/>
  <c r="S397" i="4"/>
  <c r="T409" i="4"/>
  <c r="S409" i="4"/>
  <c r="T421" i="4"/>
  <c r="S421" i="4"/>
  <c r="T433" i="4"/>
  <c r="S433" i="4"/>
  <c r="T445" i="4"/>
  <c r="S445" i="4"/>
  <c r="T457" i="4"/>
  <c r="S457" i="4"/>
  <c r="T463" i="4"/>
  <c r="S463" i="4"/>
  <c r="T475" i="4"/>
  <c r="S475" i="4"/>
  <c r="T487" i="4"/>
  <c r="S487" i="4"/>
  <c r="T493" i="4"/>
  <c r="S493" i="4"/>
  <c r="T16" i="4"/>
  <c r="S16" i="4"/>
  <c r="T52" i="4"/>
  <c r="S52" i="4"/>
  <c r="S41" i="4"/>
  <c r="T41" i="4"/>
  <c r="T86" i="4"/>
  <c r="S86" i="4"/>
  <c r="T98" i="4"/>
  <c r="S98" i="4"/>
  <c r="T104" i="4"/>
  <c r="S104" i="4"/>
  <c r="T116" i="4"/>
  <c r="S116" i="4"/>
  <c r="T128" i="4"/>
  <c r="S128" i="4"/>
  <c r="T134" i="4"/>
  <c r="S134" i="4"/>
  <c r="T140" i="4"/>
  <c r="S140" i="4"/>
  <c r="T146" i="4"/>
  <c r="S146" i="4"/>
  <c r="T152" i="4"/>
  <c r="S152" i="4"/>
  <c r="T164" i="4"/>
  <c r="S164" i="4"/>
  <c r="T170" i="4"/>
  <c r="S170" i="4"/>
  <c r="T176" i="4"/>
  <c r="S176" i="4"/>
  <c r="T182" i="4"/>
  <c r="S182" i="4"/>
  <c r="T188" i="4"/>
  <c r="S188" i="4"/>
  <c r="T194" i="4"/>
  <c r="S194" i="4"/>
  <c r="T200" i="4"/>
  <c r="S200" i="4"/>
  <c r="T206" i="4"/>
  <c r="S206" i="4"/>
  <c r="T212" i="4"/>
  <c r="S212" i="4"/>
  <c r="T218" i="4"/>
  <c r="S218" i="4"/>
  <c r="T224" i="4"/>
  <c r="S224" i="4"/>
  <c r="T230" i="4"/>
  <c r="S230" i="4"/>
  <c r="T236" i="4"/>
  <c r="S236" i="4"/>
  <c r="T242" i="4"/>
  <c r="S242" i="4"/>
  <c r="T248" i="4"/>
  <c r="S248" i="4"/>
  <c r="T254" i="4"/>
  <c r="S254" i="4"/>
  <c r="T260" i="4"/>
  <c r="S260" i="4"/>
  <c r="T266" i="4"/>
  <c r="S266" i="4"/>
  <c r="T272" i="4"/>
  <c r="S272" i="4"/>
  <c r="T278" i="4"/>
  <c r="S278" i="4"/>
  <c r="T284" i="4"/>
  <c r="S284" i="4"/>
  <c r="T290" i="4"/>
  <c r="S290" i="4"/>
  <c r="T296" i="4"/>
  <c r="S296" i="4"/>
  <c r="T302" i="4"/>
  <c r="S302" i="4"/>
  <c r="T308" i="4"/>
  <c r="S308" i="4"/>
  <c r="T314" i="4"/>
  <c r="S314" i="4"/>
  <c r="T320" i="4"/>
  <c r="S320" i="4"/>
  <c r="T326" i="4"/>
  <c r="S326" i="4"/>
  <c r="T332" i="4"/>
  <c r="S332" i="4"/>
  <c r="T338" i="4"/>
  <c r="S338" i="4"/>
  <c r="T344" i="4"/>
  <c r="S344" i="4"/>
  <c r="T350" i="4"/>
  <c r="S350" i="4"/>
  <c r="T356" i="4"/>
  <c r="S356" i="4"/>
  <c r="T362" i="4"/>
  <c r="S362" i="4"/>
  <c r="T368" i="4"/>
  <c r="S368" i="4"/>
  <c r="T374" i="4"/>
  <c r="S374" i="4"/>
  <c r="T380" i="4"/>
  <c r="S380" i="4"/>
  <c r="T386" i="4"/>
  <c r="S386" i="4"/>
  <c r="T392" i="4"/>
  <c r="S392" i="4"/>
  <c r="T398" i="4"/>
  <c r="S398" i="4"/>
  <c r="T404" i="4"/>
  <c r="S404" i="4"/>
  <c r="T410" i="4"/>
  <c r="S410" i="4"/>
  <c r="T416" i="4"/>
  <c r="S416" i="4"/>
  <c r="T422" i="4"/>
  <c r="S422" i="4"/>
  <c r="T428" i="4"/>
  <c r="S428" i="4"/>
  <c r="T434" i="4"/>
  <c r="S434" i="4"/>
  <c r="T440" i="4"/>
  <c r="S440" i="4"/>
  <c r="T446" i="4"/>
  <c r="S446" i="4"/>
  <c r="T452" i="4"/>
  <c r="S452" i="4"/>
  <c r="T458" i="4"/>
  <c r="S458" i="4"/>
  <c r="T464" i="4"/>
  <c r="S464" i="4"/>
  <c r="T470" i="4"/>
  <c r="S470" i="4"/>
  <c r="T476" i="4"/>
  <c r="S476" i="4"/>
  <c r="T482" i="4"/>
  <c r="S482" i="4"/>
  <c r="T488" i="4"/>
  <c r="S488" i="4"/>
  <c r="T494" i="4"/>
  <c r="S494" i="4"/>
  <c r="T500" i="4"/>
  <c r="S500" i="4"/>
  <c r="T38" i="4"/>
  <c r="S38" i="4"/>
  <c r="T7" i="4"/>
  <c r="S7" i="4"/>
  <c r="T39" i="4"/>
  <c r="S39" i="4"/>
  <c r="T51" i="4"/>
  <c r="S51" i="4"/>
  <c r="T73" i="4"/>
  <c r="S73" i="4"/>
  <c r="T79" i="4"/>
  <c r="S79" i="4"/>
  <c r="T91" i="4"/>
  <c r="S91" i="4"/>
  <c r="T103" i="4"/>
  <c r="S103" i="4"/>
  <c r="T121" i="4"/>
  <c r="S121" i="4"/>
  <c r="T139" i="4"/>
  <c r="S139" i="4"/>
  <c r="T151" i="4"/>
  <c r="S151" i="4"/>
  <c r="T163" i="4"/>
  <c r="S163" i="4"/>
  <c r="T181" i="4"/>
  <c r="S181" i="4"/>
  <c r="T193" i="4"/>
  <c r="S193" i="4"/>
  <c r="T211" i="4"/>
  <c r="S211" i="4"/>
  <c r="T223" i="4"/>
  <c r="S223" i="4"/>
  <c r="T235" i="4"/>
  <c r="S235" i="4"/>
  <c r="T253" i="4"/>
  <c r="S253" i="4"/>
  <c r="T265" i="4"/>
  <c r="S265" i="4"/>
  <c r="T277" i="4"/>
  <c r="S277" i="4"/>
  <c r="T289" i="4"/>
  <c r="S289" i="4"/>
  <c r="T301" i="4"/>
  <c r="S301" i="4"/>
  <c r="T313" i="4"/>
  <c r="S313" i="4"/>
  <c r="T325" i="4"/>
  <c r="S325" i="4"/>
  <c r="T337" i="4"/>
  <c r="S337" i="4"/>
  <c r="T349" i="4"/>
  <c r="S349" i="4"/>
  <c r="T361" i="4"/>
  <c r="S361" i="4"/>
  <c r="T373" i="4"/>
  <c r="S373" i="4"/>
  <c r="T385" i="4"/>
  <c r="S385" i="4"/>
  <c r="T403" i="4"/>
  <c r="S403" i="4"/>
  <c r="T415" i="4"/>
  <c r="S415" i="4"/>
  <c r="T427" i="4"/>
  <c r="S427" i="4"/>
  <c r="T439" i="4"/>
  <c r="S439" i="4"/>
  <c r="T451" i="4"/>
  <c r="S451" i="4"/>
  <c r="T469" i="4"/>
  <c r="S469" i="4"/>
  <c r="T481" i="4"/>
  <c r="S481" i="4"/>
  <c r="T499" i="4"/>
  <c r="S499" i="4"/>
  <c r="S28" i="4"/>
  <c r="T28" i="4"/>
  <c r="T40" i="4"/>
  <c r="S40" i="4"/>
  <c r="T64" i="4"/>
  <c r="S64" i="4"/>
  <c r="S29" i="4"/>
  <c r="T29" i="4"/>
  <c r="S53" i="4"/>
  <c r="T53" i="4"/>
  <c r="S65" i="4"/>
  <c r="T65" i="4"/>
  <c r="T74" i="4"/>
  <c r="S74" i="4"/>
  <c r="T80" i="4"/>
  <c r="S80" i="4"/>
  <c r="T92" i="4"/>
  <c r="S92" i="4"/>
  <c r="T110" i="4"/>
  <c r="S110" i="4"/>
  <c r="T122" i="4"/>
  <c r="S122" i="4"/>
  <c r="T158" i="4"/>
  <c r="S158" i="4"/>
  <c r="T18" i="4"/>
  <c r="S18" i="4"/>
  <c r="T30" i="4"/>
  <c r="S30" i="4"/>
  <c r="T42" i="4"/>
  <c r="S42" i="4"/>
  <c r="T54" i="4"/>
  <c r="S54" i="4"/>
  <c r="T66" i="4"/>
  <c r="S66" i="4"/>
  <c r="S15" i="4"/>
  <c r="T15" i="4"/>
  <c r="T26" i="4"/>
  <c r="S26" i="4"/>
  <c r="T31" i="4"/>
  <c r="S31" i="4"/>
  <c r="T67" i="4"/>
  <c r="S67" i="4"/>
  <c r="S87" i="4"/>
  <c r="T87" i="4"/>
  <c r="S111" i="4"/>
  <c r="T111" i="4"/>
  <c r="T129" i="4"/>
  <c r="S129" i="4"/>
  <c r="T153" i="4"/>
  <c r="S153" i="4"/>
  <c r="T183" i="4"/>
  <c r="S183" i="4"/>
  <c r="S213" i="4"/>
  <c r="T213" i="4"/>
  <c r="T243" i="4"/>
  <c r="S243" i="4"/>
  <c r="T273" i="4"/>
  <c r="S273" i="4"/>
  <c r="S303" i="4"/>
  <c r="T303" i="4"/>
  <c r="T327" i="4"/>
  <c r="S327" i="4"/>
  <c r="S357" i="4"/>
  <c r="T357" i="4"/>
  <c r="S375" i="4"/>
  <c r="T375" i="4"/>
  <c r="T399" i="4"/>
  <c r="S399" i="4"/>
  <c r="T423" i="4"/>
  <c r="S423" i="4"/>
  <c r="T441" i="4"/>
  <c r="S441" i="4"/>
  <c r="T459" i="4"/>
  <c r="S459" i="4"/>
  <c r="T483" i="4"/>
  <c r="S483" i="4"/>
  <c r="S495" i="4"/>
  <c r="T495" i="4"/>
  <c r="T20" i="4"/>
  <c r="S20" i="4"/>
  <c r="T56" i="4"/>
  <c r="S56" i="4"/>
  <c r="S21" i="4"/>
  <c r="T21" i="4"/>
  <c r="T57" i="4"/>
  <c r="S57" i="4"/>
  <c r="T88" i="4"/>
  <c r="S88" i="4"/>
  <c r="S100" i="4"/>
  <c r="T100" i="4"/>
  <c r="T112" i="4"/>
  <c r="S112" i="4"/>
  <c r="S130" i="4"/>
  <c r="T130" i="4"/>
  <c r="T142" i="4"/>
  <c r="S142" i="4"/>
  <c r="T160" i="4"/>
  <c r="S160" i="4"/>
  <c r="T172" i="4"/>
  <c r="S172" i="4"/>
  <c r="T190" i="4"/>
  <c r="S190" i="4"/>
  <c r="T196" i="4"/>
  <c r="S196" i="4"/>
  <c r="T214" i="4"/>
  <c r="S214" i="4"/>
  <c r="S226" i="4"/>
  <c r="T226" i="4"/>
  <c r="T244" i="4"/>
  <c r="S244" i="4"/>
  <c r="T256" i="4"/>
  <c r="S256" i="4"/>
  <c r="S274" i="4"/>
  <c r="T274" i="4"/>
  <c r="S292" i="4"/>
  <c r="T292" i="4"/>
  <c r="T304" i="4"/>
  <c r="S304" i="4"/>
  <c r="T322" i="4"/>
  <c r="S322" i="4"/>
  <c r="T340" i="4"/>
  <c r="S340" i="4"/>
  <c r="S364" i="4"/>
  <c r="T364" i="4"/>
  <c r="T382" i="4"/>
  <c r="S382" i="4"/>
  <c r="T400" i="4"/>
  <c r="S400" i="4"/>
  <c r="T412" i="4"/>
  <c r="S412" i="4"/>
  <c r="T430" i="4"/>
  <c r="S430" i="4"/>
  <c r="T448" i="4"/>
  <c r="S448" i="4"/>
  <c r="T466" i="4"/>
  <c r="S466" i="4"/>
  <c r="T478" i="4"/>
  <c r="S478" i="4"/>
  <c r="T484" i="4"/>
  <c r="S484" i="4"/>
  <c r="S490" i="4"/>
  <c r="T490" i="4"/>
  <c r="T3" i="4"/>
  <c r="S3" i="4"/>
  <c r="S59" i="4"/>
  <c r="T59" i="4"/>
  <c r="S77" i="4"/>
  <c r="T77" i="4"/>
  <c r="S95" i="4"/>
  <c r="T95" i="4"/>
  <c r="S113" i="4"/>
  <c r="T113" i="4"/>
  <c r="S131" i="4"/>
  <c r="T131" i="4"/>
  <c r="S149" i="4"/>
  <c r="T149" i="4"/>
  <c r="S173" i="4"/>
  <c r="T173" i="4"/>
  <c r="S185" i="4"/>
  <c r="T185" i="4"/>
  <c r="S203" i="4"/>
  <c r="T203" i="4"/>
  <c r="S215" i="4"/>
  <c r="T215" i="4"/>
  <c r="S221" i="4"/>
  <c r="T221" i="4"/>
  <c r="S233" i="4"/>
  <c r="T233" i="4"/>
  <c r="S245" i="4"/>
  <c r="T245" i="4"/>
  <c r="S251" i="4"/>
  <c r="T251" i="4"/>
  <c r="S257" i="4"/>
  <c r="T257" i="4"/>
  <c r="S263" i="4"/>
  <c r="T263" i="4"/>
  <c r="S269" i="4"/>
  <c r="T269" i="4"/>
  <c r="S275" i="4"/>
  <c r="T275" i="4"/>
  <c r="S287" i="4"/>
  <c r="T287" i="4"/>
  <c r="S293" i="4"/>
  <c r="T293" i="4"/>
  <c r="S299" i="4"/>
  <c r="T299" i="4"/>
  <c r="S305" i="4"/>
  <c r="T305" i="4"/>
  <c r="S311" i="4"/>
  <c r="T311" i="4"/>
  <c r="S317" i="4"/>
  <c r="T317" i="4"/>
  <c r="S329" i="4"/>
  <c r="T329" i="4"/>
  <c r="S335" i="4"/>
  <c r="T335" i="4"/>
  <c r="S341" i="4"/>
  <c r="T341" i="4"/>
  <c r="S347" i="4"/>
  <c r="T347" i="4"/>
  <c r="S353" i="4"/>
  <c r="T353" i="4"/>
  <c r="S359" i="4"/>
  <c r="T359" i="4"/>
  <c r="S365" i="4"/>
  <c r="T365" i="4"/>
  <c r="S371" i="4"/>
  <c r="T371" i="4"/>
  <c r="S377" i="4"/>
  <c r="T377" i="4"/>
  <c r="S383" i="4"/>
  <c r="T383" i="4"/>
  <c r="S389" i="4"/>
  <c r="T389" i="4"/>
  <c r="S395" i="4"/>
  <c r="T395" i="4"/>
  <c r="S401" i="4"/>
  <c r="T401" i="4"/>
  <c r="S407" i="4"/>
  <c r="T407" i="4"/>
  <c r="S413" i="4"/>
  <c r="T413" i="4"/>
  <c r="S419" i="4"/>
  <c r="T419" i="4"/>
  <c r="S425" i="4"/>
  <c r="T425" i="4"/>
  <c r="S431" i="4"/>
  <c r="T431" i="4"/>
  <c r="S437" i="4"/>
  <c r="T437" i="4"/>
  <c r="S443" i="4"/>
  <c r="T443" i="4"/>
  <c r="S449" i="4"/>
  <c r="T449" i="4"/>
  <c r="S455" i="4"/>
  <c r="T455" i="4"/>
  <c r="S461" i="4"/>
  <c r="T461" i="4"/>
  <c r="S467" i="4"/>
  <c r="T467" i="4"/>
  <c r="S473" i="4"/>
  <c r="T473" i="4"/>
  <c r="S479" i="4"/>
  <c r="T479" i="4"/>
  <c r="S485" i="4"/>
  <c r="T485" i="4"/>
  <c r="S491" i="4"/>
  <c r="T491" i="4"/>
  <c r="S497" i="4"/>
  <c r="T497" i="4"/>
  <c r="S10" i="4"/>
  <c r="T10" i="4"/>
  <c r="T50" i="4"/>
  <c r="S50" i="4"/>
  <c r="T43" i="4"/>
  <c r="S43" i="4"/>
  <c r="T75" i="4"/>
  <c r="S75" i="4"/>
  <c r="S93" i="4"/>
  <c r="T93" i="4"/>
  <c r="T105" i="4"/>
  <c r="S105" i="4"/>
  <c r="T117" i="4"/>
  <c r="S117" i="4"/>
  <c r="T135" i="4"/>
  <c r="S135" i="4"/>
  <c r="S141" i="4"/>
  <c r="T141" i="4"/>
  <c r="S159" i="4"/>
  <c r="T159" i="4"/>
  <c r="S165" i="4"/>
  <c r="T165" i="4"/>
  <c r="T177" i="4"/>
  <c r="S177" i="4"/>
  <c r="T189" i="4"/>
  <c r="S189" i="4"/>
  <c r="T195" i="4"/>
  <c r="S195" i="4"/>
  <c r="T207" i="4"/>
  <c r="S207" i="4"/>
  <c r="T219" i="4"/>
  <c r="S219" i="4"/>
  <c r="S231" i="4"/>
  <c r="T231" i="4"/>
  <c r="S237" i="4"/>
  <c r="T237" i="4"/>
  <c r="T249" i="4"/>
  <c r="S249" i="4"/>
  <c r="T261" i="4"/>
  <c r="S261" i="4"/>
  <c r="T267" i="4"/>
  <c r="S267" i="4"/>
  <c r="S285" i="4"/>
  <c r="T285" i="4"/>
  <c r="T291" i="4"/>
  <c r="S291" i="4"/>
  <c r="T297" i="4"/>
  <c r="S297" i="4"/>
  <c r="T315" i="4"/>
  <c r="S315" i="4"/>
  <c r="T321" i="4"/>
  <c r="S321" i="4"/>
  <c r="T339" i="4"/>
  <c r="S339" i="4"/>
  <c r="S345" i="4"/>
  <c r="T345" i="4"/>
  <c r="T351" i="4"/>
  <c r="S351" i="4"/>
  <c r="T369" i="4"/>
  <c r="S369" i="4"/>
  <c r="S381" i="4"/>
  <c r="T381" i="4"/>
  <c r="T393" i="4"/>
  <c r="S393" i="4"/>
  <c r="T405" i="4"/>
  <c r="S405" i="4"/>
  <c r="T417" i="4"/>
  <c r="S417" i="4"/>
  <c r="S429" i="4"/>
  <c r="T429" i="4"/>
  <c r="S447" i="4"/>
  <c r="T447" i="4"/>
  <c r="T465" i="4"/>
  <c r="S465" i="4"/>
  <c r="T477" i="4"/>
  <c r="S477" i="4"/>
  <c r="S489" i="4"/>
  <c r="T489" i="4"/>
  <c r="T44" i="4"/>
  <c r="S44" i="4"/>
  <c r="T45" i="4"/>
  <c r="S45" i="4"/>
  <c r="S82" i="4"/>
  <c r="T82" i="4"/>
  <c r="S118" i="4"/>
  <c r="T118" i="4"/>
  <c r="S148" i="4"/>
  <c r="T148" i="4"/>
  <c r="T178" i="4"/>
  <c r="S178" i="4"/>
  <c r="T208" i="4"/>
  <c r="S208" i="4"/>
  <c r="T238" i="4"/>
  <c r="S238" i="4"/>
  <c r="S262" i="4"/>
  <c r="T262" i="4"/>
  <c r="T286" i="4"/>
  <c r="S286" i="4"/>
  <c r="T310" i="4"/>
  <c r="S310" i="4"/>
  <c r="T328" i="4"/>
  <c r="S328" i="4"/>
  <c r="T352" i="4"/>
  <c r="S352" i="4"/>
  <c r="S370" i="4"/>
  <c r="T370" i="4"/>
  <c r="T388" i="4"/>
  <c r="S388" i="4"/>
  <c r="S406" i="4"/>
  <c r="T406" i="4"/>
  <c r="T424" i="4"/>
  <c r="S424" i="4"/>
  <c r="T454" i="4"/>
  <c r="S454" i="4"/>
  <c r="T12" i="4"/>
  <c r="S12" i="4"/>
  <c r="T22" i="4"/>
  <c r="S22" i="4"/>
  <c r="S46" i="4"/>
  <c r="T46" i="4"/>
  <c r="T70" i="4"/>
  <c r="S70" i="4"/>
  <c r="S35" i="4"/>
  <c r="T35" i="4"/>
  <c r="S89" i="4"/>
  <c r="T89" i="4"/>
  <c r="S119" i="4"/>
  <c r="T119" i="4"/>
  <c r="S155" i="4"/>
  <c r="T155" i="4"/>
  <c r="S197" i="4"/>
  <c r="T197" i="4"/>
  <c r="S239" i="4"/>
  <c r="T239" i="4"/>
  <c r="S323" i="4"/>
  <c r="T323" i="4"/>
  <c r="S4" i="4"/>
  <c r="T4" i="4"/>
  <c r="T24" i="4"/>
  <c r="S24" i="4"/>
  <c r="T36" i="4"/>
  <c r="S36" i="4"/>
  <c r="T48" i="4"/>
  <c r="S48" i="4"/>
  <c r="T60" i="4"/>
  <c r="S60" i="4"/>
  <c r="T9" i="4"/>
  <c r="S9" i="4"/>
  <c r="T62" i="4"/>
  <c r="S62" i="4"/>
  <c r="T19" i="4"/>
  <c r="S19" i="4"/>
  <c r="T55" i="4"/>
  <c r="S55" i="4"/>
  <c r="S81" i="4"/>
  <c r="T81" i="4"/>
  <c r="T99" i="4"/>
  <c r="S99" i="4"/>
  <c r="T123" i="4"/>
  <c r="S123" i="4"/>
  <c r="T147" i="4"/>
  <c r="S147" i="4"/>
  <c r="T171" i="4"/>
  <c r="S171" i="4"/>
  <c r="S201" i="4"/>
  <c r="T201" i="4"/>
  <c r="T225" i="4"/>
  <c r="S225" i="4"/>
  <c r="T255" i="4"/>
  <c r="S255" i="4"/>
  <c r="T279" i="4"/>
  <c r="S279" i="4"/>
  <c r="S309" i="4"/>
  <c r="T309" i="4"/>
  <c r="T333" i="4"/>
  <c r="S333" i="4"/>
  <c r="T363" i="4"/>
  <c r="S363" i="4"/>
  <c r="T387" i="4"/>
  <c r="S387" i="4"/>
  <c r="T411" i="4"/>
  <c r="S411" i="4"/>
  <c r="T435" i="4"/>
  <c r="S435" i="4"/>
  <c r="S453" i="4"/>
  <c r="T453" i="4"/>
  <c r="T471" i="4"/>
  <c r="S471" i="4"/>
  <c r="T14" i="4"/>
  <c r="S14" i="4"/>
  <c r="T32" i="4"/>
  <c r="S32" i="4"/>
  <c r="T68" i="4"/>
  <c r="S68" i="4"/>
  <c r="T13" i="4"/>
  <c r="S13" i="4"/>
  <c r="T33" i="4"/>
  <c r="S33" i="4"/>
  <c r="S69" i="4"/>
  <c r="T69" i="4"/>
  <c r="S76" i="4"/>
  <c r="T76" i="4"/>
  <c r="T94" i="4"/>
  <c r="S94" i="4"/>
  <c r="T106" i="4"/>
  <c r="S106" i="4"/>
  <c r="T124" i="4"/>
  <c r="S124" i="4"/>
  <c r="T136" i="4"/>
  <c r="S136" i="4"/>
  <c r="S154" i="4"/>
  <c r="T154" i="4"/>
  <c r="T166" i="4"/>
  <c r="S166" i="4"/>
  <c r="T184" i="4"/>
  <c r="S184" i="4"/>
  <c r="S202" i="4"/>
  <c r="T202" i="4"/>
  <c r="S220" i="4"/>
  <c r="T220" i="4"/>
  <c r="T232" i="4"/>
  <c r="S232" i="4"/>
  <c r="T250" i="4"/>
  <c r="S250" i="4"/>
  <c r="T268" i="4"/>
  <c r="S268" i="4"/>
  <c r="T280" i="4"/>
  <c r="S280" i="4"/>
  <c r="S298" i="4"/>
  <c r="T298" i="4"/>
  <c r="T316" i="4"/>
  <c r="S316" i="4"/>
  <c r="T334" i="4"/>
  <c r="S334" i="4"/>
  <c r="S346" i="4"/>
  <c r="T346" i="4"/>
  <c r="T358" i="4"/>
  <c r="S358" i="4"/>
  <c r="T376" i="4"/>
  <c r="S376" i="4"/>
  <c r="T394" i="4"/>
  <c r="S394" i="4"/>
  <c r="S418" i="4"/>
  <c r="T418" i="4"/>
  <c r="S436" i="4"/>
  <c r="T436" i="4"/>
  <c r="S442" i="4"/>
  <c r="T442" i="4"/>
  <c r="T460" i="4"/>
  <c r="S460" i="4"/>
  <c r="T472" i="4"/>
  <c r="S472" i="4"/>
  <c r="T496" i="4"/>
  <c r="S496" i="4"/>
  <c r="T34" i="4"/>
  <c r="S34" i="4"/>
  <c r="S58" i="4"/>
  <c r="T58" i="4"/>
  <c r="S11" i="4"/>
  <c r="T11" i="4"/>
  <c r="S23" i="4"/>
  <c r="T23" i="4"/>
  <c r="S47" i="4"/>
  <c r="T47" i="4"/>
  <c r="S71" i="4"/>
  <c r="T71" i="4"/>
  <c r="S83" i="4"/>
  <c r="T83" i="4"/>
  <c r="S101" i="4"/>
  <c r="T101" i="4"/>
  <c r="S107" i="4"/>
  <c r="T107" i="4"/>
  <c r="S125" i="4"/>
  <c r="T125" i="4"/>
  <c r="S137" i="4"/>
  <c r="T137" i="4"/>
  <c r="S143" i="4"/>
  <c r="T143" i="4"/>
  <c r="S161" i="4"/>
  <c r="T161" i="4"/>
  <c r="S167" i="4"/>
  <c r="T167" i="4"/>
  <c r="S179" i="4"/>
  <c r="T179" i="4"/>
  <c r="S191" i="4"/>
  <c r="T191" i="4"/>
  <c r="S209" i="4"/>
  <c r="T209" i="4"/>
  <c r="S227" i="4"/>
  <c r="T227" i="4"/>
  <c r="S281" i="4"/>
  <c r="T281" i="4"/>
  <c r="S5" i="4"/>
  <c r="T5" i="4"/>
  <c r="T25" i="4"/>
  <c r="S25" i="4"/>
  <c r="T37" i="4"/>
  <c r="S37" i="4"/>
  <c r="T49" i="4"/>
  <c r="S49" i="4"/>
  <c r="T61" i="4"/>
  <c r="S61" i="4"/>
  <c r="T72" i="4"/>
  <c r="S72" i="4"/>
  <c r="T78" i="4"/>
  <c r="S78" i="4"/>
  <c r="T84" i="4"/>
  <c r="S84" i="4"/>
  <c r="T90" i="4"/>
  <c r="S90" i="4"/>
  <c r="T96" i="4"/>
  <c r="S96" i="4"/>
  <c r="T102" i="4"/>
  <c r="S102" i="4"/>
  <c r="T108" i="4"/>
  <c r="S108" i="4"/>
  <c r="T114" i="4"/>
  <c r="S114" i="4"/>
  <c r="T120" i="4"/>
  <c r="S120" i="4"/>
  <c r="T126" i="4"/>
  <c r="S126" i="4"/>
  <c r="T132" i="4"/>
  <c r="S132" i="4"/>
  <c r="T138" i="4"/>
  <c r="S138" i="4"/>
  <c r="T144" i="4"/>
  <c r="S144" i="4"/>
  <c r="T150" i="4"/>
  <c r="S150" i="4"/>
  <c r="T156" i="4"/>
  <c r="S156" i="4"/>
  <c r="T162" i="4"/>
  <c r="S162" i="4"/>
  <c r="T168" i="4"/>
  <c r="S168" i="4"/>
  <c r="T174" i="4"/>
  <c r="S174" i="4"/>
  <c r="T180" i="4"/>
  <c r="S180" i="4"/>
  <c r="T186" i="4"/>
  <c r="S186" i="4"/>
  <c r="T192" i="4"/>
  <c r="S192" i="4"/>
  <c r="T198" i="4"/>
  <c r="S198" i="4"/>
  <c r="T204" i="4"/>
  <c r="S204" i="4"/>
  <c r="T210" i="4"/>
  <c r="S210" i="4"/>
  <c r="T216" i="4"/>
  <c r="S216" i="4"/>
  <c r="T222" i="4"/>
  <c r="S222" i="4"/>
  <c r="T228" i="4"/>
  <c r="S228" i="4"/>
  <c r="T234" i="4"/>
  <c r="S234" i="4"/>
  <c r="T240" i="4"/>
  <c r="S240" i="4"/>
  <c r="T246" i="4"/>
  <c r="S246" i="4"/>
  <c r="T252" i="4"/>
  <c r="S252" i="4"/>
  <c r="T258" i="4"/>
  <c r="S258" i="4"/>
  <c r="T264" i="4"/>
  <c r="S264" i="4"/>
  <c r="T270" i="4"/>
  <c r="S270" i="4"/>
  <c r="T276" i="4"/>
  <c r="S276" i="4"/>
  <c r="T282" i="4"/>
  <c r="S282" i="4"/>
  <c r="T288" i="4"/>
  <c r="S288" i="4"/>
  <c r="T294" i="4"/>
  <c r="S294" i="4"/>
  <c r="T300" i="4"/>
  <c r="S300" i="4"/>
  <c r="T306" i="4"/>
  <c r="S306" i="4"/>
  <c r="T312" i="4"/>
  <c r="S312" i="4"/>
  <c r="T318" i="4"/>
  <c r="S318" i="4"/>
  <c r="T324" i="4"/>
  <c r="S324" i="4"/>
  <c r="T330" i="4"/>
  <c r="S330" i="4"/>
  <c r="T336" i="4"/>
  <c r="S336" i="4"/>
  <c r="T342" i="4"/>
  <c r="S342" i="4"/>
  <c r="T348" i="4"/>
  <c r="S348" i="4"/>
  <c r="T354" i="4"/>
  <c r="S354" i="4"/>
  <c r="T360" i="4"/>
  <c r="S360" i="4"/>
  <c r="T366" i="4"/>
  <c r="S366" i="4"/>
  <c r="T372" i="4"/>
  <c r="S372" i="4"/>
  <c r="T378" i="4"/>
  <c r="S378" i="4"/>
  <c r="T384" i="4"/>
  <c r="S384" i="4"/>
  <c r="T390" i="4"/>
  <c r="S390" i="4"/>
  <c r="T396" i="4"/>
  <c r="S396" i="4"/>
  <c r="T402" i="4"/>
  <c r="S402" i="4"/>
  <c r="T408" i="4"/>
  <c r="S408" i="4"/>
  <c r="T414" i="4"/>
  <c r="S414" i="4"/>
  <c r="T420" i="4"/>
  <c r="S420" i="4"/>
  <c r="T426" i="4"/>
  <c r="S426" i="4"/>
  <c r="T432" i="4"/>
  <c r="S432" i="4"/>
  <c r="T438" i="4"/>
  <c r="S438" i="4"/>
  <c r="T444" i="4"/>
  <c r="S444" i="4"/>
  <c r="T450" i="4"/>
  <c r="S450" i="4"/>
  <c r="T456" i="4"/>
  <c r="S456" i="4"/>
  <c r="T462" i="4"/>
  <c r="S462" i="4"/>
  <c r="T468" i="4"/>
  <c r="S468" i="4"/>
  <c r="T474" i="4"/>
  <c r="S474" i="4"/>
  <c r="T480" i="4"/>
  <c r="S480" i="4"/>
  <c r="T486" i="4"/>
  <c r="S486" i="4"/>
  <c r="T492" i="4"/>
  <c r="S492" i="4"/>
  <c r="T498" i="4"/>
  <c r="S498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Bezawit Getaneh</author>
  </authors>
  <commentList>
    <comment ref="C1" authorId="0" shapeId="0" xr:uid="{2BC9AE58-C5E3-444F-89C2-52B6BA817518}">
      <text>
        <r>
          <rPr>
            <sz val="11"/>
            <color theme="1"/>
            <rFont val="Calibri"/>
            <family val="2"/>
            <charset val="1"/>
          </rPr>
          <t xml:space="preserve">Required Step: Once your completion date is filled out, immediately update this Current Status column to the next dev receiving stage.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<sst xmlns="http://schemas.openxmlformats.org/spreadsheetml/2006/main" count="2921" uniqueCount="408">
  <si>
    <t>Domain</t>
  </si>
  <si>
    <t>Report Name</t>
  </si>
  <si>
    <t>Current Status  (Update next stage after completion date)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</si>
  <si>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</si>
  <si>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</si>
  <si>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</si>
  <si>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</si>
  <si>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</si>
  <si>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</si>
  <si>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</si>
  <si>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</si>
  <si>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</si>
  <si>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</si>
  <si>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Build Source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</si>
  <si>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</si>
  <si>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</si>
  <si>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</si>
  <si>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</si>
  <si>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</si>
  <si>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</si>
  <si>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</si>
  <si>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</si>
  <si>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</si>
  <si>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</si>
  <si>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</si>
  <si>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</si>
  <si>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</si>
  <si>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Completion Date</t>
  </si>
  <si>
    <t>DPO Approval Reviewer</t>
  </si>
  <si>
    <t>Report Type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</si>
  <si>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</si>
  <si>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</si>
  <si>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</si>
  <si>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</si>
  <si>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</si>
  <si>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</si>
  <si>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</si>
  <si>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QA Rework Due	DPO Rework Due</t>
  </si>
  <si>
    <t>DPO Rework Due</t>
  </si>
  <si>
    <t>Leaks</t>
  </si>
  <si>
    <t>RPT_04_Active Leaks</t>
  </si>
  <si>
    <t>RELEASED IN PROD</t>
  </si>
  <si>
    <t>April</t>
  </si>
  <si>
    <t>Fetwi</t>
  </si>
  <si>
    <t>Curated</t>
  </si>
  <si>
    <t>Sarath</t>
  </si>
  <si>
    <t>Preety</t>
  </si>
  <si>
    <t>Kelvin Hu</t>
  </si>
  <si>
    <t>compliance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</si>
  <si>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</si>
  <si>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</si>
  <si>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</si>
  <si>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</si>
  <si>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</si>
  <si>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</si>
  <si>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</si>
  <si>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</si>
  <si>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</si>
  <si>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</si>
  <si>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</si>
  <si>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</si>
  <si>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</si>
  <si>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</si>
  <si>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</si>
  <si>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</si>
  <si>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</si>
  <si>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</si>
  <si>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</si>
  <si>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</si>
  <si>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RPT_04_Leaks Aging</t>
  </si>
  <si>
    <t>RPT_04_Prior Leak Readings</t>
  </si>
  <si>
    <t>Ops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</si>
  <si>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</si>
  <si>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</si>
  <si>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</si>
  <si>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</si>
  <si>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</si>
  <si>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</si>
  <si>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</si>
  <si>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</si>
  <si>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</si>
  <si>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</si>
  <si>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</si>
  <si>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</si>
  <si>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</si>
  <si>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</si>
  <si>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</si>
  <si>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</si>
  <si>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</si>
  <si>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</si>
  <si>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</si>
  <si>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</si>
  <si>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</si>
  <si>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Regulatory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</si>
  <si>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</si>
  <si>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</si>
  <si>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</si>
  <si>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</si>
  <si>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</si>
  <si>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</si>
  <si>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</si>
  <si>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</si>
  <si>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</si>
  <si>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Thuan Nguyen</t>
  </si>
  <si>
    <t>RPT_04_Leak Life Cycle</t>
  </si>
  <si>
    <t>Nicole Gordon, Jason Dezotell</t>
  </si>
  <si>
    <t>[Historical, June 2026]: Waiting on Kelvin's approval to deploy to UAT.</t>
  </si>
  <si>
    <t>RPT_04_Leak Life Cycle Legacy LMS LI</t>
  </si>
  <si>
    <t>RPT_04_Leak Increase Reads</t>
  </si>
  <si>
    <t>Jay Poter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</si>
  <si>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</si>
  <si>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</si>
  <si>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</si>
  <si>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Nicole Gordon, Allie Cama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</si>
  <si>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</si>
  <si>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</si>
  <si>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</si>
  <si>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</si>
  <si>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Corey Manson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</si>
  <si>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</si>
  <si>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</si>
  <si>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</si>
  <si>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</si>
  <si>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</si>
  <si>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Oneil Lashley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</si>
  <si>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</si>
  <si>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</si>
  <si>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</si>
  <si>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</si>
  <si>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</si>
  <si>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</si>
  <si>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</si>
  <si>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Jeanne Waldron, Anthony Massimino</t>
  </si>
  <si>
    <t>Blocked with  https://jira.prod.nationalgrid.com/browse/GDMP-2875</t>
  </si>
  <si>
    <t>RPT_02_Warning Tag HEFPA</t>
  </si>
  <si>
    <t>Jeanne Waldron, Anthony Massimino, Simone Brooks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</si>
  <si>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</si>
  <si>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</si>
  <si>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</si>
  <si>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</si>
  <si>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QA</t>
  </si>
  <si>
    <t>Jeanne Waldron, Anthony Massimino, Shaunna Peters</t>
  </si>
  <si>
    <t>27/8 Ready for Kushal's review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</si>
  <si>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</si>
  <si>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</si>
  <si>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</si>
  <si>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</si>
  <si>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</si>
  <si>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</si>
  <si>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Jeanne Waldron, Anthony Massimino, Shaunna Peters, Nicholas Scotto</t>
  </si>
  <si>
    <t>Yes – needs PBI Dev to fix</t>
  </si>
  <si>
    <t>sent back yesterday</t>
  </si>
  <si>
    <t>RPT_02_Service Regulator Inspection Printout</t>
  </si>
  <si>
    <t>RPT_02_20 Year Regulator Inspection</t>
  </si>
  <si>
    <t>Natalie Lattanzio</t>
  </si>
  <si>
    <t>Added Customer Details to Mandated tab</t>
  </si>
  <si>
    <t>RPT_02_Fixed Factor</t>
  </si>
  <si>
    <t>10,12</t>
  </si>
  <si>
    <t>Nick</t>
  </si>
  <si>
    <t>RPT_02_Fixed Factor Printout</t>
  </si>
  <si>
    <t>RPT_02_Work Order Completion Printout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</si>
  <si>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</si>
  <si>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</si>
  <si>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</si>
  <si>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</si>
  <si>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</si>
  <si>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Ready for review</t>
  </si>
  <si>
    <t>RPT_02_Public Buildings Inspection</t>
  </si>
  <si>
    <t>16,17,24, 28</t>
  </si>
  <si>
    <t>August</t>
  </si>
  <si>
    <t>PI2, S2, S4</t>
  </si>
  <si>
    <t>Fixed view - Ready for PBI Validation</t>
  </si>
  <si>
    <t>RPT_02_Investigate Wall Check and Service Check</t>
  </si>
  <si>
    <t>Shaunna Peters</t>
  </si>
  <si>
    <t>Sarath- waiting for QA view to
deploy PBI report to QA for testing
-,Deployed to QA on 0825</t>
  </si>
  <si>
    <t>RPT_02_Cut Out Orders</t>
  </si>
  <si>
    <t>Ready for Kushal's review</t>
  </si>
  <si>
    <t>RPT_02_Gas Trouble</t>
  </si>
  <si>
    <t>PBI Dev</t>
  </si>
  <si>
    <t>PI2, S2, S3</t>
  </si>
  <si>
    <t>RPT_02_Wall Check Control</t>
  </si>
  <si>
    <t>PI2, S3, S4</t>
  </si>
  <si>
    <t>RPT_02_High Pressure Steel Inside Inspection</t>
  </si>
  <si>
    <t>Ready for Bardia's Review</t>
  </si>
  <si>
    <t>RPT_02_Large Gas Outage</t>
  </si>
  <si>
    <t>DB Dev</t>
  </si>
  <si>
    <t>RPT_02_Fitting Work</t>
  </si>
  <si>
    <t>RPT_02_Field Collector Report</t>
  </si>
  <si>
    <t>Jeanne Timmons, Shaunna Peters</t>
  </si>
  <si>
    <t>RPT_02_Turn On for Non-Payment</t>
  </si>
  <si>
    <t>Bryan Patterson, Reginald Durham, Shaunna Peters, Simone Brooks</t>
  </si>
  <si>
    <t>Ready For PBI</t>
  </si>
  <si>
    <t>RPT_02_Collector Payment Recap</t>
  </si>
  <si>
    <t>hybrid</t>
  </si>
  <si>
    <t>Oneil Lashley, Terrence Perry</t>
  </si>
  <si>
    <t>RPT_02_Incentive Management</t>
  </si>
  <si>
    <t>Reginald Durham</t>
  </si>
  <si>
    <t>RPT_02_UTC Report</t>
  </si>
  <si>
    <t>September</t>
  </si>
  <si>
    <t>PI2, S5</t>
  </si>
  <si>
    <t>PI2,S6</t>
  </si>
  <si>
    <t>Simone Brooks</t>
  </si>
  <si>
    <t>RPT_02_Adjacent Property Checks</t>
  </si>
  <si>
    <t>Anthony Massimino</t>
  </si>
  <si>
    <t>RPT_02_High Bill Investigations</t>
  </si>
  <si>
    <t>NOT STARTED</t>
  </si>
  <si>
    <t>RPT_02_Emergency Order Type</t>
  </si>
  <si>
    <t>RPT_02_Cut Out Curb Box</t>
  </si>
  <si>
    <t>RPT_02_New York Incident</t>
  </si>
  <si>
    <t>Bryan Patterson, Reginald Durham</t>
  </si>
  <si>
    <t>RPT_02_Outside Repeat Leaks</t>
  </si>
  <si>
    <t>Reginald Durham, Bryan Patterson, Simone Brooks</t>
  </si>
  <si>
    <t>RPT_02_Meter Change</t>
  </si>
  <si>
    <t>Michelle Fitten</t>
  </si>
  <si>
    <t>RPT_02_Field Order Value</t>
  </si>
  <si>
    <t>Alex Giangolini</t>
  </si>
  <si>
    <t>RPT_02_Same Day Reconnect</t>
  </si>
  <si>
    <t>Bryan Patterson</t>
  </si>
  <si>
    <t>RPT_02_Site Specific Analysis</t>
  </si>
  <si>
    <t>RPT_02_PSC Wire Down Response Time</t>
  </si>
  <si>
    <t>RPT_02_Hazardous Above Ground Leak</t>
  </si>
  <si>
    <t>Bryan Patterson, Reginald Durham, Simone Brooks, Shaunna Peters</t>
  </si>
  <si>
    <t>RPT_02_AMI Contractor Completion Report</t>
  </si>
  <si>
    <t>Michael</t>
  </si>
  <si>
    <t>PI2,SIP</t>
  </si>
  <si>
    <t>Meredith Dube</t>
  </si>
  <si>
    <t>08/26: Report not required per Bardia</t>
  </si>
  <si>
    <t>RPT_02_Collection Statistic</t>
  </si>
  <si>
    <t>Brett Palmeri</t>
  </si>
  <si>
    <t>08/26: Out of scope per Bardia.</t>
  </si>
  <si>
    <t>RPT_02_First and Last Job</t>
  </si>
  <si>
    <t>RPT_02_Rate Class</t>
  </si>
  <si>
    <t>Zishan Momin</t>
  </si>
  <si>
    <t>RPT_04_Leak Recheck Times</t>
  </si>
  <si>
    <t>RPT_02_Service Resource Activity</t>
  </si>
  <si>
    <t>October</t>
  </si>
  <si>
    <t>PI3,S1</t>
  </si>
  <si>
    <t>RPT_02_Incomplete Service Appointments</t>
  </si>
  <si>
    <t>RPT_02_Emergency Response Time Review Report</t>
  </si>
  <si>
    <t xml:space="preserve">Christina Illingworth </t>
  </si>
  <si>
    <t>RPT_02_Personal Injury and Shock Investigation</t>
  </si>
  <si>
    <t>PI2, S6</t>
  </si>
  <si>
    <t>RPT_02_Emergency Response Statistics</t>
  </si>
  <si>
    <t>RPT_02_Emergency Time Adjustments Log </t>
  </si>
  <si>
    <t>RPT_02_PSC Soft Off Report</t>
  </si>
  <si>
    <t>Angela Keegan</t>
  </si>
  <si>
    <t>RPT_02_Service Interruptions</t>
  </si>
  <si>
    <t>RPT_02 Duty to Inspect</t>
  </si>
  <si>
    <t>PI3,S2</t>
  </si>
  <si>
    <t>RPT_02_Service Appointment Life Cycle</t>
  </si>
  <si>
    <t>PI2, SIP</t>
  </si>
  <si>
    <t>Megan Piccarreto</t>
  </si>
  <si>
    <t>RPT_02_PSC Inactive Account</t>
  </si>
  <si>
    <t>Reginald Durham, Simone Brooks</t>
  </si>
  <si>
    <t>RPT_02_Service Resource Performance</t>
  </si>
  <si>
    <t>RPT_02_Emergency Leak Response Metric (6 sub reports)</t>
  </si>
  <si>
    <t>61, 62, 63, 64, 65, 66</t>
  </si>
  <si>
    <t>PI3, S1</t>
  </si>
  <si>
    <t>RPT_02_Fixed Factor Mismatch</t>
  </si>
  <si>
    <t xml:space="preserve">November </t>
  </si>
  <si>
    <t>Matthew Menicucci</t>
  </si>
  <si>
    <t>RPT_02_Light Up Orders</t>
  </si>
  <si>
    <t>RPT_02_Meter To Billing Report</t>
  </si>
  <si>
    <t>PI3,S3</t>
  </si>
  <si>
    <t>RPT_02_Install Meter Orders</t>
  </si>
  <si>
    <t>RPT_02_Non Emergency Orders</t>
  </si>
  <si>
    <t>RPT_02_Carbon Monoxide</t>
  </si>
  <si>
    <t>Bryan Patterson, Reginald Durham, Simone Brooks</t>
  </si>
  <si>
    <t>RPT_02_All Jobs</t>
  </si>
  <si>
    <t>PI3, S2</t>
  </si>
  <si>
    <t>RPT_02_BCP Service Appointment WOs</t>
  </si>
  <si>
    <t>RPT_02_Meter Order Tracking</t>
  </si>
  <si>
    <t>ONeil Lashley, Terrence Perry</t>
  </si>
  <si>
    <t>RPT_02_Tech Availability, Utilization &amp; Absence</t>
  </si>
  <si>
    <t>PI3,S4</t>
  </si>
  <si>
    <t>Reginald Durham, Bill Contreras</t>
  </si>
  <si>
    <t>RPT_02_Job Productivity</t>
  </si>
  <si>
    <t>Laura Capasso, Michelle Fitten, Anthony Jenson</t>
  </si>
  <si>
    <t>RPT_02_Post Capacity Service Appointments</t>
  </si>
  <si>
    <t>Ryan Flaherty</t>
  </si>
  <si>
    <t>RPT_02_Check Estimate</t>
  </si>
  <si>
    <t>RPT_02_Service Appointments (5 sub reports)</t>
  </si>
  <si>
    <t>75,76,77,78,79</t>
  </si>
  <si>
    <t>Julie Molloy, Reginald Durham, Bill Contreras, Megan Piccarreto, Bryan Patterson</t>
  </si>
  <si>
    <t>RPT_02_Job Unit Count</t>
  </si>
  <si>
    <t>Laura Capasso, Michelle Fitten</t>
  </si>
  <si>
    <t>Assets and Engineering</t>
  </si>
  <si>
    <t>RPT_05_Department of Transportation</t>
  </si>
  <si>
    <t>December</t>
  </si>
  <si>
    <t>PI3, S3</t>
  </si>
  <si>
    <t>Christie DeWolff, Kevin Peters</t>
  </si>
  <si>
    <t>RPT_05_ Inside Meter Relocation</t>
  </si>
  <si>
    <t>PI3,S5</t>
  </si>
  <si>
    <t>Matthew Pitta</t>
  </si>
  <si>
    <t>RPT_05_Mapped Work Order Information</t>
  </si>
  <si>
    <t>Carla Scibelli</t>
  </si>
  <si>
    <t>Meter Management</t>
  </si>
  <si>
    <t>RPT_06_Retired Meters</t>
  </si>
  <si>
    <t>Shawn Oliveira</t>
  </si>
  <si>
    <t>RPT_13_Survey Book</t>
  </si>
  <si>
    <t>Michelle Roche</t>
  </si>
  <si>
    <t>RPT_05_Leak Survey Mains Summary</t>
  </si>
  <si>
    <t>John Kashmanian</t>
  </si>
  <si>
    <t>RPT_13_Customer Service Point</t>
  </si>
  <si>
    <t>Kevin Peters, Sadaat Khan</t>
  </si>
  <si>
    <t>RPT_02_Emergency Operation Checklist</t>
  </si>
  <si>
    <t>PI3, S4</t>
  </si>
  <si>
    <t>Omesh Kamat, Michelle Roche, Ed Graziano</t>
  </si>
  <si>
    <t>RPT_06_ERT List</t>
  </si>
  <si>
    <t>PI3,S6</t>
  </si>
  <si>
    <t>Austin Whitney</t>
  </si>
  <si>
    <t>RPT_13_Blue Card</t>
  </si>
  <si>
    <t>Nikki Shattuck</t>
  </si>
  <si>
    <t>RPT_06_Out of Route Meters Gas</t>
  </si>
  <si>
    <t>Bryan Smiley</t>
  </si>
  <si>
    <t>RPT_06_Yard Meter Inventory</t>
  </si>
  <si>
    <t>RPT_06_ERTtoEPSLoadReportbyReceiptNumber</t>
  </si>
  <si>
    <t>RPT_06_Out of Route Meters Electric</t>
  </si>
  <si>
    <t>PI3, S5</t>
  </si>
  <si>
    <t>RPT_06_Random Meter Sampling Testing Results</t>
  </si>
  <si>
    <t>Find a Report</t>
  </si>
  <si>
    <t>Pick a report below - everything updates automatically.</t>
  </si>
  <si>
    <t>Report Name:</t>
  </si>
  <si>
    <t>Current Status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</si>
  <si>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</si>
  <si>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</si>
  <si>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</si>
  <si>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</si>
  <si>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</si>
  <si>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</si>
  <si>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</si>
  <si>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</si>
  <si>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</si>
  <si>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</si>
  <si>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</si>
  <si>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</si>
  <si>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</si>
  <si>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</si>
  <si>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</si>
  <si>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</si>
  <si>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</si>
  <si>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</si>
  <si>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</si>
  <si>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</si>
  <si>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</si>
  <si>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</si>
  <si>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</si>
  <si>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</si>
  <si>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</si>
  <si>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</si>
  <si>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</si>
  <si>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</si>
  <si>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</si>
  <si>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</si>
  <si>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</si>
  <si>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</si>
  <si>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</si>
  <si>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</si>
  <si>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</si>
  <si>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</si>
  <si>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 xml:space="preserve">Yes </t>
  </si>
  <si>
    <t xml:space="preserve">Count mismatch in Summary </t>
  </si>
  <si>
    <t>Count mismatch. SPIPE# is incorrect</t>
  </si>
  <si>
    <t>Protection Seal In Place column is having mismatches</t>
  </si>
  <si>
    <t>MX WO# 18224253 is not showing up in the printout</t>
  </si>
  <si>
    <t>Column mismatch and Column orders</t>
  </si>
  <si>
    <t xml:space="preserve">Count Mismatch for both Turn on and Turn Off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</si>
  <si>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</si>
  <si>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</si>
  <si>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</si>
  <si>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</si>
  <si>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</si>
  <si>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</si>
  <si>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</si>
  <si>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</si>
  <si>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</si>
  <si>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</si>
  <si>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</si>
  <si>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</si>
  <si>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</si>
  <si>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</si>
  <si>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</si>
  <si>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</si>
  <si>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compliance or Regulatory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</si>
  <si>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</si>
  <si>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</si>
  <si>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</si>
  <si>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</si>
  <si>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</si>
  <si>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</si>
  <si>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</si>
  <si>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</si>
  <si>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</si>
  <si>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</si>
  <si>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</si>
  <si>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</si>
  <si>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</si>
  <si>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Raw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</si>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</sst>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  <font>
      <strike/>
      <sz val="11"/>
      <color rgb="FFFF0000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  <fill>
      <patternFill patternType="solid">
        <fgColor rgb="FFFF0000"/>
        <bgColor indexed="64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93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0" fontId="6" fillId="0" borderId="13" xfId="0" applyFont="1" applyBorder="1" applyAlignment="1" applyProtection="1">
      <alignment vertical="top"/>
      <protection locked="0"/>
    </xf>
    <xf numFmtId="0" fontId="0" fillId="0" borderId="0" xfId="0" applyAlignment="1" applyProtection="1">
      <alignment wrapText="1"/>
      <protection locked="0"/>
    </xf>
    <xf numFmtId="0" fontId="22" fillId="17" borderId="0" xfId="0" applyFont="1" applyFill="1" applyProtection="1">
      <protection locked="0"/>
    </xf>
    <xf numFmtId="0" fontId="22" fillId="0" borderId="0" xfId="0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106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numFmt numFmtId="0" formatCode="General"/>
      <protection locked="0" hidden="0"/>
    </dxf>
    <dxf>
      <numFmt numFmtId="0" formatCode="General"/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M115" dataDxfId="54">
  <autoFilter ref="A1:AM115" xr:uid="{00000000-0009-0000-0100-000001000000}">
    <filterColumn colId="0">
      <filters>
        <filter val="CMS"/>
      </filters>
    </filterColumn>
    <filterColumn colId="8">
      <filters>
        <filter val="September"/>
      </filters>
    </filterColumn>
    <filterColumn colId="15">
      <filters>
        <filter val="Shraddha"/>
      </filters>
    </filterColumn>
  </autoFilter>
  <tableColumns count="39">
    <tableColumn id="1" xr3:uid="{00000000-0010-0000-0000-000001000000}" name="Domain" dataDxfId="53"/>
    <tableColumn id="2" xr3:uid="{00000000-0010-0000-0000-000002000000}" name="Report Name" dataDxfId="52"/>
    <tableColumn id="3" xr3:uid="{00000000-0010-0000-0000-000003000000}" name="Current Status  (Update next stage after completion date)" dataDxfId="51"/>
    <tableColumn id="4" xr3:uid="{00000000-0010-0000-0000-000004000000}" name="Status Flag" dataDxfId="50"/>
    <tableColumn id="5" xr3:uid="{00000000-0010-0000-0000-000005000000}" name="Business Value Rank" dataDxfId="49"/>
    <tableColumn id="6" xr3:uid="{00000000-0010-0000-0000-000006000000}" name="PO" dataDxfId="48"/>
    <tableColumn id="10" xr3:uid="{00000000-0010-0000-0000-00000A000000}" name="Schema" dataDxfId="47"/>
    <tableColumn id="11" xr3:uid="{00000000-0010-0000-0000-00000B000000}" name="Plan Delivery Date" dataDxfId="46"/>
    <tableColumn id="12" xr3:uid="{00000000-0010-0000-0000-00000C000000}" name="Plan Delivery Month" dataDxfId="45"/>
    <tableColumn id="7" xr3:uid="{00000000-0010-0000-0000-000007000000}" name="DB Developer" dataDxfId="44"/>
    <tableColumn id="13" xr3:uid="{00000000-0010-0000-0000-00000D000000}" name="DB Dev Baseline Completion Date" dataDxfId="43"/>
    <tableColumn id="30" xr3:uid="{00000000-0010-0000-0000-00001E000000}" name="DB Dev Reforecast Completion Date" dataDxfId="42"/>
    <tableColumn id="14" xr3:uid="{00000000-0010-0000-0000-00000E000000}" name="DB Dev Actual Completion Date" dataDxfId="41"/>
    <tableColumn id="35" xr3:uid="{1A518B0C-8D73-4DAB-8F10-7B4DFF037343}" name="Build Source" dataDxfId="40"/>
    <tableColumn id="28" xr3:uid="{EFCDFAEE-1B00-42CE-9649-7541F5DDC136}" name="Sprint DB" dataDxfId="39"/>
    <tableColumn id="8" xr3:uid="{00000000-0010-0000-0000-000008000000}" name="PBI Developer" dataDxfId="38"/>
    <tableColumn id="15" xr3:uid="{00000000-0010-0000-0000-00000F000000}" name="PBI Dev Baseline Completion Date" dataDxfId="37"/>
    <tableColumn id="31" xr3:uid="{00000000-0010-0000-0000-00001F000000}" name="PBI Dev Reforecast Completion Date" dataDxfId="36"/>
    <tableColumn id="16" xr3:uid="{00000000-0010-0000-0000-000010000000}" name="PBI Dev Actual Completion Date" dataDxfId="35"/>
    <tableColumn id="29" xr3:uid="{4630D178-9B47-4360-A40B-22C7384DB9C9}" name="Sprint PBI" dataDxfId="34"/>
    <tableColumn id="9" xr3:uid="{00000000-0010-0000-0000-000009000000}" name="QA Tester" dataDxfId="33"/>
    <tableColumn id="17" xr3:uid="{00000000-0010-0000-0000-000011000000}" name="QA Baseline Completion Date" dataDxfId="32"/>
    <tableColumn id="32" xr3:uid="{00000000-0010-0000-0000-000020000000}" name="QA Reforecast Completion Date" dataDxfId="31"/>
    <tableColumn id="18" xr3:uid="{00000000-0010-0000-0000-000012000000}" name="QA Actual Completion Date" dataDxfId="30"/>
    <tableColumn id="34" xr3:uid="{70C5E8CB-08B0-4A84-9B68-89630FC3C5C7}" name="Sprint QA" dataDxfId="29"/>
    <tableColumn id="19" xr3:uid="{00000000-0010-0000-0000-000013000000}" name="DPO Approval Baseline Completion Date" dataDxfId="28"/>
    <tableColumn id="33" xr3:uid="{00000000-0010-0000-0000-000021000000}" name="DPO Approval Reforecast Completion Date" dataDxfId="27"/>
    <tableColumn id="36" xr3:uid="{86D482BF-E7A4-45A2-B2F5-CA0223EBDDD1}" name="DPO Approval Completion Date" dataDxfId="26"/>
    <tableColumn id="20" xr3:uid="{00000000-0010-0000-0000-000014000000}" name="DPO Approval Reviewer" dataDxfId="25"/>
    <tableColumn id="39" xr3:uid="{D4F67DF1-1A6D-469A-AA66-A681F9EBF81F}" name="Report Type" dataDxfId="24"/>
    <tableColumn id="21" xr3:uid="{00000000-0010-0000-0000-000015000000}" name="Confirmed Deployed?" dataDxfId="23"/>
    <tableColumn id="22" xr3:uid="{00000000-0010-0000-0000-000016000000}" name="Confirmed Deployed Date" dataDxfId="22"/>
    <tableColumn id="23" xr3:uid="{00000000-0010-0000-0000-000017000000}" name="UAT Report URL" dataDxfId="21"/>
    <tableColumn id="24" xr3:uid="{00000000-0010-0000-0000-000018000000}" name="Production URL" dataDxfId="20"/>
    <tableColumn id="25" xr3:uid="{00000000-0010-0000-0000-000019000000}" name="Blocked?" dataDxfId="19"/>
    <tableColumn id="26" xr3:uid="{00000000-0010-0000-0000-00001A000000}" name="Data Check" dataDxfId="18"/>
    <tableColumn id="27" xr3:uid="{00000000-0010-0000-0000-00001B000000}" name="Comments" dataDxfId="17"/>
    <tableColumn id="37" xr3:uid="{80A8E094-8F50-434A-A9E3-195269D50436}" name="QA Rework Due_x0009_DPO Rework Due" dataDxfId="16">
      <calculatedColumnFormula array="1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calculatedColumnFormula>
    </tableColumn>
    <tableColumn id="38" xr3:uid="{1C2FEBD2-DBA8-4974-89A0-AFF31D4E319C}" name="DPO Rework Due" dataDxfId="15">
      <calculatedColumnFormula array="1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calculatedColumnFormula>
    </tableColumn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ira.prod.nationalgrid.com/browse/GDMP-2940" TargetMode="Externa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2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M526"/>
  <sheetViews>
    <sheetView tabSelected="1" topLeftCell="A39" zoomScaleNormal="100" workbookViewId="0">
      <pane xSplit="2" topLeftCell="E1" activePane="topRight" state="frozen"/>
      <selection pane="topRight" activeCell="Y50" sqref="Y50"/>
      <selection activeCell="A29" sqref="A29"/>
    </sheetView>
  </sheetViews>
  <sheetFormatPr defaultRowHeight="15" customHeight="1"/>
  <cols>
    <col min="1" max="1" width="12" customWidth="1"/>
    <col min="2" max="2" width="47.140625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4" width="17" customWidth="1"/>
    <col min="15" max="15" width="15" customWidth="1"/>
    <col min="16" max="16" width="13" style="68" customWidth="1"/>
    <col min="17" max="17" width="17" customWidth="1"/>
    <col min="18" max="18" width="19.28515625" customWidth="1"/>
    <col min="19" max="19" width="19" customWidth="1"/>
    <col min="20" max="20" width="16" style="73" customWidth="1"/>
    <col min="21" max="21" width="11" customWidth="1"/>
    <col min="22" max="22" width="13" customWidth="1"/>
    <col min="23" max="23" width="15" customWidth="1"/>
    <col min="24" max="25" width="13" customWidth="1"/>
    <col min="26" max="26" width="28" customWidth="1"/>
    <col min="27" max="28" width="30" customWidth="1"/>
    <col min="29" max="30" width="42" customWidth="1"/>
    <col min="32" max="32" width="15" bestFit="1" customWidth="1"/>
    <col min="36" max="36" width="36.28515625" customWidth="1"/>
    <col min="37" max="37" width="45.7109375" customWidth="1"/>
    <col min="38" max="38" width="9.42578125" bestFit="1" customWidth="1"/>
  </cols>
  <sheetData>
    <row r="1" spans="1:39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15" t="s">
        <v>14</v>
      </c>
      <c r="P1" s="63" t="s">
        <v>15</v>
      </c>
      <c r="Q1" s="16" t="s">
        <v>16</v>
      </c>
      <c r="R1" s="16" t="s">
        <v>17</v>
      </c>
      <c r="S1" s="16" t="s">
        <v>18</v>
      </c>
      <c r="T1" s="69" t="s">
        <v>19</v>
      </c>
      <c r="U1" s="58" t="s">
        <v>20</v>
      </c>
      <c r="V1" s="17" t="s">
        <v>21</v>
      </c>
      <c r="W1" s="17" t="s">
        <v>22</v>
      </c>
      <c r="X1" s="17" t="s">
        <v>23</v>
      </c>
      <c r="Y1" s="17" t="s">
        <v>24</v>
      </c>
      <c r="Z1" s="52" t="s">
        <v>25</v>
      </c>
      <c r="AA1" s="18" t="s">
        <v>26</v>
      </c>
      <c r="AB1" s="18" t="s">
        <v>27</v>
      </c>
      <c r="AC1" s="18" t="s">
        <v>28</v>
      </c>
      <c r="AD1" s="18" t="s">
        <v>29</v>
      </c>
      <c r="AE1" s="23" t="s">
        <v>30</v>
      </c>
      <c r="AF1" s="19" t="s">
        <v>31</v>
      </c>
      <c r="AG1" s="24" t="s">
        <v>32</v>
      </c>
      <c r="AH1" s="20" t="s">
        <v>33</v>
      </c>
      <c r="AI1" s="25" t="s">
        <v>34</v>
      </c>
      <c r="AJ1" s="26" t="s">
        <v>35</v>
      </c>
      <c r="AK1" s="27" t="s">
        <v>36</v>
      </c>
      <c r="AL1" t="s">
        <v>37</v>
      </c>
      <c r="AM1" t="s">
        <v>38</v>
      </c>
    </row>
    <row r="2" spans="1:39" hidden="1">
      <c r="A2" s="33" t="s">
        <v>39</v>
      </c>
      <c r="B2" s="33" t="s">
        <v>40</v>
      </c>
      <c r="C2" s="33" t="s">
        <v>41</v>
      </c>
      <c r="D2" t="str" cm="1">
        <f t="array" aca="1" ref="D2" ca="1">IF($B2="","",IF(LEFT($AI2,3)="Yes","Blocked - "&amp;MID($AI2,7,100)&amp;IF(SUMPRODUCT(('Rework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Dev",IF(AND(L2="",K2=""),"No target set",IF(AND(IF(L2&lt;&gt;"",L2,K2)&lt;TODAY(),M2=""),"Overdue","On track")),IF(C2="PBI Dev",IF(AND(R2="",Q2=""),"No target set",IF(AND(IF(R2&lt;&gt;"",R2,Q2)&lt;TODAY(),S2=""),"Overdue","On track")),IF(C2="QA",_xlfn.LET(_xlpm.tgt,IF(AL2&lt;&gt;"",AL2,IF(W2&lt;&gt;"",W2,V2)),_xlpm.sent,_xlfn.MAXIFS('Rework Log'!$B$3:$B$500,'Rework Log'!$A$3:$A$500,$B2,'Rework Log'!$C$3:$C$500,"QA"),_xlpm.act,IF(AND(X2&lt;&gt;"",X2&gt;_xlpm.sent),X2,""),IF(_xlpm.tgt="","No target set",IF(AND(_xlpm.tgt&lt;TODAY(),_xlpm.act=""),"Overdue","On track"))),IF(C2="DPO Approval",_xlfn.LET(_xlpm.tgt,IF(AM2&lt;&gt;"",AM2,IF(AA2&lt;&gt;"",AA2,Z2)),_xlpm.sent,_xlfn.MAXIFS('Rework Log'!$B$3:$B$500,'Rework Log'!$A$3:$A$500,$B2,'Rework Log'!$C$3:$C$500,"DPO*"),_xlpm.act,IF(AND(AB2&lt;&gt;"",AB2&gt;_xlpm.sent),AB2,""),IF(_xlpm.tgt="","No target set",IF(AND(_xlpm.tgt&lt;TODAY(),_xlpm.act=""),"Overdue","On track"))),IF(C2="RELEASED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42</v>
      </c>
      <c r="J2" s="33" t="s">
        <v>43</v>
      </c>
      <c r="K2" s="4">
        <v>46122</v>
      </c>
      <c r="L2" s="36"/>
      <c r="M2" s="36">
        <v>46115</v>
      </c>
      <c r="N2" s="36" t="s">
        <v>44</v>
      </c>
      <c r="O2" s="36"/>
      <c r="P2" s="64" t="s">
        <v>45</v>
      </c>
      <c r="Q2" s="4">
        <v>46129</v>
      </c>
      <c r="R2" s="36"/>
      <c r="S2" s="36">
        <v>46114</v>
      </c>
      <c r="T2" s="70"/>
      <c r="U2" s="33" t="s">
        <v>46</v>
      </c>
      <c r="V2" s="60">
        <v>46136</v>
      </c>
      <c r="W2" s="36"/>
      <c r="X2" s="36">
        <v>46122</v>
      </c>
      <c r="Y2" s="36"/>
      <c r="Z2" s="53">
        <v>46140</v>
      </c>
      <c r="AA2" s="36"/>
      <c r="AB2" s="36"/>
      <c r="AC2" s="33" t="s">
        <v>47</v>
      </c>
      <c r="AD2" s="33" t="s">
        <v>48</v>
      </c>
      <c r="AE2" s="38" t="s">
        <v>49</v>
      </c>
      <c r="AF2" s="36">
        <v>46122</v>
      </c>
      <c r="AG2" s="39" t="s">
        <v>50</v>
      </c>
      <c r="AH2" s="33" t="s">
        <v>51</v>
      </c>
      <c r="AI2" s="40" t="s">
        <v>52</v>
      </c>
      <c r="AJ2" s="74" t="str">
        <f>IF($B2="","",IF(AND(LEFT($AI2,3)="Yes",SUMPRODUCT(('Rework Log'!$A$3:$A$500=$B2)*('Rework Log'!$G$3:$G$500&lt;&gt;"Yes")*('Rework Log'!$G$3:$G$500&lt;&gt;"Did not pass re-test"))=0),"Blocked - log it on Rework Log",IF(AND(LEFT($AI2,3)&lt;&gt;"Yes",SUMPRODUCT(('Rework Log'!$A$3:$A$500=$B2)*('Rework Log'!$G$3:$G$500&lt;&gt;"Yes")*('Rework Log'!$G$3:$G$500&lt;&gt;"Did not pass re-test"))&gt;0),"Open rework row - mark Blocked? or close it",IF(AND($AI2="Yes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H)",IF(AND($AI2="Yes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H)",IF(AND($AI2="Yes – needs QA to fix",X2&lt;&gt;"",SUMPRODUCT(MAX((('Rework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Log'!$A$3:$A$500,$B2)&gt;0,"",IF(AND(V2&lt;&gt;"",K2&lt;&gt;"",V2&lt;K2),"QA target is before DB Dev target",IF(AND(V2&lt;&gt;"",Q2&lt;&gt;"",V2&lt;Q2),"QA target is before PBI Dev target",IF(AND(Z2&lt;&gt;"",V2&lt;&gt;"",Z2&lt;V2),"DPO Approval target is before QA target",IF(AND(AF2&lt;&gt;"",Z2&lt;&gt;"",AF2&lt;Z2),"Confirmed Deployed date is before DPO Approval target",""))))))))))))</f>
        <v>Confirmed Deployed date is before DPO Approval target</v>
      </c>
      <c r="AK2" s="41" t="s">
        <v>53</v>
      </c>
      <c r="AL2" s="31" t="str" cm="1">
        <f t="array" ref="AL2">_xlfn.LET(_xlpm.rep,$B2,_xlpm.sent,_xlfn.MAXIFS('Rework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" s="31" t="str" cm="1">
        <f t="array" ref="AM2">_xlfn.LET(_xlpm.rep,$B2,_xlpm.sent,_xlfn.MAXIFS('Rework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" spans="1:39" hidden="1">
      <c r="A3" s="33" t="s">
        <v>39</v>
      </c>
      <c r="B3" s="33" t="s">
        <v>54</v>
      </c>
      <c r="C3" s="33" t="s">
        <v>41</v>
      </c>
      <c r="D3" t="str" cm="1">
        <f t="array" aca="1" ref="D3" ca="1">IF($B3="","",IF(LEFT($AI3,3)="Yes","Blocked - "&amp;MID($AI3,7,100)&amp;IF(SUMPRODUCT(('Rework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Dev",IF(AND(L3="",K3=""),"No target set",IF(AND(IF(L3&lt;&gt;"",L3,K3)&lt;TODAY(),M3=""),"Overdue","On track")),IF(C3="PBI Dev",IF(AND(R3="",Q3=""),"No target set",IF(AND(IF(R3&lt;&gt;"",R3,Q3)&lt;TODAY(),S3=""),"Overdue","On track")),IF(C3="QA",_xlfn.LET(_xlpm.tgt,IF(AL3&lt;&gt;"",AL3,IF(W3&lt;&gt;"",W3,V3)),_xlpm.sent,_xlfn.MAXIFS('Rework Log'!$B$3:$B$500,'Rework Log'!$A$3:$A$500,$B3,'Rework Log'!$C$3:$C$500,"QA"),_xlpm.act,IF(AND(X3&lt;&gt;"",X3&gt;_xlpm.sent),X3,""),IF(_xlpm.tgt="","No target set",IF(AND(_xlpm.tgt&lt;TODAY(),_xlpm.act=""),"Overdue","On track"))),IF(C3="DPO Approval",_xlfn.LET(_xlpm.tgt,IF(AM3&lt;&gt;"",AM3,IF(AA3&lt;&gt;"",AA3,Z3)),_xlpm.sent,_xlfn.MAXIFS('Rework Log'!$B$3:$B$500,'Rework Log'!$A$3:$A$500,$B3,'Rework Log'!$C$3:$C$500,"DPO*"),_xlpm.act,IF(AND(AB3&lt;&gt;"",AB3&gt;_xlpm.sent),AB3,""),IF(_xlpm.tgt="","No target set",IF(AND(_xlpm.tgt&lt;TODAY(),_xlpm.act=""),"Overdue","On track"))),IF(C3="RELEASED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42</v>
      </c>
      <c r="J3" s="33" t="s">
        <v>43</v>
      </c>
      <c r="K3" s="4">
        <v>46122</v>
      </c>
      <c r="L3" s="36"/>
      <c r="M3" s="36">
        <v>46115</v>
      </c>
      <c r="N3" s="36" t="s">
        <v>44</v>
      </c>
      <c r="O3" s="36"/>
      <c r="P3" s="64" t="s">
        <v>45</v>
      </c>
      <c r="Q3" s="4">
        <v>46129</v>
      </c>
      <c r="R3" s="36"/>
      <c r="S3" s="36">
        <v>46114</v>
      </c>
      <c r="T3" s="70"/>
      <c r="U3" s="33" t="s">
        <v>46</v>
      </c>
      <c r="V3" s="60">
        <v>46136</v>
      </c>
      <c r="W3" s="36"/>
      <c r="X3" s="36">
        <v>46122</v>
      </c>
      <c r="Y3" s="36"/>
      <c r="Z3" s="53">
        <v>46140</v>
      </c>
      <c r="AA3" s="36"/>
      <c r="AB3" s="36"/>
      <c r="AC3" s="33" t="s">
        <v>47</v>
      </c>
      <c r="AD3" s="33" t="s">
        <v>48</v>
      </c>
      <c r="AE3" s="38" t="s">
        <v>49</v>
      </c>
      <c r="AF3" s="36">
        <v>46122</v>
      </c>
      <c r="AG3" s="39" t="s">
        <v>55</v>
      </c>
      <c r="AH3" s="33" t="s">
        <v>56</v>
      </c>
      <c r="AI3" s="40" t="s">
        <v>52</v>
      </c>
      <c r="AJ3" s="74" t="e">
        <f>IF($B3="","",IF(AND(LEFT($AI3,3)="Yes",SUMPRODUCT(('Rework Log'!$A$3:$A$500=$B3)*('Rework Log'!$G$3:$G$500&lt;&gt;"Yes")*('Rework Log'!$G$3:$G$500&lt;&gt;"Did not pass re-test"))=0),"Blocked - log it on Rework Log",IF(AND(LEFT($AI3,3)&lt;&gt;"Yes",SUMPRODUCT(('Rework Log'!$A$3:$A$500=$B3)*('Rework Log'!$G$3:$G$500&lt;&gt;"Yes")*('Rework Log'!$G$3:$G$500&lt;&gt;"Did not pass re-test"))&gt;0),"Open rework row - mark Blocked? or close it",IF(AND($AI3="Yes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H)",IF(AND($AI3="Yes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H)",IF(AND($AI3="Yes – needs QA to fix",X3&lt;&gt;"",SUMPRODUCT(MAX((('Rework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Log'!$A$3:$A$500,$B3)&gt;0,"",IF(AND(V3&lt;&gt;"",K3&lt;&gt;"",V3&lt;K3),"QA target is before DB Dev target",IF(AND(V3&lt;&gt;"",Q3&lt;&gt;"",V3&lt;Q3),"QA target is before PBI Dev target",IF(AND(#REF!&lt;&gt;"",V3&lt;&gt;"",#REF!&lt;V3),"DPO Approval target is before QA target",IF(AND(AF3&lt;&gt;"",#REF!&lt;&gt;"",AF3&lt;#REF!),"Confirmed Deployed date is before DPO Approval target",""))))))))))))</f>
        <v>#REF!</v>
      </c>
      <c r="AK3" s="41" t="s">
        <v>53</v>
      </c>
      <c r="AL3" s="31" t="str" cm="1">
        <f t="array" ref="AL3">_xlfn.LET(_xlpm.rep,$B3,_xlpm.sent,_xlfn.MAXIFS('Rework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" s="31" t="str" cm="1">
        <f t="array" ref="AM3">_xlfn.LET(_xlpm.rep,$B3,_xlpm.sent,_xlfn.MAXIFS('Rework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" spans="1:39" hidden="1">
      <c r="A4" s="33" t="s">
        <v>39</v>
      </c>
      <c r="B4" s="33" t="s">
        <v>57</v>
      </c>
      <c r="C4" s="33" t="s">
        <v>41</v>
      </c>
      <c r="D4" t="str" cm="1">
        <f t="array" aca="1" ref="D4" ca="1">IF($B4="","",IF(LEFT($AI4,3)="Yes","Blocked - "&amp;MID($AI4,7,100)&amp;IF(SUMPRODUCT(('Rework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Dev",IF(AND(L4="",K4=""),"No target set",IF(AND(IF(L4&lt;&gt;"",L4,K4)&lt;TODAY(),M4=""),"Overdue","On track")),IF(C4="PBI Dev",IF(AND(R4="",Q4=""),"No target set",IF(AND(IF(R4&lt;&gt;"",R4,Q4)&lt;TODAY(),S4=""),"Overdue","On track")),IF(C4="QA",_xlfn.LET(_xlpm.tgt,IF(AL4&lt;&gt;"",AL4,IF(W4&lt;&gt;"",W4,V4)),_xlpm.sent,_xlfn.MAXIFS('Rework Log'!$B$3:$B$500,'Rework Log'!$A$3:$A$500,$B4,'Rework Log'!$C$3:$C$500,"QA"),_xlpm.act,IF(AND(X4&lt;&gt;"",X4&gt;_xlpm.sent),X4,""),IF(_xlpm.tgt="","No target set",IF(AND(_xlpm.tgt&lt;TODAY(),_xlpm.act=""),"Overdue","On track"))),IF(C4="DPO Approval",_xlfn.LET(_xlpm.tgt,IF(AM4&lt;&gt;"",AM4,IF(AA4&lt;&gt;"",AA4,Z4)),_xlpm.sent,_xlfn.MAXIFS('Rework Log'!$B$3:$B$500,'Rework Log'!$A$3:$A$500,$B4,'Rework Log'!$C$3:$C$500,"DPO*"),_xlpm.act,IF(AND(AB4&lt;&gt;"",AB4&gt;_xlpm.sent),AB4,""),IF(_xlpm.tgt="","No target set",IF(AND(_xlpm.tgt&lt;TODAY(),_xlpm.act=""),"Overdue","On track"))),IF(C4="RELEASED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42</v>
      </c>
      <c r="J4" s="33" t="s">
        <v>58</v>
      </c>
      <c r="K4" s="4">
        <v>46122</v>
      </c>
      <c r="L4" s="36"/>
      <c r="M4" s="36">
        <v>46115</v>
      </c>
      <c r="N4" s="36" t="s">
        <v>44</v>
      </c>
      <c r="O4" s="36"/>
      <c r="P4" s="64" t="s">
        <v>59</v>
      </c>
      <c r="Q4" s="4">
        <v>46129</v>
      </c>
      <c r="R4" s="36"/>
      <c r="S4" s="36">
        <v>46126</v>
      </c>
      <c r="T4" s="70"/>
      <c r="U4" s="33" t="s">
        <v>46</v>
      </c>
      <c r="V4" s="60">
        <v>46136</v>
      </c>
      <c r="W4" s="36"/>
      <c r="X4" s="36">
        <v>46122</v>
      </c>
      <c r="Y4" s="36"/>
      <c r="Z4" s="53">
        <v>46140</v>
      </c>
      <c r="AA4" s="36"/>
      <c r="AB4" s="36"/>
      <c r="AC4" s="33" t="s">
        <v>47</v>
      </c>
      <c r="AD4" s="33" t="s">
        <v>48</v>
      </c>
      <c r="AE4" s="38" t="s">
        <v>49</v>
      </c>
      <c r="AF4" s="36">
        <v>46122</v>
      </c>
      <c r="AG4" s="39" t="s">
        <v>60</v>
      </c>
      <c r="AH4" s="33" t="s">
        <v>61</v>
      </c>
      <c r="AI4" s="40" t="s">
        <v>52</v>
      </c>
      <c r="AJ4" s="74" t="str">
        <f>IF($B4="","",IF(AND(LEFT($AI4,3)="Yes",SUMPRODUCT(('Rework Log'!$A$3:$A$500=$B4)*('Rework Log'!$G$3:$G$500&lt;&gt;"Yes")*('Rework Log'!$G$3:$G$500&lt;&gt;"Did not pass re-test"))=0),"Blocked - log it on Rework Log",IF(AND(LEFT($AI4,3)&lt;&gt;"Yes",SUMPRODUCT(('Rework Log'!$A$3:$A$500=$B4)*('Rework Log'!$G$3:$G$500&lt;&gt;"Yes")*('Rework Log'!$G$3:$G$500&lt;&gt;"Did not pass re-test"))&gt;0),"Open rework row - mark Blocked? or close it",IF(AND($AI4="Yes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H)",IF(AND($AI4="Yes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H)",IF(AND($AI4="Yes – needs QA to fix",X4&lt;&gt;"",SUMPRODUCT(MAX((('Rework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Log'!$A$3:$A$500,$B4)&gt;0,"",IF(AND(V4&lt;&gt;"",K4&lt;&gt;"",V4&lt;K4),"QA target is before DB Dev target",IF(AND(V4&lt;&gt;"",Q4&lt;&gt;"",V4&lt;Q4),"QA target is before PBI Dev target",IF(AND(Z4&lt;&gt;"",V4&lt;&gt;"",Z4&lt;V4),"DPO Approval target is before QA target",IF(AND(AF4&lt;&gt;"",Z4&lt;&gt;"",AF4&lt;Z4),"Confirmed Deployed date is before DPO Approval target",""))))))))))))</f>
        <v>Confirmed Deployed date is before DPO Approval target</v>
      </c>
      <c r="AK4" s="41" t="s">
        <v>62</v>
      </c>
      <c r="AL4" s="31" t="str" cm="1">
        <f t="array" ref="AL4">_xlfn.LET(_xlpm.rep,$B4,_xlpm.sent,_xlfn.MAXIFS('Rework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" s="31" t="str" cm="1">
        <f t="array" ref="AM4">_xlfn.LET(_xlpm.rep,$B4,_xlpm.sent,_xlfn.MAXIFS('Rework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" spans="1:39" hidden="1">
      <c r="A5" s="33" t="s">
        <v>39</v>
      </c>
      <c r="B5" s="33" t="s">
        <v>63</v>
      </c>
      <c r="C5" s="33" t="s">
        <v>41</v>
      </c>
      <c r="D5" t="str" cm="1">
        <f t="array" aca="1" ref="D5" ca="1">IF($B5="","",IF(LEFT($AI5,3)="Yes","Blocked - "&amp;MID($AI5,7,100)&amp;IF(SUMPRODUCT(('Rework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Dev",IF(AND(L5="",K5=""),"No target set",IF(AND(IF(L5&lt;&gt;"",L5,K5)&lt;TODAY(),M5=""),"Overdue","On track")),IF(C5="PBI Dev",IF(AND(R5="",Q5=""),"No target set",IF(AND(IF(R5&lt;&gt;"",R5,Q5)&lt;TODAY(),S5=""),"Overdue","On track")),IF(C5="QA",_xlfn.LET(_xlpm.tgt,IF(AL5&lt;&gt;"",AL5,IF(W5&lt;&gt;"",W5,V5)),_xlpm.sent,_xlfn.MAXIFS('Rework Log'!$B$3:$B$500,'Rework Log'!$A$3:$A$500,$B5,'Rework Log'!$C$3:$C$500,"QA"),_xlpm.act,IF(AND(X5&lt;&gt;"",X5&gt;_xlpm.sent),X5,""),IF(_xlpm.tgt="","No target set",IF(AND(_xlpm.tgt&lt;TODAY(),_xlpm.act=""),"Overdue","On track"))),IF(C5="DPO Approval",_xlfn.LET(_xlpm.tgt,IF(AM5&lt;&gt;"",AM5,IF(AA5&lt;&gt;"",AA5,Z5)),_xlpm.sent,_xlfn.MAXIFS('Rework Log'!$B$3:$B$500,'Rework Log'!$A$3:$A$500,$B5,'Rework Log'!$C$3:$C$500,"DPO*"),_xlpm.act,IF(AND(AB5&lt;&gt;"",AB5&gt;_xlpm.sent),AB5,""),IF(_xlpm.tgt="","No target set",IF(AND(_xlpm.tgt&lt;TODAY(),_xlpm.act=""),"Overdue","On track"))),IF(C5="RELEASED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42</v>
      </c>
      <c r="J5" s="33" t="s">
        <v>64</v>
      </c>
      <c r="K5" s="4">
        <v>46122</v>
      </c>
      <c r="L5" s="36"/>
      <c r="M5" s="36">
        <v>46115</v>
      </c>
      <c r="N5" s="36" t="s">
        <v>44</v>
      </c>
      <c r="O5" s="36"/>
      <c r="P5" s="64" t="s">
        <v>45</v>
      </c>
      <c r="Q5" s="4">
        <v>46129</v>
      </c>
      <c r="R5" s="36"/>
      <c r="S5" s="36">
        <v>46120</v>
      </c>
      <c r="T5" s="70"/>
      <c r="U5" s="33" t="s">
        <v>46</v>
      </c>
      <c r="V5" s="60">
        <v>46136</v>
      </c>
      <c r="W5" s="36"/>
      <c r="X5" s="36">
        <v>46122</v>
      </c>
      <c r="Y5" s="36"/>
      <c r="Z5" s="53">
        <v>46140</v>
      </c>
      <c r="AA5" s="36"/>
      <c r="AB5" s="36"/>
      <c r="AC5" s="33" t="s">
        <v>47</v>
      </c>
      <c r="AD5" s="33" t="s">
        <v>48</v>
      </c>
      <c r="AE5" s="38" t="s">
        <v>49</v>
      </c>
      <c r="AF5" s="36">
        <v>46122</v>
      </c>
      <c r="AG5" s="39" t="s">
        <v>65</v>
      </c>
      <c r="AH5" s="33" t="s">
        <v>66</v>
      </c>
      <c r="AI5" s="40" t="s">
        <v>52</v>
      </c>
      <c r="AJ5" s="74" t="str">
        <f>IF($B5="","",IF(AND(LEFT($AI5,3)="Yes",SUMPRODUCT(('Rework Log'!$A$3:$A$500=$B5)*('Rework Log'!$G$3:$G$500&lt;&gt;"Yes")*('Rework Log'!$G$3:$G$500&lt;&gt;"Did not pass re-test"))=0),"Blocked - log it on Rework Log",IF(AND(LEFT($AI5,3)&lt;&gt;"Yes",SUMPRODUCT(('Rework Log'!$A$3:$A$500=$B5)*('Rework Log'!$G$3:$G$500&lt;&gt;"Yes")*('Rework Log'!$G$3:$G$500&lt;&gt;"Did not pass re-test"))&gt;0),"Open rework row - mark Blocked? or close it",IF(AND($AI5="Yes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H)",IF(AND($AI5="Yes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H)",IF(AND($AI5="Yes – needs QA to fix",X5&lt;&gt;"",SUMPRODUCT(MAX((('Rework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Log'!$A$3:$A$500,$B5)&gt;0,"",IF(AND(V5&lt;&gt;"",K5&lt;&gt;"",V5&lt;K5),"QA target is before DB Dev target",IF(AND(V5&lt;&gt;"",Q5&lt;&gt;"",V5&lt;Q5),"QA target is before PBI Dev target",IF(AND(Z5&lt;&gt;"",V5&lt;&gt;"",Z5&lt;V5),"DPO Approval target is before QA target",IF(AND(AF5&lt;&gt;"",Z5&lt;&gt;"",AF5&lt;Z5),"Confirmed Deployed date is before DPO Approval target",""))))))))))))</f>
        <v>Confirmed Deployed date is before DPO Approval target</v>
      </c>
      <c r="AK5" s="41" t="s">
        <v>67</v>
      </c>
      <c r="AL5" s="31" t="str" cm="1">
        <f t="array" ref="AL5">_xlfn.LET(_xlpm.rep,$B5,_xlpm.sent,_xlfn.MAXIFS('Rework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" s="31" t="str" cm="1">
        <f t="array" ref="AM5">_xlfn.LET(_xlpm.rep,$B5,_xlpm.sent,_xlfn.MAXIFS('Rework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" spans="1:39" hidden="1">
      <c r="A6" s="33" t="s">
        <v>39</v>
      </c>
      <c r="B6" s="33" t="s">
        <v>68</v>
      </c>
      <c r="C6" s="33" t="s">
        <v>41</v>
      </c>
      <c r="D6" t="str" cm="1">
        <f t="array" aca="1" ref="D6" ca="1">IF($B6="","",IF(LEFT($AI6,3)="Yes","Blocked - "&amp;MID($AI6,7,100)&amp;IF(SUMPRODUCT(('Rework Log'!$A$3:$A$500=$B6)*('Rework Log'!$G$3:$G$500&lt;&gt;"Yes")*('Rework Log'!$G$3:$G$500&lt;&gt;"Did not pass re-test"))=0,"",IF(SUMPRODUCT(MAX((('Rework Log'!$A$3:$A$500=$B6)*('Rework Log'!$G$3:$G$500&lt;&gt;"Yes")*('Rework Log'!$G$3:$G$500&lt;&gt;"Did not pass re-test"))*'Rework Log'!$I$3:$I$500))=0," - unclaimed"," - promised "&amp;TEXT(SUMPRODUCT(MAX((('Rework Log'!$A$3:$A$500=$B6)*('Rework Log'!$G$3:$G$500&lt;&gt;"Yes")*('Rework Log'!$G$3:$G$500&lt;&gt;"Did not pass re-test"))*'Rework Log'!$I$3:$I$500)),"m/d"))),IF(C6="NOT STARTED",IF(H6="","No plan date set",IF(H6&lt;TODAY(),"Review - planned start passed","On track")),IF(C6="DB Dev",IF(AND(L6="",K6=""),"No target set",IF(AND(IF(L6&lt;&gt;"",L6,K6)&lt;TODAY(),M6=""),"Overdue","On track")),IF(C6="PBI Dev",IF(AND(R6="",Q6=""),"No target set",IF(AND(IF(R6&lt;&gt;"",R6,Q6)&lt;TODAY(),S6=""),"Overdue","On track")),IF(C6="QA",_xlfn.LET(_xlpm.tgt,IF(AL6&lt;&gt;"",AL6,IF(W6&lt;&gt;"",W6,V6)),_xlpm.sent,_xlfn.MAXIFS('Rework Log'!$B$3:$B$500,'Rework Log'!$A$3:$A$500,$B6,'Rework Log'!$C$3:$C$500,"QA"),_xlpm.act,IF(AND(X6&lt;&gt;"",X6&gt;_xlpm.sent),X6,""),IF(_xlpm.tgt="","No target set",IF(AND(_xlpm.tgt&lt;TODAY(),_xlpm.act=""),"Overdue","On track"))),IF(C6="DPO Approval",_xlfn.LET(_xlpm.tgt,IF(AM6&lt;&gt;"",AM6,IF(AA6&lt;&gt;"",AA6,Z6)),_xlpm.sent,_xlfn.MAXIFS('Rework Log'!$B$3:$B$500,'Rework Log'!$A$3:$A$500,$B6,'Rework Log'!$C$3:$C$500,"DPO*"),_xlpm.act,IF(AND(AB6&lt;&gt;"",AB6&gt;_xlpm.sent),AB6,""),IF(_xlpm.tgt="","No target set",IF(AND(_xlpm.tgt&lt;TODAY(),_xlpm.act=""),"Overdue","On track"))),IF(C6="RELEASED IN PROD","Delivered",""))))))))</f>
        <v>Delivered</v>
      </c>
      <c r="E6" s="33">
        <v>5</v>
      </c>
      <c r="F6" s="34"/>
      <c r="G6" s="33"/>
      <c r="H6" s="50">
        <v>46142</v>
      </c>
      <c r="I6" s="56" t="s">
        <v>42</v>
      </c>
      <c r="J6" s="33"/>
      <c r="K6" s="4"/>
      <c r="L6" s="47"/>
      <c r="M6" s="36"/>
      <c r="N6" s="36" t="s">
        <v>44</v>
      </c>
      <c r="O6" s="36"/>
      <c r="P6" s="64"/>
      <c r="Q6" s="4"/>
      <c r="R6" s="43"/>
      <c r="S6" s="36"/>
      <c r="T6" s="70"/>
      <c r="U6" s="33"/>
      <c r="V6" s="60"/>
      <c r="W6" s="43"/>
      <c r="X6" s="36"/>
      <c r="Y6" s="36"/>
      <c r="Z6" s="53"/>
      <c r="AA6" s="43"/>
      <c r="AB6" s="43"/>
      <c r="AC6" s="33" t="s">
        <v>47</v>
      </c>
      <c r="AD6" s="33" t="s">
        <v>48</v>
      </c>
      <c r="AE6" s="38" t="s">
        <v>49</v>
      </c>
      <c r="AF6" s="36">
        <v>46142</v>
      </c>
      <c r="AG6" s="39"/>
      <c r="AH6" s="33"/>
      <c r="AI6" s="40"/>
      <c r="AJ6" s="48"/>
      <c r="AK6" s="41"/>
      <c r="AL6" s="31" t="str" cm="1">
        <f t="array" ref="AL6">_xlfn.LET(_xlpm.rep,$B6,_xlpm.sent,_xlfn.MAXIFS('Rework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" s="31" t="str" cm="1">
        <f t="array" ref="AM6">_xlfn.LET(_xlpm.rep,$B6,_xlpm.sent,_xlfn.MAXIFS('Rework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" spans="1:39" hidden="1">
      <c r="A7" s="33" t="s">
        <v>39</v>
      </c>
      <c r="B7" s="33" t="s">
        <v>69</v>
      </c>
      <c r="C7" s="33" t="s">
        <v>41</v>
      </c>
      <c r="D7" t="str" cm="1">
        <f t="array" aca="1" ref="D7" ca="1">IF($B7="","",IF(LEFT($AI7,3)="Yes","Blocked - "&amp;MID($AI7,7,100)&amp;IF(SUMPRODUCT(('Rework Log'!$A$3:$A$500=$B7)*('Rework Log'!$G$3:$G$500&lt;&gt;"Yes")*('Rework Log'!$G$3:$G$500&lt;&gt;"Did not pass re-test"))=0,"",IF(SUMPRODUCT(MAX((('Rework Log'!$A$3:$A$500=$B7)*('Rework Log'!$G$3:$G$500&lt;&gt;"Yes")*('Rework Log'!$G$3:$G$500&lt;&gt;"Did not pass re-test"))*'Rework Log'!$I$3:$I$500))=0," - unclaimed"," - promised "&amp;TEXT(SUMPRODUCT(MAX((('Rework Log'!$A$3:$A$500=$B7)*('Rework Log'!$G$3:$G$500&lt;&gt;"Yes")*('Rework Log'!$G$3:$G$500&lt;&gt;"Did not pass re-test"))*'Rework Log'!$I$3:$I$500)),"m/d"))),IF(C7="NOT STARTED",IF(H7="","No plan date set",IF(H7&lt;TODAY(),"Review - planned start passed","On track")),IF(C7="DB Dev",IF(AND(L7="",K7=""),"No target set",IF(AND(IF(L7&lt;&gt;"",L7,K7)&lt;TODAY(),M7=""),"Overdue","On track")),IF(C7="PBI Dev",IF(AND(R7="",Q7=""),"No target set",IF(AND(IF(R7&lt;&gt;"",R7,Q7)&lt;TODAY(),S7=""),"Overdue","On track")),IF(C7="QA",_xlfn.LET(_xlpm.tgt,IF(AL7&lt;&gt;"",AL7,IF(W7&lt;&gt;"",W7,V7)),_xlpm.sent,_xlfn.MAXIFS('Rework Log'!$B$3:$B$500,'Rework Log'!$A$3:$A$500,$B7,'Rework Log'!$C$3:$C$500,"QA"),_xlpm.act,IF(AND(X7&lt;&gt;"",X7&gt;_xlpm.sent),X7,""),IF(_xlpm.tgt="","No target set",IF(AND(_xlpm.tgt&lt;TODAY(),_xlpm.act=""),"Overdue","On track"))),IF(C7="DPO Approval",_xlfn.LET(_xlpm.tgt,IF(AM7&lt;&gt;"",AM7,IF(AA7&lt;&gt;"",AA7,Z7)),_xlpm.sent,_xlfn.MAXIFS('Rework Log'!$B$3:$B$500,'Rework Log'!$A$3:$A$500,$B7,'Rework Log'!$C$3:$C$500,"DPO*"),_xlpm.act,IF(AND(AB7&lt;&gt;"",AB7&gt;_xlpm.sent),AB7,""),IF(_xlpm.tgt="","No target set",IF(AND(_xlpm.tgt&lt;TODAY(),_xlpm.act=""),"Overdue","On track"))),IF(C7="RELEASED IN PROD","Delivered",""))))))))</f>
        <v>Delivered</v>
      </c>
      <c r="E7" s="33">
        <v>6</v>
      </c>
      <c r="F7" s="34"/>
      <c r="G7" s="33"/>
      <c r="H7" s="50">
        <v>46142</v>
      </c>
      <c r="I7" s="56" t="s">
        <v>42</v>
      </c>
      <c r="J7" s="33"/>
      <c r="K7" s="4"/>
      <c r="L7" s="47"/>
      <c r="M7" s="36"/>
      <c r="N7" s="36" t="s">
        <v>44</v>
      </c>
      <c r="O7" s="36"/>
      <c r="P7" s="64"/>
      <c r="Q7" s="4"/>
      <c r="R7" s="43"/>
      <c r="S7" s="36"/>
      <c r="T7" s="70"/>
      <c r="U7" s="33"/>
      <c r="V7" s="60"/>
      <c r="W7" s="43"/>
      <c r="X7" s="36"/>
      <c r="Y7" s="36"/>
      <c r="Z7" s="53"/>
      <c r="AA7" s="43"/>
      <c r="AB7" s="43"/>
      <c r="AC7" s="33" t="s">
        <v>47</v>
      </c>
      <c r="AD7" s="33" t="s">
        <v>48</v>
      </c>
      <c r="AE7" s="38" t="s">
        <v>49</v>
      </c>
      <c r="AF7" s="36">
        <v>46142</v>
      </c>
      <c r="AG7" s="39"/>
      <c r="AH7" s="33"/>
      <c r="AI7" s="40"/>
      <c r="AJ7" s="48"/>
      <c r="AK7" s="41"/>
      <c r="AL7" s="31" t="str" cm="1">
        <f t="array" ref="AL7">_xlfn.LET(_xlpm.rep,$B7,_xlpm.sent,_xlfn.MAXIFS('Rework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" s="31" t="str" cm="1">
        <f t="array" ref="AM7">_xlfn.LET(_xlpm.rep,$B7,_xlpm.sent,_xlfn.MAXIFS('Rework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" spans="1:39" hidden="1">
      <c r="A8" s="33" t="s">
        <v>39</v>
      </c>
      <c r="B8" s="33" t="s">
        <v>70</v>
      </c>
      <c r="C8" s="33" t="s">
        <v>41</v>
      </c>
      <c r="D8" t="str" cm="1">
        <f t="array" aca="1" ref="D8" ca="1">IF($B8="","",IF(LEFT($AI8,3)="Yes","Blocked - "&amp;MID($AI8,7,100)&amp;IF(SUMPRODUCT(('Rework Log'!$A$3:$A$500=$B8)*('Rework Log'!$G$3:$G$500&lt;&gt;"Yes")*('Rework Log'!$G$3:$G$500&lt;&gt;"Did not pass re-test"))=0,"",IF(SUMPRODUCT(MAX((('Rework Log'!$A$3:$A$500=$B8)*('Rework Log'!$G$3:$G$500&lt;&gt;"Yes")*('Rework Log'!$G$3:$G$500&lt;&gt;"Did not pass re-test"))*'Rework Log'!$I$3:$I$500))=0," - unclaimed"," - promised "&amp;TEXT(SUMPRODUCT(MAX((('Rework Log'!$A$3:$A$500=$B8)*('Rework Log'!$G$3:$G$500&lt;&gt;"Yes")*('Rework Log'!$G$3:$G$500&lt;&gt;"Did not pass re-test"))*'Rework Log'!$I$3:$I$500)),"m/d"))),IF(C8="NOT STARTED",IF(H8="","No plan date set",IF(H8&lt;TODAY(),"Review - planned start passed","On track")),IF(C8="DB Dev",IF(AND(L8="",K8=""),"No target set",IF(AND(IF(L8&lt;&gt;"",L8,K8)&lt;TODAY(),M8=""),"Overdue","On track")),IF(C8="PBI Dev",IF(AND(R8="",Q8=""),"No target set",IF(AND(IF(R8&lt;&gt;"",R8,Q8)&lt;TODAY(),S8=""),"Overdue","On track")),IF(C8="QA",_xlfn.LET(_xlpm.tgt,IF(AL8&lt;&gt;"",AL8,IF(W8&lt;&gt;"",W8,V8)),_xlpm.sent,_xlfn.MAXIFS('Rework Log'!$B$3:$B$500,'Rework Log'!$A$3:$A$500,$B8,'Rework Log'!$C$3:$C$500,"QA"),_xlpm.act,IF(AND(X8&lt;&gt;"",X8&gt;_xlpm.sent),X8,""),IF(_xlpm.tgt="","No target set",IF(AND(_xlpm.tgt&lt;TODAY(),_xlpm.act=""),"Overdue","On track"))),IF(C8="DPO Approval",_xlfn.LET(_xlpm.tgt,IF(AM8&lt;&gt;"",AM8,IF(AA8&lt;&gt;"",AA8,Z8)),_xlpm.sent,_xlfn.MAXIFS('Rework Log'!$B$3:$B$500,'Rework Log'!$A$3:$A$500,$B8,'Rework Log'!$C$3:$C$500,"DPO*"),_xlpm.act,IF(AND(AB8&lt;&gt;"",AB8&gt;_xlpm.sent),AB8,""),IF(_xlpm.tgt="","No target set",IF(AND(_xlpm.tgt&lt;TODAY(),_xlpm.act=""),"Overdue","On track"))),IF(C8="RELEASED IN PROD","Delivered",""))))))))</f>
        <v>Delivered</v>
      </c>
      <c r="E8" s="33">
        <v>7</v>
      </c>
      <c r="F8" s="34"/>
      <c r="G8" s="33"/>
      <c r="H8" s="50">
        <v>46142</v>
      </c>
      <c r="I8" s="56" t="s">
        <v>42</v>
      </c>
      <c r="J8" s="33"/>
      <c r="K8" s="4"/>
      <c r="L8" s="47"/>
      <c r="M8" s="36"/>
      <c r="N8" s="36" t="s">
        <v>44</v>
      </c>
      <c r="O8" s="36"/>
      <c r="P8" s="64"/>
      <c r="Q8" s="4"/>
      <c r="R8" s="43"/>
      <c r="S8" s="36"/>
      <c r="T8" s="70"/>
      <c r="U8" s="33"/>
      <c r="V8" s="60"/>
      <c r="W8" s="43"/>
      <c r="X8" s="36"/>
      <c r="Y8" s="36"/>
      <c r="Z8" s="53"/>
      <c r="AA8" s="43"/>
      <c r="AB8" s="43"/>
      <c r="AC8" s="33" t="s">
        <v>47</v>
      </c>
      <c r="AD8" s="33" t="s">
        <v>71</v>
      </c>
      <c r="AE8" s="38" t="s">
        <v>49</v>
      </c>
      <c r="AF8" s="36">
        <v>46142</v>
      </c>
      <c r="AG8" s="39"/>
      <c r="AH8" s="33"/>
      <c r="AI8" s="40"/>
      <c r="AJ8" s="48"/>
      <c r="AK8" s="41"/>
      <c r="AL8" s="31" t="str" cm="1">
        <f t="array" ref="AL8">_xlfn.LET(_xlpm.rep,$B8,_xlpm.sent,_xlfn.MAXIFS('Rework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" s="31" t="str" cm="1">
        <f t="array" ref="AM8">_xlfn.LET(_xlpm.rep,$B8,_xlpm.sent,_xlfn.MAXIFS('Rework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" spans="1:39" hidden="1">
      <c r="A9" s="33" t="s">
        <v>39</v>
      </c>
      <c r="B9" s="33" t="s">
        <v>72</v>
      </c>
      <c r="C9" s="33" t="s">
        <v>41</v>
      </c>
      <c r="D9" t="str" cm="1">
        <f t="array" aca="1" ref="D9" ca="1">IF($B9="","",IF(LEFT($AI9,3)="Yes","Blocked - "&amp;MID($AI9,7,100)&amp;IF(SUMPRODUCT(('Rework Log'!$A$3:$A$500=$B9)*('Rework Log'!$G$3:$G$500&lt;&gt;"Yes")*('Rework Log'!$G$3:$G$500&lt;&gt;"Did not pass re-test"))=0,"",IF(SUMPRODUCT(MAX((('Rework Log'!$A$3:$A$500=$B9)*('Rework Log'!$G$3:$G$500&lt;&gt;"Yes")*('Rework Log'!$G$3:$G$500&lt;&gt;"Did not pass re-test"))*'Rework Log'!$I$3:$I$500))=0," - unclaimed"," - promised "&amp;TEXT(SUMPRODUCT(MAX((('Rework Log'!$A$3:$A$500=$B9)*('Rework Log'!$G$3:$G$500&lt;&gt;"Yes")*('Rework Log'!$G$3:$G$500&lt;&gt;"Did not pass re-test"))*'Rework Log'!$I$3:$I$500)),"m/d"))),IF(C9="NOT STARTED",IF(H9="","No plan date set",IF(H9&lt;TODAY(),"Review - planned start passed","On track")),IF(C9="DB Dev",IF(AND(L9="",K9=""),"No target set",IF(AND(IF(L9&lt;&gt;"",L9,K9)&lt;TODAY(),M9=""),"Overdue","On track")),IF(C9="PBI Dev",IF(AND(R9="",Q9=""),"No target set",IF(AND(IF(R9&lt;&gt;"",R9,Q9)&lt;TODAY(),S9=""),"Overdue","On track")),IF(C9="QA",_xlfn.LET(_xlpm.tgt,IF(AL9&lt;&gt;"",AL9,IF(W9&lt;&gt;"",W9,V9)),_xlpm.sent,_xlfn.MAXIFS('Rework Log'!$B$3:$B$500,'Rework Log'!$A$3:$A$500,$B9,'Rework Log'!$C$3:$C$500,"QA"),_xlpm.act,IF(AND(X9&lt;&gt;"",X9&gt;_xlpm.sent),X9,""),IF(_xlpm.tgt="","No target set",IF(AND(_xlpm.tgt&lt;TODAY(),_xlpm.act=""),"Overdue","On track"))),IF(C9="DPO Approval",_xlfn.LET(_xlpm.tgt,IF(AM9&lt;&gt;"",AM9,IF(AA9&lt;&gt;"",AA9,Z9)),_xlpm.sent,_xlfn.MAXIFS('Rework Log'!$B$3:$B$500,'Rework Log'!$A$3:$A$500,$B9,'Rework Log'!$C$3:$C$500,"DPO*"),_xlpm.act,IF(AND(AB9&lt;&gt;"",AB9&gt;_xlpm.sent),AB9,""),IF(_xlpm.tgt="","No target set",IF(AND(_xlpm.tgt&lt;TODAY(),_xlpm.act=""),"Overdue","On track"))),IF(C9="RELEASED IN PROD","Delivered",""))))))))</f>
        <v>Delivered</v>
      </c>
      <c r="E9" s="33">
        <v>8</v>
      </c>
      <c r="F9" s="34"/>
      <c r="G9" s="33"/>
      <c r="H9" s="50">
        <v>46142</v>
      </c>
      <c r="I9" s="56" t="s">
        <v>42</v>
      </c>
      <c r="J9" s="33"/>
      <c r="K9" s="4"/>
      <c r="L9" s="47"/>
      <c r="M9" s="36"/>
      <c r="N9" s="36" t="s">
        <v>44</v>
      </c>
      <c r="O9" s="36"/>
      <c r="P9" s="64"/>
      <c r="Q9" s="4"/>
      <c r="R9" s="43"/>
      <c r="S9" s="36"/>
      <c r="T9" s="70"/>
      <c r="U9" s="33"/>
      <c r="V9" s="60"/>
      <c r="W9" s="43"/>
      <c r="X9" s="36"/>
      <c r="Y9" s="36"/>
      <c r="Z9" s="53"/>
      <c r="AA9" s="43"/>
      <c r="AB9" s="43"/>
      <c r="AC9" s="33" t="s">
        <v>47</v>
      </c>
      <c r="AD9" s="33" t="s">
        <v>71</v>
      </c>
      <c r="AE9" s="38" t="s">
        <v>49</v>
      </c>
      <c r="AF9" s="36">
        <v>46142</v>
      </c>
      <c r="AG9" s="39"/>
      <c r="AH9" s="33"/>
      <c r="AI9" s="40"/>
      <c r="AJ9" s="48"/>
      <c r="AK9" s="41"/>
      <c r="AL9" s="31" t="str" cm="1">
        <f t="array" ref="AL9">_xlfn.LET(_xlpm.rep,$B9,_xlpm.sent,_xlfn.MAXIFS('Rework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" s="31" t="str" cm="1">
        <f t="array" ref="AM9">_xlfn.LET(_xlpm.rep,$B9,_xlpm.sent,_xlfn.MAXIFS('Rework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" spans="1:39" hidden="1">
      <c r="A10" s="33" t="s">
        <v>39</v>
      </c>
      <c r="B10" s="33" t="s">
        <v>73</v>
      </c>
      <c r="C10" s="33" t="s">
        <v>41</v>
      </c>
      <c r="D10" t="str" cm="1">
        <f t="array" aca="1" ref="D10" ca="1">IF($B10="","",IF(LEFT($AI10,3)="Yes","Blocked - "&amp;MID($AI10,7,100)&amp;IF(SUMPRODUCT(('Rework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Dev",IF(AND(L10="",K10=""),"No target set",IF(AND(IF(L10&lt;&gt;"",L10,K10)&lt;TODAY(),M10=""),"Overdue","On track")),IF(C10="PBI Dev",IF(AND(R10="",Q10=""),"No target set",IF(AND(IF(R10&lt;&gt;"",R10,Q10)&lt;TODAY(),S10=""),"Overdue","On track")),IF(C10="QA",_xlfn.LET(_xlpm.tgt,IF(AL10&lt;&gt;"",AL10,IF(W10&lt;&gt;"",W10,V10)),_xlpm.sent,_xlfn.MAXIFS('Rework Log'!$B$3:$B$500,'Rework Log'!$A$3:$A$500,$B10,'Rework Log'!$C$3:$C$500,"QA"),_xlpm.act,IF(AND(X10&lt;&gt;"",X10&gt;_xlpm.sent),X10,""),IF(_xlpm.tgt="","No target set",IF(AND(_xlpm.tgt&lt;TODAY(),_xlpm.act=""),"Overdue","On track"))),IF(C10="DPO Approval",_xlfn.LET(_xlpm.tgt,IF(AM10&lt;&gt;"",AM10,IF(AA10&lt;&gt;"",AA10,Z10)),_xlpm.sent,_xlfn.MAXIFS('Rework Log'!$B$3:$B$500,'Rework Log'!$A$3:$A$500,$B10,'Rework Log'!$C$3:$C$500,"DPO*"),_xlpm.act,IF(AND(AB10&lt;&gt;"",AB10&gt;_xlpm.sent),AB10,""),IF(_xlpm.tgt="","No target set",IF(AND(_xlpm.tgt&lt;TODAY(),_xlpm.act=""),"Overdue","On track"))),IF(C10="RELEASED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74</v>
      </c>
      <c r="J10" s="33" t="s">
        <v>75</v>
      </c>
      <c r="K10" s="4">
        <v>46150</v>
      </c>
      <c r="L10" s="36"/>
      <c r="M10" s="36">
        <v>46157</v>
      </c>
      <c r="N10" s="36" t="s">
        <v>44</v>
      </c>
      <c r="O10" s="36"/>
      <c r="P10" s="64" t="s">
        <v>76</v>
      </c>
      <c r="Q10" s="4">
        <v>46157</v>
      </c>
      <c r="R10" s="36"/>
      <c r="S10" s="36">
        <v>46134</v>
      </c>
      <c r="T10" s="70"/>
      <c r="U10" s="33" t="s">
        <v>46</v>
      </c>
      <c r="V10" s="60">
        <v>46164</v>
      </c>
      <c r="W10" s="36"/>
      <c r="X10" s="36">
        <v>46134</v>
      </c>
      <c r="Y10" s="36"/>
      <c r="Z10" s="53">
        <v>46169</v>
      </c>
      <c r="AA10" s="36"/>
      <c r="AB10" s="36"/>
      <c r="AC10" s="33" t="s">
        <v>47</v>
      </c>
      <c r="AD10" s="33" t="s">
        <v>71</v>
      </c>
      <c r="AE10" s="38" t="s">
        <v>49</v>
      </c>
      <c r="AF10" s="36">
        <v>46134</v>
      </c>
      <c r="AG10" s="39" t="s">
        <v>77</v>
      </c>
      <c r="AH10" s="33" t="s">
        <v>78</v>
      </c>
      <c r="AI10" s="40" t="s">
        <v>52</v>
      </c>
      <c r="AJ10" s="74" t="str">
        <f>IF($B10="","",IF(AND(LEFT($AI10,3)="Yes",SUMPRODUCT(('Rework Log'!$A$3:$A$500=$B10)*('Rework Log'!$G$3:$G$500&lt;&gt;"Yes")*('Rework Log'!$G$3:$G$500&lt;&gt;"Did not pass re-test"))=0),"Blocked - log it on Rework Log",IF(AND(LEFT($AI10,3)&lt;&gt;"Yes",SUMPRODUCT(('Rework Log'!$A$3:$A$500=$B10)*('Rework Log'!$G$3:$G$500&lt;&gt;"Yes")*('Rework Log'!$G$3:$G$500&lt;&gt;"Did not pass re-test"))&gt;0),"Open rework row - mark Blocked? or close it",IF(AND($AI10="Yes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H)",IF(AND($AI10="Yes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H)",IF(AND($AI10="Yes – needs QA to fix",X10&lt;&gt;"",SUMPRODUCT(MAX((('Rework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Log'!$A$3:$A$500,$B10)&gt;0,"",IF(AND(V10&lt;&gt;"",K10&lt;&gt;"",V10&lt;K10),"QA target is before DB Dev target",IF(AND(V10&lt;&gt;"",Q10&lt;&gt;"",V10&lt;Q10),"QA target is before PBI Dev target",IF(AND(Z10&lt;&gt;"",V10&lt;&gt;"",Z10&lt;V10),"DPO Approval target is before QA target",IF(AND(AF10&lt;&gt;"",Z10&lt;&gt;"",AF10&lt;Z10),"Confirmed Deployed date is before DPO Approval target",""))))))))))))</f>
        <v>Confirmed Deployed date is before DPO Approval target</v>
      </c>
      <c r="AK10" s="41"/>
      <c r="AL10" s="31" t="str" cm="1">
        <f t="array" ref="AL10">_xlfn.LET(_xlpm.rep,$B10,_xlpm.sent,_xlfn.MAXIFS('Rework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" s="31" t="str" cm="1">
        <f t="array" ref="AM10">_xlfn.LET(_xlpm.rep,$B10,_xlpm.sent,_xlfn.MAXIFS('Rework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" spans="1:39" hidden="1">
      <c r="A11" s="33" t="s">
        <v>39</v>
      </c>
      <c r="B11" s="33" t="s">
        <v>79</v>
      </c>
      <c r="C11" s="33" t="s">
        <v>41</v>
      </c>
      <c r="D11" t="str" cm="1">
        <f t="array" aca="1" ref="D11" ca="1">IF($B11="","",IF(LEFT($AI11,3)="Yes","Blocked - "&amp;MID($AI11,7,100)&amp;IF(SUMPRODUCT(('Rework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Dev",IF(AND(L11="",K11=""),"No target set",IF(AND(IF(L11&lt;&gt;"",L11,K11)&lt;TODAY(),M11=""),"Overdue","On track")),IF(C11="PBI Dev",IF(AND(R11="",Q11=""),"No target set",IF(AND(IF(R11&lt;&gt;"",R11,Q11)&lt;TODAY(),S11=""),"Overdue","On track")),IF(C11="QA",_xlfn.LET(_xlpm.tgt,IF(AL11&lt;&gt;"",AL11,IF(W11&lt;&gt;"",W11,V11)),_xlpm.sent,_xlfn.MAXIFS('Rework Log'!$B$3:$B$500,'Rework Log'!$A$3:$A$500,$B11,'Rework Log'!$C$3:$C$500,"QA"),_xlpm.act,IF(AND(X11&lt;&gt;"",X11&gt;_xlpm.sent),X11,""),IF(_xlpm.tgt="","No target set",IF(AND(_xlpm.tgt&lt;TODAY(),_xlpm.act=""),"Overdue","On track"))),IF(C11="DPO Approval",_xlfn.LET(_xlpm.tgt,IF(AM11&lt;&gt;"",AM11,IF(AA11&lt;&gt;"",AA11,Z11)),_xlpm.sent,_xlfn.MAXIFS('Rework Log'!$B$3:$B$500,'Rework Log'!$A$3:$A$500,$B11,'Rework Log'!$C$3:$C$500,"DPO*"),_xlpm.act,IF(AND(AB11&lt;&gt;"",AB11&gt;_xlpm.sent),AB11,""),IF(_xlpm.tgt="","No target set",IF(AND(_xlpm.tgt&lt;TODAY(),_xlpm.act=""),"Overdue","On track"))),IF(C11="RELEASED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74</v>
      </c>
      <c r="J11" s="33" t="s">
        <v>58</v>
      </c>
      <c r="K11" s="4">
        <v>46150</v>
      </c>
      <c r="L11" s="36"/>
      <c r="M11" s="36">
        <v>46157</v>
      </c>
      <c r="N11" s="36" t="s">
        <v>44</v>
      </c>
      <c r="O11" s="36"/>
      <c r="P11" s="65" t="s">
        <v>76</v>
      </c>
      <c r="Q11" s="4">
        <v>46157</v>
      </c>
      <c r="R11" s="36"/>
      <c r="S11" s="36">
        <v>46139</v>
      </c>
      <c r="T11" s="70"/>
      <c r="U11" s="33" t="s">
        <v>46</v>
      </c>
      <c r="V11" s="60">
        <v>46164</v>
      </c>
      <c r="W11" s="36"/>
      <c r="X11" s="36">
        <v>46139</v>
      </c>
      <c r="Y11" s="36"/>
      <c r="Z11" s="53">
        <v>46169</v>
      </c>
      <c r="AA11" s="36"/>
      <c r="AB11" s="36"/>
      <c r="AC11" s="33" t="s">
        <v>47</v>
      </c>
      <c r="AD11" s="33" t="s">
        <v>71</v>
      </c>
      <c r="AE11" s="38" t="s">
        <v>49</v>
      </c>
      <c r="AF11" s="36">
        <v>46139</v>
      </c>
      <c r="AG11" s="39" t="s">
        <v>80</v>
      </c>
      <c r="AH11" s="33" t="s">
        <v>81</v>
      </c>
      <c r="AI11" s="40" t="s">
        <v>52</v>
      </c>
      <c r="AJ11" s="74" t="str">
        <f>IF($B11="","",IF(AND(LEFT($AI11,3)="Yes",SUMPRODUCT(('Rework Log'!$A$3:$A$500=$B11)*('Rework Log'!$G$3:$G$500&lt;&gt;"Yes")*('Rework Log'!$G$3:$G$500&lt;&gt;"Did not pass re-test"))=0),"Blocked - log it on Rework Log",IF(AND(LEFT($AI11,3)&lt;&gt;"Yes",SUMPRODUCT(('Rework Log'!$A$3:$A$500=$B11)*('Rework Log'!$G$3:$G$500&lt;&gt;"Yes")*('Rework Log'!$G$3:$G$500&lt;&gt;"Did not pass re-test"))&gt;0),"Open rework row - mark Blocked? or close it",IF(AND($AI11="Yes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H)",IF(AND($AI11="Yes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H)",IF(AND($AI11="Yes – needs QA to fix",X11&lt;&gt;"",SUMPRODUCT(MAX((('Rework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Log'!$A$3:$A$500,$B11)&gt;0,"",IF(AND(V11&lt;&gt;"",K11&lt;&gt;"",V11&lt;K11),"QA target is before DB Dev target",IF(AND(V11&lt;&gt;"",Q11&lt;&gt;"",V11&lt;Q11),"QA target is before PBI Dev target",IF(AND(Z11&lt;&gt;"",V11&lt;&gt;"",Z11&lt;V11),"DPO Approval target is before QA target",IF(AND(AF11&lt;&gt;"",Z11&lt;&gt;"",AF11&lt;Z11),"Confirmed Deployed date is before DPO Approval target",""))))))))))))</f>
        <v>Confirmed Deployed date is before DPO Approval target</v>
      </c>
      <c r="AK11" s="41"/>
      <c r="AL11" s="31" t="str" cm="1">
        <f t="array" ref="AL11">_xlfn.LET(_xlpm.rep,$B11,_xlpm.sent,_xlfn.MAXIFS('Rework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" s="31" t="str" cm="1">
        <f t="array" ref="AM11">_xlfn.LET(_xlpm.rep,$B11,_xlpm.sent,_xlfn.MAXIFS('Rework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2" spans="1:39" hidden="1">
      <c r="A12" s="33" t="s">
        <v>39</v>
      </c>
      <c r="B12" s="33" t="s">
        <v>82</v>
      </c>
      <c r="C12" s="33" t="s">
        <v>41</v>
      </c>
      <c r="D12" t="str" cm="1">
        <f t="array" aca="1" ref="D12" ca="1">IF($B12="","",IF(LEFT($AI12,3)="Yes","Blocked - "&amp;MID($AI12,7,100)&amp;IF(SUMPRODUCT(('Rework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Dev",IF(AND(L12="",K12=""),"No target set",IF(AND(IF(L12&lt;&gt;"",L12,K12)&lt;TODAY(),M12=""),"Overdue","On track")),IF(C12="PBI Dev",IF(AND(R12="",Q12=""),"No target set",IF(AND(IF(R12&lt;&gt;"",R12,Q12)&lt;TODAY(),S12=""),"Overdue","On track")),IF(C12="QA",_xlfn.LET(_xlpm.tgt,IF(AL12&lt;&gt;"",AL12,IF(W12&lt;&gt;"",W12,V12)),_xlpm.sent,_xlfn.MAXIFS('Rework Log'!$B$3:$B$500,'Rework Log'!$A$3:$A$500,$B12,'Rework Log'!$C$3:$C$500,"QA"),_xlpm.act,IF(AND(X12&lt;&gt;"",X12&gt;_xlpm.sent),X12,""),IF(_xlpm.tgt="","No target set",IF(AND(_xlpm.tgt&lt;TODAY(),_xlpm.act=""),"Overdue","On track"))),IF(C12="DPO Approval",_xlfn.LET(_xlpm.tgt,IF(AM12&lt;&gt;"",AM12,IF(AA12&lt;&gt;"",AA12,Z12)),_xlpm.sent,_xlfn.MAXIFS('Rework Log'!$B$3:$B$500,'Rework Log'!$A$3:$A$500,$B12,'Rework Log'!$C$3:$C$500,"DPO*"),_xlpm.act,IF(AND(AB12&lt;&gt;"",AB12&gt;_xlpm.sent),AB12,""),IF(_xlpm.tgt="","No target set",IF(AND(_xlpm.tgt&lt;TODAY(),_xlpm.act=""),"Overdue","On track"))),IF(C12="RELEASED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74</v>
      </c>
      <c r="J12" s="33" t="s">
        <v>83</v>
      </c>
      <c r="K12" s="4">
        <v>46150</v>
      </c>
      <c r="L12" s="36"/>
      <c r="M12" s="36">
        <v>46157</v>
      </c>
      <c r="N12" s="36" t="s">
        <v>44</v>
      </c>
      <c r="O12" s="36"/>
      <c r="P12" s="64" t="s">
        <v>59</v>
      </c>
      <c r="Q12" s="4">
        <v>46157</v>
      </c>
      <c r="R12" s="36"/>
      <c r="S12" s="36">
        <v>46147</v>
      </c>
      <c r="T12" s="70"/>
      <c r="U12" s="33" t="s">
        <v>46</v>
      </c>
      <c r="V12" s="60">
        <v>46164</v>
      </c>
      <c r="W12" s="36"/>
      <c r="X12" s="36">
        <v>46147</v>
      </c>
      <c r="Y12" s="36"/>
      <c r="Z12" s="53">
        <v>46169</v>
      </c>
      <c r="AA12" s="36"/>
      <c r="AB12" s="36"/>
      <c r="AC12" s="33" t="s">
        <v>47</v>
      </c>
      <c r="AD12" s="33" t="s">
        <v>48</v>
      </c>
      <c r="AE12" s="38" t="s">
        <v>49</v>
      </c>
      <c r="AF12" s="36">
        <v>46147</v>
      </c>
      <c r="AG12" s="39" t="s">
        <v>84</v>
      </c>
      <c r="AH12" s="33" t="s">
        <v>85</v>
      </c>
      <c r="AI12" s="40" t="s">
        <v>52</v>
      </c>
      <c r="AJ12" s="74" t="str">
        <f>IF($B12="","",IF(AND(LEFT($AI12,3)="Yes",SUMPRODUCT(('Rework Log'!$A$3:$A$500=$B12)*('Rework Log'!$G$3:$G$500&lt;&gt;"Yes")*('Rework Log'!$G$3:$G$500&lt;&gt;"Did not pass re-test"))=0),"Blocked - log it on Rework Log",IF(AND(LEFT($AI12,3)&lt;&gt;"Yes",SUMPRODUCT(('Rework Log'!$A$3:$A$500=$B12)*('Rework Log'!$G$3:$G$500&lt;&gt;"Yes")*('Rework Log'!$G$3:$G$500&lt;&gt;"Did not pass re-test"))&gt;0),"Open rework row - mark Blocked? or close it",IF(AND($AI12="Yes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H)",IF(AND($AI12="Yes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H)",IF(AND($AI12="Yes – needs QA to fix",X12&lt;&gt;"",SUMPRODUCT(MAX((('Rework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Log'!$A$3:$A$500,$B12)&gt;0,"",IF(AND(V12&lt;&gt;"",K12&lt;&gt;"",V12&lt;K12),"QA target is before DB Dev target",IF(AND(V12&lt;&gt;"",Q12&lt;&gt;"",V12&lt;Q12),"QA target is before PBI Dev target",IF(AND(Z12&lt;&gt;"",V12&lt;&gt;"",Z12&lt;V12),"DPO Approval target is before QA target",IF(AND(AF12&lt;&gt;"",Z12&lt;&gt;"",AF12&lt;Z12),"Confirmed Deployed date is before DPO Approval target",""))))))))))))</f>
        <v>Confirmed Deployed date is before DPO Approval target</v>
      </c>
      <c r="AK12" s="41"/>
      <c r="AL12" s="31" t="str" cm="1">
        <f t="array" ref="AL12">_xlfn.LET(_xlpm.rep,$B12,_xlpm.sent,_xlfn.MAXIFS('Rework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2" s="31" t="str" cm="1">
        <f t="array" ref="AM12">_xlfn.LET(_xlpm.rep,$B12,_xlpm.sent,_xlfn.MAXIFS('Rework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3" spans="1:39" hidden="1">
      <c r="A13" s="33" t="s">
        <v>39</v>
      </c>
      <c r="B13" s="33" t="s">
        <v>86</v>
      </c>
      <c r="C13" s="33" t="s">
        <v>41</v>
      </c>
      <c r="D13" t="str" cm="1">
        <f t="array" aca="1" ref="D13" ca="1">IF($B13="","",IF(LEFT($AI13,3)="Yes","Blocked - "&amp;MID($AI13,7,100)&amp;IF(SUMPRODUCT(('Rework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Dev",IF(AND(L13="",K13=""),"No target set",IF(AND(IF(L13&lt;&gt;"",L13,K13)&lt;TODAY(),M13=""),"Overdue","On track")),IF(C13="PBI Dev",IF(AND(R13="",Q13=""),"No target set",IF(AND(IF(R13&lt;&gt;"",R13,Q13)&lt;TODAY(),S13=""),"Overdue","On track")),IF(C13="QA",_xlfn.LET(_xlpm.tgt,IF(AL13&lt;&gt;"",AL13,IF(W13&lt;&gt;"",W13,V13)),_xlpm.sent,_xlfn.MAXIFS('Rework Log'!$B$3:$B$500,'Rework Log'!$A$3:$A$500,$B13,'Rework Log'!$C$3:$C$500,"QA"),_xlpm.act,IF(AND(X13&lt;&gt;"",X13&gt;_xlpm.sent),X13,""),IF(_xlpm.tgt="","No target set",IF(AND(_xlpm.tgt&lt;TODAY(),_xlpm.act=""),"Overdue","On track"))),IF(C13="DPO Approval",_xlfn.LET(_xlpm.tgt,IF(AM13&lt;&gt;"",AM13,IF(AA13&lt;&gt;"",AA13,Z13)),_xlpm.sent,_xlfn.MAXIFS('Rework Log'!$B$3:$B$500,'Rework Log'!$A$3:$A$500,$B13,'Rework Log'!$C$3:$C$500,"DPO*"),_xlpm.act,IF(AND(AB13&lt;&gt;"",AB13&gt;_xlpm.sent),AB13,""),IF(_xlpm.tgt="","No target set",IF(AND(_xlpm.tgt&lt;TODAY(),_xlpm.act=""),"Overdue","On track"))),IF(C13="RELEASED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74</v>
      </c>
      <c r="J13" s="33" t="s">
        <v>83</v>
      </c>
      <c r="K13" s="4">
        <v>46150</v>
      </c>
      <c r="L13" s="36"/>
      <c r="M13" s="36">
        <v>46157</v>
      </c>
      <c r="N13" s="36" t="s">
        <v>44</v>
      </c>
      <c r="O13" s="36"/>
      <c r="P13" s="64" t="s">
        <v>45</v>
      </c>
      <c r="Q13" s="4">
        <v>46157</v>
      </c>
      <c r="R13" s="36"/>
      <c r="S13" s="36">
        <v>46175</v>
      </c>
      <c r="T13" s="70"/>
      <c r="U13" s="33" t="s">
        <v>87</v>
      </c>
      <c r="V13" s="60">
        <v>46164</v>
      </c>
      <c r="W13" s="36"/>
      <c r="X13" s="36">
        <v>46179</v>
      </c>
      <c r="Y13" s="36"/>
      <c r="Z13" s="53">
        <v>46169</v>
      </c>
      <c r="AA13" s="36"/>
      <c r="AB13" s="36"/>
      <c r="AC13" s="33" t="s">
        <v>47</v>
      </c>
      <c r="AD13" s="33" t="s">
        <v>48</v>
      </c>
      <c r="AE13" s="38" t="s">
        <v>49</v>
      </c>
      <c r="AF13" s="36">
        <v>46179</v>
      </c>
      <c r="AG13" s="39" t="s">
        <v>88</v>
      </c>
      <c r="AH13" s="33"/>
      <c r="AI13" s="40" t="s">
        <v>52</v>
      </c>
      <c r="AJ13" s="74" t="str">
        <f>IF($B13="","",IF(AND(LEFT($AI13,3)="Yes",SUMPRODUCT(('Rework Log'!$A$3:$A$500=$B13)*('Rework Log'!$G$3:$G$500&lt;&gt;"Yes")*('Rework Log'!$G$3:$G$500&lt;&gt;"Did not pass re-test"))=0),"Blocked - log it on Rework Log",IF(AND(LEFT($AI13,3)&lt;&gt;"Yes",SUMPRODUCT(('Rework Log'!$A$3:$A$500=$B13)*('Rework Log'!$G$3:$G$500&lt;&gt;"Yes")*('Rework Log'!$G$3:$G$500&lt;&gt;"Did not pass re-test"))&gt;0),"Open rework row - mark Blocked? or close it",IF(AND($AI13="Yes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H)",IF(AND($AI13="Yes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H)",IF(AND($AI13="Yes – needs QA to fix",X13&lt;&gt;"",SUMPRODUCT(MAX((('Rework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Log'!$A$3:$A$500,$B13)&gt;0,"",IF(AND(V13&lt;&gt;"",K13&lt;&gt;"",V13&lt;K13),"QA target is before DB Dev target",IF(AND(V13&lt;&gt;"",Q13&lt;&gt;"",V13&lt;Q13),"QA target is before PBI Dev target",IF(AND(Z13&lt;&gt;"",V13&lt;&gt;"",Z13&lt;V13),"DPO Approval target is before QA target",IF(AND(AF13&lt;&gt;"",Z13&lt;&gt;"",AF13&lt;Z13),"Confirmed Deployed date is before DPO Approval target",""))))))))))))</f>
        <v/>
      </c>
      <c r="AK13" s="41"/>
      <c r="AL13" s="31" t="str" cm="1">
        <f t="array" ref="AL13">_xlfn.LET(_xlpm.rep,$B13,_xlpm.sent,_xlfn.MAXIFS('Rework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3" s="31" t="str" cm="1">
        <f t="array" ref="AM13">_xlfn.LET(_xlpm.rep,$B13,_xlpm.sent,_xlfn.MAXIFS('Rework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4" spans="1:39" hidden="1">
      <c r="A14" s="33" t="s">
        <v>39</v>
      </c>
      <c r="B14" s="33" t="s">
        <v>89</v>
      </c>
      <c r="C14" s="33" t="s">
        <v>41</v>
      </c>
      <c r="D14" t="str" cm="1">
        <f t="array" aca="1" ref="D14" ca="1">IF($B14="","",IF(LEFT($AI14,3)="Yes","Blocked - "&amp;MID($AI14,7,100)&amp;IF(SUMPRODUCT(('Rework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Dev",IF(AND(L14="",K14=""),"No target set",IF(AND(IF(L14&lt;&gt;"",L14,K14)&lt;TODAY(),M14=""),"Overdue","On track")),IF(C14="PBI Dev",IF(AND(R14="",Q14=""),"No target set",IF(AND(IF(R14&lt;&gt;"",R14,Q14)&lt;TODAY(),S14=""),"Overdue","On track")),IF(C14="QA",_xlfn.LET(_xlpm.tgt,IF(AL14&lt;&gt;"",AL14,IF(W14&lt;&gt;"",W14,V14)),_xlpm.sent,_xlfn.MAXIFS('Rework Log'!$B$3:$B$500,'Rework Log'!$A$3:$A$500,$B14,'Rework Log'!$C$3:$C$500,"QA"),_xlpm.act,IF(AND(X14&lt;&gt;"",X14&gt;_xlpm.sent),X14,""),IF(_xlpm.tgt="","No target set",IF(AND(_xlpm.tgt&lt;TODAY(),_xlpm.act=""),"Overdue","On track"))),IF(C14="DPO Approval",_xlfn.LET(_xlpm.tgt,IF(AM14&lt;&gt;"",AM14,IF(AA14&lt;&gt;"",AA14,Z14)),_xlpm.sent,_xlfn.MAXIFS('Rework Log'!$B$3:$B$500,'Rework Log'!$A$3:$A$500,$B14,'Rework Log'!$C$3:$C$500,"DPO*"),_xlpm.act,IF(AND(AB14&lt;&gt;"",AB14&gt;_xlpm.sent),AB14,""),IF(_xlpm.tgt="","No target set",IF(AND(_xlpm.tgt&lt;TODAY(),_xlpm.act=""),"Overdue","On track"))),IF(C14="RELEASED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74</v>
      </c>
      <c r="J14" s="33" t="s">
        <v>43</v>
      </c>
      <c r="K14" s="4">
        <v>46150</v>
      </c>
      <c r="L14" s="36"/>
      <c r="M14" s="36">
        <v>46157</v>
      </c>
      <c r="N14" s="36" t="s">
        <v>44</v>
      </c>
      <c r="O14" s="36"/>
      <c r="P14" s="64" t="s">
        <v>59</v>
      </c>
      <c r="Q14" s="4">
        <v>46157</v>
      </c>
      <c r="R14" s="36"/>
      <c r="S14" s="36">
        <v>46143</v>
      </c>
      <c r="T14" s="70"/>
      <c r="U14" s="33" t="s">
        <v>87</v>
      </c>
      <c r="V14" s="60">
        <v>46164</v>
      </c>
      <c r="W14" s="36"/>
      <c r="X14" s="36">
        <v>46175</v>
      </c>
      <c r="Y14" s="36"/>
      <c r="Z14" s="53">
        <v>46169</v>
      </c>
      <c r="AA14" s="36"/>
      <c r="AB14" s="36"/>
      <c r="AC14" s="33" t="s">
        <v>47</v>
      </c>
      <c r="AD14" s="33" t="s">
        <v>71</v>
      </c>
      <c r="AE14" s="38" t="s">
        <v>49</v>
      </c>
      <c r="AF14" s="36">
        <v>46184</v>
      </c>
      <c r="AG14" s="39" t="s">
        <v>90</v>
      </c>
      <c r="AH14" s="33" t="s">
        <v>91</v>
      </c>
      <c r="AI14" s="40" t="s">
        <v>52</v>
      </c>
      <c r="AJ14" s="74" t="str">
        <f>IF($B14="","",IF(AND(LEFT($AI14,3)="Yes",SUMPRODUCT(('Rework Log'!$A$3:$A$500=$B14)*('Rework Log'!$G$3:$G$500&lt;&gt;"Yes")*('Rework Log'!$G$3:$G$500&lt;&gt;"Did not pass re-test"))=0),"Blocked - log it on Rework Log",IF(AND(LEFT($AI14,3)&lt;&gt;"Yes",SUMPRODUCT(('Rework Log'!$A$3:$A$500=$B14)*('Rework Log'!$G$3:$G$500&lt;&gt;"Yes")*('Rework Log'!$G$3:$G$500&lt;&gt;"Did not pass re-test"))&gt;0),"Open rework row - mark Blocked? or close it",IF(AND($AI14="Yes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H)",IF(AND($AI14="Yes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H)",IF(AND($AI14="Yes – needs QA to fix",X14&lt;&gt;"",SUMPRODUCT(MAX((('Rework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Log'!$A$3:$A$500,$B14)&gt;0,"",IF(AND(V14&lt;&gt;"",K14&lt;&gt;"",V14&lt;K14),"QA target is before DB Dev target",IF(AND(V14&lt;&gt;"",Q14&lt;&gt;"",V14&lt;Q14),"QA target is before PBI Dev target",IF(AND(Z14&lt;&gt;"",V14&lt;&gt;"",Z14&lt;V14),"DPO Approval target is before QA target",IF(AND(AF14&lt;&gt;"",Z14&lt;&gt;"",AF14&lt;Z14),"Confirmed Deployed date is before DPO Approval target",""))))))))))))</f>
        <v/>
      </c>
      <c r="AK14" s="41"/>
      <c r="AL14" s="31" t="str" cm="1">
        <f t="array" ref="AL14">_xlfn.LET(_xlpm.rep,$B14,_xlpm.sent,_xlfn.MAXIFS('Rework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4" s="31" t="str" cm="1">
        <f t="array" ref="AM14">_xlfn.LET(_xlpm.rep,$B14,_xlpm.sent,_xlfn.MAXIFS('Rework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5" spans="1:39" hidden="1">
      <c r="A15" s="33" t="s">
        <v>39</v>
      </c>
      <c r="B15" s="33" t="s">
        <v>92</v>
      </c>
      <c r="C15" s="33" t="s">
        <v>41</v>
      </c>
      <c r="D15" t="str" cm="1">
        <f t="array" aca="1" ref="D15" ca="1">IF($B15="","",IF(LEFT($AI15,3)="Yes","Blocked - "&amp;MID($AI15,7,100)&amp;IF(SUMPRODUCT(('Rework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Dev",IF(AND(L15="",K15=""),"No target set",IF(AND(IF(L15&lt;&gt;"",L15,K15)&lt;TODAY(),M15=""),"Overdue","On track")),IF(C15="PBI Dev",IF(AND(R15="",Q15=""),"No target set",IF(AND(IF(R15&lt;&gt;"",R15,Q15)&lt;TODAY(),S15=""),"Overdue","On track")),IF(C15="QA",_xlfn.LET(_xlpm.tgt,IF(AL15&lt;&gt;"",AL15,IF(W15&lt;&gt;"",W15,V15)),_xlpm.sent,_xlfn.MAXIFS('Rework Log'!$B$3:$B$500,'Rework Log'!$A$3:$A$500,$B15,'Rework Log'!$C$3:$C$500,"QA"),_xlpm.act,IF(AND(X15&lt;&gt;"",X15&gt;_xlpm.sent),X15,""),IF(_xlpm.tgt="","No target set",IF(AND(_xlpm.tgt&lt;TODAY(),_xlpm.act=""),"Overdue","On track"))),IF(C15="DPO Approval",_xlfn.LET(_xlpm.tgt,IF(AM15&lt;&gt;"",AM15,IF(AA15&lt;&gt;"",AA15,Z15)),_xlpm.sent,_xlfn.MAXIFS('Rework Log'!$B$3:$B$500,'Rework Log'!$A$3:$A$500,$B15,'Rework Log'!$C$3:$C$500,"DPO*"),_xlpm.act,IF(AND(AB15&lt;&gt;"",AB15&gt;_xlpm.sent),AB15,""),IF(_xlpm.tgt="","No target set",IF(AND(_xlpm.tgt&lt;TODAY(),_xlpm.act=""),"Overdue","On track"))),IF(C15="RELEASED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74</v>
      </c>
      <c r="J15" s="33" t="s">
        <v>43</v>
      </c>
      <c r="K15" s="4">
        <v>46150</v>
      </c>
      <c r="L15" s="36"/>
      <c r="M15" s="36">
        <v>46157</v>
      </c>
      <c r="N15" s="36" t="s">
        <v>44</v>
      </c>
      <c r="O15" s="36"/>
      <c r="P15" s="64" t="s">
        <v>76</v>
      </c>
      <c r="Q15" s="4">
        <v>46157</v>
      </c>
      <c r="R15" s="36"/>
      <c r="S15" s="36">
        <v>46178</v>
      </c>
      <c r="T15" s="70"/>
      <c r="U15" s="33" t="s">
        <v>46</v>
      </c>
      <c r="V15" s="60">
        <v>46164</v>
      </c>
      <c r="W15" s="36"/>
      <c r="X15" s="36">
        <v>46175</v>
      </c>
      <c r="Y15" s="36"/>
      <c r="Z15" s="53">
        <v>46169</v>
      </c>
      <c r="AA15" s="36"/>
      <c r="AB15" s="36"/>
      <c r="AC15" s="33" t="s">
        <v>47</v>
      </c>
      <c r="AD15" s="33" t="s">
        <v>93</v>
      </c>
      <c r="AE15" s="38" t="s">
        <v>49</v>
      </c>
      <c r="AF15" s="36">
        <v>46192</v>
      </c>
      <c r="AG15" s="39" t="s">
        <v>94</v>
      </c>
      <c r="AH15" s="33"/>
      <c r="AI15" s="40" t="s">
        <v>52</v>
      </c>
      <c r="AJ15" s="74" t="str">
        <f>IF($B15="","",IF(AND(LEFT($AI15,3)="Yes",SUMPRODUCT(('Rework Log'!$A$3:$A$500=$B15)*('Rework Log'!$G$3:$G$500&lt;&gt;"Yes")*('Rework Log'!$G$3:$G$500&lt;&gt;"Did not pass re-test"))=0),"Blocked - log it on Rework Log",IF(AND(LEFT($AI15,3)&lt;&gt;"Yes",SUMPRODUCT(('Rework Log'!$A$3:$A$500=$B15)*('Rework Log'!$G$3:$G$500&lt;&gt;"Yes")*('Rework Log'!$G$3:$G$500&lt;&gt;"Did not pass re-test"))&gt;0),"Open rework row - mark Blocked? or close it",IF(AND($AI15="Yes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H)",IF(AND($AI15="Yes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H)",IF(AND($AI15="Yes – needs QA to fix",X15&lt;&gt;"",SUMPRODUCT(MAX((('Rework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Log'!$A$3:$A$500,$B15)&gt;0,"",IF(AND(V15&lt;&gt;"",K15&lt;&gt;"",V15&lt;K15),"QA target is before DB Dev target",IF(AND(V15&lt;&gt;"",Q15&lt;&gt;"",V15&lt;Q15),"QA target is before PBI Dev target",IF(AND(Z15&lt;&gt;"",V15&lt;&gt;"",Z15&lt;V15),"DPO Approval target is before QA target",IF(AND(AF15&lt;&gt;"",Z15&lt;&gt;"",AF15&lt;Z15),"Confirmed Deployed date is before DPO Approval target",""))))))))))))</f>
        <v/>
      </c>
      <c r="AK15" s="41" t="s">
        <v>95</v>
      </c>
      <c r="AL15" s="31" t="str" cm="1">
        <f t="array" ref="AL15">_xlfn.LET(_xlpm.rep,$B15,_xlpm.sent,_xlfn.MAXIFS('Rework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5" s="31" t="str" cm="1">
        <f t="array" ref="AM15">_xlfn.LET(_xlpm.rep,$B15,_xlpm.sent,_xlfn.MAXIFS('Rework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6" spans="1:39" hidden="1">
      <c r="A16" s="33" t="s">
        <v>39</v>
      </c>
      <c r="B16" s="33" t="s">
        <v>96</v>
      </c>
      <c r="C16" s="33" t="s">
        <v>41</v>
      </c>
      <c r="D16" t="str" cm="1">
        <f t="array" aca="1" ref="D16" ca="1">IF($B16="","",IF(LEFT($AI16,3)="Yes","Blocked - "&amp;MID($AI16,7,100)&amp;IF(SUMPRODUCT(('Rework Log'!$A$3:$A$500=$B16)*('Rework Log'!$G$3:$G$500&lt;&gt;"Yes")*('Rework Log'!$G$3:$G$500&lt;&gt;"Did not pass re-test"))=0,"",IF(SUMPRODUCT(MAX((('Rework Log'!$A$3:$A$500=$B16)*('Rework Log'!$G$3:$G$500&lt;&gt;"Yes")*('Rework Log'!$G$3:$G$500&lt;&gt;"Did not pass re-test"))*'Rework Log'!$I$3:$I$500))=0," - unclaimed"," - promised "&amp;TEXT(SUMPRODUCT(MAX((('Rework Log'!$A$3:$A$500=$B16)*('Rework Log'!$G$3:$G$500&lt;&gt;"Yes")*('Rework Log'!$G$3:$G$500&lt;&gt;"Did not pass re-test"))*'Rework Log'!$I$3:$I$500)),"m/d"))),IF(C16="NOT STARTED",IF(H16="","No plan date set",IF(H16&lt;TODAY(),"Review - planned start passed","On track")),IF(C16="DB Dev",IF(AND(L16="",K16=""),"No target set",IF(AND(IF(L16&lt;&gt;"",L16,K16)&lt;TODAY(),M16=""),"Overdue","On track")),IF(C16="PBI Dev",IF(AND(R16="",Q16=""),"No target set",IF(AND(IF(R16&lt;&gt;"",R16,Q16)&lt;TODAY(),S16=""),"Overdue","On track")),IF(C16="QA",_xlfn.LET(_xlpm.tgt,IF(AL16&lt;&gt;"",AL16,IF(W16&lt;&gt;"",W16,V16)),_xlpm.sent,_xlfn.MAXIFS('Rework Log'!$B$3:$B$500,'Rework Log'!$A$3:$A$500,$B16,'Rework Log'!$C$3:$C$500,"QA"),_xlpm.act,IF(AND(X16&lt;&gt;"",X16&gt;_xlpm.sent),X16,""),IF(_xlpm.tgt="","No target set",IF(AND(_xlpm.tgt&lt;TODAY(),_xlpm.act=""),"Overdue","On track"))),IF(C16="DPO Approval",_xlfn.LET(_xlpm.tgt,IF(AM16&lt;&gt;"",AM16,IF(AA16&lt;&gt;"",AA16,Z16)),_xlpm.sent,_xlfn.MAXIFS('Rework Log'!$B$3:$B$500,'Rework Log'!$A$3:$A$500,$B16,'Rework Log'!$C$3:$C$500,"DPO*"),_xlpm.act,IF(AND(AB16&lt;&gt;"",AB16&gt;_xlpm.sent),AB16,""),IF(_xlpm.tgt="","No target set",IF(AND(_xlpm.tgt&lt;TODAY(),_xlpm.act=""),"Overdue","On track"))),IF(C16="RELEASED IN PROD","Delivered",""))))))))</f>
        <v>Delivered</v>
      </c>
      <c r="E16" s="33">
        <v>15</v>
      </c>
      <c r="F16" s="34"/>
      <c r="G16" s="33"/>
      <c r="H16" s="50">
        <v>46173</v>
      </c>
      <c r="I16" s="56" t="s">
        <v>74</v>
      </c>
      <c r="J16" s="33"/>
      <c r="K16" s="4"/>
      <c r="L16" s="43"/>
      <c r="M16" s="36"/>
      <c r="N16" s="36" t="s">
        <v>44</v>
      </c>
      <c r="O16" s="36"/>
      <c r="P16" s="64"/>
      <c r="Q16" s="4"/>
      <c r="R16" s="43"/>
      <c r="S16" s="36"/>
      <c r="T16" s="70"/>
      <c r="U16" s="33"/>
      <c r="V16" s="60"/>
      <c r="W16" s="43"/>
      <c r="X16" s="36"/>
      <c r="Y16" s="36"/>
      <c r="Z16" s="53"/>
      <c r="AA16" s="43"/>
      <c r="AB16" s="43"/>
      <c r="AC16" s="33" t="s">
        <v>47</v>
      </c>
      <c r="AD16" s="33" t="s">
        <v>48</v>
      </c>
      <c r="AE16" s="38" t="s">
        <v>49</v>
      </c>
      <c r="AF16" s="36">
        <v>46203</v>
      </c>
      <c r="AG16" s="39"/>
      <c r="AH16" s="33"/>
      <c r="AI16" s="40"/>
      <c r="AJ16" s="48"/>
      <c r="AK16" s="41"/>
      <c r="AL16" s="31" t="str" cm="1">
        <f t="array" ref="AL16">_xlfn.LET(_xlpm.rep,$B16,_xlpm.sent,_xlfn.MAXIFS('Rework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6" s="31" t="str" cm="1">
        <f t="array" ref="AM16">_xlfn.LET(_xlpm.rep,$B16,_xlpm.sent,_xlfn.MAXIFS('Rework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7" spans="1:39" hidden="1">
      <c r="A17" s="33" t="s">
        <v>39</v>
      </c>
      <c r="B17" s="33" t="s">
        <v>97</v>
      </c>
      <c r="C17" s="33" t="s">
        <v>41</v>
      </c>
      <c r="D17" t="str" cm="1">
        <f t="array" aca="1" ref="D17" ca="1">IF($B17="","",IF(LEFT($AI17,3)="Yes","Blocked - "&amp;MID($AI17,7,100)&amp;IF(SUMPRODUCT(('Rework Log'!$A$3:$A$500=$B17)*('Rework Log'!$G$3:$G$500&lt;&gt;"Yes")*('Rework Log'!$G$3:$G$500&lt;&gt;"Did not pass re-test"))=0,"",IF(SUMPRODUCT(MAX((('Rework Log'!$A$3:$A$500=$B17)*('Rework Log'!$G$3:$G$500&lt;&gt;"Yes")*('Rework Log'!$G$3:$G$500&lt;&gt;"Did not pass re-test"))*'Rework Log'!$I$3:$I$500))=0," - unclaimed"," - promised "&amp;TEXT(SUMPRODUCT(MAX((('Rework Log'!$A$3:$A$500=$B17)*('Rework Log'!$G$3:$G$500&lt;&gt;"Yes")*('Rework Log'!$G$3:$G$500&lt;&gt;"Did not pass re-test"))*'Rework Log'!$I$3:$I$500)),"m/d"))),IF(C17="NOT STARTED",IF(H17="","No plan date set",IF(H17&lt;TODAY(),"Review - planned start passed","On track")),IF(C17="DB Dev",IF(AND(L17="",K17=""),"No target set",IF(AND(IF(L17&lt;&gt;"",L17,K17)&lt;TODAY(),M17=""),"Overdue","On track")),IF(C17="PBI Dev",IF(AND(R17="",Q17=""),"No target set",IF(AND(IF(R17&lt;&gt;"",R17,Q17)&lt;TODAY(),S17=""),"Overdue","On track")),IF(C17="QA",_xlfn.LET(_xlpm.tgt,IF(AL17&lt;&gt;"",AL17,IF(W17&lt;&gt;"",W17,V17)),_xlpm.sent,_xlfn.MAXIFS('Rework Log'!$B$3:$B$500,'Rework Log'!$A$3:$A$500,$B17,'Rework Log'!$C$3:$C$500,"QA"),_xlpm.act,IF(AND(X17&lt;&gt;"",X17&gt;_xlpm.sent),X17,""),IF(_xlpm.tgt="","No target set",IF(AND(_xlpm.tgt&lt;TODAY(),_xlpm.act=""),"Overdue","On track"))),IF(C17="DPO Approval",_xlfn.LET(_xlpm.tgt,IF(AM17&lt;&gt;"",AM17,IF(AA17&lt;&gt;"",AA17,Z17)),_xlpm.sent,_xlfn.MAXIFS('Rework Log'!$B$3:$B$500,'Rework Log'!$A$3:$A$500,$B17,'Rework Log'!$C$3:$C$500,"DPO*"),_xlpm.act,IF(AND(AB17&lt;&gt;"",AB17&gt;_xlpm.sent),AB17,""),IF(_xlpm.tgt="","No target set",IF(AND(_xlpm.tgt&lt;TODAY(),_xlpm.act=""),"Overdue","On track"))),IF(C17="RELEASED IN PROD","Delivered",""))))))))</f>
        <v>Delivered</v>
      </c>
      <c r="E17" s="33">
        <v>16</v>
      </c>
      <c r="F17" s="34"/>
      <c r="G17" s="33"/>
      <c r="H17" s="50">
        <v>46173</v>
      </c>
      <c r="I17" s="56" t="s">
        <v>74</v>
      </c>
      <c r="J17" s="33"/>
      <c r="K17" s="4"/>
      <c r="L17" s="43"/>
      <c r="M17" s="36"/>
      <c r="N17" s="36" t="s">
        <v>44</v>
      </c>
      <c r="O17" s="36"/>
      <c r="P17" s="64"/>
      <c r="Q17" s="4"/>
      <c r="R17" s="43"/>
      <c r="S17" s="36"/>
      <c r="T17" s="70"/>
      <c r="U17" s="33"/>
      <c r="V17" s="60"/>
      <c r="W17" s="43"/>
      <c r="X17" s="36"/>
      <c r="Y17" s="36"/>
      <c r="Z17" s="53"/>
      <c r="AA17" s="43"/>
      <c r="AB17" s="43"/>
      <c r="AC17" s="33" t="s">
        <v>47</v>
      </c>
      <c r="AD17" s="33" t="s">
        <v>93</v>
      </c>
      <c r="AE17" s="38" t="s">
        <v>49</v>
      </c>
      <c r="AF17" s="36">
        <v>46203</v>
      </c>
      <c r="AG17" s="39"/>
      <c r="AH17" s="33"/>
      <c r="AI17" s="40"/>
      <c r="AJ17" s="48"/>
      <c r="AK17" s="41"/>
      <c r="AL17" s="31" t="str" cm="1">
        <f t="array" ref="AL17">_xlfn.LET(_xlpm.rep,$B17,_xlpm.sent,_xlfn.MAXIFS('Rework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7" s="31" t="str" cm="1">
        <f t="array" ref="AM17">_xlfn.LET(_xlpm.rep,$B17,_xlpm.sent,_xlfn.MAXIFS('Rework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8" spans="1:39" hidden="1">
      <c r="A18" s="33" t="s">
        <v>39</v>
      </c>
      <c r="B18" s="33" t="s">
        <v>98</v>
      </c>
      <c r="C18" s="33" t="s">
        <v>41</v>
      </c>
      <c r="D18" t="str" cm="1">
        <f t="array" aca="1" ref="D18" ca="1">IF($B18="","",IF(LEFT($AI18,3)="Yes","Blocked - "&amp;MID($AI18,7,100)&amp;IF(SUMPRODUCT(('Rework Log'!$A$3:$A$500=$B18)*('Rework Log'!$G$3:$G$500&lt;&gt;"Yes")*('Rework Log'!$G$3:$G$500&lt;&gt;"Did not pass re-test"))=0,"",IF(SUMPRODUCT(MAX((('Rework Log'!$A$3:$A$500=$B18)*('Rework Log'!$G$3:$G$500&lt;&gt;"Yes")*('Rework Log'!$G$3:$G$500&lt;&gt;"Did not pass re-test"))*'Rework Log'!$I$3:$I$500))=0," - unclaimed"," - promised "&amp;TEXT(SUMPRODUCT(MAX((('Rework Log'!$A$3:$A$500=$B18)*('Rework Log'!$G$3:$G$500&lt;&gt;"Yes")*('Rework Log'!$G$3:$G$500&lt;&gt;"Did not pass re-test"))*'Rework Log'!$I$3:$I$500)),"m/d"))),IF(C18="NOT STARTED",IF(H18="","No plan date set",IF(H18&lt;TODAY(),"Review - planned start passed","On track")),IF(C18="DB Dev",IF(AND(L18="",K18=""),"No target set",IF(AND(IF(L18&lt;&gt;"",L18,K18)&lt;TODAY(),M18=""),"Overdue","On track")),IF(C18="PBI Dev",IF(AND(R18="",Q18=""),"No target set",IF(AND(IF(R18&lt;&gt;"",R18,Q18)&lt;TODAY(),S18=""),"Overdue","On track")),IF(C18="QA",_xlfn.LET(_xlpm.tgt,IF(AL18&lt;&gt;"",AL18,IF(W18&lt;&gt;"",W18,V18)),_xlpm.sent,_xlfn.MAXIFS('Rework Log'!$B$3:$B$500,'Rework Log'!$A$3:$A$500,$B18,'Rework Log'!$C$3:$C$500,"QA"),_xlpm.act,IF(AND(X18&lt;&gt;"",X18&gt;_xlpm.sent),X18,""),IF(_xlpm.tgt="","No target set",IF(AND(_xlpm.tgt&lt;TODAY(),_xlpm.act=""),"Overdue","On track"))),IF(C18="DPO Approval",_xlfn.LET(_xlpm.tgt,IF(AM18&lt;&gt;"",AM18,IF(AA18&lt;&gt;"",AA18,Z18)),_xlpm.sent,_xlfn.MAXIFS('Rework Log'!$B$3:$B$500,'Rework Log'!$A$3:$A$500,$B18,'Rework Log'!$C$3:$C$500,"DPO*"),_xlpm.act,IF(AND(AB18&lt;&gt;"",AB18&gt;_xlpm.sent),AB18,""),IF(_xlpm.tgt="","No target set",IF(AND(_xlpm.tgt&lt;TODAY(),_xlpm.act=""),"Overdue","On track"))),IF(C18="RELEASED IN PROD","Delivered",""))))))))</f>
        <v>Delivered</v>
      </c>
      <c r="E18" s="33">
        <v>17</v>
      </c>
      <c r="F18" s="34"/>
      <c r="G18" s="33"/>
      <c r="H18" s="50">
        <v>46173</v>
      </c>
      <c r="I18" s="56" t="s">
        <v>74</v>
      </c>
      <c r="J18" s="33"/>
      <c r="K18" s="4"/>
      <c r="L18" s="43"/>
      <c r="M18" s="36"/>
      <c r="N18" s="36" t="s">
        <v>44</v>
      </c>
      <c r="O18" s="36"/>
      <c r="P18" s="64"/>
      <c r="Q18" s="4"/>
      <c r="R18" s="43"/>
      <c r="S18" s="36"/>
      <c r="T18" s="70"/>
      <c r="U18" s="33"/>
      <c r="V18" s="60"/>
      <c r="W18" s="43"/>
      <c r="X18" s="36"/>
      <c r="Y18" s="36"/>
      <c r="Z18" s="53"/>
      <c r="AA18" s="43"/>
      <c r="AB18" s="43"/>
      <c r="AC18" s="33" t="s">
        <v>47</v>
      </c>
      <c r="AD18" s="33" t="s">
        <v>48</v>
      </c>
      <c r="AE18" s="38" t="s">
        <v>49</v>
      </c>
      <c r="AF18" s="36">
        <v>46203</v>
      </c>
      <c r="AG18" s="39"/>
      <c r="AH18" s="33"/>
      <c r="AI18" s="40"/>
      <c r="AJ18" s="48"/>
      <c r="AK18" s="41"/>
      <c r="AL18" s="31" t="str" cm="1">
        <f t="array" ref="AL18">_xlfn.LET(_xlpm.rep,$B18,_xlpm.sent,_xlfn.MAXIFS('Rework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8" s="31" t="str" cm="1">
        <f t="array" ref="AM18">_xlfn.LET(_xlpm.rep,$B18,_xlpm.sent,_xlfn.MAXIFS('Rework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9" spans="1:39" hidden="1">
      <c r="A19" s="33" t="s">
        <v>39</v>
      </c>
      <c r="B19" s="33" t="s">
        <v>99</v>
      </c>
      <c r="C19" s="33" t="s">
        <v>41</v>
      </c>
      <c r="D19" t="str" cm="1">
        <f t="array" aca="1" ref="D19" ca="1">IF($B19="","",IF(LEFT($AI19,3)="Yes","Blocked - "&amp;MID($AI19,7,100)&amp;IF(SUMPRODUCT(('Rework Log'!$A$3:$A$500=$B19)*('Rework Log'!$G$3:$G$500&lt;&gt;"Yes")*('Rework Log'!$G$3:$G$500&lt;&gt;"Did not pass re-test"))=0,"",IF(SUMPRODUCT(MAX((('Rework Log'!$A$3:$A$500=$B19)*('Rework Log'!$G$3:$G$500&lt;&gt;"Yes")*('Rework Log'!$G$3:$G$500&lt;&gt;"Did not pass re-test"))*'Rework Log'!$I$3:$I$500))=0," - unclaimed"," - promised "&amp;TEXT(SUMPRODUCT(MAX((('Rework Log'!$A$3:$A$500=$B19)*('Rework Log'!$G$3:$G$500&lt;&gt;"Yes")*('Rework Log'!$G$3:$G$500&lt;&gt;"Did not pass re-test"))*'Rework Log'!$I$3:$I$500)),"m/d"))),IF(C19="NOT STARTED",IF(H19="","No plan date set",IF(H19&lt;TODAY(),"Review - planned start passed","On track")),IF(C19="DB Dev",IF(AND(L19="",K19=""),"No target set",IF(AND(IF(L19&lt;&gt;"",L19,K19)&lt;TODAY(),M19=""),"Overdue","On track")),IF(C19="PBI Dev",IF(AND(R19="",Q19=""),"No target set",IF(AND(IF(R19&lt;&gt;"",R19,Q19)&lt;TODAY(),S19=""),"Overdue","On track")),IF(C19="QA",_xlfn.LET(_xlpm.tgt,IF(AL19&lt;&gt;"",AL19,IF(W19&lt;&gt;"",W19,V19)),_xlpm.sent,_xlfn.MAXIFS('Rework Log'!$B$3:$B$500,'Rework Log'!$A$3:$A$500,$B19,'Rework Log'!$C$3:$C$500,"QA"),_xlpm.act,IF(AND(X19&lt;&gt;"",X19&gt;_xlpm.sent),X19,""),IF(_xlpm.tgt="","No target set",IF(AND(_xlpm.tgt&lt;TODAY(),_xlpm.act=""),"Overdue","On track"))),IF(C19="DPO Approval",_xlfn.LET(_xlpm.tgt,IF(AM19&lt;&gt;"",AM19,IF(AA19&lt;&gt;"",AA19,Z19)),_xlpm.sent,_xlfn.MAXIFS('Rework Log'!$B$3:$B$500,'Rework Log'!$A$3:$A$500,$B19,'Rework Log'!$C$3:$C$500,"DPO*"),_xlpm.act,IF(AND(AB19&lt;&gt;"",AB19&gt;_xlpm.sent),AB19,""),IF(_xlpm.tgt="","No target set",IF(AND(_xlpm.tgt&lt;TODAY(),_xlpm.act=""),"Overdue","On track"))),IF(C19="RELEASED IN PROD","Delivered",""))))))))</f>
        <v>Delivered</v>
      </c>
      <c r="E19" s="33">
        <v>18</v>
      </c>
      <c r="F19" s="34"/>
      <c r="G19" s="33"/>
      <c r="H19" s="50">
        <v>46173</v>
      </c>
      <c r="I19" s="56" t="s">
        <v>74</v>
      </c>
      <c r="J19" s="33"/>
      <c r="K19" s="4"/>
      <c r="L19" s="43"/>
      <c r="M19" s="36"/>
      <c r="N19" s="36" t="s">
        <v>44</v>
      </c>
      <c r="O19" s="36"/>
      <c r="P19" s="64"/>
      <c r="Q19" s="4"/>
      <c r="R19" s="43"/>
      <c r="S19" s="36"/>
      <c r="T19" s="70"/>
      <c r="U19" s="33"/>
      <c r="V19" s="60"/>
      <c r="W19" s="43"/>
      <c r="X19" s="36"/>
      <c r="Y19" s="36"/>
      <c r="Z19" s="53"/>
      <c r="AA19" s="43"/>
      <c r="AB19" s="43"/>
      <c r="AC19" s="33" t="s">
        <v>47</v>
      </c>
      <c r="AD19" s="33" t="s">
        <v>93</v>
      </c>
      <c r="AE19" s="38" t="s">
        <v>49</v>
      </c>
      <c r="AF19" s="36">
        <v>46203</v>
      </c>
      <c r="AG19" s="39"/>
      <c r="AH19" s="33"/>
      <c r="AI19" s="40"/>
      <c r="AJ19" s="48"/>
      <c r="AK19" s="41"/>
      <c r="AL19" s="31" t="str" cm="1">
        <f t="array" ref="AL19">_xlfn.LET(_xlpm.rep,$B19,_xlpm.sent,_xlfn.MAXIFS('Rework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9" s="31" t="str" cm="1">
        <f t="array" ref="AM19">_xlfn.LET(_xlpm.rep,$B19,_xlpm.sent,_xlfn.MAXIFS('Rework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0" spans="1:39" hidden="1">
      <c r="A20" s="33" t="s">
        <v>39</v>
      </c>
      <c r="B20" s="33" t="s">
        <v>100</v>
      </c>
      <c r="C20" s="33" t="s">
        <v>41</v>
      </c>
      <c r="D20" t="str" cm="1">
        <f t="array" aca="1" ref="D20" ca="1">IF($B20="","",IF(LEFT($AI20,3)="Yes","Blocked - "&amp;MID($AI20,7,100)&amp;IF(SUMPRODUCT(('Rework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Dev",IF(AND(L20="",K20=""),"No target set",IF(AND(IF(L20&lt;&gt;"",L20,K20)&lt;TODAY(),M20=""),"Overdue","On track")),IF(C20="PBI Dev",IF(AND(R20="",Q20=""),"No target set",IF(AND(IF(R20&lt;&gt;"",R20,Q20)&lt;TODAY(),S20=""),"Overdue","On track")),IF(C20="QA",_xlfn.LET(_xlpm.tgt,IF(AL20&lt;&gt;"",AL20,IF(W20&lt;&gt;"",W20,V20)),_xlpm.sent,_xlfn.MAXIFS('Rework Log'!$B$3:$B$500,'Rework Log'!$A$3:$A$500,$B20,'Rework Log'!$C$3:$C$500,"QA"),_xlpm.act,IF(AND(X20&lt;&gt;"",X20&gt;_xlpm.sent),X20,""),IF(_xlpm.tgt="","No target set",IF(AND(_xlpm.tgt&lt;TODAY(),_xlpm.act=""),"Overdue","On track"))),IF(C20="DPO Approval",_xlfn.LET(_xlpm.tgt,IF(AM20&lt;&gt;"",AM20,IF(AA20&lt;&gt;"",AA20,Z20)),_xlpm.sent,_xlfn.MAXIFS('Rework Log'!$B$3:$B$500,'Rework Log'!$A$3:$A$500,$B20,'Rework Log'!$C$3:$C$500,"DPO*"),_xlpm.act,IF(AND(AB20&lt;&gt;"",AB20&gt;_xlpm.sent),AB20,""),IF(_xlpm.tgt="","No target set",IF(AND(_xlpm.tgt&lt;TODAY(),_xlpm.act=""),"Overdue","On track"))),IF(C20="RELEASED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101</v>
      </c>
      <c r="J20" s="33" t="s">
        <v>102</v>
      </c>
      <c r="K20" s="4">
        <v>46185</v>
      </c>
      <c r="L20" s="36"/>
      <c r="M20" s="36">
        <v>46148</v>
      </c>
      <c r="N20" s="36" t="s">
        <v>44</v>
      </c>
      <c r="O20" s="36"/>
      <c r="P20" s="64" t="s">
        <v>59</v>
      </c>
      <c r="Q20" s="4">
        <v>46192</v>
      </c>
      <c r="R20" s="36"/>
      <c r="S20" s="36">
        <v>46183</v>
      </c>
      <c r="T20" s="70"/>
      <c r="U20" s="33" t="s">
        <v>46</v>
      </c>
      <c r="V20" s="60">
        <v>46199</v>
      </c>
      <c r="W20" s="36"/>
      <c r="X20" s="36">
        <v>46195</v>
      </c>
      <c r="Y20" s="36"/>
      <c r="Z20" s="53">
        <v>46202</v>
      </c>
      <c r="AA20" s="36"/>
      <c r="AB20" s="36"/>
      <c r="AC20" s="33" t="s">
        <v>103</v>
      </c>
      <c r="AD20" s="33" t="s">
        <v>71</v>
      </c>
      <c r="AE20" s="38" t="s">
        <v>49</v>
      </c>
      <c r="AF20" s="36">
        <v>46195</v>
      </c>
      <c r="AG20" s="39"/>
      <c r="AH20" s="33"/>
      <c r="AI20" s="40" t="s">
        <v>52</v>
      </c>
      <c r="AJ20" s="74" t="str">
        <f>IF($B20="","",IF(AND(LEFT($AI20,3)="Yes",SUMPRODUCT(('Rework Log'!$A$3:$A$500=$B20)*('Rework Log'!$G$3:$G$500&lt;&gt;"Yes")*('Rework Log'!$G$3:$G$500&lt;&gt;"Did not pass re-test"))=0),"Blocked - log it on Rework Log",IF(AND(LEFT($AI20,3)&lt;&gt;"Yes",SUMPRODUCT(('Rework Log'!$A$3:$A$500=$B20)*('Rework Log'!$G$3:$G$500&lt;&gt;"Yes")*('Rework Log'!$G$3:$G$500&lt;&gt;"Did not pass re-test"))&gt;0),"Open rework row - mark Blocked? or close it",IF(AND($AI20="Yes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H)",IF(AND($AI20="Yes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H)",IF(AND($AI20="Yes – needs QA to fix",X20&lt;&gt;"",SUMPRODUCT(MAX((('Rework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Log'!$A$3:$A$500,$B20)&gt;0,"",IF(AND(V20&lt;&gt;"",K20&lt;&gt;"",V20&lt;K20),"QA target is before DB Dev target",IF(AND(V20&lt;&gt;"",Q20&lt;&gt;"",V20&lt;Q20),"QA target is before PBI Dev target",IF(AND(Z20&lt;&gt;"",V20&lt;&gt;"",Z20&lt;V20),"DPO Approval target is before QA target",IF(AND(AF20&lt;&gt;"",Z20&lt;&gt;"",AF20&lt;Z20),"Confirmed Deployed date is before DPO Approval target",""))))))))))))</f>
        <v>Confirmed Deployed date is before DPO Approval target</v>
      </c>
      <c r="AK20" s="41"/>
      <c r="AL20" s="31" t="str" cm="1">
        <f t="array" ref="AL20">_xlfn.LET(_xlpm.rep,$B20,_xlpm.sent,_xlfn.MAXIFS('Rework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0" s="31" t="str" cm="1">
        <f t="array" ref="AM20">_xlfn.LET(_xlpm.rep,$B20,_xlpm.sent,_xlfn.MAXIFS('Rework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1" spans="1:39" hidden="1">
      <c r="A21" s="33" t="s">
        <v>39</v>
      </c>
      <c r="B21" s="33" t="s">
        <v>104</v>
      </c>
      <c r="C21" s="33" t="s">
        <v>41</v>
      </c>
      <c r="D21" t="str" cm="1">
        <f t="array" aca="1" ref="D21" ca="1">IF($B21="","",IF(LEFT($AI21,3)="Yes","Blocked - "&amp;MID($AI21,7,100)&amp;IF(SUMPRODUCT(('Rework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Dev",IF(AND(L21="",K21=""),"No target set",IF(AND(IF(L21&lt;&gt;"",L21,K21)&lt;TODAY(),M21=""),"Overdue","On track")),IF(C21="PBI Dev",IF(AND(R21="",Q21=""),"No target set",IF(AND(IF(R21&lt;&gt;"",R21,Q21)&lt;TODAY(),S21=""),"Overdue","On track")),IF(C21="QA",_xlfn.LET(_xlpm.tgt,IF(AL21&lt;&gt;"",AL21,IF(W21&lt;&gt;"",W21,V21)),_xlpm.sent,_xlfn.MAXIFS('Rework Log'!$B$3:$B$500,'Rework Log'!$A$3:$A$500,$B21,'Rework Log'!$C$3:$C$500,"QA"),_xlpm.act,IF(AND(X21&lt;&gt;"",X21&gt;_xlpm.sent),X21,""),IF(_xlpm.tgt="","No target set",IF(AND(_xlpm.tgt&lt;TODAY(),_xlpm.act=""),"Overdue","On track"))),IF(C21="DPO Approval",_xlfn.LET(_xlpm.tgt,IF(AM21&lt;&gt;"",AM21,IF(AA21&lt;&gt;"",AA21,Z21)),_xlpm.sent,_xlfn.MAXIFS('Rework Log'!$B$3:$B$500,'Rework Log'!$A$3:$A$500,$B21,'Rework Log'!$C$3:$C$500,"DPO*"),_xlpm.act,IF(AND(AB21&lt;&gt;"",AB21&gt;_xlpm.sent),AB21,""),IF(_xlpm.tgt="","No target set",IF(AND(_xlpm.tgt&lt;TODAY(),_xlpm.act=""),"Overdue","On track"))),IF(C21="RELEASED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101</v>
      </c>
      <c r="J21" s="33" t="s">
        <v>102</v>
      </c>
      <c r="K21" s="4">
        <v>46185</v>
      </c>
      <c r="L21" s="36"/>
      <c r="M21" s="36">
        <v>46162</v>
      </c>
      <c r="N21" s="36" t="s">
        <v>44</v>
      </c>
      <c r="O21" s="36"/>
      <c r="P21" s="64" t="s">
        <v>76</v>
      </c>
      <c r="Q21" s="4">
        <v>46192</v>
      </c>
      <c r="R21" s="36"/>
      <c r="S21" s="36">
        <v>46182</v>
      </c>
      <c r="T21" s="70"/>
      <c r="U21" s="33" t="s">
        <v>46</v>
      </c>
      <c r="V21" s="60">
        <v>46199</v>
      </c>
      <c r="W21" s="36"/>
      <c r="X21" s="36">
        <v>46198</v>
      </c>
      <c r="Y21" s="36"/>
      <c r="Z21" s="53">
        <v>46202</v>
      </c>
      <c r="AA21" s="36"/>
      <c r="AB21" s="36"/>
      <c r="AC21" s="33" t="s">
        <v>105</v>
      </c>
      <c r="AD21" s="33" t="s">
        <v>71</v>
      </c>
      <c r="AE21" s="38" t="s">
        <v>49</v>
      </c>
      <c r="AF21" s="36">
        <v>46198</v>
      </c>
      <c r="AG21" s="39"/>
      <c r="AH21" s="33"/>
      <c r="AI21" s="40" t="s">
        <v>52</v>
      </c>
      <c r="AJ21" s="74" t="str">
        <f>IF($B21="","",IF(AND(LEFT($AI21,3)="Yes",SUMPRODUCT(('Rework Log'!$A$3:$A$500=$B21)*('Rework Log'!$G$3:$G$500&lt;&gt;"Yes")*('Rework Log'!$G$3:$G$500&lt;&gt;"Did not pass re-test"))=0),"Blocked - log it on Rework Log",IF(AND(LEFT($AI21,3)&lt;&gt;"Yes",SUMPRODUCT(('Rework Log'!$A$3:$A$500=$B21)*('Rework Log'!$G$3:$G$500&lt;&gt;"Yes")*('Rework Log'!$G$3:$G$500&lt;&gt;"Did not pass re-test"))&gt;0),"Open rework row - mark Blocked? or close it",IF(AND($AI21="Yes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H)",IF(AND($AI21="Yes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H)",IF(AND($AI21="Yes – needs QA to fix",X21&lt;&gt;"",SUMPRODUCT(MAX((('Rework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Log'!$A$3:$A$500,$B21)&gt;0,"",IF(AND(V21&lt;&gt;"",K21&lt;&gt;"",V21&lt;K21),"QA target is before DB Dev target",IF(AND(V21&lt;&gt;"",Q21&lt;&gt;"",V21&lt;Q21),"QA target is before PBI Dev target",IF(AND(Z21&lt;&gt;"",V21&lt;&gt;"",Z21&lt;V21),"DPO Approval target is before QA target",IF(AND(AF21&lt;&gt;"",Z21&lt;&gt;"",AF21&lt;Z21),"Confirmed Deployed date is before DPO Approval target",""))))))))))))</f>
        <v>Confirmed Deployed date is before DPO Approval target</v>
      </c>
      <c r="AK21" s="41" t="s">
        <v>106</v>
      </c>
      <c r="AL21" s="31" t="str" cm="1">
        <f t="array" ref="AL21">_xlfn.LET(_xlpm.rep,$B21,_xlpm.sent,_xlfn.MAXIFS('Rework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1" s="31" t="str" cm="1">
        <f t="array" ref="AM21">_xlfn.LET(_xlpm.rep,$B21,_xlpm.sent,_xlfn.MAXIFS('Rework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2" spans="1:39" hidden="1">
      <c r="A22" s="33" t="s">
        <v>39</v>
      </c>
      <c r="B22" s="33" t="s">
        <v>107</v>
      </c>
      <c r="C22" s="33" t="s">
        <v>41</v>
      </c>
      <c r="D22" t="str" cm="1">
        <f t="array" aca="1" ref="D22" ca="1">IF($B22="","",IF(LEFT($AI22,3)="Yes","Blocked - "&amp;MID($AI22,7,100)&amp;IF(SUMPRODUCT(('Rework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Dev",IF(AND(L22="",K22=""),"No target set",IF(AND(IF(L22&lt;&gt;"",L22,K22)&lt;TODAY(),M22=""),"Overdue","On track")),IF(C22="PBI Dev",IF(AND(R22="",Q22=""),"No target set",IF(AND(IF(R22&lt;&gt;"",R22,Q22)&lt;TODAY(),S22=""),"Overdue","On track")),IF(C22="QA",_xlfn.LET(_xlpm.tgt,IF(AL22&lt;&gt;"",AL22,IF(W22&lt;&gt;"",W22,V22)),_xlpm.sent,_xlfn.MAXIFS('Rework Log'!$B$3:$B$500,'Rework Log'!$A$3:$A$500,$B22,'Rework Log'!$C$3:$C$500,"QA"),_xlpm.act,IF(AND(X22&lt;&gt;"",X22&gt;_xlpm.sent),X22,""),IF(_xlpm.tgt="","No target set",IF(AND(_xlpm.tgt&lt;TODAY(),_xlpm.act=""),"Overdue","On track"))),IF(C22="DPO Approval",_xlfn.LET(_xlpm.tgt,IF(AM22&lt;&gt;"",AM22,IF(AA22&lt;&gt;"",AA22,Z22)),_xlpm.sent,_xlfn.MAXIFS('Rework Log'!$B$3:$B$500,'Rework Log'!$A$3:$A$500,$B22,'Rework Log'!$C$3:$C$500,"DPO*"),_xlpm.act,IF(AND(AB22&lt;&gt;"",AB22&gt;_xlpm.sent),AB22,""),IF(_xlpm.tgt="","No target set",IF(AND(_xlpm.tgt&lt;TODAY(),_xlpm.act=""),"Overdue","On track"))),IF(C22="RELEASED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101</v>
      </c>
      <c r="J22" s="33" t="s">
        <v>43</v>
      </c>
      <c r="K22" s="4">
        <v>46185</v>
      </c>
      <c r="L22" s="36"/>
      <c r="M22" s="36">
        <v>46168</v>
      </c>
      <c r="N22" s="36" t="s">
        <v>44</v>
      </c>
      <c r="O22" s="36"/>
      <c r="P22" s="64" t="s">
        <v>59</v>
      </c>
      <c r="Q22" s="4">
        <v>46192</v>
      </c>
      <c r="R22" s="36"/>
      <c r="S22" s="36">
        <v>46183</v>
      </c>
      <c r="T22" s="70"/>
      <c r="U22" s="33" t="s">
        <v>46</v>
      </c>
      <c r="V22" s="60">
        <v>46199</v>
      </c>
      <c r="W22" s="36"/>
      <c r="X22" s="36">
        <v>46198</v>
      </c>
      <c r="Y22" s="36"/>
      <c r="Z22" s="53">
        <v>46202</v>
      </c>
      <c r="AA22" s="36"/>
      <c r="AB22" s="36"/>
      <c r="AC22" s="33"/>
      <c r="AD22" s="33" t="s">
        <v>71</v>
      </c>
      <c r="AE22" s="38" t="s">
        <v>49</v>
      </c>
      <c r="AF22" s="36">
        <v>46198</v>
      </c>
      <c r="AG22" s="39"/>
      <c r="AH22" s="33"/>
      <c r="AI22" s="40" t="s">
        <v>52</v>
      </c>
      <c r="AJ22" s="74" t="str">
        <f>IF($B22="","",IF(AND(LEFT($AI22,3)="Yes",SUMPRODUCT(('Rework Log'!$A$3:$A$500=$B22)*('Rework Log'!$G$3:$G$500&lt;&gt;"Yes")*('Rework Log'!$G$3:$G$500&lt;&gt;"Did not pass re-test"))=0),"Blocked - log it on Rework Log",IF(AND(LEFT($AI22,3)&lt;&gt;"Yes",SUMPRODUCT(('Rework Log'!$A$3:$A$500=$B22)*('Rework Log'!$G$3:$G$500&lt;&gt;"Yes")*('Rework Log'!$G$3:$G$500&lt;&gt;"Did not pass re-test"))&gt;0),"Open rework row - mark Blocked? or close it",IF(AND($AI22="Yes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H)",IF(AND($AI22="Yes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H)",IF(AND($AI22="Yes – needs QA to fix",X22&lt;&gt;"",SUMPRODUCT(MAX((('Rework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Log'!$A$3:$A$500,$B22)&gt;0,"",IF(AND(V22&lt;&gt;"",K22&lt;&gt;"",V22&lt;K22),"QA target is before DB Dev target",IF(AND(V22&lt;&gt;"",Q22&lt;&gt;"",V22&lt;Q22),"QA target is before PBI Dev target",IF(AND(Z22&lt;&gt;"",V22&lt;&gt;"",Z22&lt;V22),"DPO Approval target is before QA target",IF(AND(AF22&lt;&gt;"",Z22&lt;&gt;"",AF22&lt;Z22),"Confirmed Deployed date is before DPO Approval target",""))))))))))))</f>
        <v>Confirmed Deployed date is before DPO Approval target</v>
      </c>
      <c r="AK22" s="41"/>
      <c r="AL22" s="31" t="str" cm="1">
        <f t="array" ref="AL22">_xlfn.LET(_xlpm.rep,$B22,_xlpm.sent,_xlfn.MAXIFS('Rework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2" s="31" t="str" cm="1">
        <f t="array" ref="AM22">_xlfn.LET(_xlpm.rep,$B22,_xlpm.sent,_xlfn.MAXIFS('Rework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3" spans="1:39" hidden="1">
      <c r="A23" s="33" t="s">
        <v>39</v>
      </c>
      <c r="B23" s="33" t="s">
        <v>108</v>
      </c>
      <c r="C23" s="33" t="s">
        <v>41</v>
      </c>
      <c r="D23" t="str" cm="1">
        <f t="array" aca="1" ref="D23" ca="1">IF($B23="","",IF(LEFT($AI23,3)="Yes","Blocked - "&amp;MID($AI23,7,100)&amp;IF(SUMPRODUCT(('Rework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Dev",IF(AND(L23="",K23=""),"No target set",IF(AND(IF(L23&lt;&gt;"",L23,K23)&lt;TODAY(),M23=""),"Overdue","On track")),IF(C23="PBI Dev",IF(AND(R23="",Q23=""),"No target set",IF(AND(IF(R23&lt;&gt;"",R23,Q23)&lt;TODAY(),S23=""),"Overdue","On track")),IF(C23="QA",_xlfn.LET(_xlpm.tgt,IF(AL23&lt;&gt;"",AL23,IF(W23&lt;&gt;"",W23,V23)),_xlpm.sent,_xlfn.MAXIFS('Rework Log'!$B$3:$B$500,'Rework Log'!$A$3:$A$500,$B23,'Rework Log'!$C$3:$C$500,"QA"),_xlpm.act,IF(AND(X23&lt;&gt;"",X23&gt;_xlpm.sent),X23,""),IF(_xlpm.tgt="","No target set",IF(AND(_xlpm.tgt&lt;TODAY(),_xlpm.act=""),"Overdue","On track"))),IF(C23="DPO Approval",_xlfn.LET(_xlpm.tgt,IF(AM23&lt;&gt;"",AM23,IF(AA23&lt;&gt;"",AA23,Z23)),_xlpm.sent,_xlfn.MAXIFS('Rework Log'!$B$3:$B$500,'Rework Log'!$A$3:$A$500,$B23,'Rework Log'!$C$3:$C$500,"DPO*"),_xlpm.act,IF(AND(AB23&lt;&gt;"",AB23&gt;_xlpm.sent),AB23,""),IF(_xlpm.tgt="","No target set",IF(AND(_xlpm.tgt&lt;TODAY(),_xlpm.act=""),"Overdue","On track"))),IF(C23="RELEASED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101</v>
      </c>
      <c r="J23" s="33" t="s">
        <v>43</v>
      </c>
      <c r="K23" s="4">
        <v>46185</v>
      </c>
      <c r="L23" s="36"/>
      <c r="M23" s="36">
        <v>46165</v>
      </c>
      <c r="N23" s="36" t="s">
        <v>44</v>
      </c>
      <c r="O23" s="36"/>
      <c r="P23" s="64" t="s">
        <v>59</v>
      </c>
      <c r="Q23" s="4">
        <v>46192</v>
      </c>
      <c r="R23" s="36"/>
      <c r="S23" s="36">
        <v>46153</v>
      </c>
      <c r="T23" s="70"/>
      <c r="U23" s="33" t="s">
        <v>46</v>
      </c>
      <c r="V23" s="60">
        <v>46199</v>
      </c>
      <c r="W23" s="36"/>
      <c r="X23" s="36">
        <v>46154</v>
      </c>
      <c r="Y23" s="36"/>
      <c r="Z23" s="53">
        <v>46202</v>
      </c>
      <c r="AA23" s="36"/>
      <c r="AB23" s="36"/>
      <c r="AC23" s="33" t="s">
        <v>109</v>
      </c>
      <c r="AD23" s="33" t="s">
        <v>48</v>
      </c>
      <c r="AE23" s="38" t="s">
        <v>49</v>
      </c>
      <c r="AF23" s="36">
        <v>46184</v>
      </c>
      <c r="AG23" s="39" t="s">
        <v>110</v>
      </c>
      <c r="AH23" s="33" t="s">
        <v>111</v>
      </c>
      <c r="AI23" s="40" t="s">
        <v>52</v>
      </c>
      <c r="AJ23" s="74" t="str">
        <f>IF($B23="","",IF(AND(LEFT($AI23,3)="Yes",SUMPRODUCT(('Rework Log'!$A$3:$A$500=$B23)*('Rework Log'!$G$3:$G$500&lt;&gt;"Yes")*('Rework Log'!$G$3:$G$500&lt;&gt;"Did not pass re-test"))=0),"Blocked - log it on Rework Log",IF(AND(LEFT($AI23,3)&lt;&gt;"Yes",SUMPRODUCT(('Rework Log'!$A$3:$A$500=$B23)*('Rework Log'!$G$3:$G$500&lt;&gt;"Yes")*('Rework Log'!$G$3:$G$500&lt;&gt;"Did not pass re-test"))&gt;0),"Open rework row - mark Blocked? or close it",IF(AND($AI23="Yes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H)",IF(AND($AI23="Yes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H)",IF(AND($AI23="Yes – needs QA to fix",X23&lt;&gt;"",SUMPRODUCT(MAX((('Rework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Log'!$A$3:$A$500,$B23)&gt;0,"",IF(AND(V23&lt;&gt;"",K23&lt;&gt;"",V23&lt;K23),"QA target is before DB Dev target",IF(AND(V23&lt;&gt;"",Q23&lt;&gt;"",V23&lt;Q23),"QA target is before PBI Dev target",IF(AND(Z23&lt;&gt;"",V23&lt;&gt;"",Z23&lt;V23),"DPO Approval target is before QA target",IF(AND(AF23&lt;&gt;"",Z23&lt;&gt;"",AF23&lt;Z23),"Confirmed Deployed date is before DPO Approval target",""))))))))))))</f>
        <v>Confirmed Deployed date is before DPO Approval target</v>
      </c>
      <c r="AK23" s="41"/>
      <c r="AL23" s="31" t="str" cm="1">
        <f t="array" ref="AL23">_xlfn.LET(_xlpm.rep,$B23,_xlpm.sent,_xlfn.MAXIFS('Rework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3" s="31" t="str" cm="1">
        <f t="array" ref="AM23">_xlfn.LET(_xlpm.rep,$B23,_xlpm.sent,_xlfn.MAXIFS('Rework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4" spans="1:39" hidden="1">
      <c r="A24" s="33" t="s">
        <v>39</v>
      </c>
      <c r="B24" s="33" t="s">
        <v>112</v>
      </c>
      <c r="C24" s="33" t="s">
        <v>41</v>
      </c>
      <c r="D24" t="str" cm="1">
        <f t="array" aca="1" ref="D24" ca="1">IF($B24="","",IF(LEFT($AI24,3)="Yes","Blocked - "&amp;MID($AI24,7,100)&amp;IF(SUMPRODUCT(('Rework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Dev",IF(AND(L24="",K24=""),"No target set",IF(AND(IF(L24&lt;&gt;"",L24,K24)&lt;TODAY(),M24=""),"Overdue","On track")),IF(C24="PBI Dev",IF(AND(R24="",Q24=""),"No target set",IF(AND(IF(R24&lt;&gt;"",R24,Q24)&lt;TODAY(),S24=""),"Overdue","On track")),IF(C24="QA",_xlfn.LET(_xlpm.tgt,IF(AL24&lt;&gt;"",AL24,IF(W24&lt;&gt;"",W24,V24)),_xlpm.sent,_xlfn.MAXIFS('Rework Log'!$B$3:$B$500,'Rework Log'!$A$3:$A$500,$B24,'Rework Log'!$C$3:$C$500,"QA"),_xlpm.act,IF(AND(X24&lt;&gt;"",X24&gt;_xlpm.sent),X24,""),IF(_xlpm.tgt="","No target set",IF(AND(_xlpm.tgt&lt;TODAY(),_xlpm.act=""),"Overdue","On track"))),IF(C24="DPO Approval",_xlfn.LET(_xlpm.tgt,IF(AM24&lt;&gt;"",AM24,IF(AA24&lt;&gt;"",AA24,Z24)),_xlpm.sent,_xlfn.MAXIFS('Rework Log'!$B$3:$B$500,'Rework Log'!$A$3:$A$500,$B24,'Rework Log'!$C$3:$C$500,"DPO*"),_xlpm.act,IF(AND(AB24&lt;&gt;"",AB24&gt;_xlpm.sent),AB24,""),IF(_xlpm.tgt="","No target set",IF(AND(_xlpm.tgt&lt;TODAY(),_xlpm.act=""),"Overdue","On track"))),IF(C24="RELEASED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101</v>
      </c>
      <c r="J24" s="33" t="s">
        <v>58</v>
      </c>
      <c r="K24" s="4">
        <v>46185</v>
      </c>
      <c r="L24" s="36"/>
      <c r="M24" s="36">
        <v>46162</v>
      </c>
      <c r="N24" s="36" t="s">
        <v>44</v>
      </c>
      <c r="O24" s="36"/>
      <c r="P24" s="64" t="s">
        <v>45</v>
      </c>
      <c r="Q24" s="4">
        <v>46192</v>
      </c>
      <c r="R24" s="36"/>
      <c r="S24" s="36">
        <v>46186</v>
      </c>
      <c r="T24" s="70"/>
      <c r="U24" s="33" t="s">
        <v>87</v>
      </c>
      <c r="V24" s="60">
        <v>46199</v>
      </c>
      <c r="W24" s="36"/>
      <c r="X24" s="36"/>
      <c r="Y24" s="36"/>
      <c r="Z24" s="53">
        <v>46202</v>
      </c>
      <c r="AA24" s="36"/>
      <c r="AB24" s="36"/>
      <c r="AC24" s="33" t="s">
        <v>113</v>
      </c>
      <c r="AD24" s="33" t="s">
        <v>71</v>
      </c>
      <c r="AE24" s="38" t="s">
        <v>49</v>
      </c>
      <c r="AF24" s="36">
        <v>46227</v>
      </c>
      <c r="AG24" s="39"/>
      <c r="AH24" s="33"/>
      <c r="AI24" s="40" t="s">
        <v>52</v>
      </c>
      <c r="AJ24" s="74" t="str">
        <f>IF($B24="","",IF(AND(LEFT($AI24,3)="Yes",SUMPRODUCT(('Rework Log'!$A$3:$A$500=$B24)*('Rework Log'!$G$3:$G$500&lt;&gt;"Yes")*('Rework Log'!$G$3:$G$500&lt;&gt;"Did not pass re-test"))=0),"Blocked - log it on Rework Log",IF(AND(LEFT($AI24,3)&lt;&gt;"Yes",SUMPRODUCT(('Rework Log'!$A$3:$A$500=$B24)*('Rework Log'!$G$3:$G$500&lt;&gt;"Yes")*('Rework Log'!$G$3:$G$500&lt;&gt;"Did not pass re-test"))&gt;0),"Open rework row - mark Blocked? or close it",IF(AND($AI24="Yes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H)",IF(AND($AI24="Yes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H)",IF(AND($AI24="Yes – needs QA to fix",X24&lt;&gt;"",SUMPRODUCT(MAX((('Rework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Log'!$A$3:$A$500,$B24)&gt;0,"",IF(AND(V24&lt;&gt;"",K24&lt;&gt;"",V24&lt;K24),"QA target is before DB Dev target",IF(AND(V24&lt;&gt;"",Q24&lt;&gt;"",V24&lt;Q24),"QA target is before PBI Dev target",IF(AND(Z24&lt;&gt;"",V24&lt;&gt;"",Z24&lt;V24),"DPO Approval target is before QA target",IF(AND(AF24&lt;&gt;"",Z24&lt;&gt;"",AF24&lt;Z24),"Confirmed Deployed date is before DPO Approval target",""))))))))))))</f>
        <v/>
      </c>
      <c r="AK24" s="41" t="s">
        <v>114</v>
      </c>
      <c r="AL24" s="31" t="str" cm="1">
        <f t="array" ref="AL24">_xlfn.LET(_xlpm.rep,$B24,_xlpm.sent,_xlfn.MAXIFS('Rework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4" s="31" t="str" cm="1">
        <f t="array" ref="AM24">_xlfn.LET(_xlpm.rep,$B24,_xlpm.sent,_xlfn.MAXIFS('Rework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5" spans="1:39" hidden="1">
      <c r="A25" s="33" t="s">
        <v>39</v>
      </c>
      <c r="B25" s="33" t="s">
        <v>115</v>
      </c>
      <c r="C25" s="33" t="s">
        <v>41</v>
      </c>
      <c r="D25" t="str" cm="1">
        <f t="array" aca="1" ref="D25" ca="1">IF($B25="","",IF(LEFT($AI25,3)="Yes","Blocked - "&amp;MID($AI25,7,100)&amp;IF(SUMPRODUCT(('Rework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Dev",IF(AND(L25="",K25=""),"No target set",IF(AND(IF(L25&lt;&gt;"",L25,K25)&lt;TODAY(),M25=""),"Overdue","On track")),IF(C25="PBI Dev",IF(AND(R25="",Q25=""),"No target set",IF(AND(IF(R25&lt;&gt;"",R25,Q25)&lt;TODAY(),S25=""),"Overdue","On track")),IF(C25="QA",_xlfn.LET(_xlpm.tgt,IF(AL25&lt;&gt;"",AL25,IF(W25&lt;&gt;"",W25,V25)),_xlpm.sent,_xlfn.MAXIFS('Rework Log'!$B$3:$B$500,'Rework Log'!$A$3:$A$500,$B25,'Rework Log'!$C$3:$C$500,"QA"),_xlpm.act,IF(AND(X25&lt;&gt;"",X25&gt;_xlpm.sent),X25,""),IF(_xlpm.tgt="","No target set",IF(AND(_xlpm.tgt&lt;TODAY(),_xlpm.act=""),"Overdue","On track"))),IF(C25="DPO Approval",_xlfn.LET(_xlpm.tgt,IF(AM25&lt;&gt;"",AM25,IF(AA25&lt;&gt;"",AA25,Z25)),_xlpm.sent,_xlfn.MAXIFS('Rework Log'!$B$3:$B$500,'Rework Log'!$A$3:$A$500,$B25,'Rework Log'!$C$3:$C$500,"DPO*"),_xlpm.act,IF(AND(AB25&lt;&gt;"",AB25&gt;_xlpm.sent),AB25,""),IF(_xlpm.tgt="","No target set",IF(AND(_xlpm.tgt&lt;TODAY(),_xlpm.act=""),"Overdue","On track"))),IF(C25="RELEASED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101</v>
      </c>
      <c r="J25" s="33" t="s">
        <v>58</v>
      </c>
      <c r="K25" s="4">
        <v>46185</v>
      </c>
      <c r="L25" s="36"/>
      <c r="M25" s="36">
        <v>46162</v>
      </c>
      <c r="N25" s="36" t="s">
        <v>44</v>
      </c>
      <c r="O25" s="36"/>
      <c r="P25" s="64" t="s">
        <v>76</v>
      </c>
      <c r="Q25" s="4">
        <v>46192</v>
      </c>
      <c r="R25" s="36"/>
      <c r="S25" s="36">
        <v>46164</v>
      </c>
      <c r="T25" s="70"/>
      <c r="U25" s="33" t="s">
        <v>46</v>
      </c>
      <c r="V25" s="60">
        <v>46199</v>
      </c>
      <c r="W25" s="36"/>
      <c r="X25" s="36">
        <v>46204</v>
      </c>
      <c r="Y25" s="36"/>
      <c r="Z25" s="53">
        <v>46202</v>
      </c>
      <c r="AA25" s="36"/>
      <c r="AB25" s="36"/>
      <c r="AC25" s="33" t="s">
        <v>109</v>
      </c>
      <c r="AD25" s="33" t="s">
        <v>48</v>
      </c>
      <c r="AE25" s="38" t="s">
        <v>49</v>
      </c>
      <c r="AF25" s="36">
        <v>46204</v>
      </c>
      <c r="AG25" s="39"/>
      <c r="AH25" s="33"/>
      <c r="AI25" s="40" t="s">
        <v>52</v>
      </c>
      <c r="AJ25" s="74" t="str">
        <f>IF($B25="","",IF(AND(LEFT($AI25,3)="Yes",SUMPRODUCT(('Rework Log'!$A$3:$A$500=$B25)*('Rework Log'!$G$3:$G$500&lt;&gt;"Yes")*('Rework Log'!$G$3:$G$500&lt;&gt;"Did not pass re-test"))=0),"Blocked - log it on Rework Log",IF(AND(LEFT($AI25,3)&lt;&gt;"Yes",SUMPRODUCT(('Rework Log'!$A$3:$A$500=$B25)*('Rework Log'!$G$3:$G$500&lt;&gt;"Yes")*('Rework Log'!$G$3:$G$500&lt;&gt;"Did not pass re-test"))&gt;0),"Open rework row - mark Blocked? or close it",IF(AND($AI25="Yes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H)",IF(AND($AI25="Yes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H)",IF(AND($AI25="Yes – needs QA to fix",X25&lt;&gt;"",SUMPRODUCT(MAX((('Rework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Log'!$A$3:$A$500,$B25)&gt;0,"",IF(AND(V25&lt;&gt;"",K25&lt;&gt;"",V25&lt;K25),"QA target is before DB Dev target",IF(AND(V25&lt;&gt;"",Q25&lt;&gt;"",V25&lt;Q25),"QA target is before PBI Dev target",IF(AND(Z25&lt;&gt;"",V25&lt;&gt;"",Z25&lt;V25),"DPO Approval target is before QA target",IF(AND(AF25&lt;&gt;"",Z25&lt;&gt;"",AF25&lt;Z25),"Confirmed Deployed date is before DPO Approval target",""))))))))))))</f>
        <v/>
      </c>
      <c r="AK25" s="41" t="s">
        <v>114</v>
      </c>
      <c r="AL25" s="31" t="str" cm="1">
        <f t="array" ref="AL25">_xlfn.LET(_xlpm.rep,$B25,_xlpm.sent,_xlfn.MAXIFS('Rework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5" s="31" t="str" cm="1">
        <f t="array" ref="AM25">_xlfn.LET(_xlpm.rep,$B25,_xlpm.sent,_xlfn.MAXIFS('Rework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6" spans="1:39" hidden="1">
      <c r="A26" s="33" t="s">
        <v>39</v>
      </c>
      <c r="B26" s="33" t="s">
        <v>116</v>
      </c>
      <c r="C26" s="33" t="s">
        <v>41</v>
      </c>
      <c r="D26" t="str" cm="1">
        <f t="array" aca="1" ref="D26" ca="1">IF($B26="","",IF(LEFT($AI26,3)="Yes","Blocked - "&amp;MID($AI26,7,100)&amp;IF(SUMPRODUCT(('Rework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Dev",IF(AND(L26="",K26=""),"No target set",IF(AND(IF(L26&lt;&gt;"",L26,K26)&lt;TODAY(),M26=""),"Overdue","On track")),IF(C26="PBI Dev",IF(AND(R26="",Q26=""),"No target set",IF(AND(IF(R26&lt;&gt;"",R26,Q26)&lt;TODAY(),S26=""),"Overdue","On track")),IF(C26="QA",_xlfn.LET(_xlpm.tgt,IF(AL26&lt;&gt;"",AL26,IF(W26&lt;&gt;"",W26,V26)),_xlpm.sent,_xlfn.MAXIFS('Rework Log'!$B$3:$B$500,'Rework Log'!$A$3:$A$500,$B26,'Rework Log'!$C$3:$C$500,"QA"),_xlpm.act,IF(AND(X26&lt;&gt;"",X26&gt;_xlpm.sent),X26,""),IF(_xlpm.tgt="","No target set",IF(AND(_xlpm.tgt&lt;TODAY(),_xlpm.act=""),"Overdue","On track"))),IF(C26="DPO Approval",_xlfn.LET(_xlpm.tgt,IF(AM26&lt;&gt;"",AM26,IF(AA26&lt;&gt;"",AA26,Z26)),_xlpm.sent,_xlfn.MAXIFS('Rework Log'!$B$3:$B$500,'Rework Log'!$A$3:$A$500,$B26,'Rework Log'!$C$3:$C$500,"DPO*"),_xlpm.act,IF(AND(AB26&lt;&gt;"",AB26&gt;_xlpm.sent),AB26,""),IF(_xlpm.tgt="","No target set",IF(AND(_xlpm.tgt&lt;TODAY(),_xlpm.act=""),"Overdue","On track"))),IF(C26="RELEASED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101</v>
      </c>
      <c r="J26" s="33" t="s">
        <v>117</v>
      </c>
      <c r="K26" s="4">
        <v>46185</v>
      </c>
      <c r="L26" s="36"/>
      <c r="M26" s="36">
        <v>46169</v>
      </c>
      <c r="N26" s="36" t="s">
        <v>44</v>
      </c>
      <c r="O26" s="36"/>
      <c r="P26" s="64" t="s">
        <v>59</v>
      </c>
      <c r="Q26" s="4">
        <v>46192</v>
      </c>
      <c r="R26" s="36"/>
      <c r="S26" s="36">
        <v>46191</v>
      </c>
      <c r="T26" s="70"/>
      <c r="U26" s="33" t="s">
        <v>87</v>
      </c>
      <c r="V26" s="60">
        <v>46199</v>
      </c>
      <c r="W26" s="36"/>
      <c r="X26" s="36">
        <v>46196</v>
      </c>
      <c r="Y26" s="36"/>
      <c r="Z26" s="53">
        <v>46202</v>
      </c>
      <c r="AA26" s="36"/>
      <c r="AB26" s="36"/>
      <c r="AC26" s="33" t="s">
        <v>118</v>
      </c>
      <c r="AD26" s="33" t="s">
        <v>48</v>
      </c>
      <c r="AE26" s="38" t="s">
        <v>49</v>
      </c>
      <c r="AF26" s="36">
        <v>46196</v>
      </c>
      <c r="AG26" s="39" t="s">
        <v>119</v>
      </c>
      <c r="AH26" s="33" t="s">
        <v>120</v>
      </c>
      <c r="AI26" s="40" t="s">
        <v>52</v>
      </c>
      <c r="AJ26" s="74" t="str">
        <f>IF($B26="","",IF(AND(LEFT($AI26,3)="Yes",SUMPRODUCT(('Rework Log'!$A$3:$A$500=$B26)*('Rework Log'!$G$3:$G$500&lt;&gt;"Yes")*('Rework Log'!$G$3:$G$500&lt;&gt;"Did not pass re-test"))=0),"Blocked - log it on Rework Log",IF(AND(LEFT($AI26,3)&lt;&gt;"Yes",SUMPRODUCT(('Rework Log'!$A$3:$A$500=$B26)*('Rework Log'!$G$3:$G$500&lt;&gt;"Yes")*('Rework Log'!$G$3:$G$500&lt;&gt;"Did not pass re-test"))&gt;0),"Open rework row - mark Blocked? or close it",IF(AND($AI26="Yes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H)",IF(AND($AI26="Yes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H)",IF(AND($AI26="Yes – needs QA to fix",X26&lt;&gt;"",SUMPRODUCT(MAX((('Rework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Log'!$A$3:$A$500,$B26)&gt;0,"",IF(AND(V26&lt;&gt;"",K26&lt;&gt;"",V26&lt;K26),"QA target is before DB Dev target",IF(AND(V26&lt;&gt;"",Q26&lt;&gt;"",V26&lt;Q26),"QA target is before PBI Dev target",IF(AND(Z26&lt;&gt;"",V26&lt;&gt;"",Z26&lt;V26),"DPO Approval target is before QA target",IF(AND(AF26&lt;&gt;"",Z26&lt;&gt;"",AF26&lt;Z26),"Confirmed Deployed date is before DPO Approval target",""))))))))))))</f>
        <v>Confirmed Deployed date is before DPO Approval target</v>
      </c>
      <c r="AK26" s="41"/>
      <c r="AL26" s="31" t="str" cm="1">
        <f t="array" ref="AL26">_xlfn.LET(_xlpm.rep,$B26,_xlpm.sent,_xlfn.MAXIFS('Rework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6" s="31" t="str" cm="1">
        <f t="array" ref="AM26">_xlfn.LET(_xlpm.rep,$B26,_xlpm.sent,_xlfn.MAXIFS('Rework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7" spans="1:39" hidden="1">
      <c r="A27" s="33" t="s">
        <v>39</v>
      </c>
      <c r="B27" s="33" t="s">
        <v>121</v>
      </c>
      <c r="C27" s="33" t="s">
        <v>41</v>
      </c>
      <c r="D27" t="str" cm="1">
        <f t="array" aca="1" ref="D27" ca="1">IF($B27="","",IF(LEFT($AI27,3)="Yes","Blocked - "&amp;MID($AI27,7,100)&amp;IF(SUMPRODUCT(('Rework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Dev",IF(AND(L27="",K27=""),"No target set",IF(AND(IF(L27&lt;&gt;"",L27,K27)&lt;TODAY(),M27=""),"Overdue","On track")),IF(C27="PBI Dev",IF(AND(R27="",Q27=""),"No target set",IF(AND(IF(R27&lt;&gt;"",R27,Q27)&lt;TODAY(),S27=""),"Overdue","On track")),IF(C27="QA",_xlfn.LET(_xlpm.tgt,IF(AL27&lt;&gt;"",AL27,IF(W27&lt;&gt;"",W27,V27)),_xlpm.sent,_xlfn.MAXIFS('Rework Log'!$B$3:$B$500,'Rework Log'!$A$3:$A$500,$B27,'Rework Log'!$C$3:$C$500,"QA"),_xlpm.act,IF(AND(X27&lt;&gt;"",X27&gt;_xlpm.sent),X27,""),IF(_xlpm.tgt="","No target set",IF(AND(_xlpm.tgt&lt;TODAY(),_xlpm.act=""),"Overdue","On track"))),IF(C27="DPO Approval",_xlfn.LET(_xlpm.tgt,IF(AM27&lt;&gt;"",AM27,IF(AA27&lt;&gt;"",AA27,Z27)),_xlpm.sent,_xlfn.MAXIFS('Rework Log'!$B$3:$B$500,'Rework Log'!$A$3:$A$500,$B27,'Rework Log'!$C$3:$C$500,"DPO*"),_xlpm.act,IF(AND(AB27&lt;&gt;"",AB27&gt;_xlpm.sent),AB27,""),IF(_xlpm.tgt="","No target set",IF(AND(_xlpm.tgt&lt;TODAY(),_xlpm.act=""),"Overdue","On track"))),IF(C27="RELEASED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101</v>
      </c>
      <c r="J27" s="33" t="s">
        <v>102</v>
      </c>
      <c r="K27" s="4">
        <v>46185</v>
      </c>
      <c r="L27" s="36"/>
      <c r="M27" s="36">
        <v>46168</v>
      </c>
      <c r="N27" s="36" t="s">
        <v>44</v>
      </c>
      <c r="O27" s="36"/>
      <c r="P27" s="64" t="s">
        <v>76</v>
      </c>
      <c r="Q27" s="4">
        <v>46192</v>
      </c>
      <c r="R27" s="36"/>
      <c r="S27" s="36">
        <v>46189</v>
      </c>
      <c r="T27" s="70"/>
      <c r="U27" s="55" t="s">
        <v>87</v>
      </c>
      <c r="V27" s="60">
        <v>46199</v>
      </c>
      <c r="W27" s="36"/>
      <c r="X27" s="36">
        <v>46189</v>
      </c>
      <c r="Y27" s="36"/>
      <c r="Z27" s="53">
        <v>46202</v>
      </c>
      <c r="AA27" s="36"/>
      <c r="AB27" s="36"/>
      <c r="AC27" s="33"/>
      <c r="AD27" s="33" t="s">
        <v>71</v>
      </c>
      <c r="AE27" s="38" t="s">
        <v>49</v>
      </c>
      <c r="AF27" s="36">
        <v>46192</v>
      </c>
      <c r="AG27" s="39" t="s">
        <v>122</v>
      </c>
      <c r="AH27" s="33"/>
      <c r="AI27" s="40" t="s">
        <v>52</v>
      </c>
      <c r="AJ27" s="74" t="str">
        <f>IF($B27="","",IF(AND(LEFT($AI27,3)="Yes",SUMPRODUCT(('Rework Log'!$A$3:$A$500=$B27)*('Rework Log'!$G$3:$G$500&lt;&gt;"Yes")*('Rework Log'!$G$3:$G$500&lt;&gt;"Did not pass re-test"))=0),"Blocked - log it on Rework Log",IF(AND(LEFT($AI27,3)&lt;&gt;"Yes",SUMPRODUCT(('Rework Log'!$A$3:$A$500=$B27)*('Rework Log'!$G$3:$G$500&lt;&gt;"Yes")*('Rework Log'!$G$3:$G$500&lt;&gt;"Did not pass re-test"))&gt;0),"Open rework row - mark Blocked? or close it",IF(AND($AI27="Yes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H)",IF(AND($AI27="Yes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H)",IF(AND($AI27="Yes – needs QA to fix",X27&lt;&gt;"",SUMPRODUCT(MAX((('Rework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Log'!$A$3:$A$500,$B27)&gt;0,"",IF(AND(V27&lt;&gt;"",K27&lt;&gt;"",V27&lt;K27),"QA target is before DB Dev target",IF(AND(V27&lt;&gt;"",Q27&lt;&gt;"",V27&lt;Q27),"QA target is before PBI Dev target",IF(AND(Z27&lt;&gt;"",V27&lt;&gt;"",Z27&lt;V27),"DPO Approval target is before QA target",IF(AND(AF27&lt;&gt;"",Z27&lt;&gt;"",AF27&lt;Z27),"Confirmed Deployed date is before DPO Approval target",""))))))))))))</f>
        <v>Confirmed Deployed date is before DPO Approval target</v>
      </c>
      <c r="AK27" s="41"/>
      <c r="AL27" s="31" t="str" cm="1">
        <f t="array" ref="AL27">_xlfn.LET(_xlpm.rep,$B27,_xlpm.sent,_xlfn.MAXIFS('Rework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7" s="31" t="str" cm="1">
        <f t="array" ref="AM27">_xlfn.LET(_xlpm.rep,$B27,_xlpm.sent,_xlfn.MAXIFS('Rework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8" spans="1:39" hidden="1">
      <c r="A28" s="33" t="s">
        <v>39</v>
      </c>
      <c r="B28" s="33" t="s">
        <v>123</v>
      </c>
      <c r="C28" s="33" t="s">
        <v>41</v>
      </c>
      <c r="D28" t="str" cm="1">
        <f t="array" aca="1" ref="D28" ca="1">IF($B28="","",IF(LEFT($AI28,3)="Yes","Blocked - "&amp;MID($AI28,7,100)&amp;IF(SUMPRODUCT(('Rework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Dev",IF(AND(L28="",K28=""),"No target set",IF(AND(IF(L28&lt;&gt;"",L28,K28)&lt;TODAY(),M28=""),"Overdue","On track")),IF(C28="PBI Dev",IF(AND(R28="",Q28=""),"No target set",IF(AND(IF(R28&lt;&gt;"",R28,Q28)&lt;TODAY(),S28=""),"Overdue","On track")),IF(C28="QA",_xlfn.LET(_xlpm.tgt,IF(AL28&lt;&gt;"",AL28,IF(W28&lt;&gt;"",W28,V28)),_xlpm.sent,_xlfn.MAXIFS('Rework Log'!$B$3:$B$500,'Rework Log'!$A$3:$A$500,$B28,'Rework Log'!$C$3:$C$500,"QA"),_xlpm.act,IF(AND(X28&lt;&gt;"",X28&gt;_xlpm.sent),X28,""),IF(_xlpm.tgt="","No target set",IF(AND(_xlpm.tgt&lt;TODAY(),_xlpm.act=""),"Overdue","On track"))),IF(C28="DPO Approval",_xlfn.LET(_xlpm.tgt,IF(AM28&lt;&gt;"",AM28,IF(AA28&lt;&gt;"",AA28,Z28)),_xlpm.sent,_xlfn.MAXIFS('Rework Log'!$B$3:$B$500,'Rework Log'!$A$3:$A$500,$B28,'Rework Log'!$C$3:$C$500,"DPO*"),_xlpm.act,IF(AND(AB28&lt;&gt;"",AB28&gt;_xlpm.sent),AB28,""),IF(_xlpm.tgt="","No target set",IF(AND(_xlpm.tgt&lt;TODAY(),_xlpm.act=""),"Overdue","On track"))),IF(C28="RELEASED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101</v>
      </c>
      <c r="J28" s="33" t="s">
        <v>83</v>
      </c>
      <c r="K28" s="4">
        <v>46185</v>
      </c>
      <c r="L28" s="36"/>
      <c r="M28" s="36">
        <v>46169</v>
      </c>
      <c r="N28" s="36" t="s">
        <v>44</v>
      </c>
      <c r="O28" s="36"/>
      <c r="P28" s="64" t="s">
        <v>76</v>
      </c>
      <c r="Q28" s="4">
        <v>46192</v>
      </c>
      <c r="R28" s="36"/>
      <c r="S28" s="36">
        <v>46195</v>
      </c>
      <c r="T28" s="70"/>
      <c r="U28" s="33"/>
      <c r="V28" s="60">
        <v>46199</v>
      </c>
      <c r="W28" s="36"/>
      <c r="X28" s="36">
        <v>46197</v>
      </c>
      <c r="Y28" s="36"/>
      <c r="Z28" s="53">
        <v>46202</v>
      </c>
      <c r="AA28" s="36"/>
      <c r="AB28" s="36"/>
      <c r="AC28" s="33" t="s">
        <v>124</v>
      </c>
      <c r="AD28" s="33" t="s">
        <v>71</v>
      </c>
      <c r="AE28" s="38" t="s">
        <v>49</v>
      </c>
      <c r="AF28" s="36">
        <v>46197</v>
      </c>
      <c r="AG28" s="39"/>
      <c r="AH28" s="33"/>
      <c r="AI28" s="40" t="s">
        <v>52</v>
      </c>
      <c r="AJ28" s="74" t="str">
        <f>IF($B28="","",IF(AND(LEFT($AI28,3)="Yes",SUMPRODUCT(('Rework Log'!$A$3:$A$500=$B28)*('Rework Log'!$G$3:$G$500&lt;&gt;"Yes")*('Rework Log'!$G$3:$G$500&lt;&gt;"Did not pass re-test"))=0),"Blocked - log it on Rework Log",IF(AND(LEFT($AI28,3)&lt;&gt;"Yes",SUMPRODUCT(('Rework Log'!$A$3:$A$500=$B28)*('Rework Log'!$G$3:$G$500&lt;&gt;"Yes")*('Rework Log'!$G$3:$G$500&lt;&gt;"Did not pass re-test"))&gt;0),"Open rework row - mark Blocked? or close it",IF(AND($AI28="Yes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H)",IF(AND($AI28="Yes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H)",IF(AND($AI28="Yes – needs QA to fix",X28&lt;&gt;"",SUMPRODUCT(MAX((('Rework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Log'!$A$3:$A$500,$B28)&gt;0,"",IF(AND(V28&lt;&gt;"",K28&lt;&gt;"",V28&lt;K28),"QA target is before DB Dev target",IF(AND(V28&lt;&gt;"",Q28&lt;&gt;"",V28&lt;Q28),"QA target is before PBI Dev target",IF(AND(Z28&lt;&gt;"",V28&lt;&gt;"",Z28&lt;V28),"DPO Approval target is before QA target",IF(AND(AF28&lt;&gt;"",Z28&lt;&gt;"",AF28&lt;Z28),"Confirmed Deployed date is before DPO Approval target",""))))))))))))</f>
        <v>Confirmed Deployed date is before DPO Approval target</v>
      </c>
      <c r="AK28" s="41" t="s">
        <v>125</v>
      </c>
      <c r="AL28" s="31" t="str" cm="1">
        <f t="array" ref="AL28">_xlfn.LET(_xlpm.rep,$B28,_xlpm.sent,_xlfn.MAXIFS('Rework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28" s="31" t="str" cm="1">
        <f t="array" ref="AM28">_xlfn.LET(_xlpm.rep,$B28,_xlpm.sent,_xlfn.MAXIFS('Rework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29" spans="1:39" hidden="1">
      <c r="A29" s="33" t="s">
        <v>126</v>
      </c>
      <c r="B29" s="33" t="s">
        <v>127</v>
      </c>
      <c r="C29" s="33" t="s">
        <v>128</v>
      </c>
      <c r="D29" t="str" cm="1">
        <f t="array" aca="1" ref="D29" ca="1">IF($B29="","",IF(LEFT($AI29,3)="Yes","Blocked - "&amp;MID($AI29,7,100)&amp;IF(SUMPRODUCT(('Rework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Dev",_xlfn.LET(_xlpm.sent,_xlfn.MAXIFS('Rework Log'!$B$3:$B$500,'Rework Log'!$A$3:$A$500,$B29,'Rework Log'!$D$3:$D$500,"DB Dev"),_xlpm.expfix,_xlfn.MAXIFS('Rework Log'!$I$3:$I$500,'Rework Log'!$A$3:$A$500,$B29,'Rework Log'!$D$3:$D$500,"DB Dev",'Rework Log'!$B$3:$B$500,_xlpm.sent),_xlpm.tgt,IF(_xlpm.expfix&gt;0,_xlpm.expfix,IF(L29&lt;&gt;"",L29,K29)),_xlpm.act,IF(AND(M29&lt;&gt;"",M29&gt;=_xlpm.sent),M29,""),IF(_xlpm.tgt="","No target set",IF(AND(_xlpm.tgt&lt;TODAY(),_xlpm.act=""),"Overdue","On track"))),IF(C29="PBI Dev",_xlfn.LET(_xlpm.sent,_xlfn.MAXIFS('Rework Log'!$B$3:$B$500,'Rework Log'!$A$3:$A$500,$B29,'Rework Log'!$D$3:$D$500,"PBI Dev"),_xlpm.expfix,_xlfn.MAXIFS('Rework Log'!$I$3:$I$500,'Rework Log'!$A$3:$A$500,$B29,'Rework Log'!$D$3:$D$500,"PBI Dev",'Rework Log'!$B$3:$B$500,_xlpm.sent),_xlpm.tgt,IF(_xlpm.expfix&gt;0,_xlpm.expfix,IF(R29&lt;&gt;"",R29,Q29)),_xlpm.act,IF(AND(S29&lt;&gt;"",S29&gt;=_xlpm.sent),S29,""),IF(_xlpm.tgt="","No target set",IF(AND(_xlpm.tgt&lt;TODAY(),_xlpm.act=""),"Overdue","On track"))),IF(C29="QA",_xlfn.LET(_xlpm.tgt,IF(AL29&lt;&gt;"",AL29,IF(W29&lt;&gt;"",W29,V29)),_xlpm.sent,_xlfn.MAXIFS('Rework Log'!$B$3:$B$500,'Rework Log'!$A$3:$A$500,$B29,'Rework Log'!$C$3:$C$500,"QA"),_xlpm.act,IF(AND(X29&lt;&gt;"",X29&gt;=_xlpm.sent),X29,""),IF(_xlpm.tgt="","No target set",IF(AND(_xlpm.tgt&lt;TODAY(),_xlpm.act=""),"Overdue","On track"))),IF(C29="DPO Approval",_xlfn.LET(_xlpm.tgt,IF(AM29&lt;&gt;"",AM29,IF(AA29&lt;&gt;"",AA29,Z29)),_xlpm.sent,_xlfn.MAXIFS('Rework Log'!$B$3:$B$500,'Rework Log'!$A$3:$A$500,$B29,'Rework Log'!$C$3:$C$500,"DPO*"),_xlpm.act,IF(AND(AB29&lt;&gt;"",AB29&gt;=_xlpm.sent),AB29,""),IF(_xlpm.tgt="","No target set",IF(AND(_xlpm.tgt&lt;TODAY(),_xlpm.act=""),"Overdue","On track"))),IF(C29="RELEASED IN PROD","Delivered",""))))))))</f>
        <v>Overdue</v>
      </c>
      <c r="E29" s="33">
        <v>1</v>
      </c>
      <c r="F29" s="34" t="s">
        <v>129</v>
      </c>
      <c r="G29" s="33"/>
      <c r="H29" s="50">
        <v>46234</v>
      </c>
      <c r="I29" s="62" t="s">
        <v>130</v>
      </c>
      <c r="J29" s="33" t="s">
        <v>75</v>
      </c>
      <c r="K29" s="4">
        <v>46213</v>
      </c>
      <c r="L29" s="36">
        <v>46244</v>
      </c>
      <c r="M29" s="37">
        <v>46245</v>
      </c>
      <c r="N29" s="47" t="s">
        <v>44</v>
      </c>
      <c r="O29" s="36" t="s">
        <v>131</v>
      </c>
      <c r="P29" s="66" t="s">
        <v>59</v>
      </c>
      <c r="Q29" s="4">
        <v>46220</v>
      </c>
      <c r="R29" s="36">
        <v>46245</v>
      </c>
      <c r="S29" s="75">
        <v>46245</v>
      </c>
      <c r="T29" s="70"/>
      <c r="U29" s="55" t="s">
        <v>129</v>
      </c>
      <c r="V29" s="60">
        <v>46227</v>
      </c>
      <c r="W29" s="36">
        <v>46252</v>
      </c>
      <c r="X29" s="36">
        <v>46252</v>
      </c>
      <c r="Y29" s="36"/>
      <c r="Z29" s="53">
        <v>46232</v>
      </c>
      <c r="AA29" s="36">
        <v>46261</v>
      </c>
      <c r="AB29" s="36"/>
      <c r="AC29" s="33" t="s">
        <v>132</v>
      </c>
      <c r="AD29" s="33" t="s">
        <v>48</v>
      </c>
      <c r="AE29" s="38"/>
      <c r="AF29" s="36"/>
      <c r="AG29" s="39"/>
      <c r="AH29" s="33"/>
      <c r="AI29" s="40" t="s">
        <v>52</v>
      </c>
      <c r="AJ29" s="74" t="str">
        <f>IF($B29="","",IF(AND(LEFT($AI29,3)="Yes",SUMPRODUCT(('Rework Log'!$A$3:$A$500=$B29)*('Rework Log'!$G$3:$G$500&lt;&gt;"Yes")*('Rework Log'!$G$3:$G$500&lt;&gt;"Did not pass re-test"))=0),"Blocked - log it on Rework Log",IF(AND(LEFT($AI29,3)&lt;&gt;"Yes",SUMPRODUCT(('Rework Log'!$A$3:$A$500=$B29)*('Rework Log'!$G$3:$G$500&lt;&gt;"Yes")*('Rework Log'!$G$3:$G$500&lt;&gt;"Did not pass re-test"))&gt;0),"Open rework row - mark Blocked? or close it",IF(AND($AI29="Yes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H)",IF(AND($AI29="Yes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H)",IF(AND($AI29="Yes – needs QA to fix",X29&lt;&gt;"",SUMPRODUCT(MAX((('Rework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Log'!$A$3:$A$500,$B29)&gt;0,"",IF(AND(V29&lt;&gt;"",K29&lt;&gt;"",V29&lt;K29),"QA target is before DB Dev target",IF(AND(V29&lt;&gt;"",Q29&lt;&gt;"",V29&lt;Q29),"QA target is before PBI Dev target",IF(AND(Z29&lt;&gt;"",V29&lt;&gt;"",Z29&lt;V29),"DPO Approval target is before QA target",IF(AND(AF29&lt;&gt;"",Z29&lt;&gt;"",AF29&lt;Z29),"Confirmed Deployed date is before DPO Approval target",""))))))))))))</f>
        <v/>
      </c>
      <c r="AK29" s="41" t="s">
        <v>133</v>
      </c>
      <c r="AL29" s="32" cm="1">
        <f t="array" ref="AL29">_xlfn.LET(_xlpm.rep,$B29,_xlpm.sent,_xlfn.MAXIFS('Rework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46248</v>
      </c>
      <c r="AM29" s="32" t="str" cm="1">
        <f t="array" ref="AM29">_xlfn.LET(_xlpm.rep,$B29,_xlpm.sent,_xlfn.MAXIFS('Rework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0" spans="1:39" hidden="1">
      <c r="A30" s="33" t="s">
        <v>126</v>
      </c>
      <c r="B30" s="33" t="s">
        <v>134</v>
      </c>
      <c r="C30" s="33" t="s">
        <v>128</v>
      </c>
      <c r="D30" t="str" cm="1">
        <f t="array" aca="1" ref="D30" ca="1">IF($B30="","",IF(LEFT($AI30,3)="Yes","Blocked - "&amp;MID($AI30,7,100)&amp;IF(SUMPRODUCT(('Rework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Dev",IF(AND(L30="",K30=""),"No target set",IF(AND(IF(L30&lt;&gt;"",L30,K30)&lt;TODAY(),M30=""),"Overdue","On track")),IF(C30="PBI Dev",IF(AND(R30="",Q30=""),"No target set",IF(AND(IF(R30&lt;&gt;"",R30,Q30)&lt;TODAY(),S30=""),"Overdue","On track")),IF(C30="QA",_xlfn.LET(_xlpm.tgt,IF(AL30&lt;&gt;"",AL30,IF(W30&lt;&gt;"",W30,V30)),_xlpm.sent,_xlfn.MAXIFS('Rework Log'!$B$3:$B$500,'Rework Log'!$A$3:$A$500,$B30,'Rework Log'!$C$3:$C$500,"QA"),_xlpm.act,IF(AND(X30&lt;&gt;"",X30&gt;_xlpm.sent),X30,""),IF(_xlpm.tgt="","No target set",IF(AND(_xlpm.tgt&lt;TODAY(),_xlpm.act=""),"Overdue","On track"))),IF(C30="DPO Approval",_xlfn.LET(_xlpm.tgt,IF(AM30&lt;&gt;"",AM30,IF(AA30&lt;&gt;"",AA30,Z30)),_xlpm.sent,_xlfn.MAXIFS('Rework Log'!$B$3:$B$500,'Rework Log'!$A$3:$A$500,$B30,'Rework Log'!$C$3:$C$500,"DPO*"),_xlpm.act,IF(AND(AB30&lt;&gt;"",AB30&gt;_xlpm.sent),AB30,""),IF(_xlpm.tgt="","No target set",IF(AND(_xlpm.tgt&lt;TODAY(),_xlpm.act=""),"Overdue","On track"))),IF(C30="RELEASED IN PROD","Delivered",""))))))))</f>
        <v>On track</v>
      </c>
      <c r="E30" s="33">
        <v>2</v>
      </c>
      <c r="F30" s="34" t="s">
        <v>129</v>
      </c>
      <c r="G30" s="33"/>
      <c r="H30" s="50">
        <v>46234</v>
      </c>
      <c r="I30" s="62" t="s">
        <v>130</v>
      </c>
      <c r="J30" s="33" t="s">
        <v>117</v>
      </c>
      <c r="K30" s="4">
        <v>46213</v>
      </c>
      <c r="L30" s="36">
        <v>46244</v>
      </c>
      <c r="M30" s="35">
        <v>46255</v>
      </c>
      <c r="N30" s="47" t="s">
        <v>44</v>
      </c>
      <c r="O30" s="36" t="s">
        <v>131</v>
      </c>
      <c r="P30" s="66" t="s">
        <v>76</v>
      </c>
      <c r="Q30" s="4">
        <v>46220</v>
      </c>
      <c r="R30" s="36">
        <v>46245</v>
      </c>
      <c r="S30" s="36">
        <v>46246</v>
      </c>
      <c r="T30" s="70"/>
      <c r="U30" s="55" t="s">
        <v>129</v>
      </c>
      <c r="V30" s="60">
        <v>46227</v>
      </c>
      <c r="W30" s="36">
        <v>46254</v>
      </c>
      <c r="X30" s="36">
        <v>46255</v>
      </c>
      <c r="Y30" s="36"/>
      <c r="Z30" s="53">
        <v>46232</v>
      </c>
      <c r="AA30" s="36">
        <v>46266</v>
      </c>
      <c r="AB30" s="36"/>
      <c r="AC30" s="33" t="s">
        <v>135</v>
      </c>
      <c r="AD30" s="33" t="s">
        <v>48</v>
      </c>
      <c r="AE30" s="38"/>
      <c r="AF30" s="36"/>
      <c r="AG30" s="39"/>
      <c r="AH30" s="33"/>
      <c r="AI30" s="40" t="s">
        <v>52</v>
      </c>
      <c r="AJ30" s="74" t="str">
        <f>IF($B30="","",IF(AND(LEFT($AI30,3)="Yes",SUMPRODUCT(('Rework Log'!$A$3:$A$500=$B30)*('Rework Log'!$G$3:$G$500&lt;&gt;"Yes")*('Rework Log'!$G$3:$G$500&lt;&gt;"Did not pass re-test"))=0),"Blocked - log it on Rework Log",IF(AND(LEFT($AI30,3)&lt;&gt;"Yes",SUMPRODUCT(('Rework Log'!$A$3:$A$500=$B30)*('Rework Log'!$G$3:$G$500&lt;&gt;"Yes")*('Rework Log'!$G$3:$G$500&lt;&gt;"Did not pass re-test"))&gt;0),"Open rework row - mark Blocked? or close it",IF(AND($AI30="Yes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H)",IF(AND($AI30="Yes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H)",IF(AND($AI30="Yes – needs QA to fix",X30&lt;&gt;"",SUMPRODUCT(MAX((('Rework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Log'!$A$3:$A$500,$B30)&gt;0,"",IF(AND(V30&lt;&gt;"",K30&lt;&gt;"",V30&lt;K30),"QA target is before DB Dev target",IF(AND(V30&lt;&gt;"",Q30&lt;&gt;"",V30&lt;Q30),"QA target is before PBI Dev target",IF(AND(Z30&lt;&gt;"",V30&lt;&gt;"",Z30&lt;V30),"DPO Approval target is before QA target",IF(AND(AF30&lt;&gt;"",Z30&lt;&gt;"",AF30&lt;Z30),"Confirmed Deployed date is before DPO Approval target",""))))))))))))</f>
        <v/>
      </c>
      <c r="AK30" s="41" t="s">
        <v>136</v>
      </c>
      <c r="AL30" s="32" cm="1">
        <f t="array" ref="AL30">_xlfn.LET(_xlpm.rep,$B30,_xlpm.sent,_xlfn.MAXIFS('Rework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0" s="32" t="str" cm="1">
        <f t="array" ref="AM30">_xlfn.LET(_xlpm.rep,$B30,_xlpm.sent,_xlfn.MAXIFS('Rework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1" spans="1:39" hidden="1">
      <c r="A31" s="33" t="s">
        <v>126</v>
      </c>
      <c r="B31" s="33" t="s">
        <v>137</v>
      </c>
      <c r="C31" s="33" t="s">
        <v>128</v>
      </c>
      <c r="D31" t="str" cm="1">
        <f t="array" aca="1" ref="D31" ca="1">IF($B31="","",IF(LEFT($AI31,3)="Yes","Blocked - "&amp;MID($AI31,7,100)&amp;IF(SUMPRODUCT(('Rework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Dev",IF(AND(L31="",K31=""),"No target set",IF(AND(IF(L31&lt;&gt;"",L31,K31)&lt;TODAY(),M31=""),"Overdue","On track")),IF(C31="PBI Dev",IF(AND(R31="",Q31=""),"No target set",IF(AND(IF(R31&lt;&gt;"",R31,Q31)&lt;TODAY(),S31=""),"Overdue","On track")),IF(C31="QA",_xlfn.LET(_xlpm.tgt,IF(AL31&lt;&gt;"",AL31,IF(W31&lt;&gt;"",W31,V31)),_xlpm.sent,_xlfn.MAXIFS('Rework Log'!$B$3:$B$500,'Rework Log'!$A$3:$A$500,$B31,'Rework Log'!$C$3:$C$500,"QA"),_xlpm.act,IF(AND(X31&lt;&gt;"",X31&gt;_xlpm.sent),X31,""),IF(_xlpm.tgt="","No target set",IF(AND(_xlpm.tgt&lt;TODAY(),_xlpm.act=""),"Overdue","On track"))),IF(C31="DPO Approval",_xlfn.LET(_xlpm.tgt,IF(AM31&lt;&gt;"",AM31,IF(AA31&lt;&gt;"",AA31,Z31)),_xlpm.sent,_xlfn.MAXIFS('Rework Log'!$B$3:$B$500,'Rework Log'!$A$3:$A$500,$B31,'Rework Log'!$C$3:$C$500,"DPO*"),_xlpm.act,IF(AND(AB31&lt;&gt;"",AB31&gt;_xlpm.sent),AB31,""),IF(_xlpm.tgt="","No target set",IF(AND(_xlpm.tgt&lt;TODAY(),_xlpm.act=""),"Overdue","On track"))),IF(C31="RELEASED IN PROD","Delivered",""))))))))</f>
        <v>On track</v>
      </c>
      <c r="E31" s="33">
        <v>3</v>
      </c>
      <c r="F31" s="34" t="s">
        <v>129</v>
      </c>
      <c r="G31" s="33"/>
      <c r="H31" s="50">
        <v>46234</v>
      </c>
      <c r="I31" s="62" t="s">
        <v>130</v>
      </c>
      <c r="J31" s="33" t="s">
        <v>117</v>
      </c>
      <c r="K31" s="4">
        <v>46213</v>
      </c>
      <c r="L31" s="36">
        <v>46245</v>
      </c>
      <c r="M31" s="35">
        <v>46246</v>
      </c>
      <c r="N31" s="47" t="s">
        <v>44</v>
      </c>
      <c r="O31" s="36" t="s">
        <v>131</v>
      </c>
      <c r="P31" s="66" t="s">
        <v>76</v>
      </c>
      <c r="Q31" s="4">
        <v>46220</v>
      </c>
      <c r="R31" s="36">
        <v>46246</v>
      </c>
      <c r="S31" s="36">
        <v>46251</v>
      </c>
      <c r="T31" s="70"/>
      <c r="U31" s="55" t="s">
        <v>129</v>
      </c>
      <c r="V31" s="60">
        <v>46227</v>
      </c>
      <c r="W31" s="36">
        <v>46253</v>
      </c>
      <c r="X31" s="36">
        <v>46258</v>
      </c>
      <c r="Y31" s="36"/>
      <c r="Z31" s="53">
        <v>46232</v>
      </c>
      <c r="AA31" s="36">
        <v>46265</v>
      </c>
      <c r="AB31" s="36"/>
      <c r="AC31" s="33" t="s">
        <v>132</v>
      </c>
      <c r="AD31" s="33" t="s">
        <v>48</v>
      </c>
      <c r="AE31" s="38"/>
      <c r="AF31" s="36"/>
      <c r="AG31" s="39"/>
      <c r="AH31" s="33"/>
      <c r="AI31" s="40" t="s">
        <v>52</v>
      </c>
      <c r="AJ31" s="74" t="str">
        <f>IF($B31="","",IF(AND(LEFT($AI31,3)="Yes",SUMPRODUCT(('Rework Log'!$A$3:$A$500=$B31)*('Rework Log'!$G$3:$G$500&lt;&gt;"Yes")*('Rework Log'!$G$3:$G$500&lt;&gt;"Did not pass re-test"))=0),"Blocked - log it on Rework Log",IF(AND(LEFT($AI31,3)&lt;&gt;"Yes",SUMPRODUCT(('Rework Log'!$A$3:$A$500=$B31)*('Rework Log'!$G$3:$G$500&lt;&gt;"Yes")*('Rework Log'!$G$3:$G$500&lt;&gt;"Did not pass re-test"))&gt;0),"Open rework row - mark Blocked? or close it",IF(AND($AI31="Yes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H)",IF(AND($AI31="Yes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H)",IF(AND($AI31="Yes – needs QA to fix",X31&lt;&gt;"",SUMPRODUCT(MAX((('Rework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Log'!$A$3:$A$500,$B31)&gt;0,"",IF(AND(V31&lt;&gt;"",K31&lt;&gt;"",V31&lt;K31),"QA target is before DB Dev target",IF(AND(V31&lt;&gt;"",Q31&lt;&gt;"",V31&lt;Q31),"QA target is before PBI Dev target",IF(AND(Z31&lt;&gt;"",V31&lt;&gt;"",Z31&lt;V31),"DPO Approval target is before QA target",IF(AND(AF31&lt;&gt;"",Z31&lt;&gt;"",AF31&lt;Z31),"Confirmed Deployed date is before DPO Approval target",""))))))))))))</f>
        <v/>
      </c>
      <c r="AK31" s="41" t="s">
        <v>138</v>
      </c>
      <c r="AL31" s="32" t="str" cm="1">
        <f t="array" ref="AL31">_xlfn.LET(_xlpm.rep,$B31,_xlpm.sent,_xlfn.MAXIFS('Rework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1" s="32" t="str" cm="1">
        <f t="array" ref="AM31">_xlfn.LET(_xlpm.rep,$B31,_xlpm.sent,_xlfn.MAXIFS('Rework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2" spans="1:39" hidden="1">
      <c r="A32" s="33" t="s">
        <v>126</v>
      </c>
      <c r="B32" s="33" t="s">
        <v>139</v>
      </c>
      <c r="C32" s="33" t="s">
        <v>140</v>
      </c>
      <c r="D32" t="str" cm="1">
        <f t="array" aca="1" ref="D32" ca="1">IF($B32="","",IF(LEFT($AI32,3)="Yes","Blocked - "&amp;MID($AI32,7,100)&amp;IF(SUMPRODUCT(('Rework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Dev",IF(AND(L32="",K32=""),"No target set",IF(AND(IF(L32&lt;&gt;"",L32,K32)&lt;TODAY(),M32=""),"Overdue","On track")),IF(C32="PBI Dev",IF(AND(R32="",Q32=""),"No target set",IF(AND(IF(R32&lt;&gt;"",R32,Q32)&lt;TODAY(),S32=""),"Overdue","On track")),IF(C32="QA",_xlfn.LET(_xlpm.tgt,IF(AL32&lt;&gt;"",AL32,IF(W32&lt;&gt;"",W32,V32)),_xlpm.sent,_xlfn.MAXIFS('Rework Log'!$B$3:$B$500,'Rework Log'!$A$3:$A$500,$B32,'Rework Log'!$C$3:$C$500,"QA"),_xlpm.act,IF(AND(X32&lt;&gt;"",X32&gt;_xlpm.sent),X32,""),IF(_xlpm.tgt="","No target set",IF(AND(_xlpm.tgt&lt;TODAY(),_xlpm.act=""),"Overdue","On track"))),IF(C32="DPO Approval",_xlfn.LET(_xlpm.tgt,IF(AM32&lt;&gt;"",AM32,IF(AA32&lt;&gt;"",AA32,Z32)),_xlpm.sent,_xlfn.MAXIFS('Rework Log'!$B$3:$B$500,'Rework Log'!$A$3:$A$500,$B32,'Rework Log'!$C$3:$C$500,"DPO*"),_xlpm.act,IF(AND(AB32&lt;&gt;"",AB32&gt;_xlpm.sent),AB32,""),IF(_xlpm.tgt="","No target set",IF(AND(_xlpm.tgt&lt;TODAY(),_xlpm.act=""),"Overdue","On track"))),IF(C32="RELEASED IN PROD","Delivered",""))))))))</f>
        <v>On track</v>
      </c>
      <c r="E32" s="33">
        <v>4</v>
      </c>
      <c r="F32" s="34" t="s">
        <v>129</v>
      </c>
      <c r="G32" s="33"/>
      <c r="H32" s="50">
        <v>46234</v>
      </c>
      <c r="I32" s="62" t="s">
        <v>130</v>
      </c>
      <c r="J32" s="33" t="s">
        <v>58</v>
      </c>
      <c r="K32" s="4">
        <v>46213</v>
      </c>
      <c r="L32" s="36"/>
      <c r="M32" s="37">
        <v>46258</v>
      </c>
      <c r="N32" s="47" t="s">
        <v>44</v>
      </c>
      <c r="O32" s="36" t="s">
        <v>131</v>
      </c>
      <c r="P32" s="66" t="s">
        <v>45</v>
      </c>
      <c r="Q32" s="4">
        <v>46220</v>
      </c>
      <c r="R32" s="36">
        <v>46251</v>
      </c>
      <c r="S32" s="36">
        <v>46253</v>
      </c>
      <c r="T32" s="70"/>
      <c r="U32" s="55" t="s">
        <v>46</v>
      </c>
      <c r="V32" s="60">
        <v>46227</v>
      </c>
      <c r="W32" s="36">
        <v>46261</v>
      </c>
      <c r="X32" s="36">
        <v>46261</v>
      </c>
      <c r="Y32" s="36"/>
      <c r="Z32" s="53">
        <v>46232</v>
      </c>
      <c r="AA32" s="36">
        <v>46273</v>
      </c>
      <c r="AB32" s="36"/>
      <c r="AC32" s="33" t="s">
        <v>141</v>
      </c>
      <c r="AD32" s="33" t="s">
        <v>48</v>
      </c>
      <c r="AE32" s="38"/>
      <c r="AF32" s="36"/>
      <c r="AG32" s="39"/>
      <c r="AH32" s="33"/>
      <c r="AI32" s="40" t="s">
        <v>52</v>
      </c>
      <c r="AJ32" s="74" t="str">
        <f>IF($B32="","",IF(AND(LEFT($AI32,3)="Yes",SUMPRODUCT(('Rework Log'!$A$3:$A$500=$B32)*('Rework Log'!$G$3:$G$500&lt;&gt;"Yes")*('Rework Log'!$G$3:$G$500&lt;&gt;"Did not pass re-test"))=0),"Blocked - log it on Rework Log",IF(AND(LEFT($AI32,3)&lt;&gt;"Yes",SUMPRODUCT(('Rework Log'!$A$3:$A$500=$B32)*('Rework Log'!$G$3:$G$500&lt;&gt;"Yes")*('Rework Log'!$G$3:$G$500&lt;&gt;"Did not pass re-test"))&gt;0),"Open rework row - mark Blocked? or close it",IF(AND($AI32="Yes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H)",IF(AND($AI32="Yes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H)",IF(AND($AI32="Yes – needs QA to fix",X32&lt;&gt;"",SUMPRODUCT(MAX((('Rework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Log'!$A$3:$A$500,$B32)&gt;0,"",IF(AND(V32&lt;&gt;"",K32&lt;&gt;"",V32&lt;K32),"QA target is before DB Dev target",IF(AND(V32&lt;&gt;"",Q32&lt;&gt;"",V32&lt;Q32),"QA target is before PBI Dev target",IF(AND(Z32&lt;&gt;"",V32&lt;&gt;"",Z32&lt;V32),"DPO Approval target is before QA target",IF(AND(AF32&lt;&gt;"",Z32&lt;&gt;"",AF32&lt;Z32),"Confirmed Deployed date is before DPO Approval target",""))))))))))))</f>
        <v>Open rework row - mark Blocked? or close it</v>
      </c>
      <c r="AK32" s="41" t="s">
        <v>142</v>
      </c>
      <c r="AL32" s="32" cm="1">
        <f t="array" ref="AL32">_xlfn.LET(_xlpm.rep,$B32,_xlpm.sent,_xlfn.MAXIFS('Rework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2" s="32" t="str" cm="1">
        <f t="array" ref="AM32">_xlfn.LET(_xlpm.rep,$B32,_xlpm.sent,_xlfn.MAXIFS('Rework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3" spans="1:39" hidden="1">
      <c r="A33" s="33" t="s">
        <v>126</v>
      </c>
      <c r="B33" s="33" t="s">
        <v>143</v>
      </c>
      <c r="C33" s="33" t="s">
        <v>128</v>
      </c>
      <c r="D33" t="str" cm="1">
        <f t="array" aca="1" ref="D33" ca="1">IF($B33="","",IF(LEFT($AI33,3)="Yes","Blocked - "&amp;MID($AI33,7,100)&amp;IF(SUMPRODUCT(('Rework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Dev",IF(AND(L33="",K33=""),"No target set",IF(AND(IF(L33&lt;&gt;"",L33,K33)&lt;TODAY(),M33=""),"Overdue","On track")),IF(C33="PBI Dev",IF(AND(R33="",Q33=""),"No target set",IF(AND(IF(R33&lt;&gt;"",R33,Q33)&lt;TODAY(),S33=""),"Overdue","On track")),IF(C33="QA",_xlfn.LET(_xlpm.tgt,IF(AL33&lt;&gt;"",AL33,IF(W33&lt;&gt;"",W33,V33)),_xlpm.sent,_xlfn.MAXIFS('Rework Log'!$B$3:$B$500,'Rework Log'!$A$3:$A$500,$B33,'Rework Log'!$C$3:$C$500,"QA"),_xlpm.act,IF(AND(X33&lt;&gt;"",X33&gt;_xlpm.sent),X33,""),IF(_xlpm.tgt="","No target set",IF(AND(_xlpm.tgt&lt;TODAY(),_xlpm.act=""),"Overdue","On track"))),IF(C33="DPO Approval",_xlfn.LET(_xlpm.tgt,IF(AM33&lt;&gt;"",AM33,IF(AA33&lt;&gt;"",AA33,Z33)),_xlpm.sent,_xlfn.MAXIFS('Rework Log'!$B$3:$B$500,'Rework Log'!$A$3:$A$500,$B33,'Rework Log'!$C$3:$C$500,"DPO*"),_xlpm.act,IF(AND(AB33&lt;&gt;"",AB33&gt;_xlpm.sent),AB33,""),IF(_xlpm.tgt="","No target set",IF(AND(_xlpm.tgt&lt;TODAY(),_xlpm.act=""),"Overdue","On track"))),IF(C33="RELEASED IN PROD","Delivered",""))))))))</f>
        <v>On track</v>
      </c>
      <c r="E33" s="33">
        <v>5</v>
      </c>
      <c r="F33" s="34" t="s">
        <v>129</v>
      </c>
      <c r="G33" s="33"/>
      <c r="H33" s="50">
        <v>46234</v>
      </c>
      <c r="I33" s="62" t="s">
        <v>130</v>
      </c>
      <c r="J33" s="33" t="s">
        <v>102</v>
      </c>
      <c r="K33" s="4">
        <v>46213</v>
      </c>
      <c r="L33" s="36">
        <v>46246</v>
      </c>
      <c r="M33" s="37">
        <v>46251</v>
      </c>
      <c r="N33" s="47" t="s">
        <v>44</v>
      </c>
      <c r="O33" s="36" t="s">
        <v>131</v>
      </c>
      <c r="P33" s="66" t="s">
        <v>76</v>
      </c>
      <c r="Q33" s="4">
        <v>46220</v>
      </c>
      <c r="R33" s="36">
        <v>46246</v>
      </c>
      <c r="S33" s="36">
        <v>46244</v>
      </c>
      <c r="T33" s="70"/>
      <c r="U33" s="55" t="s">
        <v>46</v>
      </c>
      <c r="V33" s="60">
        <v>46227</v>
      </c>
      <c r="W33" s="36">
        <v>46254</v>
      </c>
      <c r="X33" s="36">
        <v>46254</v>
      </c>
      <c r="Y33" s="36"/>
      <c r="Z33" s="53">
        <v>46232</v>
      </c>
      <c r="AA33" s="36">
        <v>46265</v>
      </c>
      <c r="AB33" s="36"/>
      <c r="AC33" s="33" t="s">
        <v>132</v>
      </c>
      <c r="AD33" s="33" t="s">
        <v>48</v>
      </c>
      <c r="AE33" s="38"/>
      <c r="AF33" s="36"/>
      <c r="AG33" s="39"/>
      <c r="AH33" s="33"/>
      <c r="AI33" s="40" t="s">
        <v>52</v>
      </c>
      <c r="AJ33" s="74"/>
      <c r="AK33" s="41" t="s">
        <v>144</v>
      </c>
      <c r="AL33" s="32" cm="1">
        <f t="array" ref="AL33">_xlfn.LET(_xlpm.rep,$B33,_xlpm.sent,_xlfn.MAXIFS('Rework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46254</v>
      </c>
      <c r="AM33" s="32" t="str" cm="1">
        <f t="array" ref="AM33">_xlfn.LET(_xlpm.rep,$B33,_xlpm.sent,_xlfn.MAXIFS('Rework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4" spans="1:39" hidden="1">
      <c r="A34" s="33" t="s">
        <v>126</v>
      </c>
      <c r="B34" s="33" t="s">
        <v>145</v>
      </c>
      <c r="C34" s="33" t="s">
        <v>128</v>
      </c>
      <c r="D34" t="str" cm="1">
        <f t="array" aca="1" ref="D34" ca="1">IF($B34="","",IF(LEFT($AI34,3)="Yes","Blocked - "&amp;MID($AI34,7,100)&amp;IF(SUMPRODUCT(('Rework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Dev",IF(AND(L34="",K34=""),"No target set",IF(AND(IF(L34&lt;&gt;"",L34,K34)&lt;TODAY(),M34=""),"Overdue","On track")),IF(C34="PBI Dev",IF(AND(R34="",Q34=""),"No target set",IF(AND(IF(R34&lt;&gt;"",R34,Q34)&lt;TODAY(),S34=""),"Overdue","On track")),IF(C34="QA",_xlfn.LET(_xlpm.tgt,IF(AL34&lt;&gt;"",AL34,IF(W34&lt;&gt;"",W34,V34)),_xlpm.sent,_xlfn.MAXIFS('Rework Log'!$B$3:$B$500,'Rework Log'!$A$3:$A$500,$B34,'Rework Log'!$C$3:$C$500,"QA"),_xlpm.act,IF(AND(X34&lt;&gt;"",X34&gt;_xlpm.sent),X34,""),IF(_xlpm.tgt="","No target set",IF(AND(_xlpm.tgt&lt;TODAY(),_xlpm.act=""),"Overdue","On track"))),IF(C34="DPO Approval",_xlfn.LET(_xlpm.tgt,IF(AM34&lt;&gt;"",AM34,IF(AA34&lt;&gt;"",AA34,Z34)),_xlpm.sent,_xlfn.MAXIFS('Rework Log'!$B$3:$B$500,'Rework Log'!$A$3:$A$500,$B34,'Rework Log'!$C$3:$C$500,"DPO*"),_xlpm.act,IF(AND(AB34&lt;&gt;"",AB34&gt;_xlpm.sent),AB34,""),IF(_xlpm.tgt="","No target set",IF(AND(_xlpm.tgt&lt;TODAY(),_xlpm.act=""),"Overdue","On track"))),IF(C34="RELEASED IN PROD","Delivered",""))))))))</f>
        <v>On track</v>
      </c>
      <c r="E34" s="33">
        <v>6</v>
      </c>
      <c r="F34" s="34" t="s">
        <v>146</v>
      </c>
      <c r="G34" s="33"/>
      <c r="H34" s="50">
        <v>46234</v>
      </c>
      <c r="I34" s="62" t="s">
        <v>130</v>
      </c>
      <c r="J34" s="33" t="s">
        <v>83</v>
      </c>
      <c r="K34" s="4">
        <v>46213</v>
      </c>
      <c r="L34" s="36">
        <v>46246</v>
      </c>
      <c r="M34" s="36">
        <v>46252</v>
      </c>
      <c r="N34" s="36" t="s">
        <v>44</v>
      </c>
      <c r="O34" s="36" t="s">
        <v>131</v>
      </c>
      <c r="P34" s="66" t="s">
        <v>59</v>
      </c>
      <c r="Q34" s="4">
        <v>46220</v>
      </c>
      <c r="R34" s="36">
        <v>46246</v>
      </c>
      <c r="S34" s="36">
        <v>46251</v>
      </c>
      <c r="T34" s="70"/>
      <c r="U34" s="55" t="s">
        <v>146</v>
      </c>
      <c r="V34" s="60">
        <v>46227</v>
      </c>
      <c r="W34" s="36">
        <v>46255</v>
      </c>
      <c r="X34" s="36">
        <v>46255</v>
      </c>
      <c r="Y34" s="36"/>
      <c r="Z34" s="53">
        <v>46232</v>
      </c>
      <c r="AA34" s="36">
        <v>46266</v>
      </c>
      <c r="AB34" s="36"/>
      <c r="AC34" s="33" t="s">
        <v>132</v>
      </c>
      <c r="AD34" s="33" t="s">
        <v>48</v>
      </c>
      <c r="AE34" s="38"/>
      <c r="AF34" s="36"/>
      <c r="AG34" s="39"/>
      <c r="AH34" s="33"/>
      <c r="AI34" s="40" t="s">
        <v>52</v>
      </c>
      <c r="AJ34" s="74" t="str">
        <f>IF($B34="","",IF(AND(LEFT($AI34,3)="Yes",SUMPRODUCT(('Rework Log'!$A$3:$A$500=$B34)*('Rework Log'!$G$3:$G$500&lt;&gt;"Yes")*('Rework Log'!$G$3:$G$500&lt;&gt;"Did not pass re-test"))=0),"Blocked - log it on Rework Log",IF(AND(LEFT($AI34,3)&lt;&gt;"Yes",SUMPRODUCT(('Rework Log'!$A$3:$A$500=$B34)*('Rework Log'!$G$3:$G$500&lt;&gt;"Yes")*('Rework Log'!$G$3:$G$500&lt;&gt;"Did not pass re-test"))&gt;0),"Open rework row - mark Blocked? or close it",IF(AND($AI34="Yes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H)",IF(AND($AI34="Yes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H)",IF(AND($AI34="Yes – needs QA to fix",X34&lt;&gt;"",SUMPRODUCT(MAX((('Rework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Log'!$A$3:$A$500,$B34)&gt;0,"",IF(AND(V34&lt;&gt;"",K34&lt;&gt;"",V34&lt;K34),"QA target is before DB Dev target",IF(AND(V34&lt;&gt;"",Q34&lt;&gt;"",V34&lt;Q34),"QA target is before PBI Dev target",IF(AND(Z34&lt;&gt;"",V34&lt;&gt;"",Z34&lt;V34),"DPO Approval target is before QA target",IF(AND(AF34&lt;&gt;"",Z34&lt;&gt;"",AF34&lt;Z34),"Confirmed Deployed date is before DPO Approval target",""))))))))))))</f>
        <v/>
      </c>
      <c r="AK34" s="41" t="s">
        <v>147</v>
      </c>
      <c r="AL34" s="32" cm="1">
        <f t="array" ref="AL34">_xlfn.LET(_xlpm.rep,$B34,_xlpm.sent,_xlfn.MAXIFS('Rework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46255</v>
      </c>
      <c r="AM34" s="32" t="str" cm="1">
        <f t="array" ref="AM34">_xlfn.LET(_xlpm.rep,$B34,_xlpm.sent,_xlfn.MAXIFS('Rework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5" spans="1:39" hidden="1">
      <c r="A35" s="33" t="s">
        <v>126</v>
      </c>
      <c r="B35" s="33" t="s">
        <v>148</v>
      </c>
      <c r="C35" s="33" t="s">
        <v>140</v>
      </c>
      <c r="D35" t="str" cm="1">
        <f t="array" aca="1" ref="D35" ca="1">IF($B35="","",IF(LEFT($AI35,3)="Yes","Blocked - "&amp;MID($AI35,7,100)&amp;IF(SUMPRODUCT(('Rework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Dev",IF(AND(L35="",K35=""),"No target set",IF(AND(IF(L35&lt;&gt;"",L35,K35)&lt;TODAY(),M35=""),"Overdue","On track")),IF(C35="PBI Dev",IF(AND(R35="",Q35=""),"No target set",IF(AND(IF(R35&lt;&gt;"",R35,Q35)&lt;TODAY(),S35=""),"Overdue","On track")),IF(C35="QA",_xlfn.LET(_xlpm.tgt,IF(AL35&lt;&gt;"",AL35,IF(W35&lt;&gt;"",W35,V35)),_xlpm.sent,_xlfn.MAXIFS('Rework Log'!$B$3:$B$500,'Rework Log'!$A$3:$A$500,$B35,'Rework Log'!$C$3:$C$500,"QA"),_xlpm.act,IF(AND(X35&lt;&gt;"",X35&gt;_xlpm.sent),X35,""),IF(_xlpm.tgt="","No target set",IF(AND(_xlpm.tgt&lt;TODAY(),_xlpm.act=""),"Overdue","On track"))),IF(C35="DPO Approval",_xlfn.LET(_xlpm.tgt,IF(AM35&lt;&gt;"",AM35,IF(AA35&lt;&gt;"",AA35,Z35)),_xlpm.sent,_xlfn.MAXIFS('Rework Log'!$B$3:$B$500,'Rework Log'!$A$3:$A$500,$B35,'Rework Log'!$C$3:$C$500,"DPO*"),_xlpm.act,IF(AND(AB35&lt;&gt;"",AB35&gt;_xlpm.sent),AB35,""),IF(_xlpm.tgt="","No target set",IF(AND(_xlpm.tgt&lt;TODAY(),_xlpm.act=""),"Overdue","On track"))),IF(C35="RELEASED IN PROD","Delivered",""))))))))</f>
        <v>Blocked - needs PBI Dev to fix - unclaimed</v>
      </c>
      <c r="E35" s="33">
        <v>7</v>
      </c>
      <c r="F35" s="34" t="s">
        <v>146</v>
      </c>
      <c r="G35" s="33"/>
      <c r="H35" s="50">
        <v>46234</v>
      </c>
      <c r="I35" s="62" t="s">
        <v>130</v>
      </c>
      <c r="J35" s="33" t="s">
        <v>117</v>
      </c>
      <c r="K35" s="4">
        <v>46213</v>
      </c>
      <c r="L35" s="36">
        <v>46244</v>
      </c>
      <c r="M35" s="35">
        <v>46258</v>
      </c>
      <c r="N35" s="47" t="s">
        <v>44</v>
      </c>
      <c r="O35" s="36" t="s">
        <v>131</v>
      </c>
      <c r="P35" s="66" t="s">
        <v>45</v>
      </c>
      <c r="Q35" s="4">
        <v>46220</v>
      </c>
      <c r="R35" s="36">
        <v>46251</v>
      </c>
      <c r="S35" s="36">
        <v>46261</v>
      </c>
      <c r="T35" s="70"/>
      <c r="U35" s="55" t="s">
        <v>146</v>
      </c>
      <c r="V35" s="60">
        <v>46227</v>
      </c>
      <c r="W35" s="36"/>
      <c r="X35" s="36"/>
      <c r="Y35" s="36"/>
      <c r="Z35" s="53">
        <v>46232</v>
      </c>
      <c r="AA35" s="36">
        <v>46273</v>
      </c>
      <c r="AB35" s="36"/>
      <c r="AC35" s="33" t="s">
        <v>149</v>
      </c>
      <c r="AD35" s="33" t="s">
        <v>48</v>
      </c>
      <c r="AE35" s="38"/>
      <c r="AF35" s="36"/>
      <c r="AG35" s="39"/>
      <c r="AH35" s="33"/>
      <c r="AI35" s="40" t="s">
        <v>150</v>
      </c>
      <c r="AJ35" s="74" t="str">
        <f>IF($B35="","",IF(AND(LEFT($AI35,3)="Yes",SUMPRODUCT(('Rework Log'!$A$3:$A$500=$B35)*('Rework Log'!$G$3:$G$500&lt;&gt;"Yes")*('Rework Log'!$G$3:$G$500&lt;&gt;"Did not pass re-test"))=0),"Blocked - log it on Rework Log",IF(AND(LEFT($AI35,3)&lt;&gt;"Yes",SUMPRODUCT(('Rework Log'!$A$3:$A$500=$B35)*('Rework Log'!$G$3:$G$500&lt;&gt;"Yes")*('Rework Log'!$G$3:$G$500&lt;&gt;"Did not pass re-test"))&gt;0),"Open rework row - mark Blocked? or close it",IF(AND($AI35="Yes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H)",IF(AND($AI35="Yes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H)",IF(AND($AI35="Yes – needs QA to fix",X35&lt;&gt;"",SUMPRODUCT(MAX((('Rework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Log'!$A$3:$A$500,$B35)&gt;0,"",IF(AND(V35&lt;&gt;"",K35&lt;&gt;"",V35&lt;K35),"QA target is before DB Dev target",IF(AND(V35&lt;&gt;"",Q35&lt;&gt;"",V35&lt;Q35),"QA target is before PBI Dev target",IF(AND(Z35&lt;&gt;"",V35&lt;&gt;"",Z35&lt;V35),"DPO Approval target is before QA target",IF(AND(AF35&lt;&gt;"",Z35&lt;&gt;"",AF35&lt;Z35),"Confirmed Deployed date is before DPO Approval target",""))))))))))))</f>
        <v/>
      </c>
      <c r="AK35" s="41" t="s">
        <v>151</v>
      </c>
      <c r="AL35" s="32" t="str" cm="1">
        <f t="array" ref="AL35">_xlfn.LET(_xlpm.rep,$B35,_xlpm.sent,_xlfn.MAXIFS('Rework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35" s="32" t="str" cm="1">
        <f t="array" ref="AM35">_xlfn.LET(_xlpm.rep,$B35,_xlpm.sent,_xlfn.MAXIFS('Rework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6" spans="1:39" hidden="1">
      <c r="A36" s="33" t="s">
        <v>126</v>
      </c>
      <c r="B36" s="33" t="s">
        <v>152</v>
      </c>
      <c r="C36" s="33" t="s">
        <v>140</v>
      </c>
      <c r="D36" t="str" cm="1">
        <f t="array" aca="1" ref="D36" ca="1">IF($B36="","",IF(LEFT($AI36,3)="Yes","Blocked - "&amp;MID($AI36,7,100)&amp;IF(SUMPRODUCT(('Rework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Dev",IF(AND(L36="",K36=""),"No target set",IF(AND(IF(L36&lt;&gt;"",L36,K36)&lt;TODAY(),M36=""),"Overdue","On track")),IF(C36="PBI Dev",IF(AND(R36="",Q36=""),"No target set",IF(AND(IF(R36&lt;&gt;"",R36,Q36)&lt;TODAY(),S36=""),"Overdue","On track")),IF(C36="QA",_xlfn.LET(_xlpm.tgt,IF(AL36&lt;&gt;"",AL36,IF(W36&lt;&gt;"",W36,V36)),_xlpm.sent,_xlfn.MAXIFS('Rework Log'!$B$3:$B$500,'Rework Log'!$A$3:$A$500,$B36,'Rework Log'!$C$3:$C$500,"QA"),_xlpm.act,IF(AND(X36&lt;&gt;"",X36&gt;_xlpm.sent),X36,""),IF(_xlpm.tgt="","No target set",IF(AND(_xlpm.tgt&lt;TODAY(),_xlpm.act=""),"Overdue","On track"))),IF(C36="DPO Approval",_xlfn.LET(_xlpm.tgt,IF(AM36&lt;&gt;"",AM36,IF(AA36&lt;&gt;"",AA36,Z36)),_xlpm.sent,_xlfn.MAXIFS('Rework Log'!$B$3:$B$500,'Rework Log'!$A$3:$A$500,$B36,'Rework Log'!$C$3:$C$500,"DPO*"),_xlpm.act,IF(AND(AB36&lt;&gt;"",AB36&gt;_xlpm.sent),AB36,""),IF(_xlpm.tgt="","No target set",IF(AND(_xlpm.tgt&lt;TODAY(),_xlpm.act=""),"Overdue","On track"))),IF(C36="RELEASED IN PROD","Delivered",""))))))))</f>
        <v>Overdue</v>
      </c>
      <c r="E36" s="33">
        <v>8</v>
      </c>
      <c r="F36" s="34" t="s">
        <v>146</v>
      </c>
      <c r="G36" s="33"/>
      <c r="H36" s="50">
        <v>46234</v>
      </c>
      <c r="I36" s="62" t="s">
        <v>130</v>
      </c>
      <c r="J36" s="33" t="s">
        <v>117</v>
      </c>
      <c r="K36" s="4">
        <v>46213</v>
      </c>
      <c r="L36" s="36">
        <v>46245</v>
      </c>
      <c r="M36" s="36">
        <v>46258</v>
      </c>
      <c r="N36" s="36" t="s">
        <v>44</v>
      </c>
      <c r="O36" s="36" t="s">
        <v>131</v>
      </c>
      <c r="P36" s="66" t="s">
        <v>76</v>
      </c>
      <c r="Q36" s="4">
        <v>46220</v>
      </c>
      <c r="R36" s="36">
        <v>46246</v>
      </c>
      <c r="S36" s="36">
        <v>46246</v>
      </c>
      <c r="T36" s="70"/>
      <c r="U36" s="55" t="s">
        <v>146</v>
      </c>
      <c r="V36" s="60">
        <v>46227</v>
      </c>
      <c r="W36" s="36">
        <v>46261</v>
      </c>
      <c r="X36" s="36"/>
      <c r="Y36" s="36"/>
      <c r="Z36" s="53">
        <v>46232</v>
      </c>
      <c r="AA36" s="36">
        <v>46273</v>
      </c>
      <c r="AB36" s="36"/>
      <c r="AC36" s="33" t="s">
        <v>132</v>
      </c>
      <c r="AD36" s="33" t="s">
        <v>48</v>
      </c>
      <c r="AE36" s="38"/>
      <c r="AF36" s="36"/>
      <c r="AG36" s="39"/>
      <c r="AH36" s="33"/>
      <c r="AI36" s="40" t="s">
        <v>52</v>
      </c>
      <c r="AJ36" s="74" t="str">
        <f>IF($B36="","",IF(AND(LEFT($AI36,3)="Yes",SUMPRODUCT(('Rework Log'!$A$3:$A$500=$B36)*('Rework Log'!$G$3:$G$500&lt;&gt;"Yes")*('Rework Log'!$G$3:$G$500&lt;&gt;"Did not pass re-test"))=0),"Blocked - log it on Rework Log",IF(AND(LEFT($AI36,3)&lt;&gt;"Yes",SUMPRODUCT(('Rework Log'!$A$3:$A$500=$B36)*('Rework Log'!$G$3:$G$500&lt;&gt;"Yes")*('Rework Log'!$G$3:$G$500&lt;&gt;"Did not pass re-test"))&gt;0),"Open rework row - mark Blocked? or close it",IF(AND($AI36="Yes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H)",IF(AND($AI36="Yes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H)",IF(AND($AI36="Yes – needs QA to fix",X36&lt;&gt;"",SUMPRODUCT(MAX((('Rework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Log'!$A$3:$A$500,$B36)&gt;0,"",IF(AND(V36&lt;&gt;"",K36&lt;&gt;"",V36&lt;K36),"QA target is before DB Dev target",IF(AND(V36&lt;&gt;"",Q36&lt;&gt;"",V36&lt;Q36),"QA target is before PBI Dev target",IF(AND(Z36&lt;&gt;"",V36&lt;&gt;"",Z36&lt;V36),"DPO Approval target is before QA target",IF(AND(AF36&lt;&gt;"",Z36&lt;&gt;"",AF36&lt;Z36),"Confirmed Deployed date is before DPO Approval target",""))))))))))))</f>
        <v>Open rework row - mark Blocked? or close it</v>
      </c>
      <c r="AK36" s="41" t="s">
        <v>151</v>
      </c>
      <c r="AL36" s="32" cm="1">
        <f t="array" ref="AL36">_xlfn.LET(_xlpm.rep,$B36,_xlpm.sent,_xlfn.MAXIFS('Rework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6" s="32" t="str" cm="1">
        <f t="array" ref="AM36">_xlfn.LET(_xlpm.rep,$B36,_xlpm.sent,_xlfn.MAXIFS('Rework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7" spans="1:39" hidden="1">
      <c r="A37" s="33" t="s">
        <v>126</v>
      </c>
      <c r="B37" s="33" t="s">
        <v>153</v>
      </c>
      <c r="C37" s="33" t="s">
        <v>128</v>
      </c>
      <c r="D37" t="str" cm="1">
        <f t="array" aca="1" ref="D37" ca="1">IF($B37="","",IF(LEFT($AI37,3)="Yes","Blocked - "&amp;MID($AI37,7,100)&amp;IF(SUMPRODUCT(('Rework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Dev",IF(AND(L37="",K37=""),"No target set",IF(AND(IF(L37&lt;&gt;"",L37,K37)&lt;TODAY(),M37=""),"Overdue","On track")),IF(C37="PBI Dev",IF(AND(R37="",Q37=""),"No target set",IF(AND(IF(R37&lt;&gt;"",R37,Q37)&lt;TODAY(),S37=""),"Overdue","On track")),IF(C37="QA",_xlfn.LET(_xlpm.tgt,IF(AL37&lt;&gt;"",AL37,IF(W37&lt;&gt;"",W37,V37)),_xlpm.sent,_xlfn.MAXIFS('Rework Log'!$B$3:$B$500,'Rework Log'!$A$3:$A$500,$B37,'Rework Log'!$C$3:$C$500,"QA"),_xlpm.act,IF(AND(X37&lt;&gt;"",X37&gt;_xlpm.sent),X37,""),IF(_xlpm.tgt="","No target set",IF(AND(_xlpm.tgt&lt;TODAY(),_xlpm.act=""),"Overdue","On track"))),IF(C37="DPO Approval",_xlfn.LET(_xlpm.tgt,IF(AM37&lt;&gt;"",AM37,IF(AA37&lt;&gt;"",AA37,Z37)),_xlpm.sent,_xlfn.MAXIFS('Rework Log'!$B$3:$B$500,'Rework Log'!$A$3:$A$500,$B37,'Rework Log'!$C$3:$C$500,"DPO*"),_xlpm.act,IF(AND(AB37&lt;&gt;"",AB37&gt;_xlpm.sent),AB37,""),IF(_xlpm.tgt="","No target set",IF(AND(_xlpm.tgt&lt;TODAY(),_xlpm.act=""),"Overdue","On track"))),IF(C37="RELEASED IN PROD","Delivered",""))))))))</f>
        <v>On track</v>
      </c>
      <c r="E37" s="33">
        <v>9</v>
      </c>
      <c r="F37" s="34" t="s">
        <v>146</v>
      </c>
      <c r="G37" s="33"/>
      <c r="H37" s="50">
        <v>46234</v>
      </c>
      <c r="I37" s="62" t="s">
        <v>130</v>
      </c>
      <c r="J37" s="33" t="s">
        <v>83</v>
      </c>
      <c r="K37" s="4">
        <v>46213</v>
      </c>
      <c r="L37" s="36">
        <v>46246</v>
      </c>
      <c r="M37" s="36">
        <v>46255</v>
      </c>
      <c r="N37" s="36" t="s">
        <v>44</v>
      </c>
      <c r="O37" s="36" t="s">
        <v>131</v>
      </c>
      <c r="P37" s="66" t="s">
        <v>59</v>
      </c>
      <c r="Q37" s="4">
        <v>46220</v>
      </c>
      <c r="R37" s="36">
        <v>46255</v>
      </c>
      <c r="S37" s="36">
        <v>46255</v>
      </c>
      <c r="T37" s="70"/>
      <c r="U37" s="55" t="s">
        <v>146</v>
      </c>
      <c r="V37" s="60">
        <v>46227</v>
      </c>
      <c r="W37" s="36">
        <v>46255</v>
      </c>
      <c r="X37" s="36">
        <v>46255</v>
      </c>
      <c r="Y37" s="36"/>
      <c r="Z37" s="53">
        <v>46232</v>
      </c>
      <c r="AA37" s="36">
        <v>46266</v>
      </c>
      <c r="AB37" s="36"/>
      <c r="AC37" s="33" t="s">
        <v>154</v>
      </c>
      <c r="AD37" s="33" t="s">
        <v>48</v>
      </c>
      <c r="AE37" s="38"/>
      <c r="AF37" s="36"/>
      <c r="AG37" s="39"/>
      <c r="AH37" s="33"/>
      <c r="AI37" s="40" t="s">
        <v>52</v>
      </c>
      <c r="AJ37" s="74" t="str">
        <f>IF($B37="","",IF(AND(LEFT($AI37,3)="Yes",SUMPRODUCT(('Rework Log'!$A$3:$A$500=$B37)*('Rework Log'!$G$3:$G$500&lt;&gt;"Yes")*('Rework Log'!$G$3:$G$500&lt;&gt;"Did not pass re-test"))=0),"Blocked - log it on Rework Log",IF(AND(LEFT($AI37,3)&lt;&gt;"Yes",SUMPRODUCT(('Rework Log'!$A$3:$A$500=$B37)*('Rework Log'!$G$3:$G$500&lt;&gt;"Yes")*('Rework Log'!$G$3:$G$500&lt;&gt;"Did not pass re-test"))&gt;0),"Open rework row - mark Blocked? or close it",IF(AND($AI37="Yes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H)",IF(AND($AI37="Yes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H)",IF(AND($AI37="Yes – needs QA to fix",X37&lt;&gt;"",SUMPRODUCT(MAX((('Rework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Log'!$A$3:$A$500,$B37)&gt;0,"",IF(AND(V37&lt;&gt;"",K37&lt;&gt;"",V37&lt;K37),"QA target is before DB Dev target",IF(AND(V37&lt;&gt;"",Q37&lt;&gt;"",V37&lt;Q37),"QA target is before PBI Dev target",IF(AND(Z37&lt;&gt;"",V37&lt;&gt;"",Z37&lt;V37),"DPO Approval target is before QA target",IF(AND(AF37&lt;&gt;"",Z37&lt;&gt;"",AF37&lt;Z37),"Confirmed Deployed date is before DPO Approval target",""))))))))))))</f>
        <v/>
      </c>
      <c r="AK37" s="41" t="s">
        <v>155</v>
      </c>
      <c r="AL37" s="32" cm="1">
        <f t="array" ref="AL37">_xlfn.LET(_xlpm.rep,$B37,_xlpm.sent,_xlfn.MAXIFS('Rework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46260</v>
      </c>
      <c r="AM37" s="32" t="str" cm="1">
        <f t="array" ref="AM37">_xlfn.LET(_xlpm.rep,$B37,_xlpm.sent,_xlfn.MAXIFS('Rework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8" spans="1:39" hidden="1">
      <c r="A38" s="33" t="s">
        <v>126</v>
      </c>
      <c r="B38" s="33" t="s">
        <v>156</v>
      </c>
      <c r="C38" s="33" t="s">
        <v>128</v>
      </c>
      <c r="D38" t="str" cm="1">
        <f t="array" aca="1" ref="D38" ca="1">IF($B38="","",IF(LEFT($AI38,3)="Yes","Blocked - "&amp;MID($AI38,7,100)&amp;IF(SUMPRODUCT(('Rework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Dev",IF(AND(L38="",K38=""),"No target set",IF(AND(IF(L38&lt;&gt;"",L38,K38)&lt;TODAY(),M38=""),"Overdue","On track")),IF(C38="PBI Dev",IF(AND(R38="",Q38=""),"No target set",IF(AND(IF(R38&lt;&gt;"",R38,Q38)&lt;TODAY(),S38=""),"Overdue","On track")),IF(C38="QA",_xlfn.LET(_xlpm.tgt,IF(AL38&lt;&gt;"",AL38,IF(W38&lt;&gt;"",W38,V38)),_xlpm.sent,_xlfn.MAXIFS('Rework Log'!$B$3:$B$500,'Rework Log'!$A$3:$A$500,$B38,'Rework Log'!$C$3:$C$500,"QA"),_xlpm.act,IF(AND(X38&lt;&gt;"",X38&gt;_xlpm.sent),X38,""),IF(_xlpm.tgt="","No target set",IF(AND(_xlpm.tgt&lt;TODAY(),_xlpm.act=""),"Overdue","On track"))),IF(C38="DPO Approval",_xlfn.LET(_xlpm.tgt,IF(AM38&lt;&gt;"",AM38,IF(AA38&lt;&gt;"",AA38,Z38)),_xlpm.sent,_xlfn.MAXIFS('Rework Log'!$B$3:$B$500,'Rework Log'!$A$3:$A$500,$B38,'Rework Log'!$C$3:$C$500,"DPO*"),_xlpm.act,IF(AND(AB38&lt;&gt;"",AB38&gt;_xlpm.sent),AB38,""),IF(_xlpm.tgt="","No target set",IF(AND(_xlpm.tgt&lt;TODAY(),_xlpm.act=""),"Overdue","On track"))),IF(C38="RELEASED IN PROD","Delivered",""))))))))</f>
        <v>On track</v>
      </c>
      <c r="E38" s="33" t="s">
        <v>157</v>
      </c>
      <c r="F38" s="34" t="s">
        <v>146</v>
      </c>
      <c r="G38" s="33"/>
      <c r="H38" s="50">
        <v>46234</v>
      </c>
      <c r="I38" s="62" t="s">
        <v>130</v>
      </c>
      <c r="J38" s="33" t="s">
        <v>158</v>
      </c>
      <c r="K38" s="4">
        <v>46213</v>
      </c>
      <c r="L38" s="36">
        <v>46246</v>
      </c>
      <c r="M38" s="35">
        <v>46254</v>
      </c>
      <c r="N38" s="47" t="s">
        <v>44</v>
      </c>
      <c r="O38" s="36" t="s">
        <v>131</v>
      </c>
      <c r="P38" s="66" t="s">
        <v>59</v>
      </c>
      <c r="Q38" s="4">
        <v>46220</v>
      </c>
      <c r="R38" s="36">
        <v>46254</v>
      </c>
      <c r="S38" s="36">
        <v>46254</v>
      </c>
      <c r="T38" s="70"/>
      <c r="U38" s="55" t="s">
        <v>146</v>
      </c>
      <c r="V38" s="60">
        <v>46227</v>
      </c>
      <c r="W38" s="36">
        <v>46254</v>
      </c>
      <c r="X38" s="36">
        <v>46254</v>
      </c>
      <c r="Y38" s="36"/>
      <c r="Z38" s="53">
        <v>46232</v>
      </c>
      <c r="AA38" s="36">
        <v>46265</v>
      </c>
      <c r="AB38" s="36"/>
      <c r="AC38" s="33" t="s">
        <v>154</v>
      </c>
      <c r="AD38" s="33" t="s">
        <v>48</v>
      </c>
      <c r="AE38" s="38"/>
      <c r="AF38" s="36"/>
      <c r="AG38" s="39"/>
      <c r="AH38" s="33"/>
      <c r="AI38" s="40" t="s">
        <v>52</v>
      </c>
      <c r="AJ38" s="74" t="str">
        <f>IF($B38="","",IF(AND(LEFT($AI38,3)="Yes",SUMPRODUCT(('Rework Log'!$A$3:$A$500=$B38)*('Rework Log'!$G$3:$G$500&lt;&gt;"Yes")*('Rework Log'!$G$3:$G$500&lt;&gt;"Did not pass re-test"))=0),"Blocked - log it on Rework Log",IF(AND(LEFT($AI38,3)&lt;&gt;"Yes",SUMPRODUCT(('Rework Log'!$A$3:$A$500=$B38)*('Rework Log'!$G$3:$G$500&lt;&gt;"Yes")*('Rework Log'!$G$3:$G$500&lt;&gt;"Did not pass re-test"))&gt;0),"Open rework row - mark Blocked? or close it",IF(AND($AI38="Yes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H)",IF(AND($AI38="Yes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H)",IF(AND($AI38="Yes – needs QA to fix",X38&lt;&gt;"",SUMPRODUCT(MAX((('Rework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Log'!$A$3:$A$500,$B38)&gt;0,"",IF(AND(V38&lt;&gt;"",K38&lt;&gt;"",V38&lt;K38),"QA target is before DB Dev target",IF(AND(V38&lt;&gt;"",Q38&lt;&gt;"",V38&lt;Q38),"QA target is before PBI Dev target",IF(AND(Z38&lt;&gt;"",V38&lt;&gt;"",Z38&lt;V38),"DPO Approval target is before QA target",IF(AND(AF38&lt;&gt;"",Z38&lt;&gt;"",AF38&lt;Z38),"Confirmed Deployed date is before DPO Approval target",""))))))))))))</f>
        <v/>
      </c>
      <c r="AK38" s="41"/>
      <c r="AL38" s="32" cm="1">
        <f t="array" ref="AL38">_xlfn.LET(_xlpm.rep,$B38,_xlpm.sent,_xlfn.MAXIFS('Rework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46259</v>
      </c>
      <c r="AM38" s="32" t="str" cm="1">
        <f t="array" ref="AM38">_xlfn.LET(_xlpm.rep,$B38,_xlpm.sent,_xlfn.MAXIFS('Rework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39" spans="1:39" hidden="1">
      <c r="A39" s="33" t="s">
        <v>126</v>
      </c>
      <c r="B39" s="33" t="s">
        <v>159</v>
      </c>
      <c r="C39" s="33" t="s">
        <v>128</v>
      </c>
      <c r="D39" t="str" cm="1">
        <f t="array" aca="1" ref="D39" ca="1">IF($B39="","",IF(LEFT($AI39,3)="Yes","Blocked - "&amp;MID($AI39,7,100)&amp;IF(SUMPRODUCT(('Rework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Dev",IF(AND(L39="",K39=""),"No target set",IF(AND(IF(L39&lt;&gt;"",L39,K39)&lt;TODAY(),M39=""),"Overdue","On track")),IF(C39="PBI Dev",IF(AND(R39="",Q39=""),"No target set",IF(AND(IF(R39&lt;&gt;"",R39,Q39)&lt;TODAY(),S39=""),"Overdue","On track")),IF(C39="QA",_xlfn.LET(_xlpm.tgt,IF(AL39&lt;&gt;"",AL39,IF(W39&lt;&gt;"",W39,V39)),_xlpm.sent,_xlfn.MAXIFS('Rework Log'!$B$3:$B$500,'Rework Log'!$A$3:$A$500,$B39,'Rework Log'!$C$3:$C$500,"QA"),_xlpm.act,IF(AND(X39&lt;&gt;"",X39&gt;_xlpm.sent),X39,""),IF(_xlpm.tgt="","No target set",IF(AND(_xlpm.tgt&lt;TODAY(),_xlpm.act=""),"Overdue","On track"))),IF(C39="DPO Approval",_xlfn.LET(_xlpm.tgt,IF(AM39&lt;&gt;"",AM39,IF(AA39&lt;&gt;"",AA39,Z39)),_xlpm.sent,_xlfn.MAXIFS('Rework Log'!$B$3:$B$500,'Rework Log'!$A$3:$A$500,$B39,'Rework Log'!$C$3:$C$500,"DPO*"),_xlpm.act,IF(AND(AB39&lt;&gt;"",AB39&gt;_xlpm.sent),AB39,""),IF(_xlpm.tgt="","No target set",IF(AND(_xlpm.tgt&lt;TODAY(),_xlpm.act=""),"Overdue","On track"))),IF(C39="RELEASED IN PROD","Delivered",""))))))))</f>
        <v>On track</v>
      </c>
      <c r="E39" s="33">
        <v>11</v>
      </c>
      <c r="F39" s="34" t="s">
        <v>146</v>
      </c>
      <c r="G39" s="33"/>
      <c r="H39" s="50">
        <v>46234</v>
      </c>
      <c r="I39" s="62" t="s">
        <v>130</v>
      </c>
      <c r="J39" s="33" t="s">
        <v>158</v>
      </c>
      <c r="K39" s="4">
        <v>46213</v>
      </c>
      <c r="L39" s="36">
        <v>46246</v>
      </c>
      <c r="M39" s="36">
        <v>46245</v>
      </c>
      <c r="N39" s="36" t="s">
        <v>44</v>
      </c>
      <c r="O39" s="36" t="s">
        <v>131</v>
      </c>
      <c r="P39" s="66" t="s">
        <v>76</v>
      </c>
      <c r="Q39" s="4">
        <v>46220</v>
      </c>
      <c r="R39" s="36">
        <v>46247</v>
      </c>
      <c r="S39" s="36">
        <v>46259</v>
      </c>
      <c r="T39" s="70"/>
      <c r="U39" s="55" t="s">
        <v>46</v>
      </c>
      <c r="V39" s="60">
        <v>46227</v>
      </c>
      <c r="W39" s="36">
        <v>46247</v>
      </c>
      <c r="X39" s="36">
        <v>46258</v>
      </c>
      <c r="Y39" s="36"/>
      <c r="Z39" s="53">
        <v>46232</v>
      </c>
      <c r="AA39" s="36">
        <v>46267</v>
      </c>
      <c r="AB39" s="36"/>
      <c r="AC39" s="33" t="s">
        <v>154</v>
      </c>
      <c r="AD39" s="33" t="s">
        <v>48</v>
      </c>
      <c r="AE39" s="38"/>
      <c r="AF39" s="36"/>
      <c r="AG39" s="39"/>
      <c r="AH39" s="33"/>
      <c r="AI39" s="40" t="s">
        <v>52</v>
      </c>
      <c r="AJ39" s="74" t="str">
        <f>IF($B39="","",IF(AND(LEFT($AI39,3)="Yes",SUMPRODUCT(('Rework Log'!$A$3:$A$500=$B39)*('Rework Log'!$G$3:$G$500&lt;&gt;"Yes")*('Rework Log'!$G$3:$G$500&lt;&gt;"Did not pass re-test"))=0),"Blocked - log it on Rework Log",IF(AND(LEFT($AI39,3)&lt;&gt;"Yes",SUMPRODUCT(('Rework Log'!$A$3:$A$500=$B39)*('Rework Log'!$G$3:$G$500&lt;&gt;"Yes")*('Rework Log'!$G$3:$G$500&lt;&gt;"Did not pass re-test"))&gt;0),"Open rework row - mark Blocked? or close it",IF(AND($AI39="Yes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H)",IF(AND($AI39="Yes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H)",IF(AND($AI39="Yes – needs QA to fix",X39&lt;&gt;"",SUMPRODUCT(MAX((('Rework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Log'!$A$3:$A$500,$B39)&gt;0,"",IF(AND(V39&lt;&gt;"",K39&lt;&gt;"",V39&lt;K39),"QA target is before DB Dev target",IF(AND(V39&lt;&gt;"",Q39&lt;&gt;"",V39&lt;Q39),"QA target is before PBI Dev target",IF(AND(Z39&lt;&gt;"",V39&lt;&gt;"",Z39&lt;V39),"DPO Approval target is before QA target",IF(AND(AF39&lt;&gt;"",Z39&lt;&gt;"",AF39&lt;Z39),"Confirmed Deployed date is before DPO Approval target",""))))))))))))</f>
        <v/>
      </c>
      <c r="AK39" s="41" t="s">
        <v>151</v>
      </c>
      <c r="AL39" s="32" cm="1">
        <f t="array" ref="AL39">_xlfn.LET(_xlpm.rep,$B39,_xlpm.sent,_xlfn.MAXIFS('Rework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>46261</v>
      </c>
      <c r="AM39" s="32" t="str" cm="1">
        <f t="array" ref="AM39">_xlfn.LET(_xlpm.rep,$B39,_xlpm.sent,_xlfn.MAXIFS('Rework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0" spans="1:39" hidden="1">
      <c r="A40" s="33" t="s">
        <v>126</v>
      </c>
      <c r="B40" s="33" t="s">
        <v>160</v>
      </c>
      <c r="C40" s="33" t="s">
        <v>128</v>
      </c>
      <c r="D40" t="str" cm="1">
        <f t="array" aca="1" ref="D40" ca="1">IF($B40="","",IF(LEFT($AI40,3)="Yes","Blocked - "&amp;MID($AI40,7,100)&amp;IF(SUMPRODUCT(('Rework Log'!$A$3:$A$500=$B40)*('Rework Log'!$G$3:$G$500&lt;&gt;"Yes")*('Rework Log'!$G$3:$G$500&lt;&gt;"Did not pass re-test"))=0,"",IF(SUMPRODUCT(MAX((('Rework Log'!$A$3:$A$500=$B40)*('Rework Log'!$G$3:$G$500&lt;&gt;"Yes")*('Rework Log'!$G$3:$G$500&lt;&gt;"Did not pass re-test"))*'Rework Log'!$I$3:$I$500))=0," - unclaimed"," - promised "&amp;TEXT(SUMPRODUCT(MAX((('Rework Log'!$A$3:$A$500=$B40)*('Rework Log'!$G$3:$G$500&lt;&gt;"Yes")*('Rework Log'!$G$3:$G$500&lt;&gt;"Did not pass re-test"))*'Rework Log'!$I$3:$I$500)),"m/d"))),IF(C40="NOT STARTED",IF(H40="","No plan date set",IF(H40&lt;TODAY(),"Review - planned start passed","On track")),IF(C40="DB Dev",IF(AND(L40="",K40=""),"No target set",IF(AND(IF(L40&lt;&gt;"",L40,K40)&lt;TODAY(),M40=""),"Overdue","On track")),IF(C40="PBI Dev",IF(AND(R40="",Q40=""),"No target set",IF(AND(IF(R40&lt;&gt;"",R40,Q40)&lt;TODAY(),S40=""),"Overdue","On track")),IF(C40="QA",_xlfn.LET(_xlpm.tgt,IF(AL40&lt;&gt;"",AL40,IF(W40&lt;&gt;"",W40,V40)),_xlpm.sent,_xlfn.MAXIFS('Rework Log'!$B$3:$B$500,'Rework Log'!$A$3:$A$500,$B40,'Rework Log'!$C$3:$C$500,"QA"),_xlpm.act,IF(AND(X40&lt;&gt;"",X40&gt;_xlpm.sent),X40,""),IF(_xlpm.tgt="","No target set",IF(AND(_xlpm.tgt&lt;TODAY(),_xlpm.act=""),"Overdue","On track"))),IF(C40="DPO Approval",_xlfn.LET(_xlpm.tgt,IF(AM40&lt;&gt;"",AM40,IF(AA40&lt;&gt;"",AA40,Z40)),_xlpm.sent,_xlfn.MAXIFS('Rework Log'!$B$3:$B$500,'Rework Log'!$A$3:$A$500,$B40,'Rework Log'!$C$3:$C$500,"DPO*"),_xlpm.act,IF(AND(AB40&lt;&gt;"",AB40&gt;_xlpm.sent),AB40,""),IF(_xlpm.tgt="","No target set",IF(AND(_xlpm.tgt&lt;TODAY(),_xlpm.act=""),"Overdue","On track"))),IF(C40="RELEASED IN PROD","Delivered",""))))))))</f>
        <v>On track</v>
      </c>
      <c r="E40" s="33">
        <v>13</v>
      </c>
      <c r="F40" s="34" t="s">
        <v>129</v>
      </c>
      <c r="G40" s="33"/>
      <c r="H40" s="50">
        <v>46234</v>
      </c>
      <c r="I40" s="62" t="s">
        <v>130</v>
      </c>
      <c r="J40" s="33" t="s">
        <v>75</v>
      </c>
      <c r="K40" s="4">
        <v>46213</v>
      </c>
      <c r="L40" s="36">
        <v>46251</v>
      </c>
      <c r="M40" s="37">
        <v>46251</v>
      </c>
      <c r="N40" s="47" t="s">
        <v>44</v>
      </c>
      <c r="O40" s="36" t="s">
        <v>131</v>
      </c>
      <c r="P40" s="66" t="s">
        <v>76</v>
      </c>
      <c r="Q40" s="4">
        <v>46220</v>
      </c>
      <c r="R40" s="36">
        <v>46251</v>
      </c>
      <c r="S40" s="36">
        <v>46255</v>
      </c>
      <c r="T40" s="70"/>
      <c r="U40" s="55" t="s">
        <v>46</v>
      </c>
      <c r="V40" s="60">
        <v>46227</v>
      </c>
      <c r="W40" s="36">
        <v>46254</v>
      </c>
      <c r="X40" s="36">
        <v>46258</v>
      </c>
      <c r="Y40" s="36"/>
      <c r="Z40" s="53">
        <v>46232</v>
      </c>
      <c r="AA40" s="36">
        <v>46265</v>
      </c>
      <c r="AB40" s="36"/>
      <c r="AC40" s="33" t="s">
        <v>132</v>
      </c>
      <c r="AD40" s="33" t="s">
        <v>48</v>
      </c>
      <c r="AE40" s="38"/>
      <c r="AF40" s="36"/>
      <c r="AG40" s="39"/>
      <c r="AH40" s="33"/>
      <c r="AI40" s="40" t="s">
        <v>52</v>
      </c>
      <c r="AJ40" s="74" t="str">
        <f>IF($B40="","",IF(AND(LEFT($AI40,3)="Yes",SUMPRODUCT(('Rework Log'!$A$3:$A$500=$B40)*('Rework Log'!$G$3:$G$500&lt;&gt;"Yes")*('Rework Log'!$G$3:$G$500&lt;&gt;"Did not pass re-test"))=0),"Blocked - log it on Rework Log",IF(AND(LEFT($AI40,3)&lt;&gt;"Yes",SUMPRODUCT(('Rework Log'!$A$3:$A$500=$B40)*('Rework Log'!$G$3:$G$500&lt;&gt;"Yes")*('Rework Log'!$G$3:$G$500&lt;&gt;"Did not pass re-test"))&gt;0),"Open rework row - mark Blocked? or close it",IF(AND($AI40="Yes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H)",IF(AND($AI40="Yes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H)",IF(AND($AI40="Yes – needs QA to fix",X40&lt;&gt;"",SUMPRODUCT(MAX((('Rework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Log'!$A$3:$A$500,$B40)&gt;0,"",IF(AND(V40&lt;&gt;"",K40&lt;&gt;"",V40&lt;K40),"QA target is before DB Dev target",IF(AND(V40&lt;&gt;"",Q40&lt;&gt;"",V40&lt;Q40),"QA target is before PBI Dev target",IF(AND(Z40&lt;&gt;"",V40&lt;&gt;"",Z40&lt;V40),"DPO Approval target is before QA target",IF(AND(AF40&lt;&gt;"",Z40&lt;&gt;"",AF40&lt;Z40),"Confirmed Deployed date is before DPO Approval target",""))))))))))))</f>
        <v/>
      </c>
      <c r="AK40" s="41" t="s">
        <v>161</v>
      </c>
      <c r="AL40" s="32" t="str" cm="1">
        <f t="array" ref="AL40">_xlfn.LET(_xlpm.rep,$B40,_xlpm.sent,_xlfn.MAXIFS('Rework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0" s="32" t="str" cm="1">
        <f t="array" ref="AM40">_xlfn.LET(_xlpm.rep,$B40,_xlpm.sent,_xlfn.MAXIFS('Rework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1" spans="1:39" hidden="1">
      <c r="A41" s="33" t="s">
        <v>126</v>
      </c>
      <c r="B41" s="33" t="s">
        <v>162</v>
      </c>
      <c r="C41" s="33" t="s">
        <v>128</v>
      </c>
      <c r="D41" t="str" cm="1">
        <f t="array" aca="1" ref="D41" ca="1">IF($B41="","",IF(LEFT($AI41,3)="Yes","Blocked - "&amp;MID($AI41,7,100)&amp;IF(SUMPRODUCT(('Rework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Dev",IF(AND(L41="",K41=""),"No target set",IF(AND(IF(L41&lt;&gt;"",L41,K41)&lt;TODAY(),M41=""),"Overdue","On track")),IF(C41="PBI Dev",IF(AND(R41="",Q41=""),"No target set",IF(AND(IF(R41&lt;&gt;"",R41,Q41)&lt;TODAY(),S41=""),"Overdue","On track")),IF(C41="QA",_xlfn.LET(_xlpm.tgt,IF(AL41&lt;&gt;"",AL41,IF(W41&lt;&gt;"",W41,V41)),_xlpm.sent,_xlfn.MAXIFS('Rework Log'!$B$3:$B$500,'Rework Log'!$A$3:$A$500,$B41,'Rework Log'!$C$3:$C$500,"QA"),_xlpm.act,IF(AND(X41&lt;&gt;"",X41&gt;_xlpm.sent),X41,""),IF(_xlpm.tgt="","No target set",IF(AND(_xlpm.tgt&lt;TODAY(),_xlpm.act=""),"Overdue","On track"))),IF(C41="DPO Approval",_xlfn.LET(_xlpm.tgt,IF(AM41&lt;&gt;"",AM41,IF(AA41&lt;&gt;"",AA41,Z41)),_xlpm.sent,_xlfn.MAXIFS('Rework Log'!$B$3:$B$500,'Rework Log'!$A$3:$A$500,$B41,'Rework Log'!$C$3:$C$500,"DPO*"),_xlpm.act,IF(AND(AB41&lt;&gt;"",AB41&gt;_xlpm.sent),AB41,""),IF(_xlpm.tgt="","No target set",IF(AND(_xlpm.tgt&lt;TODAY(),_xlpm.act=""),"Overdue","On track"))),IF(C41="RELEASED IN PROD","Delivered",""))))))))</f>
        <v>On track</v>
      </c>
      <c r="E41" s="33">
        <v>14</v>
      </c>
      <c r="F41" s="34" t="s">
        <v>129</v>
      </c>
      <c r="G41" s="33"/>
      <c r="H41" s="50">
        <v>46234</v>
      </c>
      <c r="I41" s="62" t="s">
        <v>130</v>
      </c>
      <c r="J41" s="33" t="s">
        <v>58</v>
      </c>
      <c r="K41" s="4">
        <v>46213</v>
      </c>
      <c r="L41" s="35">
        <v>46248</v>
      </c>
      <c r="M41" s="37">
        <v>46248</v>
      </c>
      <c r="N41" s="47" t="s">
        <v>44</v>
      </c>
      <c r="O41" s="36" t="s">
        <v>131</v>
      </c>
      <c r="P41" s="66" t="s">
        <v>59</v>
      </c>
      <c r="Q41" s="4">
        <v>46220</v>
      </c>
      <c r="R41" s="36">
        <v>46251</v>
      </c>
      <c r="S41" s="36">
        <v>46251</v>
      </c>
      <c r="T41" s="70"/>
      <c r="U41" s="55" t="s">
        <v>46</v>
      </c>
      <c r="V41" s="60">
        <v>46227</v>
      </c>
      <c r="W41" s="36">
        <v>46258</v>
      </c>
      <c r="X41" s="36">
        <v>46258</v>
      </c>
      <c r="Y41" s="36"/>
      <c r="Z41" s="53">
        <v>46232</v>
      </c>
      <c r="AA41" s="36">
        <v>46262</v>
      </c>
      <c r="AB41" s="36"/>
      <c r="AC41" s="33" t="s">
        <v>132</v>
      </c>
      <c r="AD41" s="33" t="s">
        <v>48</v>
      </c>
      <c r="AE41" s="38"/>
      <c r="AF41" s="36"/>
      <c r="AG41" s="39"/>
      <c r="AH41" s="33"/>
      <c r="AI41" s="40" t="s">
        <v>52</v>
      </c>
      <c r="AJ41" s="74" t="str">
        <f>IF($B41="","",IF(AND(LEFT($AI41,3)="Yes",SUMPRODUCT(('Rework Log'!$A$3:$A$500=$B41)*('Rework Log'!$G$3:$G$500&lt;&gt;"Yes")*('Rework Log'!$G$3:$G$500&lt;&gt;"Did not pass re-test"))=0),"Blocked - log it on Rework Log",IF(AND(LEFT($AI41,3)&lt;&gt;"Yes",SUMPRODUCT(('Rework Log'!$A$3:$A$500=$B41)*('Rework Log'!$G$3:$G$500&lt;&gt;"Yes")*('Rework Log'!$G$3:$G$500&lt;&gt;"Did not pass re-test"))&gt;0),"Open rework row - mark Blocked? or close it",IF(AND($AI41="Yes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H)",IF(AND($AI41="Yes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H)",IF(AND($AI41="Yes – needs QA to fix",X41&lt;&gt;"",SUMPRODUCT(MAX((('Rework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Log'!$A$3:$A$500,$B41)&gt;0,"",IF(AND(V41&lt;&gt;"",K42&lt;&gt;"",V41&lt;K42),"QA target is before DB Dev target",IF(AND(V41&lt;&gt;"",Q41&lt;&gt;"",V41&lt;Q41),"QA target is before PBI Dev target",IF(AND(Z41&lt;&gt;"",V41&lt;&gt;"",Z41&lt;V41),"DPO Approval target is before QA target",IF(AND(AF41&lt;&gt;"",Z41&lt;&gt;"",AF41&lt;Z41),"Confirmed Deployed date is before DPO Approval target",""))))))))))))</f>
        <v/>
      </c>
      <c r="AK41" s="41" t="s">
        <v>163</v>
      </c>
      <c r="AL41" s="32" t="str" cm="1">
        <f t="array" ref="AL41">_xlfn.LET(_xlpm.rep,$B41,_xlpm.sent,_xlfn.MAXIFS('Rework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1" s="32" t="str" cm="1">
        <f t="array" ref="AM41">_xlfn.LET(_xlpm.rep,$B41,_xlpm.sent,_xlfn.MAXIFS('Rework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2" spans="1:39" hidden="1">
      <c r="A42" s="33" t="s">
        <v>126</v>
      </c>
      <c r="B42" s="33" t="s">
        <v>164</v>
      </c>
      <c r="C42" s="33" t="s">
        <v>128</v>
      </c>
      <c r="D42" t="str" cm="1">
        <f t="array" aca="1" ref="D42" ca="1">IF($B42="","",IF(LEFT($AI42,3)="Yes","Blocked - "&amp;MID($AI42,7,100)&amp;IF(SUMPRODUCT(('Rework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Dev",IF(AND(L42="",K42=""),"No target set",IF(AND(IF(L42&lt;&gt;"",L42,K42)&lt;TODAY(),M42=""),"Overdue","On track")),IF(C42="PBI Dev",IF(AND(R42="",Q42=""),"No target set",IF(AND(IF(R42&lt;&gt;"",R42,Q42)&lt;TODAY(),S42=""),"Overdue","On track")),IF(C42="QA",_xlfn.LET(_xlpm.tgt,IF(AL42&lt;&gt;"",AL42,IF(W42&lt;&gt;"",W42,V42)),_xlpm.sent,_xlfn.MAXIFS('Rework Log'!$B$3:$B$500,'Rework Log'!$A$3:$A$500,$B42,'Rework Log'!$C$3:$C$500,"QA"),_xlpm.act,IF(AND(X42&lt;&gt;"",X42&gt;_xlpm.sent),X42,""),IF(_xlpm.tgt="","No target set",IF(AND(_xlpm.tgt&lt;TODAY(),_xlpm.act=""),"Overdue","On track"))),IF(C42="DPO Approval",_xlfn.LET(_xlpm.tgt,IF(AM42&lt;&gt;"",AM42,IF(AA42&lt;&gt;"",AA42,Z42)),_xlpm.sent,_xlfn.MAXIFS('Rework Log'!$B$3:$B$500,'Rework Log'!$A$3:$A$500,$B42,'Rework Log'!$C$3:$C$500,"DPO*"),_xlpm.act,IF(AND(AB42&lt;&gt;"",AB42&gt;_xlpm.sent),AB42,""),IF(_xlpm.tgt="","No target set",IF(AND(_xlpm.tgt&lt;TODAY(),_xlpm.act=""),"Overdue","On track"))),IF(C42="RELEASED IN PROD","Delivered",""))))))))</f>
        <v>On track</v>
      </c>
      <c r="E42" s="33">
        <v>15</v>
      </c>
      <c r="F42" s="34" t="s">
        <v>146</v>
      </c>
      <c r="G42" s="33"/>
      <c r="H42" s="50">
        <v>46234</v>
      </c>
      <c r="I42" s="62" t="s">
        <v>130</v>
      </c>
      <c r="J42" s="33" t="s">
        <v>75</v>
      </c>
      <c r="K42" s="4">
        <v>46213</v>
      </c>
      <c r="L42" s="36">
        <v>46245</v>
      </c>
      <c r="M42" s="36">
        <v>46245</v>
      </c>
      <c r="N42" s="36" t="s">
        <v>44</v>
      </c>
      <c r="O42" s="36" t="s">
        <v>165</v>
      </c>
      <c r="P42" s="66" t="s">
        <v>45</v>
      </c>
      <c r="Q42" s="4">
        <v>46220</v>
      </c>
      <c r="R42" s="36">
        <v>46248</v>
      </c>
      <c r="S42" s="36">
        <v>46248</v>
      </c>
      <c r="T42" s="70"/>
      <c r="U42" s="55" t="s">
        <v>46</v>
      </c>
      <c r="V42" s="60">
        <v>46227</v>
      </c>
      <c r="W42" s="36">
        <v>46255</v>
      </c>
      <c r="X42" s="36">
        <v>46261</v>
      </c>
      <c r="Y42" s="36"/>
      <c r="Z42" s="53">
        <v>46232</v>
      </c>
      <c r="AA42" s="36">
        <v>46267</v>
      </c>
      <c r="AB42" s="36"/>
      <c r="AC42" s="33" t="s">
        <v>154</v>
      </c>
      <c r="AD42" s="33" t="s">
        <v>48</v>
      </c>
      <c r="AE42" s="38"/>
      <c r="AF42" s="36"/>
      <c r="AG42" s="39"/>
      <c r="AH42" s="33"/>
      <c r="AI42" s="40" t="s">
        <v>52</v>
      </c>
      <c r="AJ42" s="48"/>
      <c r="AK42" s="45" t="s">
        <v>166</v>
      </c>
      <c r="AL42" s="32" t="str" cm="1">
        <f t="array" ref="AL42">_xlfn.LET(_xlpm.rep,$B42,_xlpm.sent,_xlfn.MAXIFS('Rework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2" s="32" t="str" cm="1">
        <f t="array" ref="AM42">_xlfn.LET(_xlpm.rep,$B42,_xlpm.sent,_xlfn.MAXIFS('Rework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3" spans="1:39" hidden="1">
      <c r="A43" s="33" t="s">
        <v>126</v>
      </c>
      <c r="B43" s="33" t="s">
        <v>167</v>
      </c>
      <c r="C43" s="33" t="s">
        <v>140</v>
      </c>
      <c r="D43" t="str" cm="1">
        <f t="array" aca="1" ref="D43" ca="1">IF($B43="","",IF(LEFT($AI43,3)="Yes","Blocked - "&amp;MID($AI43,7,100)&amp;IF(SUMPRODUCT(('Rework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Dev",IF(AND(L43="",K43=""),"No target set",IF(AND(IF(L43&lt;&gt;"",L43,K43)&lt;TODAY(),M43=""),"Overdue","On track")),IF(C43="PBI Dev",IF(AND(R43="",Q43=""),"No target set",IF(AND(IF(R43&lt;&gt;"",R43,Q43)&lt;TODAY(),S43=""),"Overdue","On track")),IF(C43="QA",_xlfn.LET(_xlpm.tgt,IF(AL43&lt;&gt;"",AL43,IF(W43&lt;&gt;"",W43,V43)),_xlpm.sent,_xlfn.MAXIFS('Rework Log'!$B$3:$B$500,'Rework Log'!$A$3:$A$500,$B43,'Rework Log'!$C$3:$C$500,"QA"),_xlpm.act,IF(AND(X43&lt;&gt;"",X43&gt;_xlpm.sent),X43,""),IF(_xlpm.tgt="","No target set",IF(AND(_xlpm.tgt&lt;TODAY(),_xlpm.act=""),"Overdue","On track"))),IF(C43="DPO Approval",_xlfn.LET(_xlpm.tgt,IF(AM43&lt;&gt;"",AM43,IF(AA43&lt;&gt;"",AA43,Z43)),_xlpm.sent,_xlfn.MAXIFS('Rework Log'!$B$3:$B$500,'Rework Log'!$A$3:$A$500,$B43,'Rework Log'!$C$3:$C$500,"DPO*"),_xlpm.act,IF(AND(AB43&lt;&gt;"",AB43&gt;_xlpm.sent),AB43,""),IF(_xlpm.tgt="","No target set",IF(AND(_xlpm.tgt&lt;TODAY(),_xlpm.act=""),"Overdue","On track"))),IF(C43="RELEASED IN PROD","Delivered",""))))))))</f>
        <v>On track</v>
      </c>
      <c r="E43" s="33" t="s">
        <v>168</v>
      </c>
      <c r="F43" s="34" t="s">
        <v>146</v>
      </c>
      <c r="G43" s="33"/>
      <c r="H43" s="50">
        <v>46265</v>
      </c>
      <c r="I43" s="62" t="s">
        <v>169</v>
      </c>
      <c r="J43" s="33" t="s">
        <v>102</v>
      </c>
      <c r="K43" s="4">
        <v>46234</v>
      </c>
      <c r="L43" s="36">
        <v>46251</v>
      </c>
      <c r="M43" s="36">
        <v>46252</v>
      </c>
      <c r="N43" s="36" t="s">
        <v>44</v>
      </c>
      <c r="O43" s="36" t="s">
        <v>170</v>
      </c>
      <c r="P43" s="66" t="s">
        <v>59</v>
      </c>
      <c r="Q43" s="4">
        <v>46241</v>
      </c>
      <c r="R43" s="36">
        <v>46260</v>
      </c>
      <c r="S43" s="36">
        <v>46260</v>
      </c>
      <c r="T43" s="70"/>
      <c r="U43" s="55" t="s">
        <v>46</v>
      </c>
      <c r="V43" s="60">
        <v>46255</v>
      </c>
      <c r="W43" s="36">
        <v>46262</v>
      </c>
      <c r="X43" s="36"/>
      <c r="Y43" s="36"/>
      <c r="Z43" s="53">
        <v>46260</v>
      </c>
      <c r="AA43" s="36">
        <v>46274</v>
      </c>
      <c r="AB43" s="36"/>
      <c r="AC43" s="33" t="s">
        <v>132</v>
      </c>
      <c r="AD43" s="33" t="s">
        <v>48</v>
      </c>
      <c r="AE43" s="38"/>
      <c r="AF43" s="36"/>
      <c r="AG43" s="39"/>
      <c r="AH43" s="33"/>
      <c r="AI43" s="40" t="s">
        <v>52</v>
      </c>
      <c r="AJ43" s="74" t="str">
        <f>IF($B43="","",IF(AND(LEFT($AI43,3)="Yes",SUMPRODUCT(('Rework Log'!$A$3:$A$500=$B43)*('Rework Log'!$G$3:$G$500&lt;&gt;"Yes")*('Rework Log'!$G$3:$G$500&lt;&gt;"Did not pass re-test"))=0),"Blocked - log it on Rework Log",IF(AND(LEFT($AI43,3)&lt;&gt;"Yes",SUMPRODUCT(('Rework Log'!$A$3:$A$500=$B43)*('Rework Log'!$G$3:$G$500&lt;&gt;"Yes")*('Rework Log'!$G$3:$G$500&lt;&gt;"Did not pass re-test"))&gt;0),"Open rework row - mark Blocked? or close it",IF(AND($AI43="Yes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H)",IF(AND($AI43="Yes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H)",IF(AND($AI43="Yes – needs QA to fix",X43&lt;&gt;"",SUMPRODUCT(MAX((('Rework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Log'!$A$3:$A$500,$B43)&gt;0,"",IF(AND(V43&lt;&gt;"",K43&lt;&gt;"",V43&lt;K43),"QA target is before DB Dev target",IF(AND(V43&lt;&gt;"",Q43&lt;&gt;"",V43&lt;Q43),"QA target is before PBI Dev target",IF(AND(Z43&lt;&gt;"",V43&lt;&gt;"",Z43&lt;V43),"DPO Approval target is before QA target",IF(AND(AF43&lt;&gt;"",Z43&lt;&gt;"",AF43&lt;Z43),"Confirmed Deployed date is before DPO Approval target",""))))))))))))</f>
        <v/>
      </c>
      <c r="AK43" s="41" t="s">
        <v>171</v>
      </c>
      <c r="AL43" s="32" t="str" cm="1">
        <f t="array" ref="AL43">_xlfn.LET(_xlpm.rep,$B43,_xlpm.sent,_xlfn.MAXIFS('Rework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3" s="32" t="str" cm="1">
        <f t="array" ref="AM43">_xlfn.LET(_xlpm.rep,$B43,_xlpm.sent,_xlfn.MAXIFS('Rework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4" spans="1:39" hidden="1">
      <c r="A44" s="33" t="s">
        <v>126</v>
      </c>
      <c r="B44" s="33" t="s">
        <v>172</v>
      </c>
      <c r="C44" s="33" t="s">
        <v>140</v>
      </c>
      <c r="D44" t="str" cm="1">
        <f t="array" aca="1" ref="D44" ca="1">IF($B44="","",IF(LEFT($AI44,3)="Yes","Blocked - "&amp;MID($AI44,7,100)&amp;IF(SUMPRODUCT(('Rework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Dev",IF(AND(L44="",K44=""),"No target set",IF(AND(IF(L44&lt;&gt;"",L44,K44)&lt;TODAY(),M44=""),"Overdue","On track")),IF(C44="PBI Dev",IF(AND(R44="",Q44=""),"No target set",IF(AND(IF(R44&lt;&gt;"",R44,Q44)&lt;TODAY(),S44=""),"Overdue","On track")),IF(C44="QA",_xlfn.LET(_xlpm.tgt,IF(AL44&lt;&gt;"",AL44,IF(W44&lt;&gt;"",W44,V44)),_xlpm.sent,_xlfn.MAXIFS('Rework Log'!$B$3:$B$500,'Rework Log'!$A$3:$A$500,$B44,'Rework Log'!$C$3:$C$500,"QA"),_xlpm.act,IF(AND(X44&lt;&gt;"",X44&gt;_xlpm.sent),X44,""),IF(_xlpm.tgt="","No target set",IF(AND(_xlpm.tgt&lt;TODAY(),_xlpm.act=""),"Overdue","On track"))),IF(C44="DPO Approval",_xlfn.LET(_xlpm.tgt,IF(AM44&lt;&gt;"",AM44,IF(AA44&lt;&gt;"",AA44,Z44)),_xlpm.sent,_xlfn.MAXIFS('Rework Log'!$B$3:$B$500,'Rework Log'!$A$3:$A$500,$B44,'Rework Log'!$C$3:$C$500,"DPO*"),_xlpm.act,IF(AND(AB44&lt;&gt;"",AB44&gt;_xlpm.sent),AB44,""),IF(_xlpm.tgt="","No target set",IF(AND(_xlpm.tgt&lt;TODAY(),_xlpm.act=""),"Overdue","On track"))),IF(C44="RELEASED IN PROD","Delivered",""))))))))</f>
        <v>Overdue</v>
      </c>
      <c r="E44" s="33">
        <v>18</v>
      </c>
      <c r="F44" s="34" t="s">
        <v>146</v>
      </c>
      <c r="G44" s="33"/>
      <c r="H44" s="50">
        <v>46265</v>
      </c>
      <c r="I44" s="62" t="s">
        <v>169</v>
      </c>
      <c r="J44" s="33" t="s">
        <v>58</v>
      </c>
      <c r="K44" s="4">
        <v>46234</v>
      </c>
      <c r="L44" s="36">
        <v>46255</v>
      </c>
      <c r="M44" s="36">
        <v>46255</v>
      </c>
      <c r="N44" s="36" t="s">
        <v>44</v>
      </c>
      <c r="O44" s="36" t="s">
        <v>170</v>
      </c>
      <c r="P44" s="66" t="s">
        <v>45</v>
      </c>
      <c r="Q44" s="4">
        <v>46241</v>
      </c>
      <c r="R44" s="36">
        <v>46258</v>
      </c>
      <c r="S44" s="36">
        <v>46258</v>
      </c>
      <c r="T44" s="70"/>
      <c r="U44" s="55" t="s">
        <v>46</v>
      </c>
      <c r="V44" s="60">
        <v>46255</v>
      </c>
      <c r="W44" s="36">
        <v>46261</v>
      </c>
      <c r="X44" s="36"/>
      <c r="Y44" s="36"/>
      <c r="Z44" s="53">
        <v>46260</v>
      </c>
      <c r="AA44" s="36">
        <v>46273</v>
      </c>
      <c r="AB44" s="36"/>
      <c r="AC44" s="33" t="s">
        <v>173</v>
      </c>
      <c r="AD44" s="33" t="s">
        <v>48</v>
      </c>
      <c r="AE44" s="38"/>
      <c r="AF44" s="36"/>
      <c r="AG44" s="39"/>
      <c r="AH44" s="33"/>
      <c r="AI44" s="40" t="s">
        <v>52</v>
      </c>
      <c r="AJ44" s="74" t="str">
        <f>IF($B44="","",IF(AND(LEFT($AI44,3)="Yes",SUMPRODUCT(('Rework Log'!$A$3:$A$500=$B44)*('Rework Log'!$G$3:$G$500&lt;&gt;"Yes")*('Rework Log'!$G$3:$G$500&lt;&gt;"Did not pass re-test"))=0),"Blocked - log it on Rework Log",IF(AND(LEFT($AI44,3)&lt;&gt;"Yes",SUMPRODUCT(('Rework Log'!$A$3:$A$500=$B44)*('Rework Log'!$G$3:$G$500&lt;&gt;"Yes")*('Rework Log'!$G$3:$G$500&lt;&gt;"Did not pass re-test"))&gt;0),"Open rework row - mark Blocked? or close it",IF(AND($AI44="Yes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H)",IF(AND($AI44="Yes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H)",IF(AND($AI44="Yes – needs QA to fix",X44&lt;&gt;"",SUMPRODUCT(MAX((('Rework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Log'!$A$3:$A$500,$B44)&gt;0,"",IF(AND(V44&lt;&gt;"",K44&lt;&gt;"",V44&lt;K44),"QA target is before DB Dev target",IF(AND(V44&lt;&gt;"",Q44&lt;&gt;"",V44&lt;Q44),"QA target is before PBI Dev target",IF(AND(Z44&lt;&gt;"",V44&lt;&gt;"",Z44&lt;V44),"DPO Approval target is before QA target",IF(AND(AF44&lt;&gt;"",Z44&lt;&gt;"",AF44&lt;Z44),"Confirmed Deployed date is before DPO Approval target",""))))))))))))</f>
        <v/>
      </c>
      <c r="AK44" s="78" t="s">
        <v>174</v>
      </c>
      <c r="AL44" s="32" t="str" cm="1">
        <f t="array" ref="AL44">_xlfn.LET(_xlpm.rep,$B44,_xlpm.sent,_xlfn.MAXIFS('Rework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4" s="32" t="str" cm="1">
        <f t="array" ref="AM44">_xlfn.LET(_xlpm.rep,$B44,_xlpm.sent,_xlfn.MAXIFS('Rework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5" spans="1:39" hidden="1">
      <c r="A45" s="33" t="s">
        <v>126</v>
      </c>
      <c r="B45" s="33" t="s">
        <v>175</v>
      </c>
      <c r="C45" s="33" t="s">
        <v>140</v>
      </c>
      <c r="D45" t="str" cm="1">
        <f t="array" aca="1" ref="D45" ca="1">IF($B45="","",IF(LEFT($AI45,3)="Yes","Blocked - "&amp;MID($AI45,7,100)&amp;IF(SUMPRODUCT(('Rework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Dev",IF(AND(L45="",K45=""),"No target set",IF(AND(IF(L45&lt;&gt;"",L45,K45)&lt;TODAY(),M45=""),"Overdue","On track")),IF(C45="PBI Dev",IF(AND(R45="",Q45=""),"No target set",IF(AND(IF(R45&lt;&gt;"",R45,Q45)&lt;TODAY(),S45=""),"Overdue","On track")),IF(C45="QA",_xlfn.LET(_xlpm.tgt,IF(AL45&lt;&gt;"",AL45,IF(W45&lt;&gt;"",W45,V45)),_xlpm.sent,_xlfn.MAXIFS('Rework Log'!$B$3:$B$500,'Rework Log'!$A$3:$A$500,$B45,'Rework Log'!$C$3:$C$500,"QA"),_xlpm.act,IF(AND(X45&lt;&gt;"",X45&gt;_xlpm.sent),X45,""),IF(_xlpm.tgt="","No target set",IF(AND(_xlpm.tgt&lt;TODAY(),_xlpm.act=""),"Overdue","On track"))),IF(C45="DPO Approval",_xlfn.LET(_xlpm.tgt,IF(AM45&lt;&gt;"",AM45,IF(AA45&lt;&gt;"",AA45,Z45)),_xlpm.sent,_xlfn.MAXIFS('Rework Log'!$B$3:$B$500,'Rework Log'!$A$3:$A$500,$B45,'Rework Log'!$C$3:$C$500,"DPO*"),_xlpm.act,IF(AND(AB45&lt;&gt;"",AB45&gt;_xlpm.sent),AB45,""),IF(_xlpm.tgt="","No target set",IF(AND(_xlpm.tgt&lt;TODAY(),_xlpm.act=""),"Overdue","On track"))),IF(C45="RELEASED IN PROD","Delivered",""))))))))</f>
        <v>Overdue</v>
      </c>
      <c r="E45" s="33">
        <v>19</v>
      </c>
      <c r="F45" s="34" t="s">
        <v>129</v>
      </c>
      <c r="G45" s="33"/>
      <c r="H45" s="50">
        <v>46265</v>
      </c>
      <c r="I45" s="62" t="s">
        <v>169</v>
      </c>
      <c r="J45" s="33" t="s">
        <v>43</v>
      </c>
      <c r="K45" s="4">
        <v>46234</v>
      </c>
      <c r="L45" s="36">
        <v>46249</v>
      </c>
      <c r="M45" s="36">
        <v>46244</v>
      </c>
      <c r="N45" s="36"/>
      <c r="O45" s="36" t="s">
        <v>170</v>
      </c>
      <c r="P45" s="66" t="s">
        <v>76</v>
      </c>
      <c r="Q45" s="4">
        <v>46241</v>
      </c>
      <c r="R45" s="36">
        <v>46252</v>
      </c>
      <c r="S45" s="36">
        <v>46251</v>
      </c>
      <c r="T45" s="70"/>
      <c r="U45" s="55" t="s">
        <v>46</v>
      </c>
      <c r="V45" s="60">
        <v>46255</v>
      </c>
      <c r="W45" s="36"/>
      <c r="X45" s="36"/>
      <c r="Y45" s="36"/>
      <c r="Z45" s="53">
        <v>46260</v>
      </c>
      <c r="AA45" s="36">
        <v>46265</v>
      </c>
      <c r="AB45" s="36"/>
      <c r="AC45" s="33" t="s">
        <v>173</v>
      </c>
      <c r="AD45" s="33" t="s">
        <v>48</v>
      </c>
      <c r="AE45" s="38"/>
      <c r="AF45" s="36"/>
      <c r="AG45" s="39"/>
      <c r="AH45" s="33"/>
      <c r="AI45" s="40" t="s">
        <v>52</v>
      </c>
      <c r="AJ45" s="74" t="str">
        <f>IF($B45="","",IF(AND(LEFT($AI45,3)="Yes",SUMPRODUCT(('Rework Log'!$A$3:$A$500=$B45)*('Rework Log'!$G$3:$G$500&lt;&gt;"Yes")*('Rework Log'!$G$3:$G$500&lt;&gt;"Did not pass re-test"))=0),"Blocked - log it on Rework Log",IF(AND(LEFT($AI45,3)&lt;&gt;"Yes",SUMPRODUCT(('Rework Log'!$A$3:$A$500=$B45)*('Rework Log'!$G$3:$G$500&lt;&gt;"Yes")*('Rework Log'!$G$3:$G$500&lt;&gt;"Did not pass re-test"))&gt;0),"Open rework row - mark Blocked? or close it",IF(AND($AI45="Yes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H)",IF(AND($AI45="Yes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H)",IF(AND($AI45="Yes – needs QA to fix",X45&lt;&gt;"",SUMPRODUCT(MAX((('Rework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Log'!$A$3:$A$500,$B45)&gt;0,"",IF(AND(V45&lt;&gt;"",K45&lt;&gt;"",V45&lt;K45),"QA target is before DB Dev target",IF(AND(V45&lt;&gt;"",Q45&lt;&gt;"",V45&lt;Q45),"QA target is before PBI Dev target",IF(AND(Z45&lt;&gt;"",V45&lt;&gt;"",Z45&lt;V45),"DPO Approval target is before QA target",IF(AND(AF45&lt;&gt;"",Z45&lt;&gt;"",AF45&lt;Z45),"Confirmed Deployed date is before DPO Approval target",""))))))))))))</f>
        <v/>
      </c>
      <c r="AK45" s="41" t="s">
        <v>176</v>
      </c>
      <c r="AL45" s="32" t="str" cm="1">
        <f t="array" ref="AL45">_xlfn.LET(_xlpm.rep,$B45,_xlpm.sent,_xlfn.MAXIFS('Rework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5" s="32" t="str" cm="1">
        <f t="array" ref="AM45">_xlfn.LET(_xlpm.rep,$B45,_xlpm.sent,_xlfn.MAXIFS('Rework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6" spans="1:39" hidden="1">
      <c r="A46" s="33" t="s">
        <v>126</v>
      </c>
      <c r="B46" s="33" t="s">
        <v>177</v>
      </c>
      <c r="C46" s="33" t="s">
        <v>178</v>
      </c>
      <c r="D46" t="str" cm="1">
        <f t="array" aca="1" ref="D46" ca="1">IF($B46="","",IF(LEFT($AI46,3)="Yes","Blocked - "&amp;MID($AI46,7,100)&amp;IF(SUMPRODUCT(('Rework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Dev",IF(AND(L46="",K46=""),"No target set",IF(AND(IF(L46&lt;&gt;"",L46,K46)&lt;TODAY(),M46=""),"Overdue","On track")),IF(C46="PBI Dev",IF(AND(R46="",Q46=""),"No target set",IF(AND(IF(R46&lt;&gt;"",R46,Q46)&lt;TODAY(),S46=""),"Overdue","On track")),IF(C46="QA",_xlfn.LET(_xlpm.tgt,IF(AL46&lt;&gt;"",AL46,IF(W46&lt;&gt;"",W46,V46)),_xlpm.sent,_xlfn.MAXIFS('Rework Log'!$B$3:$B$500,'Rework Log'!$A$3:$A$500,$B46,'Rework Log'!$C$3:$C$500,"QA"),_xlpm.act,IF(AND(X46&lt;&gt;"",X46&gt;_xlpm.sent),X46,""),IF(_xlpm.tgt="","No target set",IF(AND(_xlpm.tgt&lt;TODAY(),_xlpm.act=""),"Overdue","On track"))),IF(C46="DPO Approval",_xlfn.LET(_xlpm.tgt,IF(AM46&lt;&gt;"",AM46,IF(AA46&lt;&gt;"",AA46,Z46)),_xlpm.sent,_xlfn.MAXIFS('Rework Log'!$B$3:$B$500,'Rework Log'!$A$3:$A$500,$B46,'Rework Log'!$C$3:$C$500,"DPO*"),_xlpm.act,IF(AND(AB46&lt;&gt;"",AB46&gt;_xlpm.sent),AB46,""),IF(_xlpm.tgt="","No target set",IF(AND(_xlpm.tgt&lt;TODAY(),_xlpm.act=""),"Overdue","On track"))),IF(C46="RELEASED IN PROD","Delivered",""))))))))</f>
        <v>On track</v>
      </c>
      <c r="E46" s="33">
        <v>20</v>
      </c>
      <c r="F46" s="34" t="s">
        <v>129</v>
      </c>
      <c r="G46" s="33"/>
      <c r="H46" s="50">
        <v>46265</v>
      </c>
      <c r="I46" s="62" t="s">
        <v>169</v>
      </c>
      <c r="J46" s="33" t="s">
        <v>83</v>
      </c>
      <c r="K46" s="4">
        <v>46234</v>
      </c>
      <c r="L46" s="36">
        <v>46213</v>
      </c>
      <c r="M46" s="36">
        <v>46244</v>
      </c>
      <c r="N46" s="36"/>
      <c r="O46" s="36" t="s">
        <v>179</v>
      </c>
      <c r="P46" s="66" t="s">
        <v>59</v>
      </c>
      <c r="Q46" s="4">
        <v>46241</v>
      </c>
      <c r="R46" s="36">
        <v>46261</v>
      </c>
      <c r="S46" s="36">
        <v>46261</v>
      </c>
      <c r="T46" s="70"/>
      <c r="U46" s="55" t="s">
        <v>46</v>
      </c>
      <c r="V46" s="60">
        <v>46255</v>
      </c>
      <c r="W46" s="36">
        <v>46262</v>
      </c>
      <c r="X46" s="36"/>
      <c r="Y46" s="36"/>
      <c r="Z46" s="53">
        <v>46260</v>
      </c>
      <c r="AA46" s="36">
        <v>46274</v>
      </c>
      <c r="AB46" s="36"/>
      <c r="AC46" s="33" t="s">
        <v>132</v>
      </c>
      <c r="AD46" s="33" t="s">
        <v>48</v>
      </c>
      <c r="AE46" s="38"/>
      <c r="AF46" s="36"/>
      <c r="AG46" s="39"/>
      <c r="AH46" s="33"/>
      <c r="AI46" s="40" t="s">
        <v>52</v>
      </c>
      <c r="AJ46" s="74" t="str">
        <f>IF($B46="","",IF(AND(LEFT($AI46,3)="Yes",SUMPRODUCT(('Rework Log'!$A$3:$A$500=$B46)*('Rework Log'!$G$3:$G$500&lt;&gt;"Yes")*('Rework Log'!$G$3:$G$500&lt;&gt;"Did not pass re-test"))=0),"Blocked - log it on Rework Log",IF(AND(LEFT($AI46,3)&lt;&gt;"Yes",SUMPRODUCT(('Rework Log'!$A$3:$A$500=$B46)*('Rework Log'!$G$3:$G$500&lt;&gt;"Yes")*('Rework Log'!$G$3:$G$500&lt;&gt;"Did not pass re-test"))&gt;0),"Open rework row - mark Blocked? or close it",IF(AND($AI46="Yes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H)",IF(AND($AI46="Yes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H)",IF(AND($AI46="Yes – needs QA to fix",X46&lt;&gt;"",SUMPRODUCT(MAX((('Rework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Log'!$A$3:$A$500,$B46)&gt;0,"",IF(AND(V46&lt;&gt;"",K46&lt;&gt;"",V46&lt;K46),"QA target is before DB Dev target",IF(AND(V46&lt;&gt;"",Q46&lt;&gt;"",V46&lt;Q46),"QA target is before PBI Dev target",IF(AND(Z46&lt;&gt;"",V46&lt;&gt;"",Z46&lt;V46),"DPO Approval target is before QA target",IF(AND(AF46&lt;&gt;"",Z46&lt;&gt;"",AF46&lt;Z46),"Confirmed Deployed date is before DPO Approval target",""))))))))))))</f>
        <v/>
      </c>
      <c r="AK46" s="41"/>
      <c r="AL46" s="32" t="str" cm="1">
        <f t="array" ref="AL46">_xlfn.LET(_xlpm.rep,$B46,_xlpm.sent,_xlfn.MAXIFS('Rework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6" s="32" t="str" cm="1">
        <f t="array" ref="AM46">_xlfn.LET(_xlpm.rep,$B46,_xlpm.sent,_xlfn.MAXIFS('Rework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7" spans="1:39" hidden="1">
      <c r="A47" s="33" t="s">
        <v>126</v>
      </c>
      <c r="B47" s="33" t="s">
        <v>180</v>
      </c>
      <c r="C47" s="33" t="s">
        <v>178</v>
      </c>
      <c r="D47" t="str" cm="1">
        <f t="array" aca="1" ref="D47" ca="1">IF($B47="","",IF(LEFT($AI47,3)="Yes","Blocked - "&amp;MID($AI47,7,100)&amp;IF(SUMPRODUCT(('Rework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Dev",IF(AND(L47="",K47=""),"No target set",IF(AND(IF(L47&lt;&gt;"",L47,K47)&lt;TODAY(),M47=""),"Overdue","On track")),IF(C47="PBI Dev",IF(AND(R47="",Q47=""),"No target set",IF(AND(IF(R47&lt;&gt;"",R47,Q47)&lt;TODAY(),S47=""),"Overdue","On track")),IF(C47="QA",_xlfn.LET(_xlpm.tgt,IF(AL47&lt;&gt;"",AL47,IF(W47&lt;&gt;"",W47,V47)),_xlpm.sent,_xlfn.MAXIFS('Rework Log'!$B$3:$B$500,'Rework Log'!$A$3:$A$500,$B47,'Rework Log'!$C$3:$C$500,"QA"),_xlpm.act,IF(AND(X47&lt;&gt;"",X47&gt;_xlpm.sent),X47,""),IF(_xlpm.tgt="","No target set",IF(AND(_xlpm.tgt&lt;TODAY(),_xlpm.act=""),"Overdue","On track"))),IF(C47="DPO Approval",_xlfn.LET(_xlpm.tgt,IF(AM47&lt;&gt;"",AM47,IF(AA47&lt;&gt;"",AA47,Z47)),_xlpm.sent,_xlfn.MAXIFS('Rework Log'!$B$3:$B$500,'Rework Log'!$A$3:$A$500,$B47,'Rework Log'!$C$3:$C$500,"DPO*"),_xlpm.act,IF(AND(AB47&lt;&gt;"",AB47&gt;_xlpm.sent),AB47,""),IF(_xlpm.tgt="","No target set",IF(AND(_xlpm.tgt&lt;TODAY(),_xlpm.act=""),"Overdue","On track"))),IF(C47="RELEASED IN PROD","Delivered",""))))))))</f>
        <v>On track</v>
      </c>
      <c r="E47" s="33">
        <v>21</v>
      </c>
      <c r="F47" s="34" t="s">
        <v>129</v>
      </c>
      <c r="G47" s="33"/>
      <c r="H47" s="50">
        <v>46265</v>
      </c>
      <c r="I47" s="62" t="s">
        <v>169</v>
      </c>
      <c r="J47" s="33" t="s">
        <v>158</v>
      </c>
      <c r="K47" s="4">
        <v>46234</v>
      </c>
      <c r="L47" s="36">
        <v>46246</v>
      </c>
      <c r="M47" s="36">
        <v>46246</v>
      </c>
      <c r="N47" s="36"/>
      <c r="O47" s="36" t="s">
        <v>181</v>
      </c>
      <c r="P47" s="66" t="s">
        <v>76</v>
      </c>
      <c r="Q47" s="4">
        <v>46241</v>
      </c>
      <c r="R47" s="36">
        <v>46261</v>
      </c>
      <c r="S47" s="36">
        <v>46261</v>
      </c>
      <c r="T47" s="70"/>
      <c r="U47" s="55" t="s">
        <v>129</v>
      </c>
      <c r="V47" s="60">
        <v>46255</v>
      </c>
      <c r="W47" s="36">
        <v>46266</v>
      </c>
      <c r="X47" s="36"/>
      <c r="Y47" s="36"/>
      <c r="Z47" s="53">
        <v>46260</v>
      </c>
      <c r="AA47" s="36">
        <v>46276</v>
      </c>
      <c r="AB47" s="36"/>
      <c r="AC47" s="33" t="s">
        <v>132</v>
      </c>
      <c r="AD47" s="33" t="s">
        <v>48</v>
      </c>
      <c r="AE47" s="38"/>
      <c r="AF47" s="36"/>
      <c r="AG47" s="39"/>
      <c r="AH47" s="33"/>
      <c r="AI47" s="40" t="s">
        <v>52</v>
      </c>
      <c r="AJ47" s="74" t="str">
        <f>IF($B47="","",IF(AND(LEFT($AI47,3)="Yes",SUMPRODUCT(('Rework Log'!$A$3:$A$500=$B47)*('Rework Log'!$G$3:$G$500&lt;&gt;"Yes")*('Rework Log'!$G$3:$G$500&lt;&gt;"Did not pass re-test"))=0),"Blocked - log it on Rework Log",IF(AND(LEFT($AI47,3)&lt;&gt;"Yes",SUMPRODUCT(('Rework Log'!$A$3:$A$500=$B47)*('Rework Log'!$G$3:$G$500&lt;&gt;"Yes")*('Rework Log'!$G$3:$G$500&lt;&gt;"Did not pass re-test"))&gt;0),"Open rework row - mark Blocked? or close it",IF(AND($AI47="Yes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H)",IF(AND($AI47="Yes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H)",IF(AND($AI47="Yes – needs QA to fix",X47&lt;&gt;"",SUMPRODUCT(MAX((('Rework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Log'!$A$3:$A$500,$B47)&gt;0,"",IF(AND(V47&lt;&gt;"",K47&lt;&gt;"",V47&lt;K47),"QA target is before DB Dev target",IF(AND(V47&lt;&gt;"",Q47&lt;&gt;"",V47&lt;Q47),"QA target is before PBI Dev target",IF(AND(Z47&lt;&gt;"",V47&lt;&gt;"",Z47&lt;V47),"DPO Approval target is before QA target",IF(AND(AF47&lt;&gt;"",Z47&lt;&gt;"",AF47&lt;Z47),"Confirmed Deployed date is before DPO Approval target",""))))))))))))</f>
        <v/>
      </c>
      <c r="AK47" s="41" t="s">
        <v>176</v>
      </c>
      <c r="AL47" s="32" t="str" cm="1">
        <f t="array" ref="AL47">_xlfn.LET(_xlpm.rep,$B47,_xlpm.sent,_xlfn.MAXIFS('Rework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7" s="32" t="str" cm="1">
        <f t="array" ref="AM47">_xlfn.LET(_xlpm.rep,$B47,_xlpm.sent,_xlfn.MAXIFS('Rework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8" spans="1:39" hidden="1">
      <c r="A48" s="33" t="s">
        <v>126</v>
      </c>
      <c r="B48" s="33" t="s">
        <v>182</v>
      </c>
      <c r="C48" s="33" t="s">
        <v>140</v>
      </c>
      <c r="D48" t="str" cm="1">
        <f t="array" aca="1" ref="D48" ca="1">IF($B48="","",IF(LEFT($AI48,3)="Yes","Blocked - "&amp;MID($AI48,7,100)&amp;IF(SUMPRODUCT(('Rework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Dev",IF(AND(L48="",K48=""),"No target set",IF(AND(IF(L48&lt;&gt;"",L48,K48)&lt;TODAY(),M48=""),"Overdue","On track")),IF(C48="PBI Dev",IF(AND(R48="",Q48=""),"No target set",IF(AND(IF(R48&lt;&gt;"",R48,Q48)&lt;TODAY(),S48=""),"Overdue","On track")),IF(C48="QA",_xlfn.LET(_xlpm.tgt,IF(AL48&lt;&gt;"",AL48,IF(W48&lt;&gt;"",W48,V48)),_xlpm.sent,_xlfn.MAXIFS('Rework Log'!$B$3:$B$500,'Rework Log'!$A$3:$A$500,$B48,'Rework Log'!$C$3:$C$500,"QA"),_xlpm.act,IF(AND(X48&lt;&gt;"",X48&gt;_xlpm.sent),X48,""),IF(_xlpm.tgt="","No target set",IF(AND(_xlpm.tgt&lt;TODAY(),_xlpm.act=""),"Overdue","On track"))),IF(C48="DPO Approval",_xlfn.LET(_xlpm.tgt,IF(AM48&lt;&gt;"",AM48,IF(AA48&lt;&gt;"",AA48,Z48)),_xlpm.sent,_xlfn.MAXIFS('Rework Log'!$B$3:$B$500,'Rework Log'!$A$3:$A$500,$B48,'Rework Log'!$C$3:$C$500,"DPO*"),_xlpm.act,IF(AND(AB48&lt;&gt;"",AB48&gt;_xlpm.sent),AB48,""),IF(_xlpm.tgt="","No target set",IF(AND(_xlpm.tgt&lt;TODAY(),_xlpm.act=""),"Overdue","On track"))),IF(C48="RELEASED IN PROD","Delivered",""))))))))</f>
        <v>Overdue</v>
      </c>
      <c r="E48" s="33">
        <v>22</v>
      </c>
      <c r="F48" s="34" t="s">
        <v>146</v>
      </c>
      <c r="G48" s="33"/>
      <c r="H48" s="50">
        <v>46265</v>
      </c>
      <c r="I48" s="62" t="s">
        <v>169</v>
      </c>
      <c r="J48" s="33" t="s">
        <v>102</v>
      </c>
      <c r="K48" s="4">
        <v>46234</v>
      </c>
      <c r="L48" s="36">
        <v>46255</v>
      </c>
      <c r="M48" s="36">
        <v>46253</v>
      </c>
      <c r="N48" s="36"/>
      <c r="O48" s="36" t="s">
        <v>181</v>
      </c>
      <c r="P48" s="66" t="s">
        <v>45</v>
      </c>
      <c r="Q48" s="4">
        <v>46241</v>
      </c>
      <c r="R48" s="36">
        <v>46255</v>
      </c>
      <c r="S48" s="36">
        <v>46255</v>
      </c>
      <c r="T48" s="70"/>
      <c r="U48" s="55" t="s">
        <v>146</v>
      </c>
      <c r="V48" s="60">
        <v>46255</v>
      </c>
      <c r="W48" s="36">
        <v>46259</v>
      </c>
      <c r="X48" s="36"/>
      <c r="Y48" s="36"/>
      <c r="Z48" s="53">
        <v>46260</v>
      </c>
      <c r="AA48" s="36">
        <v>46268</v>
      </c>
      <c r="AB48" s="36"/>
      <c r="AC48" s="33" t="s">
        <v>173</v>
      </c>
      <c r="AD48" s="33" t="s">
        <v>48</v>
      </c>
      <c r="AE48" s="38"/>
      <c r="AF48" s="36"/>
      <c r="AG48" s="39"/>
      <c r="AH48" s="33"/>
      <c r="AI48" s="40" t="s">
        <v>52</v>
      </c>
      <c r="AJ48" s="74" t="str">
        <f>IF($B48="","",IF(AND(LEFT($AI48,3)="Yes",SUMPRODUCT(('Rework Log'!$A$3:$A$500=$B48)*('Rework Log'!$G$3:$G$500&lt;&gt;"Yes")*('Rework Log'!$G$3:$G$500&lt;&gt;"Did not pass re-test"))=0),"Blocked - log it on Rework Log",IF(AND(LEFT($AI48,3)&lt;&gt;"Yes",SUMPRODUCT(('Rework Log'!$A$3:$A$500=$B48)*('Rework Log'!$G$3:$G$500&lt;&gt;"Yes")*('Rework Log'!$G$3:$G$500&lt;&gt;"Did not pass re-test"))&gt;0),"Open rework row - mark Blocked? or close it",IF(AND($AI48="Yes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H)",IF(AND($AI48="Yes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H)",IF(AND($AI48="Yes – needs QA to fix",X48&lt;&gt;"",SUMPRODUCT(MAX((('Rework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Log'!$A$3:$A$500,$B48)&gt;0,"",IF(AND(V48&lt;&gt;"",K48&lt;&gt;"",V48&lt;K48),"QA target is before DB Dev target",IF(AND(V48&lt;&gt;"",Q48&lt;&gt;"",V48&lt;Q48),"QA target is before PBI Dev target",IF(AND(Z48&lt;&gt;"",V48&lt;&gt;"",Z48&lt;V48),"DPO Approval target is before QA target",IF(AND(AF48&lt;&gt;"",Z48&lt;&gt;"",AF48&lt;Z48),"Confirmed Deployed date is before DPO Approval target",""))))))))))))</f>
        <v/>
      </c>
      <c r="AK48" s="41" t="s">
        <v>183</v>
      </c>
      <c r="AL48" s="32" t="str" cm="1">
        <f t="array" ref="AL48">_xlfn.LET(_xlpm.rep,$B48,_xlpm.sent,_xlfn.MAXIFS('Rework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8" s="32" t="str" cm="1">
        <f t="array" ref="AM48">_xlfn.LET(_xlpm.rep,$B48,_xlpm.sent,_xlfn.MAXIFS('Rework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49" spans="1:39" hidden="1">
      <c r="A49" s="33" t="s">
        <v>126</v>
      </c>
      <c r="B49" s="33" t="s">
        <v>184</v>
      </c>
      <c r="C49" s="33" t="s">
        <v>185</v>
      </c>
      <c r="D49" t="str" cm="1">
        <f t="array" aca="1" ref="D49" ca="1">IF($B49="","",IF(LEFT($AI49,3)="Yes","Blocked - "&amp;MID($AI49,7,100)&amp;IF(SUMPRODUCT(('Rework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Dev",IF(AND(L49="",K49=""),"No target set",IF(AND(IF(L49&lt;&gt;"",L49,K49)&lt;TODAY(),M49=""),"Overdue","On track")),IF(C49="PBI Dev",IF(AND(R49="",Q49=""),"No target set",IF(AND(IF(R49&lt;&gt;"",R49,Q49)&lt;TODAY(),S49=""),"Overdue","On track")),IF(C49="QA",_xlfn.LET(_xlpm.tgt,IF(AL49&lt;&gt;"",AL49,IF(W49&lt;&gt;"",W49,V49)),_xlpm.sent,_xlfn.MAXIFS('Rework Log'!$B$3:$B$500,'Rework Log'!$A$3:$A$500,$B49,'Rework Log'!$C$3:$C$500,"QA"),_xlpm.act,IF(AND(X49&lt;&gt;"",X49&gt;_xlpm.sent),X49,""),IF(_xlpm.tgt="","No target set",IF(AND(_xlpm.tgt&lt;TODAY(),_xlpm.act=""),"Overdue","On track"))),IF(C49="DPO Approval",_xlfn.LET(_xlpm.tgt,IF(AM49&lt;&gt;"",AM49,IF(AA49&lt;&gt;"",AA49,Z49)),_xlpm.sent,_xlfn.MAXIFS('Rework Log'!$B$3:$B$500,'Rework Log'!$A$3:$A$500,$B49,'Rework Log'!$C$3:$C$500,"DPO*"),_xlpm.act,IF(AND(AB49&lt;&gt;"",AB49&gt;_xlpm.sent),AB49,""),IF(_xlpm.tgt="","No target set",IF(AND(_xlpm.tgt&lt;TODAY(),_xlpm.act=""),"Overdue","On track"))),IF(C49="RELEASED IN PROD","Delivered",""))))))))</f>
        <v>On track</v>
      </c>
      <c r="E49" s="33">
        <v>23</v>
      </c>
      <c r="F49" s="34" t="s">
        <v>129</v>
      </c>
      <c r="G49" s="33"/>
      <c r="H49" s="50">
        <v>46265</v>
      </c>
      <c r="I49" s="62" t="s">
        <v>169</v>
      </c>
      <c r="J49" s="33" t="s">
        <v>158</v>
      </c>
      <c r="K49" s="4">
        <v>46234</v>
      </c>
      <c r="L49" s="36">
        <v>46253</v>
      </c>
      <c r="M49" s="36">
        <v>46252</v>
      </c>
      <c r="N49" s="36"/>
      <c r="O49" s="36" t="s">
        <v>131</v>
      </c>
      <c r="P49" s="66" t="s">
        <v>45</v>
      </c>
      <c r="Q49" s="4">
        <v>46241</v>
      </c>
      <c r="R49" s="36">
        <v>46259</v>
      </c>
      <c r="S49" s="36">
        <v>46260</v>
      </c>
      <c r="T49" s="70"/>
      <c r="U49" s="55" t="s">
        <v>129</v>
      </c>
      <c r="V49" s="60">
        <v>46255</v>
      </c>
      <c r="W49" s="36">
        <v>46265</v>
      </c>
      <c r="X49" s="36"/>
      <c r="Y49" s="36"/>
      <c r="Z49" s="53">
        <v>46260</v>
      </c>
      <c r="AA49" s="36">
        <v>46274</v>
      </c>
      <c r="AB49" s="36"/>
      <c r="AC49" s="33" t="s">
        <v>154</v>
      </c>
      <c r="AD49" s="33" t="s">
        <v>71</v>
      </c>
      <c r="AE49" s="38"/>
      <c r="AF49" s="36"/>
      <c r="AG49" s="39"/>
      <c r="AH49" s="33"/>
      <c r="AI49" s="40" t="s">
        <v>52</v>
      </c>
      <c r="AJ49" s="74" t="str">
        <f>IF($B49="","",IF(AND(LEFT($AI49,3)="Yes",SUMPRODUCT(('Rework Log'!$A$3:$A$500=$B49)*('Rework Log'!$G$3:$G$500&lt;&gt;"Yes")*('Rework Log'!$G$3:$G$500&lt;&gt;"Did not pass re-test"))=0),"Blocked - log it on Rework Log",IF(AND(LEFT($AI49,3)&lt;&gt;"Yes",SUMPRODUCT(('Rework Log'!$A$3:$A$500=$B49)*('Rework Log'!$G$3:$G$500&lt;&gt;"Yes")*('Rework Log'!$G$3:$G$500&lt;&gt;"Did not pass re-test"))&gt;0),"Open rework row - mark Blocked? or close it",IF(AND($AI49="Yes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H)",IF(AND($AI49="Yes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H)",IF(AND($AI49="Yes – needs QA to fix",X49&lt;&gt;"",SUMPRODUCT(MAX((('Rework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Log'!$A$3:$A$500,$B49)&gt;0,"",IF(AND(V49&lt;&gt;"",K49&lt;&gt;"",V49&lt;K49),"QA target is before DB Dev target",IF(AND(V49&lt;&gt;"",Q49&lt;&gt;"",V49&lt;Q49),"QA target is before PBI Dev target",IF(AND(Z49&lt;&gt;"",V49&lt;&gt;"",Z49&lt;V49),"DPO Approval target is before QA target",IF(AND(AF49&lt;&gt;"",Z49&lt;&gt;"",AF49&lt;Z49),"Confirmed Deployed date is before DPO Approval target",""))))))))))))</f>
        <v>Open rework row - mark Blocked? or close it</v>
      </c>
      <c r="AK49" s="41"/>
      <c r="AL49" s="32" t="str" cm="1">
        <f t="array" ref="AL49">_xlfn.LET(_xlpm.rep,$B49,_xlpm.sent,_xlfn.MAXIFS('Rework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49" s="32" t="str" cm="1">
        <f t="array" ref="AM49">_xlfn.LET(_xlpm.rep,$B49,_xlpm.sent,_xlfn.MAXIFS('Rework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0" spans="1:39" ht="15" hidden="1" customHeight="1">
      <c r="A50" s="33" t="s">
        <v>126</v>
      </c>
      <c r="B50" s="33" t="s">
        <v>186</v>
      </c>
      <c r="C50" s="33" t="s">
        <v>140</v>
      </c>
      <c r="D50" t="str" cm="1">
        <f t="array" aca="1" ref="D50" ca="1">IF($B50="","",IF(LEFT($AI50,3)="Yes","Blocked - "&amp;MID($AI50,7,100)&amp;IF(SUMPRODUCT(('Rework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Dev",IF(AND(L50="",K50=""),"No target set",IF(AND(IF(L50&lt;&gt;"",L50,K50)&lt;TODAY(),M50=""),"Overdue","On track")),IF(C50="PBI Dev",IF(AND(R50="",Q50=""),"No target set",IF(AND(IF(R50&lt;&gt;"",R50,Q50)&lt;TODAY(),S50=""),"Overdue","On track")),IF(C50="QA",_xlfn.LET(_xlpm.tgt,IF(AL50&lt;&gt;"",AL50,IF(W50&lt;&gt;"",W50,V50)),_xlpm.sent,_xlfn.MAXIFS('Rework Log'!$B$3:$B$500,'Rework Log'!$A$3:$A$500,$B50,'Rework Log'!$C$3:$C$500,"QA"),_xlpm.act,IF(AND(X50&lt;&gt;"",X50&gt;_xlpm.sent),X50,""),IF(_xlpm.tgt="","No target set",IF(AND(_xlpm.tgt&lt;TODAY(),_xlpm.act=""),"Overdue","On track"))),IF(C50="DPO Approval",_xlfn.LET(_xlpm.tgt,IF(AM50&lt;&gt;"",AM50,IF(AA50&lt;&gt;"",AA50,Z50)),_xlpm.sent,_xlfn.MAXIFS('Rework Log'!$B$3:$B$500,'Rework Log'!$A$3:$A$500,$B50,'Rework Log'!$C$3:$C$500,"DPO*"),_xlpm.act,IF(AND(AB50&lt;&gt;"",AB50&gt;_xlpm.sent),AB50,""),IF(_xlpm.tgt="","No target set",IF(AND(_xlpm.tgt&lt;TODAY(),_xlpm.act=""),"Overdue","On track"))),IF(C50="RELEASED IN PROD","Delivered",""))))))))</f>
        <v>Overdue</v>
      </c>
      <c r="E50" s="33">
        <v>25</v>
      </c>
      <c r="F50" s="34" t="s">
        <v>146</v>
      </c>
      <c r="G50" s="33"/>
      <c r="H50" s="50">
        <v>46265</v>
      </c>
      <c r="I50" s="62" t="s">
        <v>169</v>
      </c>
      <c r="J50" s="33" t="s">
        <v>43</v>
      </c>
      <c r="K50" s="4">
        <v>46234</v>
      </c>
      <c r="L50" s="36">
        <v>46249</v>
      </c>
      <c r="M50" s="36">
        <v>46245</v>
      </c>
      <c r="N50" s="36"/>
      <c r="O50" s="36" t="s">
        <v>181</v>
      </c>
      <c r="P50" s="66" t="s">
        <v>59</v>
      </c>
      <c r="Q50" s="4">
        <v>46241</v>
      </c>
      <c r="R50" s="36">
        <v>46252</v>
      </c>
      <c r="S50" s="36">
        <v>46252</v>
      </c>
      <c r="T50" s="70"/>
      <c r="U50" s="55" t="s">
        <v>146</v>
      </c>
      <c r="V50" s="60">
        <v>46255</v>
      </c>
      <c r="W50" s="36">
        <v>46255</v>
      </c>
      <c r="X50" s="36"/>
      <c r="Y50" s="36"/>
      <c r="Z50" s="53">
        <v>46260</v>
      </c>
      <c r="AA50" s="36">
        <v>46266</v>
      </c>
      <c r="AB50" s="36"/>
      <c r="AC50" s="33" t="s">
        <v>173</v>
      </c>
      <c r="AD50" s="33" t="s">
        <v>71</v>
      </c>
      <c r="AE50" s="38"/>
      <c r="AF50" s="36"/>
      <c r="AG50" s="39"/>
      <c r="AH50" s="33"/>
      <c r="AI50" s="40" t="s">
        <v>52</v>
      </c>
      <c r="AJ50" s="74" t="str">
        <f>IF($B50="","",IF(AND(LEFT($AI50,3)="Yes",SUMPRODUCT(('Rework Log'!$A$3:$A$500=$B50)*('Rework Log'!$G$3:$G$500&lt;&gt;"Yes")*('Rework Log'!$G$3:$G$500&lt;&gt;"Did not pass re-test"))=0),"Blocked - log it on Rework Log",IF(AND(LEFT($AI50,3)&lt;&gt;"Yes",SUMPRODUCT(('Rework Log'!$A$3:$A$500=$B50)*('Rework Log'!$G$3:$G$500&lt;&gt;"Yes")*('Rework Log'!$G$3:$G$500&lt;&gt;"Did not pass re-test"))&gt;0),"Open rework row - mark Blocked? or close it",IF(AND($AI50="Yes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H)",IF(AND($AI50="Yes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H)",IF(AND($AI50="Yes – needs QA to fix",X50&lt;&gt;"",SUMPRODUCT(MAX((('Rework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Log'!$A$3:$A$500,$B50)&gt;0,"",IF(AND(V50&lt;&gt;"",K50&lt;&gt;"",V50&lt;K50),"QA target is before DB Dev target",IF(AND(V50&lt;&gt;"",Q50&lt;&gt;"",V50&lt;Q50),"QA target is before PBI Dev target",IF(AND(Z50&lt;&gt;"",V50&lt;&gt;"",Z50&lt;V50),"DPO Approval target is before QA target",IF(AND(AF50&lt;&gt;"",Z50&lt;&gt;"",AF50&lt;Z50),"Confirmed Deployed date is before DPO Approval target",""))))))))))))</f>
        <v/>
      </c>
      <c r="AK50" s="41"/>
      <c r="AL50" s="32" t="str" cm="1">
        <f t="array" ref="AL50">_xlfn.LET(_xlpm.rep,$B50,_xlpm.sent,_xlfn.MAXIFS('Rework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0" s="32" t="str" cm="1">
        <f t="array" ref="AM50">_xlfn.LET(_xlpm.rep,$B50,_xlpm.sent,_xlfn.MAXIFS('Rework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1" spans="1:39" hidden="1">
      <c r="A51" s="33" t="s">
        <v>126</v>
      </c>
      <c r="B51" s="33" t="s">
        <v>187</v>
      </c>
      <c r="C51" s="33" t="s">
        <v>178</v>
      </c>
      <c r="D51" t="str" cm="1">
        <f t="array" aca="1" ref="D51" ca="1">IF($B51="","",IF(LEFT($AI51,3)="Yes","Blocked - "&amp;MID($AI51,7,100)&amp;IF(SUMPRODUCT(('Rework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Dev",IF(AND(L51="",K51=""),"No target set",IF(AND(IF(L51&lt;&gt;"",L51,K51)&lt;TODAY(),M51=""),"Overdue","On track")),IF(C51="PBI Dev",IF(AND(R51="",Q51=""),"No target set",IF(AND(IF(R51&lt;&gt;"",R51,Q51)&lt;TODAY(),S51=""),"Overdue","On track")),IF(C51="QA",_xlfn.LET(_xlpm.tgt,IF(AL51&lt;&gt;"",AL51,IF(W51&lt;&gt;"",W51,V51)),_xlpm.sent,_xlfn.MAXIFS('Rework Log'!$B$3:$B$500,'Rework Log'!$A$3:$A$500,$B51,'Rework Log'!$C$3:$C$500,"QA"),_xlpm.act,IF(AND(X51&lt;&gt;"",X51&gt;_xlpm.sent),X51,""),IF(_xlpm.tgt="","No target set",IF(AND(_xlpm.tgt&lt;TODAY(),_xlpm.act=""),"Overdue","On track"))),IF(C51="DPO Approval",_xlfn.LET(_xlpm.tgt,IF(AM51&lt;&gt;"",AM51,IF(AA51&lt;&gt;"",AA51,Z51)),_xlpm.sent,_xlfn.MAXIFS('Rework Log'!$B$3:$B$500,'Rework Log'!$A$3:$A$500,$B51,'Rework Log'!$C$3:$C$500,"DPO*"),_xlpm.act,IF(AND(AB51&lt;&gt;"",AB51&gt;_xlpm.sent),AB51,""),IF(_xlpm.tgt="","No target set",IF(AND(_xlpm.tgt&lt;TODAY(),_xlpm.act=""),"Overdue","On track"))),IF(C51="RELEASED IN PROD","Delivered",""))))))))</f>
        <v>On track</v>
      </c>
      <c r="E51" s="33">
        <v>26</v>
      </c>
      <c r="F51" s="34" t="s">
        <v>146</v>
      </c>
      <c r="G51" s="33"/>
      <c r="H51" s="50">
        <v>46265</v>
      </c>
      <c r="I51" s="62" t="s">
        <v>169</v>
      </c>
      <c r="J51" s="33" t="s">
        <v>75</v>
      </c>
      <c r="K51" s="4">
        <v>46234</v>
      </c>
      <c r="L51" s="36">
        <v>46248</v>
      </c>
      <c r="M51" s="36">
        <v>46248</v>
      </c>
      <c r="N51" s="36" t="s">
        <v>44</v>
      </c>
      <c r="O51" s="36" t="s">
        <v>181</v>
      </c>
      <c r="P51" s="66" t="s">
        <v>76</v>
      </c>
      <c r="Q51" s="4">
        <v>46241</v>
      </c>
      <c r="R51" s="36">
        <v>46255</v>
      </c>
      <c r="S51" s="36">
        <v>46260</v>
      </c>
      <c r="T51" s="70"/>
      <c r="U51" s="55" t="s">
        <v>146</v>
      </c>
      <c r="V51" s="60">
        <v>46255</v>
      </c>
      <c r="W51" s="36">
        <v>46260</v>
      </c>
      <c r="X51" s="36"/>
      <c r="Y51" s="36"/>
      <c r="Z51" s="53">
        <v>46260</v>
      </c>
      <c r="AA51" s="36">
        <v>46269</v>
      </c>
      <c r="AB51" s="36"/>
      <c r="AC51" s="33" t="s">
        <v>188</v>
      </c>
      <c r="AD51" s="33" t="s">
        <v>71</v>
      </c>
      <c r="AE51" s="38"/>
      <c r="AF51" s="36"/>
      <c r="AG51" s="39"/>
      <c r="AH51" s="33"/>
      <c r="AI51" s="40" t="s">
        <v>52</v>
      </c>
      <c r="AJ51" s="74" t="str">
        <f>IF($B51="","",IF(AND(LEFT($AI51,3)="Yes",SUMPRODUCT(('Rework Log'!$A$3:$A$500=$B51)*('Rework Log'!$G$3:$G$500&lt;&gt;"Yes")*('Rework Log'!$G$3:$G$500&lt;&gt;"Did not pass re-test"))=0),"Blocked - log it on Rework Log",IF(AND(LEFT($AI51,3)&lt;&gt;"Yes",SUMPRODUCT(('Rework Log'!$A$3:$A$500=$B51)*('Rework Log'!$G$3:$G$500&lt;&gt;"Yes")*('Rework Log'!$G$3:$G$500&lt;&gt;"Did not pass re-test"))&gt;0),"Open rework row - mark Blocked? or close it",IF(AND($AI51="Yes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H)",IF(AND($AI51="Yes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H)",IF(AND($AI51="Yes – needs QA to fix",X51&lt;&gt;"",SUMPRODUCT(MAX((('Rework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Log'!$A$3:$A$500,$B51)&gt;0,"",IF(AND(V51&lt;&gt;"",K51&lt;&gt;"",V51&lt;K51),"QA target is before DB Dev target",IF(AND(V51&lt;&gt;"",Q51&lt;&gt;"",V51&lt;Q51),"QA target is before PBI Dev target",IF(AND(Z51&lt;&gt;"",V51&lt;&gt;"",Z51&lt;V51),"DPO Approval target is before QA target",IF(AND(AF51&lt;&gt;"",Z51&lt;&gt;"",AF51&lt;Z51),"Confirmed Deployed date is before DPO Approval target",""))))))))))))</f>
        <v/>
      </c>
      <c r="AK51" s="41" t="s">
        <v>183</v>
      </c>
      <c r="AL51" s="32" t="str" cm="1">
        <f t="array" ref="AL51">_xlfn.LET(_xlpm.rep,$B51,_xlpm.sent,_xlfn.MAXIFS('Rework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1" s="32" t="str" cm="1">
        <f t="array" ref="AM51">_xlfn.LET(_xlpm.rep,$B51,_xlpm.sent,_xlfn.MAXIFS('Rework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2" spans="1:39" hidden="1">
      <c r="A52" s="33" t="s">
        <v>126</v>
      </c>
      <c r="B52" s="33" t="s">
        <v>189</v>
      </c>
      <c r="C52" s="33" t="s">
        <v>178</v>
      </c>
      <c r="D52" t="str" cm="1">
        <f t="array" aca="1" ref="D52" ca="1">IF($B52="","",IF(LEFT($AI52,3)="Yes","Blocked - "&amp;MID($AI52,7,100)&amp;IF(SUMPRODUCT(('Rework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Dev",IF(AND(L52="",K52=""),"No target set",IF(AND(IF(L52&lt;&gt;"",L52,K52)&lt;TODAY(),M52=""),"Overdue","On track")),IF(C52="PBI Dev",IF(AND(R52="",Q52=""),"No target set",IF(AND(IF(R52&lt;&gt;"",R52,Q52)&lt;TODAY(),S52=""),"Overdue","On track")),IF(C52="QA",_xlfn.LET(_xlpm.tgt,IF(AL52&lt;&gt;"",AL52,IF(W52&lt;&gt;"",W52,V52)),_xlpm.sent,_xlfn.MAXIFS('Rework Log'!$B$3:$B$500,'Rework Log'!$A$3:$A$500,$B52,'Rework Log'!$C$3:$C$500,"QA"),_xlpm.act,IF(AND(X52&lt;&gt;"",X52&gt;_xlpm.sent),X52,""),IF(_xlpm.tgt="","No target set",IF(AND(_xlpm.tgt&lt;TODAY(),_xlpm.act=""),"Overdue","On track"))),IF(C52="DPO Approval",_xlfn.LET(_xlpm.tgt,IF(AM52&lt;&gt;"",AM52,IF(AA52&lt;&gt;"",AA52,Z52)),_xlpm.sent,_xlfn.MAXIFS('Rework Log'!$B$3:$B$500,'Rework Log'!$A$3:$A$500,$B52,'Rework Log'!$C$3:$C$500,"DPO*"),_xlpm.act,IF(AND(AB52&lt;&gt;"",AB52&gt;_xlpm.sent),AB52,""),IF(_xlpm.tgt="","No target set",IF(AND(_xlpm.tgt&lt;TODAY(),_xlpm.act=""),"Overdue","On track"))),IF(C52="RELEASED IN PROD","Delivered",""))))))))</f>
        <v>On track</v>
      </c>
      <c r="E52" s="33">
        <v>27</v>
      </c>
      <c r="F52" s="34" t="s">
        <v>129</v>
      </c>
      <c r="G52" s="33"/>
      <c r="H52" s="50">
        <v>46265</v>
      </c>
      <c r="I52" s="62" t="s">
        <v>169</v>
      </c>
      <c r="J52" s="33" t="s">
        <v>117</v>
      </c>
      <c r="K52" s="4">
        <v>46234</v>
      </c>
      <c r="L52" s="36">
        <v>46253</v>
      </c>
      <c r="M52" s="36">
        <v>46252</v>
      </c>
      <c r="N52" s="36"/>
      <c r="O52" s="36" t="s">
        <v>181</v>
      </c>
      <c r="P52" s="66" t="s">
        <v>45</v>
      </c>
      <c r="Q52" s="4">
        <v>46241</v>
      </c>
      <c r="R52" s="36">
        <v>46265</v>
      </c>
      <c r="S52" s="36"/>
      <c r="T52" s="70"/>
      <c r="U52" s="55" t="s">
        <v>46</v>
      </c>
      <c r="V52" s="60">
        <v>46255</v>
      </c>
      <c r="W52" s="36"/>
      <c r="X52" s="36"/>
      <c r="Y52" s="36"/>
      <c r="Z52" s="53">
        <v>46260</v>
      </c>
      <c r="AA52" s="36"/>
      <c r="AB52" s="36"/>
      <c r="AC52" s="33" t="s">
        <v>190</v>
      </c>
      <c r="AD52" s="33" t="s">
        <v>71</v>
      </c>
      <c r="AE52" s="38"/>
      <c r="AF52" s="36"/>
      <c r="AG52" s="39"/>
      <c r="AH52" s="33"/>
      <c r="AI52" s="40" t="s">
        <v>52</v>
      </c>
      <c r="AJ52" s="74" t="str">
        <f>IF($B52="","",IF(AND(LEFT($AI52,3)="Yes",SUMPRODUCT(('Rework Log'!$A$3:$A$500=$B52)*('Rework Log'!$G$3:$G$500&lt;&gt;"Yes")*('Rework Log'!$G$3:$G$500&lt;&gt;"Did not pass re-test"))=0),"Blocked - log it on Rework Log",IF(AND(LEFT($AI52,3)&lt;&gt;"Yes",SUMPRODUCT(('Rework Log'!$A$3:$A$500=$B52)*('Rework Log'!$G$3:$G$500&lt;&gt;"Yes")*('Rework Log'!$G$3:$G$500&lt;&gt;"Did not pass re-test"))&gt;0),"Open rework row - mark Blocked? or close it",IF(AND($AI52="Yes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H)",IF(AND($AI52="Yes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H)",IF(AND($AI52="Yes – needs QA to fix",X52&lt;&gt;"",SUMPRODUCT(MAX((('Rework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Log'!$A$3:$A$500,$B52)&gt;0,"",IF(AND(V52&lt;&gt;"",K52&lt;&gt;"",V52&lt;K52),"QA target is before DB Dev target",IF(AND(V52&lt;&gt;"",Q52&lt;&gt;"",V52&lt;Q52),"QA target is before PBI Dev target",IF(AND(Z52&lt;&gt;"",V52&lt;&gt;"",Z52&lt;V52),"DPO Approval target is before QA target",IF(AND(AF52&lt;&gt;"",Z52&lt;&gt;"",AF52&lt;Z52),"Confirmed Deployed date is before DPO Approval target",""))))))))))))</f>
        <v/>
      </c>
      <c r="AK52" s="41" t="s">
        <v>191</v>
      </c>
      <c r="AL52" s="32" t="str" cm="1">
        <f t="array" ref="AL52">_xlfn.LET(_xlpm.rep,$B52,_xlpm.sent,_xlfn.MAXIFS('Rework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2" s="32" t="str" cm="1">
        <f t="array" ref="AM52">_xlfn.LET(_xlpm.rep,$B52,_xlpm.sent,_xlfn.MAXIFS('Rework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3" spans="1:39" hidden="1">
      <c r="A53" s="33" t="s">
        <v>126</v>
      </c>
      <c r="B53" s="33" t="s">
        <v>192</v>
      </c>
      <c r="C53" s="33" t="s">
        <v>178</v>
      </c>
      <c r="D53" t="str" cm="1">
        <f t="array" aca="1" ref="D53" ca="1">IF($B53="","",IF(LEFT($AI53,3)="Yes","Blocked - "&amp;MID($AI53,7,100)&amp;IF(SUMPRODUCT(('Rework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Dev",IF(AND(L53="",K53=""),"No target set",IF(AND(IF(L53&lt;&gt;"",L53,K53)&lt;TODAY(),M53=""),"Overdue","On track")),IF(C53="PBI Dev",IF(AND(R53="",Q53=""),"No target set",IF(AND(IF(R53&lt;&gt;"",R53,Q53)&lt;TODAY(),S53=""),"Overdue","On track")),IF(C53="QA",_xlfn.LET(_xlpm.tgt,IF(AL53&lt;&gt;"",AL53,IF(W53&lt;&gt;"",W53,V53)),_xlpm.sent,_xlfn.MAXIFS('Rework Log'!$B$3:$B$500,'Rework Log'!$A$3:$A$500,$B53,'Rework Log'!$C$3:$C$500,"QA"),_xlpm.act,IF(AND(X53&lt;&gt;"",X53&gt;_xlpm.sent),X53,""),IF(_xlpm.tgt="","No target set",IF(AND(_xlpm.tgt&lt;TODAY(),_xlpm.act=""),"Overdue","On track"))),IF(C53="DPO Approval",_xlfn.LET(_xlpm.tgt,IF(AM53&lt;&gt;"",AM53,IF(AA53&lt;&gt;"",AA53,Z53)),_xlpm.sent,_xlfn.MAXIFS('Rework Log'!$B$3:$B$500,'Rework Log'!$A$3:$A$500,$B53,'Rework Log'!$C$3:$C$500,"DPO*"),_xlpm.act,IF(AND(AB53&lt;&gt;"",AB53&gt;_xlpm.sent),AB53,""),IF(_xlpm.tgt="","No target set",IF(AND(_xlpm.tgt&lt;TODAY(),_xlpm.act=""),"Overdue","On track"))),IF(C53="RELEASED IN PROD","Delivered",""))))))))</f>
        <v>On track</v>
      </c>
      <c r="E53" s="33">
        <v>29</v>
      </c>
      <c r="F53" s="34" t="s">
        <v>146</v>
      </c>
      <c r="G53" s="33"/>
      <c r="H53" s="50">
        <v>46265</v>
      </c>
      <c r="I53" s="62" t="s">
        <v>169</v>
      </c>
      <c r="J53" s="33" t="s">
        <v>75</v>
      </c>
      <c r="K53" s="4">
        <v>46234</v>
      </c>
      <c r="L53" s="36">
        <v>46251</v>
      </c>
      <c r="M53" s="36">
        <v>46251</v>
      </c>
      <c r="N53" s="36" t="s">
        <v>193</v>
      </c>
      <c r="O53" s="36" t="s">
        <v>131</v>
      </c>
      <c r="P53" s="66" t="s">
        <v>76</v>
      </c>
      <c r="Q53" s="4">
        <v>46241</v>
      </c>
      <c r="R53" s="36">
        <v>46265</v>
      </c>
      <c r="S53" s="36"/>
      <c r="T53" s="70"/>
      <c r="U53" s="55" t="s">
        <v>146</v>
      </c>
      <c r="V53" s="60">
        <v>46255</v>
      </c>
      <c r="W53" s="36">
        <v>46268</v>
      </c>
      <c r="X53" s="36"/>
      <c r="Y53" s="36"/>
      <c r="Z53" s="53">
        <v>46260</v>
      </c>
      <c r="AA53" s="36">
        <v>46280</v>
      </c>
      <c r="AB53" s="36"/>
      <c r="AC53" s="33" t="s">
        <v>194</v>
      </c>
      <c r="AD53" s="33" t="s">
        <v>71</v>
      </c>
      <c r="AE53" s="38"/>
      <c r="AF53" s="36"/>
      <c r="AG53" s="39"/>
      <c r="AH53" s="33"/>
      <c r="AI53" s="40" t="s">
        <v>52</v>
      </c>
      <c r="AJ53" s="74" t="str">
        <f>IF($B53="","",IF(AND(LEFT($AI53,3)="Yes",SUMPRODUCT(('Rework Log'!$A$3:$A$500=$B53)*('Rework Log'!$G$3:$G$500&lt;&gt;"Yes")*('Rework Log'!$G$3:$G$500&lt;&gt;"Did not pass re-test"))=0),"Blocked - log it on Rework Log",IF(AND(LEFT($AI53,3)&lt;&gt;"Yes",SUMPRODUCT(('Rework Log'!$A$3:$A$500=$B53)*('Rework Log'!$G$3:$G$500&lt;&gt;"Yes")*('Rework Log'!$G$3:$G$500&lt;&gt;"Did not pass re-test"))&gt;0),"Open rework row - mark Blocked? or close it",IF(AND($AI53="Yes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H)",IF(AND($AI53="Yes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H)",IF(AND($AI53="Yes – needs QA to fix",X53&lt;&gt;"",SUMPRODUCT(MAX((('Rework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Log'!$A$3:$A$500,$B53)&gt;0,"",IF(AND(V53&lt;&gt;"",K53&lt;&gt;"",V53&lt;K53),"QA target is before DB Dev target",IF(AND(V53&lt;&gt;"",Q53&lt;&gt;"",V53&lt;Q53),"QA target is before PBI Dev target",IF(AND(Z53&lt;&gt;"",V53&lt;&gt;"",Z53&lt;V53),"DPO Approval target is before QA target",IF(AND(AF53&lt;&gt;"",Z53&lt;&gt;"",AF53&lt;Z53),"Confirmed Deployed date is before DPO Approval target",""))))))))))))</f>
        <v/>
      </c>
      <c r="AK53" s="41"/>
      <c r="AL53" s="32" t="str" cm="1">
        <f t="array" ref="AL53">_xlfn.LET(_xlpm.rep,$B53,_xlpm.sent,_xlfn.MAXIFS('Rework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3" s="32" t="str" cm="1">
        <f t="array" ref="AM53">_xlfn.LET(_xlpm.rep,$B53,_xlpm.sent,_xlfn.MAXIFS('Rework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4" spans="1:39" hidden="1">
      <c r="A54" s="33" t="s">
        <v>126</v>
      </c>
      <c r="B54" s="33" t="s">
        <v>195</v>
      </c>
      <c r="C54" s="33" t="s">
        <v>178</v>
      </c>
      <c r="D54" t="str" cm="1">
        <f t="array" aca="1" ref="D54" ca="1">IF($B54="","",IF(LEFT($AI54,3)="Yes","Blocked - "&amp;MID($AI54,7,100)&amp;IF(SUMPRODUCT(('Rework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Dev",IF(AND(L54="",K54=""),"No target set",IF(AND(IF(L54&lt;&gt;"",L54,K54)&lt;TODAY(),M54=""),"Overdue","On track")),IF(C54="PBI Dev",IF(AND(R54="",Q54=""),"No target set",IF(AND(IF(R54&lt;&gt;"",R54,Q54)&lt;TODAY(),S54=""),"Overdue","On track")),IF(C54="QA",_xlfn.LET(_xlpm.tgt,IF(AL54&lt;&gt;"",AL54,IF(W54&lt;&gt;"",W54,V54)),_xlpm.sent,_xlfn.MAXIFS('Rework Log'!$B$3:$B$500,'Rework Log'!$A$3:$A$500,$B54,'Rework Log'!$C$3:$C$500,"QA"),_xlpm.act,IF(AND(X54&lt;&gt;"",X54&gt;_xlpm.sent),X54,""),IF(_xlpm.tgt="","No target set",IF(AND(_xlpm.tgt&lt;TODAY(),_xlpm.act=""),"Overdue","On track"))),IF(C54="DPO Approval",_xlfn.LET(_xlpm.tgt,IF(AM54&lt;&gt;"",AM54,IF(AA54&lt;&gt;"",AA54,Z54)),_xlpm.sent,_xlfn.MAXIFS('Rework Log'!$B$3:$B$500,'Rework Log'!$A$3:$A$500,$B54,'Rework Log'!$C$3:$C$500,"DPO*"),_xlpm.act,IF(AND(AB54&lt;&gt;"",AB54&gt;_xlpm.sent),AB54,""),IF(_xlpm.tgt="","No target set",IF(AND(_xlpm.tgt&lt;TODAY(),_xlpm.act=""),"Overdue","On track"))),IF(C54="RELEASED IN PROD","Delivered",""))))))))</f>
        <v>On track</v>
      </c>
      <c r="E54" s="33">
        <v>30</v>
      </c>
      <c r="F54" s="34" t="s">
        <v>129</v>
      </c>
      <c r="G54" s="33"/>
      <c r="H54" s="50">
        <v>46265</v>
      </c>
      <c r="I54" s="62" t="s">
        <v>169</v>
      </c>
      <c r="J54" s="33" t="s">
        <v>83</v>
      </c>
      <c r="K54" s="4">
        <v>46234</v>
      </c>
      <c r="L54" s="36">
        <v>46255</v>
      </c>
      <c r="M54" s="36">
        <v>46253</v>
      </c>
      <c r="N54" s="36"/>
      <c r="O54" s="36" t="s">
        <v>131</v>
      </c>
      <c r="P54" s="66" t="s">
        <v>59</v>
      </c>
      <c r="Q54" s="4">
        <v>46241</v>
      </c>
      <c r="R54" s="36">
        <v>46262</v>
      </c>
      <c r="S54" s="36"/>
      <c r="T54" s="70"/>
      <c r="U54" s="55" t="s">
        <v>46</v>
      </c>
      <c r="V54" s="60">
        <v>46255</v>
      </c>
      <c r="W54" s="36"/>
      <c r="X54" s="36"/>
      <c r="Y54" s="36"/>
      <c r="Z54" s="53">
        <v>46260</v>
      </c>
      <c r="AA54" s="36"/>
      <c r="AB54" s="36"/>
      <c r="AC54" s="33" t="s">
        <v>196</v>
      </c>
      <c r="AD54" s="33" t="s">
        <v>71</v>
      </c>
      <c r="AE54" s="38"/>
      <c r="AF54" s="36"/>
      <c r="AG54" s="39"/>
      <c r="AH54" s="33"/>
      <c r="AI54" s="40" t="s">
        <v>52</v>
      </c>
      <c r="AJ54" s="74" t="str">
        <f>IF($B54="","",IF(AND(LEFT($AI54,3)="Yes",SUMPRODUCT(('Rework Log'!$A$3:$A$500=$B54)*('Rework Log'!$G$3:$G$500&lt;&gt;"Yes")*('Rework Log'!$G$3:$G$500&lt;&gt;"Did not pass re-test"))=0),"Blocked - log it on Rework Log",IF(AND(LEFT($AI54,3)&lt;&gt;"Yes",SUMPRODUCT(('Rework Log'!$A$3:$A$500=$B54)*('Rework Log'!$G$3:$G$500&lt;&gt;"Yes")*('Rework Log'!$G$3:$G$500&lt;&gt;"Did not pass re-test"))&gt;0),"Open rework row - mark Blocked? or close it",IF(AND($AI54="Yes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H)",IF(AND($AI54="Yes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H)",IF(AND($AI54="Yes – needs QA to fix",X54&lt;&gt;"",SUMPRODUCT(MAX((('Rework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Log'!$A$3:$A$500,$B54)&gt;0,"",IF(AND(V54&lt;&gt;"",K54&lt;&gt;"",V54&lt;K54),"QA target is before DB Dev target",IF(AND(V54&lt;&gt;"",Q54&lt;&gt;"",V54&lt;Q54),"QA target is before PBI Dev target",IF(AND(Z54&lt;&gt;"",V54&lt;&gt;"",Z54&lt;V54),"DPO Approval target is before QA target",IF(AND(AF54&lt;&gt;"",Z54&lt;&gt;"",AF54&lt;Z54),"Confirmed Deployed date is before DPO Approval target",""))))))))))))</f>
        <v/>
      </c>
      <c r="AK54" s="41"/>
      <c r="AL54" s="32" t="str" cm="1">
        <f t="array" ref="AL54">_xlfn.LET(_xlpm.rep,$B54,_xlpm.sent,_xlfn.MAXIFS('Rework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4" s="32" t="str" cm="1">
        <f t="array" ref="AM54">_xlfn.LET(_xlpm.rep,$B54,_xlpm.sent,_xlfn.MAXIFS('Rework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5" spans="1:39">
      <c r="A55" s="33" t="s">
        <v>126</v>
      </c>
      <c r="B55" s="33" t="s">
        <v>197</v>
      </c>
      <c r="C55" s="33" t="s">
        <v>178</v>
      </c>
      <c r="D55" t="str" cm="1">
        <f t="array" aca="1" ref="D55" ca="1">IF($B55="","",IF(LEFT($AI55,3)="Yes","Blocked - "&amp;MID($AI55,7,100)&amp;IF(SUMPRODUCT(('Rework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Dev",IF(AND(L55="",K55=""),"No target set",IF(AND(IF(L55&lt;&gt;"",L55,K55)&lt;TODAY(),M55=""),"Overdue","On track")),IF(C55="PBI Dev",IF(AND(R55="",Q55=""),"No target set",IF(AND(IF(R55&lt;&gt;"",R55,Q55)&lt;TODAY(),S55=""),"Overdue","On track")),IF(C55="QA",_xlfn.LET(_xlpm.tgt,IF(AL55&lt;&gt;"",AL55,IF(W55&lt;&gt;"",W55,V55)),_xlpm.sent,_xlfn.MAXIFS('Rework Log'!$B$3:$B$500,'Rework Log'!$A$3:$A$500,$B55,'Rework Log'!$C$3:$C$500,"QA"),_xlpm.act,IF(AND(X55&lt;&gt;"",X55&gt;_xlpm.sent),X55,""),IF(_xlpm.tgt="","No target set",IF(AND(_xlpm.tgt&lt;TODAY(),_xlpm.act=""),"Overdue","On track"))),IF(C55="DPO Approval",_xlfn.LET(_xlpm.tgt,IF(AM55&lt;&gt;"",AM55,IF(AA55&lt;&gt;"",AA55,Z55)),_xlpm.sent,_xlfn.MAXIFS('Rework Log'!$B$3:$B$500,'Rework Log'!$A$3:$A$500,$B55,'Rework Log'!$C$3:$C$500,"DPO*"),_xlpm.act,IF(AND(AB55&lt;&gt;"",AB55&gt;_xlpm.sent),AB55,""),IF(_xlpm.tgt="","No target set",IF(AND(_xlpm.tgt&lt;TODAY(),_xlpm.act=""),"Overdue","On track"))),IF(C55="RELEASED IN PROD","Delivered",""))))))))</f>
        <v>On track</v>
      </c>
      <c r="E55" s="33">
        <v>31</v>
      </c>
      <c r="F55" s="34" t="s">
        <v>146</v>
      </c>
      <c r="G55" s="33"/>
      <c r="H55" s="50">
        <v>46295</v>
      </c>
      <c r="I55" s="56" t="s">
        <v>198</v>
      </c>
      <c r="J55" s="33" t="s">
        <v>75</v>
      </c>
      <c r="K55" s="4">
        <v>46262</v>
      </c>
      <c r="L55" s="36">
        <v>46253</v>
      </c>
      <c r="M55" s="36">
        <v>46253</v>
      </c>
      <c r="N55" s="36"/>
      <c r="O55" s="36" t="s">
        <v>199</v>
      </c>
      <c r="P55" s="64" t="s">
        <v>76</v>
      </c>
      <c r="Q55" s="4">
        <v>46269</v>
      </c>
      <c r="R55" s="36"/>
      <c r="S55" s="36"/>
      <c r="T55" s="70" t="s">
        <v>200</v>
      </c>
      <c r="U55" s="33"/>
      <c r="V55" s="60">
        <v>46276</v>
      </c>
      <c r="W55" s="36"/>
      <c r="X55" s="36"/>
      <c r="Y55" s="36"/>
      <c r="Z55" s="53">
        <v>46290</v>
      </c>
      <c r="AA55" s="36"/>
      <c r="AB55" s="36"/>
      <c r="AC55" s="33" t="s">
        <v>201</v>
      </c>
      <c r="AD55" s="33" t="s">
        <v>48</v>
      </c>
      <c r="AE55" s="38"/>
      <c r="AF55" s="36"/>
      <c r="AG55" s="39"/>
      <c r="AH55" s="33"/>
      <c r="AI55" s="40" t="s">
        <v>52</v>
      </c>
      <c r="AJ55" s="74" t="str">
        <f>IF($B55="","",IF(AND(LEFT($AI55,3)="Yes",SUMPRODUCT(('Rework Log'!$A$3:$A$500=$B55)*('Rework Log'!$G$3:$G$500&lt;&gt;"Yes")*('Rework Log'!$G$3:$G$500&lt;&gt;"Did not pass re-test"))=0),"Blocked - log it on Rework Log",IF(AND(LEFT($AI55,3)&lt;&gt;"Yes",SUMPRODUCT(('Rework Log'!$A$3:$A$500=$B55)*('Rework Log'!$G$3:$G$500&lt;&gt;"Yes")*('Rework Log'!$G$3:$G$500&lt;&gt;"Did not pass re-test"))&gt;0),"Open rework row - mark Blocked? or close it",IF(AND($AI55="Yes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H)",IF(AND($AI55="Yes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H)",IF(AND($AI55="Yes – needs QA to fix",X55&lt;&gt;"",SUMPRODUCT(MAX((('Rework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Log'!$A$3:$A$500,$B55)&gt;0,"",IF(AND(V55&lt;&gt;"",K55&lt;&gt;"",V55&lt;K55),"QA target is before DB Dev target",IF(AND(V55&lt;&gt;"",Q55&lt;&gt;"",V55&lt;Q55),"QA target is before PBI Dev target",IF(AND(Z55&lt;&gt;"",V55&lt;&gt;"",Z55&lt;V55),"DPO Approval target is before QA target",IF(AND(AF55&lt;&gt;"",Z55&lt;&gt;"",AF55&lt;Z55),"Confirmed Deployed date is before DPO Approval target",""))))))))))))</f>
        <v/>
      </c>
      <c r="AK55" s="41"/>
      <c r="AL55" s="32" t="str" cm="1">
        <f t="array" ref="AL55">_xlfn.LET(_xlpm.rep,$B55,_xlpm.sent,_xlfn.MAXIFS('Rework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5" s="32" t="str" cm="1">
        <f t="array" ref="AM55">_xlfn.LET(_xlpm.rep,$B55,_xlpm.sent,_xlfn.MAXIFS('Rework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6" spans="1:39" hidden="1">
      <c r="A56" s="33" t="s">
        <v>126</v>
      </c>
      <c r="B56" s="33" t="s">
        <v>202</v>
      </c>
      <c r="C56" s="33" t="s">
        <v>178</v>
      </c>
      <c r="D56" t="str" cm="1">
        <f t="array" aca="1" ref="D56" ca="1">IF($B56="","",IF(LEFT($AI56,3)="Yes","Blocked - "&amp;MID($AI56,7,100)&amp;IF(SUMPRODUCT(('Rework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Dev",IF(AND(L56="",K56=""),"No target set",IF(AND(IF(L56&lt;&gt;"",L56,K56)&lt;TODAY(),M56=""),"Overdue","On track")),IF(C56="PBI Dev",IF(AND(R56="",Q56=""),"No target set",IF(AND(IF(R56&lt;&gt;"",R56,Q56)&lt;TODAY(),S56=""),"Overdue","On track")),IF(C56="QA",_xlfn.LET(_xlpm.tgt,IF(AL56&lt;&gt;"",AL56,IF(W56&lt;&gt;"",W56,V56)),_xlpm.sent,_xlfn.MAXIFS('Rework Log'!$B$3:$B$500,'Rework Log'!$A$3:$A$500,$B56,'Rework Log'!$C$3:$C$500,"QA"),_xlpm.act,IF(AND(X56&lt;&gt;"",X56&gt;_xlpm.sent),X56,""),IF(_xlpm.tgt="","No target set",IF(AND(_xlpm.tgt&lt;TODAY(),_xlpm.act=""),"Overdue","On track"))),IF(C56="DPO Approval",_xlfn.LET(_xlpm.tgt,IF(AM56&lt;&gt;"",AM56,IF(AA56&lt;&gt;"",AA56,Z56)),_xlpm.sent,_xlfn.MAXIFS('Rework Log'!$B$3:$B$500,'Rework Log'!$A$3:$A$500,$B56,'Rework Log'!$C$3:$C$500,"DPO*"),_xlpm.act,IF(AND(AB56&lt;&gt;"",AB56&gt;_xlpm.sent),AB56,""),IF(_xlpm.tgt="","No target set",IF(AND(_xlpm.tgt&lt;TODAY(),_xlpm.act=""),"Overdue","On track"))),IF(C56="RELEASED IN PROD","Delivered",""))))))))</f>
        <v>On track</v>
      </c>
      <c r="E56" s="33">
        <v>32</v>
      </c>
      <c r="F56" s="34" t="s">
        <v>129</v>
      </c>
      <c r="G56" s="33"/>
      <c r="H56" s="50">
        <v>46295</v>
      </c>
      <c r="I56" s="56" t="s">
        <v>198</v>
      </c>
      <c r="J56" s="33" t="s">
        <v>75</v>
      </c>
      <c r="K56" s="4">
        <v>46262</v>
      </c>
      <c r="L56" s="36">
        <v>46253</v>
      </c>
      <c r="M56" s="36">
        <v>46253</v>
      </c>
      <c r="N56" s="36" t="s">
        <v>193</v>
      </c>
      <c r="O56" s="36" t="s">
        <v>199</v>
      </c>
      <c r="P56" s="64" t="s">
        <v>59</v>
      </c>
      <c r="Q56" s="4">
        <v>46269</v>
      </c>
      <c r="R56" s="36"/>
      <c r="S56" s="36"/>
      <c r="T56" s="70" t="s">
        <v>200</v>
      </c>
      <c r="U56" s="33"/>
      <c r="V56" s="60">
        <v>46276</v>
      </c>
      <c r="W56" s="36"/>
      <c r="X56" s="36"/>
      <c r="Y56" s="36"/>
      <c r="Z56" s="53">
        <v>46290</v>
      </c>
      <c r="AA56" s="36"/>
      <c r="AB56" s="36"/>
      <c r="AC56" s="33" t="s">
        <v>203</v>
      </c>
      <c r="AD56" s="33" t="s">
        <v>48</v>
      </c>
      <c r="AE56" s="38"/>
      <c r="AF56" s="36"/>
      <c r="AG56" s="39"/>
      <c r="AH56" s="33"/>
      <c r="AI56" s="40" t="s">
        <v>52</v>
      </c>
      <c r="AJ56" s="74" t="str">
        <f>IF($B56="","",IF(AND(LEFT($AI56,3)="Yes",SUMPRODUCT(('Rework Log'!$A$3:$A$500=$B56)*('Rework Log'!$G$3:$G$500&lt;&gt;"Yes")*('Rework Log'!$G$3:$G$500&lt;&gt;"Did not pass re-test"))=0),"Blocked - log it on Rework Log",IF(AND(LEFT($AI56,3)&lt;&gt;"Yes",SUMPRODUCT(('Rework Log'!$A$3:$A$500=$B56)*('Rework Log'!$G$3:$G$500&lt;&gt;"Yes")*('Rework Log'!$G$3:$G$500&lt;&gt;"Did not pass re-test"))&gt;0),"Open rework row - mark Blocked? or close it",IF(AND($AI56="Yes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H)",IF(AND($AI56="Yes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H)",IF(AND($AI56="Yes – needs QA to fix",X56&lt;&gt;"",SUMPRODUCT(MAX((('Rework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Log'!$A$3:$A$500,$B56)&gt;0,"",IF(AND(V56&lt;&gt;"",K56&lt;&gt;"",V56&lt;K56),"QA target is before DB Dev target",IF(AND(V56&lt;&gt;"",Q56&lt;&gt;"",V56&lt;Q56),"QA target is before PBI Dev target",IF(AND(Z56&lt;&gt;"",V56&lt;&gt;"",Z56&lt;V56),"DPO Approval target is before QA target",IF(AND(AF56&lt;&gt;"",Z56&lt;&gt;"",AF56&lt;Z56),"Confirmed Deployed date is before DPO Approval target",""))))))))))))</f>
        <v/>
      </c>
      <c r="AK56" s="41" t="s">
        <v>191</v>
      </c>
      <c r="AL56" s="32" t="str" cm="1">
        <f t="array" ref="AL56">_xlfn.LET(_xlpm.rep,$B56,_xlpm.sent,_xlfn.MAXIFS('Rework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6" s="32" t="str" cm="1">
        <f t="array" ref="AM56">_xlfn.LET(_xlpm.rep,$B56,_xlpm.sent,_xlfn.MAXIFS('Rework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7" spans="1:39" hidden="1">
      <c r="A57" s="33" t="s">
        <v>126</v>
      </c>
      <c r="B57" s="33" t="s">
        <v>204</v>
      </c>
      <c r="C57" s="33" t="s">
        <v>205</v>
      </c>
      <c r="D57" t="str" cm="1">
        <f t="array" aca="1" ref="D57" ca="1">IF($B57="","",IF(LEFT($AI57,3)="Yes","Blocked - "&amp;MID($AI57,7,100)&amp;IF(SUMPRODUCT(('Rework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Dev",IF(AND(L57="",K57=""),"No target set",IF(AND(IF(L57&lt;&gt;"",L57,K57)&lt;TODAY(),M57=""),"Overdue","On track")),IF(C57="PBI Dev",IF(AND(R57="",Q57=""),"No target set",IF(AND(IF(R57&lt;&gt;"",R57,Q57)&lt;TODAY(),S57=""),"Overdue","On track")),IF(C57="QA",_xlfn.LET(_xlpm.tgt,IF(AL57&lt;&gt;"",AL57,IF(W57&lt;&gt;"",W57,V57)),_xlpm.sent,_xlfn.MAXIFS('Rework Log'!$B$3:$B$500,'Rework Log'!$A$3:$A$500,$B57,'Rework Log'!$C$3:$C$500,"QA"),_xlpm.act,IF(AND(X57&lt;&gt;"",X57&gt;_xlpm.sent),X57,""),IF(_xlpm.tgt="","No target set",IF(AND(_xlpm.tgt&lt;TODAY(),_xlpm.act=""),"Overdue","On track"))),IF(C57="DPO Approval",_xlfn.LET(_xlpm.tgt,IF(AM57&lt;&gt;"",AM57,IF(AA57&lt;&gt;"",AA57,Z57)),_xlpm.sent,_xlfn.MAXIFS('Rework Log'!$B$3:$B$500,'Rework Log'!$A$3:$A$500,$B57,'Rework Log'!$C$3:$C$500,"DPO*"),_xlpm.act,IF(AND(AB57&lt;&gt;"",AB57&gt;_xlpm.sent),AB57,""),IF(_xlpm.tgt="","No target set",IF(AND(_xlpm.tgt&lt;TODAY(),_xlpm.act=""),"Overdue","On track"))),IF(C57="RELEASED IN PROD","Delivered",""))))))))</f>
        <v>On track</v>
      </c>
      <c r="E57" s="33">
        <v>33</v>
      </c>
      <c r="F57" s="34" t="s">
        <v>146</v>
      </c>
      <c r="G57" s="33"/>
      <c r="H57" s="50">
        <v>46295</v>
      </c>
      <c r="I57" s="56" t="s">
        <v>198</v>
      </c>
      <c r="J57" s="33" t="s">
        <v>117</v>
      </c>
      <c r="K57" s="4">
        <v>46262</v>
      </c>
      <c r="L57" s="36">
        <v>46254</v>
      </c>
      <c r="M57" s="36"/>
      <c r="N57" s="36"/>
      <c r="O57" s="36" t="s">
        <v>199</v>
      </c>
      <c r="P57" s="64" t="s">
        <v>45</v>
      </c>
      <c r="Q57" s="4">
        <v>46269</v>
      </c>
      <c r="R57" s="36"/>
      <c r="S57" s="36"/>
      <c r="T57" s="70" t="s">
        <v>200</v>
      </c>
      <c r="U57" s="33"/>
      <c r="V57" s="60">
        <v>46276</v>
      </c>
      <c r="W57" s="36"/>
      <c r="X57" s="36"/>
      <c r="Y57" s="36"/>
      <c r="Z57" s="53">
        <v>46290</v>
      </c>
      <c r="AA57" s="36"/>
      <c r="AB57" s="36"/>
      <c r="AC57" s="33" t="s">
        <v>194</v>
      </c>
      <c r="AD57" s="33" t="s">
        <v>48</v>
      </c>
      <c r="AE57" s="38"/>
      <c r="AF57" s="36"/>
      <c r="AG57" s="39"/>
      <c r="AH57" s="33"/>
      <c r="AI57" s="40" t="s">
        <v>52</v>
      </c>
      <c r="AJ57" s="74" t="str">
        <f>IF($B57="","",IF(AND(LEFT($AI57,3)="Yes",SUMPRODUCT(('Rework Log'!$A$3:$A$500=$B57)*('Rework Log'!$G$3:$G$500&lt;&gt;"Yes")*('Rework Log'!$G$3:$G$500&lt;&gt;"Did not pass re-test"))=0),"Blocked - log it on Rework Log",IF(AND(LEFT($AI57,3)&lt;&gt;"Yes",SUMPRODUCT(('Rework Log'!$A$3:$A$500=$B57)*('Rework Log'!$G$3:$G$500&lt;&gt;"Yes")*('Rework Log'!$G$3:$G$500&lt;&gt;"Did not pass re-test"))&gt;0),"Open rework row - mark Blocked? or close it",IF(AND($AI57="Yes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H)",IF(AND($AI57="Yes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H)",IF(AND($AI57="Yes – needs QA to fix",X57&lt;&gt;"",SUMPRODUCT(MAX((('Rework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Log'!$A$3:$A$500,$B57)&gt;0,"",IF(AND(V57&lt;&gt;"",K57&lt;&gt;"",V57&lt;K57),"QA target is before DB Dev target",IF(AND(V57&lt;&gt;"",Q57&lt;&gt;"",V57&lt;Q57),"QA target is before PBI Dev target",IF(AND(Z57&lt;&gt;"",V57&lt;&gt;"",Z57&lt;V57),"DPO Approval target is before QA target",IF(AND(AF57&lt;&gt;"",Z57&lt;&gt;"",AF57&lt;Z57),"Confirmed Deployed date is before DPO Approval target",""))))))))))))</f>
        <v/>
      </c>
      <c r="AK57" s="41" t="s">
        <v>191</v>
      </c>
      <c r="AL57" s="32" t="str" cm="1">
        <f t="array" ref="AL57">_xlfn.LET(_xlpm.rep,$B57,_xlpm.sent,_xlfn.MAXIFS('Rework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7" s="32" t="str" cm="1">
        <f t="array" ref="AM57">_xlfn.LET(_xlpm.rep,$B57,_xlpm.sent,_xlfn.MAXIFS('Rework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8" spans="1:39">
      <c r="A58" s="33" t="s">
        <v>126</v>
      </c>
      <c r="B58" s="33" t="s">
        <v>206</v>
      </c>
      <c r="C58" s="33" t="s">
        <v>205</v>
      </c>
      <c r="D58" t="str" cm="1">
        <f t="array" aca="1" ref="D58" ca="1">IF($B58="","",IF(LEFT($AI58,3)="Yes","Blocked - "&amp;MID($AI58,7,100)&amp;IF(SUMPRODUCT(('Rework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Dev",IF(AND(L58="",K58=""),"No target set",IF(AND(IF(L58&lt;&gt;"",L58,K58)&lt;TODAY(),M58=""),"Overdue","On track")),IF(C58="PBI Dev",IF(AND(R58="",Q58=""),"No target set",IF(AND(IF(R58&lt;&gt;"",R58,Q58)&lt;TODAY(),S58=""),"Overdue","On track")),IF(C58="QA",_xlfn.LET(_xlpm.tgt,IF(AL58&lt;&gt;"",AL58,IF(W58&lt;&gt;"",W58,V58)),_xlpm.sent,_xlfn.MAXIFS('Rework Log'!$B$3:$B$500,'Rework Log'!$A$3:$A$500,$B58,'Rework Log'!$C$3:$C$500,"QA"),_xlpm.act,IF(AND(X58&lt;&gt;"",X58&gt;_xlpm.sent),X58,""),IF(_xlpm.tgt="","No target set",IF(AND(_xlpm.tgt&lt;TODAY(),_xlpm.act=""),"Overdue","On track"))),IF(C58="DPO Approval",_xlfn.LET(_xlpm.tgt,IF(AM58&lt;&gt;"",AM58,IF(AA58&lt;&gt;"",AA58,Z58)),_xlpm.sent,_xlfn.MAXIFS('Rework Log'!$B$3:$B$500,'Rework Log'!$A$3:$A$500,$B58,'Rework Log'!$C$3:$C$500,"DPO*"),_xlpm.act,IF(AND(AB58&lt;&gt;"",AB58&gt;_xlpm.sent),AB58,""),IF(_xlpm.tgt="","No target set",IF(AND(_xlpm.tgt&lt;TODAY(),_xlpm.act=""),"Overdue","On track"))),IF(C58="RELEASED IN PROD","Delivered",""))))))))</f>
        <v>On track</v>
      </c>
      <c r="E58" s="33">
        <v>34</v>
      </c>
      <c r="F58" s="34" t="s">
        <v>129</v>
      </c>
      <c r="G58" s="33"/>
      <c r="H58" s="50">
        <v>46295</v>
      </c>
      <c r="I58" s="56" t="s">
        <v>198</v>
      </c>
      <c r="J58" s="33" t="s">
        <v>117</v>
      </c>
      <c r="K58" s="4">
        <v>46262</v>
      </c>
      <c r="L58" s="36">
        <v>46254</v>
      </c>
      <c r="M58" s="36"/>
      <c r="N58" s="36"/>
      <c r="O58" s="36" t="s">
        <v>199</v>
      </c>
      <c r="P58" s="64" t="s">
        <v>76</v>
      </c>
      <c r="Q58" s="4">
        <v>46269</v>
      </c>
      <c r="R58" s="36"/>
      <c r="S58" s="36"/>
      <c r="T58" s="70" t="s">
        <v>200</v>
      </c>
      <c r="U58" s="33"/>
      <c r="V58" s="60">
        <v>46276</v>
      </c>
      <c r="W58" s="36"/>
      <c r="X58" s="36"/>
      <c r="Y58" s="36"/>
      <c r="Z58" s="53">
        <v>46290</v>
      </c>
      <c r="AA58" s="36"/>
      <c r="AB58" s="36"/>
      <c r="AC58" s="33" t="s">
        <v>132</v>
      </c>
      <c r="AD58" s="33" t="s">
        <v>48</v>
      </c>
      <c r="AE58" s="38"/>
      <c r="AF58" s="36"/>
      <c r="AG58" s="39"/>
      <c r="AH58" s="33"/>
      <c r="AI58" s="40" t="s">
        <v>52</v>
      </c>
      <c r="AJ58" s="74" t="str">
        <f>IF($B58="","",IF(AND(LEFT($AI58,3)="Yes",SUMPRODUCT(('Rework Log'!$A$3:$A$500=$B58)*('Rework Log'!$G$3:$G$500&lt;&gt;"Yes")*('Rework Log'!$G$3:$G$500&lt;&gt;"Did not pass re-test"))=0),"Blocked - log it on Rework Log",IF(AND(LEFT($AI58,3)&lt;&gt;"Yes",SUMPRODUCT(('Rework Log'!$A$3:$A$500=$B58)*('Rework Log'!$G$3:$G$500&lt;&gt;"Yes")*('Rework Log'!$G$3:$G$500&lt;&gt;"Did not pass re-test"))&gt;0),"Open rework row - mark Blocked? or close it",IF(AND($AI58="Yes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H)",IF(AND($AI58="Yes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H)",IF(AND($AI58="Yes – needs QA to fix",X58&lt;&gt;"",SUMPRODUCT(MAX((('Rework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Log'!$A$3:$A$500,$B58)&gt;0,"",IF(AND(V58&lt;&gt;"",K58&lt;&gt;"",V58&lt;K58),"QA target is before DB Dev target",IF(AND(V58&lt;&gt;"",Q58&lt;&gt;"",V58&lt;Q58),"QA target is before PBI Dev target",IF(AND(Z58&lt;&gt;"",V58&lt;&gt;"",Z58&lt;V58),"DPO Approval target is before QA target",IF(AND(AF58&lt;&gt;"",Z58&lt;&gt;"",AF58&lt;Z58),"Confirmed Deployed date is before DPO Approval target",""))))))))))))</f>
        <v/>
      </c>
      <c r="AK58" s="41"/>
      <c r="AL58" s="32" t="str" cm="1">
        <f t="array" ref="AL58">_xlfn.LET(_xlpm.rep,$B58,_xlpm.sent,_xlfn.MAXIFS('Rework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8" s="32" t="str" cm="1">
        <f t="array" ref="AM58">_xlfn.LET(_xlpm.rep,$B58,_xlpm.sent,_xlfn.MAXIFS('Rework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59" spans="1:39" hidden="1">
      <c r="A59" s="33" t="s">
        <v>126</v>
      </c>
      <c r="B59" s="33" t="s">
        <v>207</v>
      </c>
      <c r="C59" s="33" t="s">
        <v>178</v>
      </c>
      <c r="D59" t="str" cm="1">
        <f t="array" aca="1" ref="D59" ca="1">IF($B59="","",IF(LEFT($AI59,3)="Yes","Blocked - "&amp;MID($AI59,7,100)&amp;IF(SUMPRODUCT(('Rework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Dev",IF(AND(L59="",K59=""),"No target set",IF(AND(IF(L59&lt;&gt;"",L59,K59)&lt;TODAY(),M59=""),"Overdue","On track")),IF(C59="PBI Dev",IF(AND(R59="",Q59=""),"No target set",IF(AND(IF(R59&lt;&gt;"",R59,Q59)&lt;TODAY(),S59=""),"Overdue","On track")),IF(C59="QA",_xlfn.LET(_xlpm.tgt,IF(AL59&lt;&gt;"",AL59,IF(W59&lt;&gt;"",W59,V59)),_xlpm.sent,_xlfn.MAXIFS('Rework Log'!$B$3:$B$500,'Rework Log'!$A$3:$A$500,$B59,'Rework Log'!$C$3:$C$500,"QA"),_xlpm.act,IF(AND(X59&lt;&gt;"",X59&gt;_xlpm.sent),X59,""),IF(_xlpm.tgt="","No target set",IF(AND(_xlpm.tgt&lt;TODAY(),_xlpm.act=""),"Overdue","On track"))),IF(C59="DPO Approval",_xlfn.LET(_xlpm.tgt,IF(AM59&lt;&gt;"",AM59,IF(AA59&lt;&gt;"",AA59,Z59)),_xlpm.sent,_xlfn.MAXIFS('Rework Log'!$B$3:$B$500,'Rework Log'!$A$3:$A$500,$B59,'Rework Log'!$C$3:$C$500,"DPO*"),_xlpm.act,IF(AND(AB59&lt;&gt;"",AB59&gt;_xlpm.sent),AB59,""),IF(_xlpm.tgt="","No target set",IF(AND(_xlpm.tgt&lt;TODAY(),_xlpm.act=""),"Overdue","On track"))),IF(C59="RELEASED IN PROD","Delivered",""))))))))</f>
        <v>On track</v>
      </c>
      <c r="E59" s="33">
        <v>35</v>
      </c>
      <c r="F59" s="34" t="s">
        <v>146</v>
      </c>
      <c r="G59" s="33"/>
      <c r="H59" s="50">
        <v>46295</v>
      </c>
      <c r="I59" s="56" t="s">
        <v>198</v>
      </c>
      <c r="J59" s="33" t="s">
        <v>43</v>
      </c>
      <c r="K59" s="4">
        <v>46262</v>
      </c>
      <c r="L59" s="36">
        <v>46253</v>
      </c>
      <c r="M59" s="36">
        <v>46253</v>
      </c>
      <c r="N59" s="36"/>
      <c r="O59" s="36" t="s">
        <v>199</v>
      </c>
      <c r="P59" s="64" t="s">
        <v>59</v>
      </c>
      <c r="Q59" s="4">
        <v>46269</v>
      </c>
      <c r="R59" s="36"/>
      <c r="S59" s="36"/>
      <c r="T59" s="70" t="s">
        <v>200</v>
      </c>
      <c r="U59" s="33"/>
      <c r="V59" s="60">
        <v>46276</v>
      </c>
      <c r="W59" s="36"/>
      <c r="X59" s="36"/>
      <c r="Y59" s="36"/>
      <c r="Z59" s="53">
        <v>46290</v>
      </c>
      <c r="AA59" s="36"/>
      <c r="AB59" s="36"/>
      <c r="AC59" s="33" t="s">
        <v>194</v>
      </c>
      <c r="AD59" s="33" t="s">
        <v>48</v>
      </c>
      <c r="AE59" s="38"/>
      <c r="AF59" s="36"/>
      <c r="AG59" s="39"/>
      <c r="AH59" s="33"/>
      <c r="AI59" s="40" t="s">
        <v>52</v>
      </c>
      <c r="AJ59" s="74" t="str">
        <f>IF($B59="","",IF(AND(LEFT($AI59,3)="Yes",SUMPRODUCT(('Rework Log'!$A$3:$A$500=$B59)*('Rework Log'!$G$3:$G$500&lt;&gt;"Yes")*('Rework Log'!$G$3:$G$500&lt;&gt;"Did not pass re-test"))=0),"Blocked - log it on Rework Log",IF(AND(LEFT($AI59,3)&lt;&gt;"Yes",SUMPRODUCT(('Rework Log'!$A$3:$A$500=$B59)*('Rework Log'!$G$3:$G$500&lt;&gt;"Yes")*('Rework Log'!$G$3:$G$500&lt;&gt;"Did not pass re-test"))&gt;0),"Open rework row - mark Blocked? or close it",IF(AND($AI59="Yes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H)",IF(AND($AI59="Yes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H)",IF(AND($AI59="Yes – needs QA to fix",X59&lt;&gt;"",SUMPRODUCT(MAX((('Rework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Log'!$A$3:$A$500,$B59)&gt;0,"",IF(AND(V59&lt;&gt;"",K59&lt;&gt;"",V59&lt;K59),"QA target is before DB Dev target",IF(AND(V59&lt;&gt;"",Q59&lt;&gt;"",V59&lt;Q59),"QA target is before PBI Dev target",IF(AND(Z59&lt;&gt;"",V59&lt;&gt;"",Z59&lt;V59),"DPO Approval target is before QA target",IF(AND(AF59&lt;&gt;"",Z59&lt;&gt;"",AF59&lt;Z59),"Confirmed Deployed date is before DPO Approval target",""))))))))))))</f>
        <v/>
      </c>
      <c r="AK59" s="41"/>
      <c r="AL59" s="32" t="str" cm="1">
        <f t="array" ref="AL59">_xlfn.LET(_xlpm.rep,$B59,_xlpm.sent,_xlfn.MAXIFS('Rework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59" s="32" t="str" cm="1">
        <f t="array" ref="AM59">_xlfn.LET(_xlpm.rep,$B59,_xlpm.sent,_xlfn.MAXIFS('Rework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0" spans="1:39" hidden="1">
      <c r="A60" s="33" t="s">
        <v>126</v>
      </c>
      <c r="B60" s="33" t="s">
        <v>208</v>
      </c>
      <c r="C60" s="33" t="s">
        <v>178</v>
      </c>
      <c r="D60" t="str" cm="1">
        <f t="array" aca="1" ref="D60" ca="1">IF($B60="","",IF(LEFT($AI60,3)="Yes","Blocked - "&amp;MID($AI60,7,100)&amp;IF(SUMPRODUCT(('Rework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Dev",IF(AND(L60="",K60=""),"No target set",IF(AND(IF(L60&lt;&gt;"",L60,K60)&lt;TODAY(),M60=""),"Overdue","On track")),IF(C60="PBI Dev",IF(AND(R60="",Q60=""),"No target set",IF(AND(IF(R60&lt;&gt;"",R60,Q60)&lt;TODAY(),S60=""),"Overdue","On track")),IF(C60="QA",_xlfn.LET(_xlpm.tgt,IF(AL60&lt;&gt;"",AL60,IF(W60&lt;&gt;"",W60,V60)),_xlpm.sent,_xlfn.MAXIFS('Rework Log'!$B$3:$B$500,'Rework Log'!$A$3:$A$500,$B60,'Rework Log'!$C$3:$C$500,"QA"),_xlpm.act,IF(AND(X60&lt;&gt;"",X60&gt;_xlpm.sent),X60,""),IF(_xlpm.tgt="","No target set",IF(AND(_xlpm.tgt&lt;TODAY(),_xlpm.act=""),"Overdue","On track"))),IF(C60="DPO Approval",_xlfn.LET(_xlpm.tgt,IF(AM60&lt;&gt;"",AM60,IF(AA60&lt;&gt;"",AA60,Z60)),_xlpm.sent,_xlfn.MAXIFS('Rework Log'!$B$3:$B$500,'Rework Log'!$A$3:$A$500,$B60,'Rework Log'!$C$3:$C$500,"DPO*"),_xlpm.act,IF(AND(AB60&lt;&gt;"",AB60&gt;_xlpm.sent),AB60,""),IF(_xlpm.tgt="","No target set",IF(AND(_xlpm.tgt&lt;TODAY(),_xlpm.act=""),"Overdue","On track"))),IF(C60="RELEASED IN PROD","Delivered",""))))))))</f>
        <v>On track</v>
      </c>
      <c r="E60" s="33">
        <v>36</v>
      </c>
      <c r="F60" s="34" t="s">
        <v>146</v>
      </c>
      <c r="G60" s="33"/>
      <c r="H60" s="50">
        <v>46295</v>
      </c>
      <c r="I60" s="56" t="s">
        <v>198</v>
      </c>
      <c r="J60" s="33" t="s">
        <v>158</v>
      </c>
      <c r="K60" s="4">
        <v>46262</v>
      </c>
      <c r="L60" s="36">
        <v>46255</v>
      </c>
      <c r="M60" s="36">
        <v>46255</v>
      </c>
      <c r="N60" s="36"/>
      <c r="O60" s="36" t="s">
        <v>199</v>
      </c>
      <c r="P60" s="64" t="s">
        <v>45</v>
      </c>
      <c r="Q60" s="4">
        <v>46269</v>
      </c>
      <c r="R60" s="36"/>
      <c r="S60" s="36"/>
      <c r="T60" s="70" t="s">
        <v>200</v>
      </c>
      <c r="U60" s="33"/>
      <c r="V60" s="60">
        <v>46276</v>
      </c>
      <c r="W60" s="36"/>
      <c r="X60" s="36"/>
      <c r="Y60" s="36"/>
      <c r="Z60" s="53">
        <v>46290</v>
      </c>
      <c r="AA60" s="36"/>
      <c r="AB60" s="36"/>
      <c r="AC60" s="33" t="s">
        <v>209</v>
      </c>
      <c r="AD60" s="33" t="s">
        <v>71</v>
      </c>
      <c r="AE60" s="38"/>
      <c r="AF60" s="36"/>
      <c r="AG60" s="39"/>
      <c r="AH60" s="33"/>
      <c r="AI60" s="40" t="s">
        <v>52</v>
      </c>
      <c r="AJ60" s="74" t="str">
        <f>IF($B60="","",IF(AND(LEFT($AI60,3)="Yes",SUMPRODUCT(('Rework Log'!$A$3:$A$500=$B60)*('Rework Log'!$G$3:$G$500&lt;&gt;"Yes")*('Rework Log'!$G$3:$G$500&lt;&gt;"Did not pass re-test"))=0),"Blocked - log it on Rework Log",IF(AND(LEFT($AI60,3)&lt;&gt;"Yes",SUMPRODUCT(('Rework Log'!$A$3:$A$500=$B60)*('Rework Log'!$G$3:$G$500&lt;&gt;"Yes")*('Rework Log'!$G$3:$G$500&lt;&gt;"Did not pass re-test"))&gt;0),"Open rework row - mark Blocked? or close it",IF(AND($AI60="Yes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H)",IF(AND($AI60="Yes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H)",IF(AND($AI60="Yes – needs QA to fix",X60&lt;&gt;"",SUMPRODUCT(MAX((('Rework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Log'!$A$3:$A$500,$B60)&gt;0,"",IF(AND(V60&lt;&gt;"",K60&lt;&gt;"",V60&lt;K60),"QA target is before DB Dev target",IF(AND(V60&lt;&gt;"",Q60&lt;&gt;"",V60&lt;Q60),"QA target is before PBI Dev target",IF(AND(Z60&lt;&gt;"",V60&lt;&gt;"",Z60&lt;V60),"DPO Approval target is before QA target",IF(AND(AF60&lt;&gt;"",Z60&lt;&gt;"",AF60&lt;Z60),"Confirmed Deployed date is before DPO Approval target",""))))))))))))</f>
        <v/>
      </c>
      <c r="AK60" s="41"/>
      <c r="AL60" s="32" t="str" cm="1">
        <f t="array" ref="AL60">_xlfn.LET(_xlpm.rep,$B60,_xlpm.sent,_xlfn.MAXIFS('Rework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0" s="32" t="str" cm="1">
        <f t="array" ref="AM60">_xlfn.LET(_xlpm.rep,$B60,_xlpm.sent,_xlfn.MAXIFS('Rework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1" spans="1:39" hidden="1">
      <c r="A61" s="33" t="s">
        <v>126</v>
      </c>
      <c r="B61" s="33" t="s">
        <v>210</v>
      </c>
      <c r="C61" s="33" t="s">
        <v>140</v>
      </c>
      <c r="D61" t="str" cm="1">
        <f t="array" aca="1" ref="D61" ca="1">IF($B61="","",IF(LEFT($AI61,3)="Yes","Blocked - "&amp;MID($AI61,7,100)&amp;IF(SUMPRODUCT(('Rework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Dev",IF(AND(L61="",K61=""),"No target set",IF(AND(IF(L61&lt;&gt;"",L61,K61)&lt;TODAY(),M61=""),"Overdue","On track")),IF(C61="PBI Dev",IF(AND(R61="",Q61=""),"No target set",IF(AND(IF(R61&lt;&gt;"",R61,Q61)&lt;TODAY(),S61=""),"Overdue","On track")),IF(C61="QA",_xlfn.LET(_xlpm.tgt,IF(AL61&lt;&gt;"",AL61,IF(W61&lt;&gt;"",W61,V61)),_xlpm.sent,_xlfn.MAXIFS('Rework Log'!$B$3:$B$500,'Rework Log'!$A$3:$A$500,$B61,'Rework Log'!$C$3:$C$500,"QA"),_xlpm.act,IF(AND(X61&lt;&gt;"",X61&gt;_xlpm.sent),X61,""),IF(_xlpm.tgt="","No target set",IF(AND(_xlpm.tgt&lt;TODAY(),_xlpm.act=""),"Overdue","On track"))),IF(C61="DPO Approval",_xlfn.LET(_xlpm.tgt,IF(AM61&lt;&gt;"",AM61,IF(AA61&lt;&gt;"",AA61,Z61)),_xlpm.sent,_xlfn.MAXIFS('Rework Log'!$B$3:$B$500,'Rework Log'!$A$3:$A$500,$B61,'Rework Log'!$C$3:$C$500,"DPO*"),_xlpm.act,IF(AND(AB61&lt;&gt;"",AB61&gt;_xlpm.sent),AB61,""),IF(_xlpm.tgt="","No target set",IF(AND(_xlpm.tgt&lt;TODAY(),_xlpm.act=""),"Overdue","On track"))),IF(C61="RELEASED IN PROD","Delivered",""))))))))</f>
        <v>On track</v>
      </c>
      <c r="E61" s="33">
        <v>37</v>
      </c>
      <c r="F61" s="34" t="s">
        <v>129</v>
      </c>
      <c r="G61" s="33"/>
      <c r="H61" s="50">
        <v>46295</v>
      </c>
      <c r="I61" s="56" t="s">
        <v>198</v>
      </c>
      <c r="J61" s="33" t="s">
        <v>43</v>
      </c>
      <c r="K61" s="4">
        <v>46262</v>
      </c>
      <c r="L61" s="36">
        <v>46255</v>
      </c>
      <c r="M61" s="36"/>
      <c r="N61" s="36"/>
      <c r="O61" s="36" t="s">
        <v>199</v>
      </c>
      <c r="P61" s="64" t="s">
        <v>59</v>
      </c>
      <c r="Q61" s="4">
        <v>46269</v>
      </c>
      <c r="R61" s="36"/>
      <c r="S61" s="36"/>
      <c r="T61" s="70" t="s">
        <v>200</v>
      </c>
      <c r="U61" s="33"/>
      <c r="V61" s="60">
        <v>46276</v>
      </c>
      <c r="W61" s="36"/>
      <c r="X61" s="36"/>
      <c r="Y61" s="36"/>
      <c r="Z61" s="53">
        <v>46290</v>
      </c>
      <c r="AA61" s="36"/>
      <c r="AB61" s="36"/>
      <c r="AC61" s="33" t="s">
        <v>211</v>
      </c>
      <c r="AD61" s="33" t="s">
        <v>71</v>
      </c>
      <c r="AE61" s="38"/>
      <c r="AF61" s="36"/>
      <c r="AG61" s="39"/>
      <c r="AH61" s="33"/>
      <c r="AI61" s="40" t="s">
        <v>52</v>
      </c>
      <c r="AJ61" s="74" t="str">
        <f>IF($B61="","",IF(AND(LEFT($AI61,3)="Yes",SUMPRODUCT(('Rework Log'!$A$3:$A$500=$B61)*('Rework Log'!$G$3:$G$500&lt;&gt;"Yes")*('Rework Log'!$G$3:$G$500&lt;&gt;"Did not pass re-test"))=0),"Blocked - log it on Rework Log",IF(AND(LEFT($AI61,3)&lt;&gt;"Yes",SUMPRODUCT(('Rework Log'!$A$3:$A$500=$B61)*('Rework Log'!$G$3:$G$500&lt;&gt;"Yes")*('Rework Log'!$G$3:$G$500&lt;&gt;"Did not pass re-test"))&gt;0),"Open rework row - mark Blocked? or close it",IF(AND($AI61="Yes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H)",IF(AND($AI61="Yes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H)",IF(AND($AI61="Yes – needs QA to fix",X61&lt;&gt;"",SUMPRODUCT(MAX((('Rework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Log'!$A$3:$A$500,$B61)&gt;0,"",IF(AND(V61&lt;&gt;"",K61&lt;&gt;"",V61&lt;K61),"QA target is before DB Dev target",IF(AND(V61&lt;&gt;"",Q61&lt;&gt;"",V61&lt;Q61),"QA target is before PBI Dev target",IF(AND(Z61&lt;&gt;"",V61&lt;&gt;"",Z61&lt;V61),"DPO Approval target is before QA target",IF(AND(AF61&lt;&gt;"",Z61&lt;&gt;"",AF61&lt;Z61),"Confirmed Deployed date is before DPO Approval target",""))))))))))))</f>
        <v/>
      </c>
      <c r="AK61" s="41"/>
      <c r="AL61" s="32" t="str" cm="1">
        <f t="array" ref="AL61">_xlfn.LET(_xlpm.rep,$B61,_xlpm.sent,_xlfn.MAXIFS('Rework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1" s="32" t="str" cm="1">
        <f t="array" ref="AM61">_xlfn.LET(_xlpm.rep,$B61,_xlpm.sent,_xlfn.MAXIFS('Rework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2" spans="1:39">
      <c r="A62" s="33" t="s">
        <v>126</v>
      </c>
      <c r="B62" s="33" t="s">
        <v>212</v>
      </c>
      <c r="C62" s="33" t="s">
        <v>205</v>
      </c>
      <c r="D62" t="str" cm="1">
        <f t="array" aca="1" ref="D62" ca="1">IF($B62="","",IF(LEFT($AI62,3)="Yes","Blocked - "&amp;MID($AI62,7,100)&amp;IF(SUMPRODUCT(('Rework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Dev",IF(AND(L62="",K62=""),"No target set",IF(AND(IF(L62&lt;&gt;"",L62,K62)&lt;TODAY(),M62=""),"Overdue","On track")),IF(C62="PBI Dev",IF(AND(R62="",Q62=""),"No target set",IF(AND(IF(R62&lt;&gt;"",R62,Q62)&lt;TODAY(),S62=""),"Overdue","On track")),IF(C62="QA",_xlfn.LET(_xlpm.tgt,IF(AL62&lt;&gt;"",AL62,IF(W62&lt;&gt;"",W62,V62)),_xlpm.sent,_xlfn.MAXIFS('Rework Log'!$B$3:$B$500,'Rework Log'!$A$3:$A$500,$B62,'Rework Log'!$C$3:$C$500,"QA"),_xlpm.act,IF(AND(X62&lt;&gt;"",X62&gt;_xlpm.sent),X62,""),IF(_xlpm.tgt="","No target set",IF(AND(_xlpm.tgt&lt;TODAY(),_xlpm.act=""),"Overdue","On track"))),IF(C62="DPO Approval",_xlfn.LET(_xlpm.tgt,IF(AM62&lt;&gt;"",AM62,IF(AA62&lt;&gt;"",AA62,Z62)),_xlpm.sent,_xlfn.MAXIFS('Rework Log'!$B$3:$B$500,'Rework Log'!$A$3:$A$500,$B62,'Rework Log'!$C$3:$C$500,"DPO*"),_xlpm.act,IF(AND(AB62&lt;&gt;"",AB62&gt;_xlpm.sent),AB62,""),IF(_xlpm.tgt="","No target set",IF(AND(_xlpm.tgt&lt;TODAY(),_xlpm.act=""),"Overdue","On track"))),IF(C62="RELEASED IN PROD","Delivered",""))))))))</f>
        <v>On track</v>
      </c>
      <c r="E62" s="33">
        <v>38</v>
      </c>
      <c r="F62" s="34" t="s">
        <v>146</v>
      </c>
      <c r="G62" s="33"/>
      <c r="H62" s="50">
        <v>46295</v>
      </c>
      <c r="I62" s="56" t="s">
        <v>198</v>
      </c>
      <c r="J62" s="33" t="s">
        <v>83</v>
      </c>
      <c r="K62" s="4">
        <v>46262</v>
      </c>
      <c r="L62" s="36">
        <v>46260</v>
      </c>
      <c r="M62" s="36">
        <v>46259</v>
      </c>
      <c r="N62" s="36"/>
      <c r="O62" s="36" t="s">
        <v>199</v>
      </c>
      <c r="P62" s="64" t="s">
        <v>76</v>
      </c>
      <c r="Q62" s="4">
        <v>46269</v>
      </c>
      <c r="R62" s="36"/>
      <c r="S62" s="36"/>
      <c r="T62" s="70" t="s">
        <v>200</v>
      </c>
      <c r="U62" s="33"/>
      <c r="V62" s="60">
        <v>46276</v>
      </c>
      <c r="W62" s="36"/>
      <c r="X62" s="36"/>
      <c r="Y62" s="36"/>
      <c r="Z62" s="53">
        <v>46290</v>
      </c>
      <c r="AA62" s="36"/>
      <c r="AB62" s="36"/>
      <c r="AC62" s="33" t="s">
        <v>213</v>
      </c>
      <c r="AD62" s="33" t="s">
        <v>71</v>
      </c>
      <c r="AE62" s="38"/>
      <c r="AF62" s="36"/>
      <c r="AG62" s="39"/>
      <c r="AH62" s="33"/>
      <c r="AI62" s="40" t="s">
        <v>52</v>
      </c>
      <c r="AJ62" s="74" t="str">
        <f>IF($B62="","",IF(AND(LEFT($AI62,3)="Yes",SUMPRODUCT(('Rework Log'!$A$3:$A$500=$B62)*('Rework Log'!$G$3:$G$500&lt;&gt;"Yes")*('Rework Log'!$G$3:$G$500&lt;&gt;"Did not pass re-test"))=0),"Blocked - log it on Rework Log",IF(AND(LEFT($AI62,3)&lt;&gt;"Yes",SUMPRODUCT(('Rework Log'!$A$3:$A$500=$B62)*('Rework Log'!$G$3:$G$500&lt;&gt;"Yes")*('Rework Log'!$G$3:$G$500&lt;&gt;"Did not pass re-test"))&gt;0),"Open rework row - mark Blocked? or close it",IF(AND($AI62="Yes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H)",IF(AND($AI62="Yes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H)",IF(AND($AI62="Yes – needs QA to fix",X62&lt;&gt;"",SUMPRODUCT(MAX((('Rework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Log'!$A$3:$A$500,$B62)&gt;0,"",IF(AND(V62&lt;&gt;"",K62&lt;&gt;"",V62&lt;K62),"QA target is before DB Dev target",IF(AND(V62&lt;&gt;"",Q62&lt;&gt;"",V62&lt;Q62),"QA target is before PBI Dev target",IF(AND(Z62&lt;&gt;"",V62&lt;&gt;"",Z62&lt;V62),"DPO Approval target is before QA target",IF(AND(AF62&lt;&gt;"",Z62&lt;&gt;"",AF62&lt;Z62),"Confirmed Deployed date is before DPO Approval target",""))))))))))))</f>
        <v/>
      </c>
      <c r="AK62" s="41"/>
      <c r="AL62" s="32" t="str" cm="1">
        <f t="array" ref="AL62">_xlfn.LET(_xlpm.rep,$B62,_xlpm.sent,_xlfn.MAXIFS('Rework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2" s="32" t="str" cm="1">
        <f t="array" ref="AM62">_xlfn.LET(_xlpm.rep,$B62,_xlpm.sent,_xlfn.MAXIFS('Rework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3" spans="1:39" hidden="1">
      <c r="A63" s="33" t="s">
        <v>126</v>
      </c>
      <c r="B63" s="33" t="s">
        <v>214</v>
      </c>
      <c r="C63" s="33" t="s">
        <v>205</v>
      </c>
      <c r="D63" t="str" cm="1">
        <f t="array" aca="1" ref="D63" ca="1">IF($B63="","",IF(LEFT($AI63,3)="Yes","Blocked - "&amp;MID($AI63,7,100)&amp;IF(SUMPRODUCT(('Rework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Dev",IF(AND(L63="",K63=""),"No target set",IF(AND(IF(L63&lt;&gt;"",L63,K63)&lt;TODAY(),M63=""),"Overdue","On track")),IF(C63="PBI Dev",IF(AND(R63="",Q63=""),"No target set",IF(AND(IF(R63&lt;&gt;"",R63,Q63)&lt;TODAY(),S63=""),"Overdue","On track")),IF(C63="QA",_xlfn.LET(_xlpm.tgt,IF(AL63&lt;&gt;"",AL63,IF(W63&lt;&gt;"",W63,V63)),_xlpm.sent,_xlfn.MAXIFS('Rework Log'!$B$3:$B$500,'Rework Log'!$A$3:$A$500,$B63,'Rework Log'!$C$3:$C$500,"QA"),_xlpm.act,IF(AND(X63&lt;&gt;"",X63&gt;_xlpm.sent),X63,""),IF(_xlpm.tgt="","No target set",IF(AND(_xlpm.tgt&lt;TODAY(),_xlpm.act=""),"Overdue","On track"))),IF(C63="DPO Approval",_xlfn.LET(_xlpm.tgt,IF(AM63&lt;&gt;"",AM63,IF(AA63&lt;&gt;"",AA63,Z63)),_xlpm.sent,_xlfn.MAXIFS('Rework Log'!$B$3:$B$500,'Rework Log'!$A$3:$A$500,$B63,'Rework Log'!$C$3:$C$500,"DPO*"),_xlpm.act,IF(AND(AB63&lt;&gt;"",AB63&gt;_xlpm.sent),AB63,""),IF(_xlpm.tgt="","No target set",IF(AND(_xlpm.tgt&lt;TODAY(),_xlpm.act=""),"Overdue","On track"))),IF(C63="RELEASED IN PROD","Delivered",""))))))))</f>
        <v>On track</v>
      </c>
      <c r="E63" s="33">
        <v>39</v>
      </c>
      <c r="F63" s="34" t="s">
        <v>146</v>
      </c>
      <c r="G63" s="33"/>
      <c r="H63" s="50">
        <v>46295</v>
      </c>
      <c r="I63" s="56" t="s">
        <v>198</v>
      </c>
      <c r="J63" s="33" t="s">
        <v>83</v>
      </c>
      <c r="K63" s="4">
        <v>46276</v>
      </c>
      <c r="L63" s="36">
        <v>46276</v>
      </c>
      <c r="M63" s="36"/>
      <c r="N63" s="36"/>
      <c r="O63" s="36" t="s">
        <v>199</v>
      </c>
      <c r="P63" s="64" t="s">
        <v>45</v>
      </c>
      <c r="Q63" s="4">
        <v>46286</v>
      </c>
      <c r="R63" s="36"/>
      <c r="S63" s="36"/>
      <c r="T63" s="70" t="s">
        <v>200</v>
      </c>
      <c r="U63" s="33"/>
      <c r="V63" s="60">
        <v>46290</v>
      </c>
      <c r="W63" s="36"/>
      <c r="X63" s="36"/>
      <c r="Y63" s="36"/>
      <c r="Z63" s="53">
        <v>46295</v>
      </c>
      <c r="AA63" s="36"/>
      <c r="AB63" s="36"/>
      <c r="AC63" s="33" t="s">
        <v>215</v>
      </c>
      <c r="AD63" s="33" t="s">
        <v>71</v>
      </c>
      <c r="AE63" s="38"/>
      <c r="AF63" s="36"/>
      <c r="AG63" s="39"/>
      <c r="AH63" s="33"/>
      <c r="AI63" s="40" t="s">
        <v>52</v>
      </c>
      <c r="AJ63" s="74" t="str">
        <f>IF($B63="","",IF(AND(LEFT($AI63,3)="Yes",SUMPRODUCT(('Rework Log'!$A$3:$A$500=$B63)*('Rework Log'!$G$3:$G$500&lt;&gt;"Yes")*('Rework Log'!$G$3:$G$500&lt;&gt;"Did not pass re-test"))=0),"Blocked - log it on Rework Log",IF(AND(LEFT($AI63,3)&lt;&gt;"Yes",SUMPRODUCT(('Rework Log'!$A$3:$A$500=$B63)*('Rework Log'!$G$3:$G$500&lt;&gt;"Yes")*('Rework Log'!$G$3:$G$500&lt;&gt;"Did not pass re-test"))&gt;0),"Open rework row - mark Blocked? or close it",IF(AND($AI63="Yes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H)",IF(AND($AI63="Yes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H)",IF(AND($AI63="Yes – needs QA to fix",X63&lt;&gt;"",SUMPRODUCT(MAX((('Rework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Log'!$A$3:$A$500,$B63)&gt;0,"",IF(AND(V63&lt;&gt;"",K63&lt;&gt;"",V63&lt;K63),"QA target is before DB Dev target",IF(AND(V63&lt;&gt;"",Q63&lt;&gt;"",V63&lt;Q63),"QA target is before PBI Dev target",IF(AND(Z63&lt;&gt;"",V63&lt;&gt;"",Z63&lt;V63),"DPO Approval target is before QA target",IF(AND(AF63&lt;&gt;"",Z63&lt;&gt;"",AF63&lt;Z63),"Confirmed Deployed date is before DPO Approval target",""))))))))))))</f>
        <v/>
      </c>
      <c r="AK63" s="41"/>
      <c r="AL63" s="32" t="str" cm="1">
        <f t="array" ref="AL63">_xlfn.LET(_xlpm.rep,$B63,_xlpm.sent,_xlfn.MAXIFS('Rework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3" s="32" t="str" cm="1">
        <f t="array" ref="AM63">_xlfn.LET(_xlpm.rep,$B63,_xlpm.sent,_xlfn.MAXIFS('Rework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4" spans="1:39" hidden="1">
      <c r="A64" s="33" t="s">
        <v>126</v>
      </c>
      <c r="B64" s="33" t="s">
        <v>216</v>
      </c>
      <c r="C64" s="33" t="s">
        <v>205</v>
      </c>
      <c r="D64" t="str" cm="1">
        <f t="array" aca="1" ref="D64" ca="1">IF($B64="","",IF(LEFT($AI64,3)="Yes","Blocked - "&amp;MID($AI64,7,100)&amp;IF(SUMPRODUCT(('Rework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Dev",IF(AND(L64="",K64=""),"No target set",IF(AND(IF(L64&lt;&gt;"",L64,K64)&lt;TODAY(),M64=""),"Overdue","On track")),IF(C64="PBI Dev",IF(AND(R64="",Q64=""),"No target set",IF(AND(IF(R64&lt;&gt;"",R64,Q64)&lt;TODAY(),S64=""),"Overdue","On track")),IF(C64="QA",_xlfn.LET(_xlpm.tgt,IF(AL64&lt;&gt;"",AL64,IF(W64&lt;&gt;"",W64,V64)),_xlpm.sent,_xlfn.MAXIFS('Rework Log'!$B$3:$B$500,'Rework Log'!$A$3:$A$500,$B64,'Rework Log'!$C$3:$C$500,"QA"),_xlpm.act,IF(AND(X64&lt;&gt;"",X64&gt;_xlpm.sent),X64,""),IF(_xlpm.tgt="","No target set",IF(AND(_xlpm.tgt&lt;TODAY(),_xlpm.act=""),"Overdue","On track"))),IF(C64="DPO Approval",_xlfn.LET(_xlpm.tgt,IF(AM64&lt;&gt;"",AM64,IF(AA64&lt;&gt;"",AA64,Z64)),_xlpm.sent,_xlfn.MAXIFS('Rework Log'!$B$3:$B$500,'Rework Log'!$A$3:$A$500,$B64,'Rework Log'!$C$3:$C$500,"DPO*"),_xlpm.act,IF(AND(AB64&lt;&gt;"",AB64&gt;_xlpm.sent),AB64,""),IF(_xlpm.tgt="","No target set",IF(AND(_xlpm.tgt&lt;TODAY(),_xlpm.act=""),"Overdue","On track"))),IF(C64="RELEASED IN PROD","Delivered",""))))))))</f>
        <v>On track</v>
      </c>
      <c r="E64" s="33">
        <v>40</v>
      </c>
      <c r="F64" s="34" t="s">
        <v>129</v>
      </c>
      <c r="G64" s="33"/>
      <c r="H64" s="50">
        <v>46295</v>
      </c>
      <c r="I64" s="56" t="s">
        <v>198</v>
      </c>
      <c r="J64" s="33" t="s">
        <v>102</v>
      </c>
      <c r="K64" s="4">
        <v>46276</v>
      </c>
      <c r="L64" s="36">
        <v>46265</v>
      </c>
      <c r="M64" s="36"/>
      <c r="N64" s="36"/>
      <c r="O64" s="36" t="s">
        <v>199</v>
      </c>
      <c r="P64" s="64" t="s">
        <v>59</v>
      </c>
      <c r="Q64" s="4">
        <v>46286</v>
      </c>
      <c r="R64" s="36"/>
      <c r="S64" s="36"/>
      <c r="T64" s="70" t="s">
        <v>200</v>
      </c>
      <c r="U64" s="33"/>
      <c r="V64" s="60">
        <v>46290</v>
      </c>
      <c r="W64" s="36"/>
      <c r="X64" s="36"/>
      <c r="Y64" s="36"/>
      <c r="Z64" s="53">
        <v>46295</v>
      </c>
      <c r="AA64" s="36"/>
      <c r="AB64" s="36"/>
      <c r="AC64" s="33" t="s">
        <v>217</v>
      </c>
      <c r="AD64" s="33" t="s">
        <v>71</v>
      </c>
      <c r="AE64" s="38"/>
      <c r="AF64" s="36"/>
      <c r="AG64" s="39"/>
      <c r="AH64" s="33"/>
      <c r="AI64" s="40" t="s">
        <v>52</v>
      </c>
      <c r="AJ64" s="74" t="str">
        <f>IF($B64="","",IF(AND(LEFT($AI64,3)="Yes",SUMPRODUCT(('Rework Log'!$A$3:$A$500=$B64)*('Rework Log'!$G$3:$G$500&lt;&gt;"Yes")*('Rework Log'!$G$3:$G$500&lt;&gt;"Did not pass re-test"))=0),"Blocked - log it on Rework Log",IF(AND(LEFT($AI64,3)&lt;&gt;"Yes",SUMPRODUCT(('Rework Log'!$A$3:$A$500=$B64)*('Rework Log'!$G$3:$G$500&lt;&gt;"Yes")*('Rework Log'!$G$3:$G$500&lt;&gt;"Did not pass re-test"))&gt;0),"Open rework row - mark Blocked? or close it",IF(AND($AI64="Yes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H)",IF(AND($AI64="Yes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H)",IF(AND($AI64="Yes – needs QA to fix",X64&lt;&gt;"",SUMPRODUCT(MAX((('Rework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Log'!$A$3:$A$500,$B64)&gt;0,"",IF(AND(V64&lt;&gt;"",K64&lt;&gt;"",V64&lt;K64),"QA target is before DB Dev target",IF(AND(V64&lt;&gt;"",Q64&lt;&gt;"",V64&lt;Q64),"QA target is before PBI Dev target",IF(AND(Z64&lt;&gt;"",V64&lt;&gt;"",Z64&lt;V64),"DPO Approval target is before QA target",IF(AND(AF64&lt;&gt;"",Z64&lt;&gt;"",AF64&lt;Z64),"Confirmed Deployed date is before DPO Approval target",""))))))))))))</f>
        <v/>
      </c>
      <c r="AK64" s="41"/>
      <c r="AL64" s="32" t="str" cm="1">
        <f t="array" ref="AL64">_xlfn.LET(_xlpm.rep,$B64,_xlpm.sent,_xlfn.MAXIFS('Rework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4" s="32" t="str" cm="1">
        <f t="array" ref="AM64">_xlfn.LET(_xlpm.rep,$B64,_xlpm.sent,_xlfn.MAXIFS('Rework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5" spans="1:39">
      <c r="A65" s="33" t="s">
        <v>126</v>
      </c>
      <c r="B65" s="33" t="s">
        <v>218</v>
      </c>
      <c r="C65" s="33" t="s">
        <v>185</v>
      </c>
      <c r="D65" t="str" cm="1">
        <f t="array" aca="1" ref="D65" ca="1">IF($B65="","",IF(LEFT($AI65,3)="Yes","Blocked - "&amp;MID($AI65,7,100)&amp;IF(SUMPRODUCT(('Rework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Dev",IF(AND(L65="",K65=""),"No target set",IF(AND(IF(L65&lt;&gt;"",L65,K65)&lt;TODAY(),M65=""),"Overdue","On track")),IF(C65="PBI Dev",IF(AND(R65="",Q65=""),"No target set",IF(AND(IF(R65&lt;&gt;"",R65,Q65)&lt;TODAY(),S65=""),"Overdue","On track")),IF(C65="QA",_xlfn.LET(_xlpm.tgt,IF(AL65&lt;&gt;"",AL65,IF(W65&lt;&gt;"",W65,V65)),_xlpm.sent,_xlfn.MAXIFS('Rework Log'!$B$3:$B$500,'Rework Log'!$A$3:$A$500,$B65,'Rework Log'!$C$3:$C$500,"QA"),_xlpm.act,IF(AND(X65&lt;&gt;"",X65&gt;_xlpm.sent),X65,""),IF(_xlpm.tgt="","No target set",IF(AND(_xlpm.tgt&lt;TODAY(),_xlpm.act=""),"Overdue","On track"))),IF(C65="DPO Approval",_xlfn.LET(_xlpm.tgt,IF(AM65&lt;&gt;"",AM65,IF(AA65&lt;&gt;"",AA65,Z65)),_xlpm.sent,_xlfn.MAXIFS('Rework Log'!$B$3:$B$500,'Rework Log'!$A$3:$A$500,$B65,'Rework Log'!$C$3:$C$500,"DPO*"),_xlpm.act,IF(AND(AB65&lt;&gt;"",AB65&gt;_xlpm.sent),AB65,""),IF(_xlpm.tgt="","No target set",IF(AND(_xlpm.tgt&lt;TODAY(),_xlpm.act=""),"Overdue","On track"))),IF(C65="RELEASED IN PROD","Delivered",""))))))))</f>
        <v>On track</v>
      </c>
      <c r="E65" s="33">
        <v>41</v>
      </c>
      <c r="F65" s="34" t="s">
        <v>129</v>
      </c>
      <c r="G65" s="33"/>
      <c r="H65" s="50">
        <v>46295</v>
      </c>
      <c r="I65" s="56" t="s">
        <v>198</v>
      </c>
      <c r="J65" s="33" t="s">
        <v>158</v>
      </c>
      <c r="K65" s="4">
        <v>46276</v>
      </c>
      <c r="L65" s="36"/>
      <c r="M65" s="36"/>
      <c r="N65" s="36"/>
      <c r="O65" s="36" t="s">
        <v>199</v>
      </c>
      <c r="P65" s="64" t="s">
        <v>76</v>
      </c>
      <c r="Q65" s="4">
        <v>46286</v>
      </c>
      <c r="R65" s="36"/>
      <c r="S65" s="36"/>
      <c r="T65" s="70" t="s">
        <v>200</v>
      </c>
      <c r="U65" s="33"/>
      <c r="V65" s="60">
        <v>46290</v>
      </c>
      <c r="W65" s="36"/>
      <c r="X65" s="36"/>
      <c r="Y65" s="36"/>
      <c r="Z65" s="53">
        <v>46295</v>
      </c>
      <c r="AA65" s="36"/>
      <c r="AB65" s="36"/>
      <c r="AC65" s="33" t="s">
        <v>132</v>
      </c>
      <c r="AD65" s="33" t="s">
        <v>48</v>
      </c>
      <c r="AE65" s="38"/>
      <c r="AF65" s="36"/>
      <c r="AG65" s="39"/>
      <c r="AH65" s="33"/>
      <c r="AI65" s="40" t="s">
        <v>52</v>
      </c>
      <c r="AJ65" s="74" t="str">
        <f>IF($B65="","",IF(AND(LEFT($AI65,3)="Yes",SUMPRODUCT(('Rework Log'!$A$3:$A$500=$B65)*('Rework Log'!$G$3:$G$500&lt;&gt;"Yes")*('Rework Log'!$G$3:$G$500&lt;&gt;"Did not pass re-test"))=0),"Blocked - log it on Rework Log",IF(AND(LEFT($AI65,3)&lt;&gt;"Yes",SUMPRODUCT(('Rework Log'!$A$3:$A$500=$B65)*('Rework Log'!$G$3:$G$500&lt;&gt;"Yes")*('Rework Log'!$G$3:$G$500&lt;&gt;"Did not pass re-test"))&gt;0),"Open rework row - mark Blocked? or close it",IF(AND($AI65="Yes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H)",IF(AND($AI65="Yes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H)",IF(AND($AI65="Yes – needs QA to fix",X65&lt;&gt;"",SUMPRODUCT(MAX((('Rework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Log'!$A$3:$A$500,$B65)&gt;0,"",IF(AND(V65&lt;&gt;"",K65&lt;&gt;"",V65&lt;K65),"QA target is before DB Dev target",IF(AND(V65&lt;&gt;"",Q65&lt;&gt;"",V65&lt;Q65),"QA target is before PBI Dev target",IF(AND(Z65&lt;&gt;"",V65&lt;&gt;"",Z65&lt;V65),"DPO Approval target is before QA target",IF(AND(AF65&lt;&gt;"",Z65&lt;&gt;"",AF65&lt;Z65),"Confirmed Deployed date is before DPO Approval target",""))))))))))))</f>
        <v/>
      </c>
      <c r="AK65" s="41"/>
      <c r="AL65" s="32" t="str" cm="1">
        <f t="array" ref="AL65">_xlfn.LET(_xlpm.rep,$B65,_xlpm.sent,_xlfn.MAXIFS('Rework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5" s="32" t="str" cm="1">
        <f t="array" ref="AM65">_xlfn.LET(_xlpm.rep,$B65,_xlpm.sent,_xlfn.MAXIFS('Rework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6" spans="1:39" hidden="1">
      <c r="A66" s="33" t="s">
        <v>126</v>
      </c>
      <c r="B66" s="33" t="s">
        <v>219</v>
      </c>
      <c r="C66" s="33" t="s">
        <v>205</v>
      </c>
      <c r="D66" t="str" cm="1">
        <f t="array" aca="1" ref="D66" ca="1">IF($B66="","",IF(LEFT($AI66,3)="Yes","Blocked - "&amp;MID($AI66,7,100)&amp;IF(SUMPRODUCT(('Rework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Dev",IF(AND(L66="",K66=""),"No target set",IF(AND(IF(L66&lt;&gt;"",L66,K66)&lt;TODAY(),M66=""),"Overdue","On track")),IF(C66="PBI Dev",IF(AND(R66="",Q66=""),"No target set",IF(AND(IF(R66&lt;&gt;"",R66,Q66)&lt;TODAY(),S66=""),"Overdue","On track")),IF(C66="QA",_xlfn.LET(_xlpm.tgt,IF(AL66&lt;&gt;"",AL66,IF(W66&lt;&gt;"",W66,V66)),_xlpm.sent,_xlfn.MAXIFS('Rework Log'!$B$3:$B$500,'Rework Log'!$A$3:$A$500,$B66,'Rework Log'!$C$3:$C$500,"QA"),_xlpm.act,IF(AND(X66&lt;&gt;"",X66&gt;_xlpm.sent),X66,""),IF(_xlpm.tgt="","No target set",IF(AND(_xlpm.tgt&lt;TODAY(),_xlpm.act=""),"Overdue","On track"))),IF(C66="DPO Approval",_xlfn.LET(_xlpm.tgt,IF(AM66&lt;&gt;"",AM66,IF(AA66&lt;&gt;"",AA66,Z66)),_xlpm.sent,_xlfn.MAXIFS('Rework Log'!$B$3:$B$500,'Rework Log'!$A$3:$A$500,$B66,'Rework Log'!$C$3:$C$500,"DPO*"),_xlpm.act,IF(AND(AB66&lt;&gt;"",AB66&gt;_xlpm.sent),AB66,""),IF(_xlpm.tgt="","No target set",IF(AND(_xlpm.tgt&lt;TODAY(),_xlpm.act=""),"Overdue","On track"))),IF(C66="RELEASED IN PROD","Delivered",""))))))))</f>
        <v>On track</v>
      </c>
      <c r="E66" s="33">
        <v>42</v>
      </c>
      <c r="F66" s="34" t="s">
        <v>129</v>
      </c>
      <c r="G66" s="33"/>
      <c r="H66" s="50">
        <v>46295</v>
      </c>
      <c r="I66" s="56" t="s">
        <v>198</v>
      </c>
      <c r="J66" s="33" t="s">
        <v>43</v>
      </c>
      <c r="K66" s="4">
        <v>46276</v>
      </c>
      <c r="L66" s="36"/>
      <c r="M66" s="36"/>
      <c r="N66" s="36"/>
      <c r="O66" s="36" t="s">
        <v>199</v>
      </c>
      <c r="P66" s="64" t="s">
        <v>45</v>
      </c>
      <c r="Q66" s="4">
        <v>46286</v>
      </c>
      <c r="R66" s="36"/>
      <c r="S66" s="36"/>
      <c r="T66" s="70" t="s">
        <v>200</v>
      </c>
      <c r="U66" s="33"/>
      <c r="V66" s="60">
        <v>46290</v>
      </c>
      <c r="W66" s="36"/>
      <c r="X66" s="36"/>
      <c r="Y66" s="36"/>
      <c r="Z66" s="53">
        <v>46295</v>
      </c>
      <c r="AA66" s="36"/>
      <c r="AB66" s="36"/>
      <c r="AC66" s="33" t="s">
        <v>217</v>
      </c>
      <c r="AD66" s="33" t="s">
        <v>93</v>
      </c>
      <c r="AE66" s="38"/>
      <c r="AF66" s="36"/>
      <c r="AG66" s="39"/>
      <c r="AH66" s="33"/>
      <c r="AI66" s="40" t="s">
        <v>52</v>
      </c>
      <c r="AJ66" s="74" t="str">
        <f>IF($B66="","",IF(AND(LEFT($AI66,3)="Yes",SUMPRODUCT(('Rework Log'!$A$3:$A$500=$B66)*('Rework Log'!$G$3:$G$500&lt;&gt;"Yes")*('Rework Log'!$G$3:$G$500&lt;&gt;"Did not pass re-test"))=0),"Blocked - log it on Rework Log",IF(AND(LEFT($AI66,3)&lt;&gt;"Yes",SUMPRODUCT(('Rework Log'!$A$3:$A$500=$B66)*('Rework Log'!$G$3:$G$500&lt;&gt;"Yes")*('Rework Log'!$G$3:$G$500&lt;&gt;"Did not pass re-test"))&gt;0),"Open rework row - mark Blocked? or close it",IF(AND($AI66="Yes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H)",IF(AND($AI66="Yes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H)",IF(AND($AI66="Yes – needs QA to fix",X66&lt;&gt;"",SUMPRODUCT(MAX((('Rework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Log'!$A$3:$A$500,$B66)&gt;0,"",IF(AND(V66&lt;&gt;"",K66&lt;&gt;"",V66&lt;K66),"QA target is before DB Dev target",IF(AND(V66&lt;&gt;"",Q66&lt;&gt;"",V66&lt;Q66),"QA target is before PBI Dev target",IF(AND(Z66&lt;&gt;"",V66&lt;&gt;"",Z66&lt;V66),"DPO Approval target is before QA target",IF(AND(AF66&lt;&gt;"",Z66&lt;&gt;"",AF66&lt;Z66),"Confirmed Deployed date is before DPO Approval target",""))))))))))))</f>
        <v/>
      </c>
      <c r="AK66" s="41"/>
      <c r="AL66" s="32" t="str" cm="1">
        <f t="array" ref="AL66">_xlfn.LET(_xlpm.rep,$B66,_xlpm.sent,_xlfn.MAXIFS('Rework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6" s="32" t="str" cm="1">
        <f t="array" ref="AM66">_xlfn.LET(_xlpm.rep,$B66,_xlpm.sent,_xlfn.MAXIFS('Rework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7" spans="1:39" hidden="1">
      <c r="A67" s="33" t="s">
        <v>126</v>
      </c>
      <c r="B67" s="33" t="s">
        <v>220</v>
      </c>
      <c r="C67" s="33" t="s">
        <v>205</v>
      </c>
      <c r="D67" t="str" cm="1">
        <f t="array" aca="1" ref="D67" ca="1">IF($B67="","",IF(LEFT($AI67,3)="Yes","Blocked - "&amp;MID($AI67,7,100)&amp;IF(SUMPRODUCT(('Rework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Dev",IF(AND(L67="",K67=""),"No target set",IF(AND(IF(L67&lt;&gt;"",L67,K67)&lt;TODAY(),M67=""),"Overdue","On track")),IF(C67="PBI Dev",IF(AND(R67="",Q67=""),"No target set",IF(AND(IF(R67&lt;&gt;"",R67,Q67)&lt;TODAY(),S67=""),"Overdue","On track")),IF(C67="QA",_xlfn.LET(_xlpm.tgt,IF(AL67&lt;&gt;"",AL67,IF(W67&lt;&gt;"",W67,V67)),_xlpm.sent,_xlfn.MAXIFS('Rework Log'!$B$3:$B$500,'Rework Log'!$A$3:$A$500,$B67,'Rework Log'!$C$3:$C$500,"QA"),_xlpm.act,IF(AND(X67&lt;&gt;"",X67&gt;_xlpm.sent),X67,""),IF(_xlpm.tgt="","No target set",IF(AND(_xlpm.tgt&lt;TODAY(),_xlpm.act=""),"Overdue","On track"))),IF(C67="DPO Approval",_xlfn.LET(_xlpm.tgt,IF(AM67&lt;&gt;"",AM67,IF(AA67&lt;&gt;"",AA67,Z67)),_xlpm.sent,_xlfn.MAXIFS('Rework Log'!$B$3:$B$500,'Rework Log'!$A$3:$A$500,$B67,'Rework Log'!$C$3:$C$500,"DPO*"),_xlpm.act,IF(AND(AB67&lt;&gt;"",AB67&gt;_xlpm.sent),AB67,""),IF(_xlpm.tgt="","No target set",IF(AND(_xlpm.tgt&lt;TODAY(),_xlpm.act=""),"Overdue","On track"))),IF(C67="RELEASED IN PROD","Delivered",""))))))))</f>
        <v>On track</v>
      </c>
      <c r="E67" s="33">
        <v>43</v>
      </c>
      <c r="F67" s="34" t="s">
        <v>129</v>
      </c>
      <c r="G67" s="33"/>
      <c r="H67" s="50">
        <v>46295</v>
      </c>
      <c r="I67" s="56" t="s">
        <v>198</v>
      </c>
      <c r="J67" s="33" t="s">
        <v>43</v>
      </c>
      <c r="K67" s="4">
        <v>46276</v>
      </c>
      <c r="L67" s="36">
        <v>46254</v>
      </c>
      <c r="M67" s="36">
        <v>46254</v>
      </c>
      <c r="N67" s="36"/>
      <c r="O67" s="36" t="s">
        <v>199</v>
      </c>
      <c r="P67" s="64" t="s">
        <v>59</v>
      </c>
      <c r="Q67" s="4">
        <v>46286</v>
      </c>
      <c r="R67" s="36">
        <v>46254</v>
      </c>
      <c r="S67" s="36"/>
      <c r="T67" s="70" t="s">
        <v>200</v>
      </c>
      <c r="U67" s="33"/>
      <c r="V67" s="60">
        <v>46290</v>
      </c>
      <c r="W67" s="36">
        <v>46259</v>
      </c>
      <c r="X67" s="36"/>
      <c r="Y67" s="36"/>
      <c r="Z67" s="53">
        <v>46295</v>
      </c>
      <c r="AA67" s="36">
        <v>46268</v>
      </c>
      <c r="AB67" s="36"/>
      <c r="AC67" s="33" t="s">
        <v>221</v>
      </c>
      <c r="AD67" s="33" t="s">
        <v>93</v>
      </c>
      <c r="AE67" s="38"/>
      <c r="AF67" s="36"/>
      <c r="AG67" s="39"/>
      <c r="AH67" s="33"/>
      <c r="AI67" s="40" t="s">
        <v>52</v>
      </c>
      <c r="AJ67" s="74" t="str">
        <f>IF($B67="","",IF(AND(LEFT($AI67,3)="Yes",SUMPRODUCT(('Rework Log'!$A$3:$A$500=$B67)*('Rework Log'!$G$3:$G$500&lt;&gt;"Yes")*('Rework Log'!$G$3:$G$500&lt;&gt;"Did not pass re-test"))=0),"Blocked - log it on Rework Log",IF(AND(LEFT($AI67,3)&lt;&gt;"Yes",SUMPRODUCT(('Rework Log'!$A$3:$A$500=$B67)*('Rework Log'!$G$3:$G$500&lt;&gt;"Yes")*('Rework Log'!$G$3:$G$500&lt;&gt;"Did not pass re-test"))&gt;0),"Open rework row - mark Blocked? or close it",IF(AND($AI67="Yes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H)",IF(AND($AI67="Yes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H)",IF(AND($AI67="Yes – needs QA to fix",X67&lt;&gt;"",SUMPRODUCT(MAX((('Rework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Log'!$A$3:$A$500,$B67)&gt;0,"",IF(AND(V67&lt;&gt;"",K67&lt;&gt;"",V67&lt;K67),"QA target is before DB Dev target",IF(AND(V67&lt;&gt;"",Q67&lt;&gt;"",V67&lt;Q67),"QA target is before PBI Dev target",IF(AND(Z67&lt;&gt;"",V67&lt;&gt;"",Z67&lt;V67),"DPO Approval target is before QA target",IF(AND(AF67&lt;&gt;"",Z67&lt;&gt;"",AF67&lt;Z67),"Confirmed Deployed date is before DPO Approval target",""))))))))))))</f>
        <v/>
      </c>
      <c r="AK67" s="41"/>
      <c r="AL67" s="32" t="str" cm="1">
        <f t="array" ref="AL67">_xlfn.LET(_xlpm.rep,$B67,_xlpm.sent,_xlfn.MAXIFS('Rework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7" s="32" t="str" cm="1">
        <f t="array" ref="AM67">_xlfn.LET(_xlpm.rep,$B67,_xlpm.sent,_xlfn.MAXIFS('Rework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8" spans="1:39">
      <c r="A68" s="33" t="s">
        <v>126</v>
      </c>
      <c r="B68" s="80" t="s">
        <v>222</v>
      </c>
      <c r="C68" s="33" t="s">
        <v>178</v>
      </c>
      <c r="D68" t="str" cm="1">
        <f t="array" aca="1" ref="D68" ca="1">IF($B68="","",IF(LEFT($AI68,3)="Yes","Blocked - "&amp;MID($AI68,7,100)&amp;IF(SUMPRODUCT(('Rework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Dev",IF(AND(L68="",K68=""),"No target set",IF(AND(IF(L68&lt;&gt;"",L68,K68)&lt;TODAY(),M68=""),"Overdue","On track")),IF(C68="PBI Dev",IF(AND(R68="",Q68=""),"No target set",IF(AND(IF(R68&lt;&gt;"",R68,Q68)&lt;TODAY(),S68=""),"Overdue","On track")),IF(C68="QA",_xlfn.LET(_xlpm.tgt,IF(AL68&lt;&gt;"",AL68,IF(W68&lt;&gt;"",W68,V68)),_xlpm.sent,_xlfn.MAXIFS('Rework Log'!$B$3:$B$500,'Rework Log'!$A$3:$A$500,$B68,'Rework Log'!$C$3:$C$500,"QA"),_xlpm.act,IF(AND(X68&lt;&gt;"",X68&gt;_xlpm.sent),X68,""),IF(_xlpm.tgt="","No target set",IF(AND(_xlpm.tgt&lt;TODAY(),_xlpm.act=""),"Overdue","On track"))),IF(C68="DPO Approval",_xlfn.LET(_xlpm.tgt,IF(AM68&lt;&gt;"",AM68,IF(AA68&lt;&gt;"",AA68,Z68)),_xlpm.sent,_xlfn.MAXIFS('Rework Log'!$B$3:$B$500,'Rework Log'!$A$3:$A$500,$B68,'Rework Log'!$C$3:$C$500,"DPO*"),_xlpm.act,IF(AND(AB68&lt;&gt;"",AB68&gt;_xlpm.sent),AB68,""),IF(_xlpm.tgt="","No target set",IF(AND(_xlpm.tgt&lt;TODAY(),_xlpm.act=""),"Overdue","On track"))),IF(C68="RELEASED IN PROD","Delivered",""))))))))</f>
        <v>On track</v>
      </c>
      <c r="E68" s="33">
        <v>44</v>
      </c>
      <c r="F68" s="34" t="s">
        <v>129</v>
      </c>
      <c r="G68" s="33"/>
      <c r="H68" s="50">
        <v>46295</v>
      </c>
      <c r="I68" s="56" t="s">
        <v>198</v>
      </c>
      <c r="J68" s="33" t="s">
        <v>223</v>
      </c>
      <c r="K68" s="4">
        <v>46276</v>
      </c>
      <c r="L68" s="36">
        <v>46258</v>
      </c>
      <c r="M68" s="36">
        <v>46258</v>
      </c>
      <c r="N68" s="36"/>
      <c r="O68" s="36" t="s">
        <v>199</v>
      </c>
      <c r="P68" s="64" t="s">
        <v>76</v>
      </c>
      <c r="Q68" s="4">
        <v>46286</v>
      </c>
      <c r="R68" s="36"/>
      <c r="S68" s="36"/>
      <c r="T68" s="70" t="s">
        <v>224</v>
      </c>
      <c r="U68" s="33"/>
      <c r="V68" s="60">
        <v>46290</v>
      </c>
      <c r="W68" s="36"/>
      <c r="X68" s="36"/>
      <c r="Y68" s="36"/>
      <c r="Z68" s="53">
        <v>46295</v>
      </c>
      <c r="AA68" s="36"/>
      <c r="AB68" s="36"/>
      <c r="AC68" s="80" t="s">
        <v>225</v>
      </c>
      <c r="AD68" s="33" t="s">
        <v>71</v>
      </c>
      <c r="AE68" s="38"/>
      <c r="AF68" s="36"/>
      <c r="AG68" s="39"/>
      <c r="AH68" s="33"/>
      <c r="AI68" s="40" t="s">
        <v>52</v>
      </c>
      <c r="AJ68" s="74" t="str">
        <f>IF($B68="","",IF(AND(LEFT($AI68,3)="Yes",SUMPRODUCT(('Rework Log'!$A$3:$A$500=$B68)*('Rework Log'!$G$3:$G$500&lt;&gt;"Yes")*('Rework Log'!$G$3:$G$500&lt;&gt;"Did not pass re-test"))=0),"Blocked - log it on Rework Log",IF(AND(LEFT($AI68,3)&lt;&gt;"Yes",SUMPRODUCT(('Rework Log'!$A$3:$A$500=$B68)*('Rework Log'!$G$3:$G$500&lt;&gt;"Yes")*('Rework Log'!$G$3:$G$500&lt;&gt;"Did not pass re-test"))&gt;0),"Open rework row - mark Blocked? or close it",IF(AND($AI68="Yes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H)",IF(AND($AI68="Yes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H)",IF(AND($AI68="Yes – needs QA to fix",X68&lt;&gt;"",SUMPRODUCT(MAX((('Rework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Log'!$A$3:$A$500,$B68)&gt;0,"",IF(AND(V68&lt;&gt;"",K68&lt;&gt;"",V68&lt;K68),"QA target is before DB Dev target",IF(AND(V68&lt;&gt;"",Q68&lt;&gt;"",V68&lt;Q68),"QA target is before PBI Dev target",IF(AND(Z68&lt;&gt;"",V68&lt;&gt;"",Z68&lt;V68),"DPO Approval target is before QA target",IF(AND(AF68&lt;&gt;"",Z68&lt;&gt;"",AF68&lt;Z68),"Confirmed Deployed date is before DPO Approval target",""))))))))))))</f>
        <v/>
      </c>
      <c r="AK68" s="41" t="s">
        <v>226</v>
      </c>
      <c r="AL68" s="32" t="str" cm="1">
        <f t="array" ref="AL68">_xlfn.LET(_xlpm.rep,$B68,_xlpm.sent,_xlfn.MAXIFS('Rework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8" s="32" t="str" cm="1">
        <f t="array" ref="AM68">_xlfn.LET(_xlpm.rep,$B68,_xlpm.sent,_xlfn.MAXIFS('Rework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69" spans="1:39" hidden="1">
      <c r="A69" s="33" t="s">
        <v>126</v>
      </c>
      <c r="B69" s="81" t="s">
        <v>227</v>
      </c>
      <c r="C69" s="33" t="s">
        <v>205</v>
      </c>
      <c r="D69" t="str" cm="1">
        <f t="array" aca="1" ref="D69" ca="1">IF($B69="","",IF(LEFT($AI69,3)="Yes","Blocked - "&amp;MID($AI69,7,100)&amp;IF(SUMPRODUCT(('Rework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Dev",IF(AND(L69="",K69=""),"No target set",IF(AND(IF(L69&lt;&gt;"",L69,K69)&lt;TODAY(),M69=""),"Overdue","On track")),IF(C69="PBI Dev",IF(AND(R69="",Q69=""),"No target set",IF(AND(IF(R69&lt;&gt;"",R69,Q69)&lt;TODAY(),S69=""),"Overdue","On track")),IF(C69="QA",_xlfn.LET(_xlpm.tgt,IF(AL69&lt;&gt;"",AL69,IF(W69&lt;&gt;"",W69,V69)),_xlpm.sent,_xlfn.MAXIFS('Rework Log'!$B$3:$B$500,'Rework Log'!$A$3:$A$500,$B69,'Rework Log'!$C$3:$C$500,"QA"),_xlpm.act,IF(AND(X69&lt;&gt;"",X69&gt;_xlpm.sent),X69,""),IF(_xlpm.tgt="","No target set",IF(AND(_xlpm.tgt&lt;TODAY(),_xlpm.act=""),"Overdue","On track"))),IF(C69="DPO Approval",_xlfn.LET(_xlpm.tgt,IF(AM69&lt;&gt;"",AM69,IF(AA69&lt;&gt;"",AA69,Z69)),_xlpm.sent,_xlfn.MAXIFS('Rework Log'!$B$3:$B$500,'Rework Log'!$A$3:$A$500,$B69,'Rework Log'!$C$3:$C$500,"DPO*"),_xlpm.act,IF(AND(AB69&lt;&gt;"",AB69&gt;_xlpm.sent),AB69,""),IF(_xlpm.tgt="","No target set",IF(AND(_xlpm.tgt&lt;TODAY(),_xlpm.act=""),"Overdue","On track"))),IF(C69="RELEASED IN PROD","Delivered",""))))))))</f>
        <v>On track</v>
      </c>
      <c r="E69" s="33">
        <v>45</v>
      </c>
      <c r="F69" s="34" t="s">
        <v>146</v>
      </c>
      <c r="G69" s="33"/>
      <c r="H69" s="50">
        <v>46295</v>
      </c>
      <c r="I69" s="56" t="s">
        <v>198</v>
      </c>
      <c r="J69" s="33" t="s">
        <v>58</v>
      </c>
      <c r="K69" s="4">
        <v>46276</v>
      </c>
      <c r="L69" s="36"/>
      <c r="M69" s="36"/>
      <c r="N69" s="36"/>
      <c r="O69" s="36" t="s">
        <v>199</v>
      </c>
      <c r="P69" s="64" t="s">
        <v>45</v>
      </c>
      <c r="Q69" s="4">
        <v>46286</v>
      </c>
      <c r="R69" s="36"/>
      <c r="S69" s="36"/>
      <c r="T69" s="70" t="s">
        <v>224</v>
      </c>
      <c r="U69" s="33"/>
      <c r="V69" s="60">
        <v>46290</v>
      </c>
      <c r="W69" s="36"/>
      <c r="X69" s="36"/>
      <c r="Y69" s="36"/>
      <c r="Z69" s="53">
        <v>46295</v>
      </c>
      <c r="AA69" s="36"/>
      <c r="AB69" s="36"/>
      <c r="AC69" s="81" t="s">
        <v>228</v>
      </c>
      <c r="AD69" s="33" t="s">
        <v>71</v>
      </c>
      <c r="AE69" s="38"/>
      <c r="AF69" s="36"/>
      <c r="AG69" s="39"/>
      <c r="AH69" s="33"/>
      <c r="AI69" s="40" t="s">
        <v>52</v>
      </c>
      <c r="AJ69" s="74" t="str">
        <f>IF($B69="","",IF(AND(LEFT($AI69,3)="Yes",SUMPRODUCT(('Rework Log'!$A$3:$A$500=$B69)*('Rework Log'!$G$3:$G$500&lt;&gt;"Yes")*('Rework Log'!$G$3:$G$500&lt;&gt;"Did not pass re-test"))=0),"Blocked - log it on Rework Log",IF(AND(LEFT($AI69,3)&lt;&gt;"Yes",SUMPRODUCT(('Rework Log'!$A$3:$A$500=$B69)*('Rework Log'!$G$3:$G$500&lt;&gt;"Yes")*('Rework Log'!$G$3:$G$500&lt;&gt;"Did not pass re-test"))&gt;0),"Open rework row - mark Blocked? or close it",IF(AND($AI69="Yes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H)",IF(AND($AI69="Yes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H)",IF(AND($AI69="Yes – needs QA to fix",X69&lt;&gt;"",SUMPRODUCT(MAX((('Rework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Log'!$A$3:$A$500,$B69)&gt;0,"",IF(AND(V69&lt;&gt;"",K69&lt;&gt;"",V69&lt;K69),"QA target is before DB Dev target",IF(AND(V69&lt;&gt;"",Q69&lt;&gt;"",V69&lt;Q69),"QA target is before PBI Dev target",IF(AND(Z69&lt;&gt;"",V69&lt;&gt;"",Z69&lt;V69),"DPO Approval target is before QA target",IF(AND(AF69&lt;&gt;"",Z69&lt;&gt;"",AF69&lt;Z69),"Confirmed Deployed date is before DPO Approval target",""))))))))))))</f>
        <v/>
      </c>
      <c r="AK69" s="41" t="s">
        <v>229</v>
      </c>
      <c r="AL69" s="32" t="str" cm="1">
        <f t="array" ref="AL69">_xlfn.LET(_xlpm.rep,$B69,_xlpm.sent,_xlfn.MAXIFS('Rework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69" s="32" t="str" cm="1">
        <f t="array" ref="AM69">_xlfn.LET(_xlpm.rep,$B69,_xlpm.sent,_xlfn.MAXIFS('Rework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0" spans="1:39" hidden="1">
      <c r="A70" s="33" t="s">
        <v>126</v>
      </c>
      <c r="B70" s="33" t="s">
        <v>230</v>
      </c>
      <c r="C70" s="33" t="s">
        <v>205</v>
      </c>
      <c r="D70" t="str" cm="1">
        <f t="array" aca="1" ref="D70" ca="1">IF($B70="","",IF(LEFT($AI70,3)="Yes","Blocked - "&amp;MID($AI70,7,100)&amp;IF(SUMPRODUCT(('Rework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Dev",IF(AND(L70="",K70=""),"No target set",IF(AND(IF(L70&lt;&gt;"",L70,K70)&lt;TODAY(),M70=""),"Overdue","On track")),IF(C70="PBI Dev",IF(AND(R70="",Q70=""),"No target set",IF(AND(IF(R70&lt;&gt;"",R70,Q70)&lt;TODAY(),S70=""),"Overdue","On track")),IF(C70="QA",_xlfn.LET(_xlpm.tgt,IF(AL70&lt;&gt;"",AL70,IF(W70&lt;&gt;"",W70,V70)),_xlpm.sent,_xlfn.MAXIFS('Rework Log'!$B$3:$B$500,'Rework Log'!$A$3:$A$500,$B70,'Rework Log'!$C$3:$C$500,"QA"),_xlpm.act,IF(AND(X70&lt;&gt;"",X70&gt;_xlpm.sent),X70,""),IF(_xlpm.tgt="","No target set",IF(AND(_xlpm.tgt&lt;TODAY(),_xlpm.act=""),"Overdue","On track"))),IF(C70="DPO Approval",_xlfn.LET(_xlpm.tgt,IF(AM70&lt;&gt;"",AM70,IF(AA70&lt;&gt;"",AA70,Z70)),_xlpm.sent,_xlfn.MAXIFS('Rework Log'!$B$3:$B$500,'Rework Log'!$A$3:$A$500,$B70,'Rework Log'!$C$3:$C$500,"DPO*"),_xlpm.act,IF(AND(AB70&lt;&gt;"",AB70&gt;_xlpm.sent),AB70,""),IF(_xlpm.tgt="","No target set",IF(AND(_xlpm.tgt&lt;TODAY(),_xlpm.act=""),"Overdue","On track"))),IF(C70="RELEASED IN PROD","Delivered",""))))))))</f>
        <v>On track</v>
      </c>
      <c r="E70" s="33">
        <v>46</v>
      </c>
      <c r="F70" s="34" t="s">
        <v>146</v>
      </c>
      <c r="G70" s="33"/>
      <c r="H70" s="50">
        <v>46295</v>
      </c>
      <c r="I70" s="56" t="s">
        <v>198</v>
      </c>
      <c r="J70" s="33" t="s">
        <v>117</v>
      </c>
      <c r="K70" s="4">
        <v>46276</v>
      </c>
      <c r="L70" s="36">
        <v>46262</v>
      </c>
      <c r="M70" s="36"/>
      <c r="N70" s="36"/>
      <c r="O70" s="36" t="s">
        <v>199</v>
      </c>
      <c r="P70" s="64" t="s">
        <v>45</v>
      </c>
      <c r="Q70" s="4">
        <v>46286</v>
      </c>
      <c r="R70" s="36"/>
      <c r="S70" s="36"/>
      <c r="T70" s="70" t="s">
        <v>224</v>
      </c>
      <c r="U70" s="33"/>
      <c r="V70" s="60">
        <v>46290</v>
      </c>
      <c r="W70" s="36"/>
      <c r="X70" s="36"/>
      <c r="Y70" s="36"/>
      <c r="Z70" s="53">
        <v>46295</v>
      </c>
      <c r="AA70" s="36"/>
      <c r="AB70" s="36"/>
      <c r="AC70" s="33" t="s">
        <v>194</v>
      </c>
      <c r="AD70" s="33" t="s">
        <v>71</v>
      </c>
      <c r="AE70" s="38"/>
      <c r="AF70" s="36"/>
      <c r="AG70" s="39"/>
      <c r="AH70" s="33"/>
      <c r="AI70" s="40" t="s">
        <v>52</v>
      </c>
      <c r="AJ70" s="74" t="str">
        <f>IF($B70="","",IF(AND(LEFT($AI70,3)="Yes",SUMPRODUCT(('Rework Log'!$A$3:$A$500=$B70)*('Rework Log'!$G$3:$G$500&lt;&gt;"Yes")*('Rework Log'!$G$3:$G$500&lt;&gt;"Did not pass re-test"))=0),"Blocked - log it on Rework Log",IF(AND(LEFT($AI70,3)&lt;&gt;"Yes",SUMPRODUCT(('Rework Log'!$A$3:$A$500=$B70)*('Rework Log'!$G$3:$G$500&lt;&gt;"Yes")*('Rework Log'!$G$3:$G$500&lt;&gt;"Did not pass re-test"))&gt;0),"Open rework row - mark Blocked? or close it",IF(AND($AI70="Yes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H)",IF(AND($AI70="Yes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H)",IF(AND($AI70="Yes – needs QA to fix",X70&lt;&gt;"",SUMPRODUCT(MAX((('Rework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Log'!$A$3:$A$500,$B70)&gt;0,"",IF(AND(V70&lt;&gt;"",K70&lt;&gt;"",V70&lt;K70),"QA target is before DB Dev target",IF(AND(V70&lt;&gt;"",Q70&lt;&gt;"",V70&lt;Q70),"QA target is before PBI Dev target",IF(AND(Z70&lt;&gt;"",V70&lt;&gt;"",Z70&lt;V70),"DPO Approval target is before QA target",IF(AND(AF70&lt;&gt;"",Z70&lt;&gt;"",AF70&lt;Z70),"Confirmed Deployed date is before DPO Approval target",""))))))))))))</f>
        <v/>
      </c>
      <c r="AK70" s="41"/>
      <c r="AL70" s="32" t="str" cm="1">
        <f t="array" ref="AL70">_xlfn.LET(_xlpm.rep,$B70,_xlpm.sent,_xlfn.MAXIFS('Rework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0" s="32" t="str" cm="1">
        <f t="array" ref="AM70">_xlfn.LET(_xlpm.rep,$B70,_xlpm.sent,_xlfn.MAXIFS('Rework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1" spans="1:39" hidden="1">
      <c r="A71" s="33" t="s">
        <v>126</v>
      </c>
      <c r="B71" s="33" t="s">
        <v>231</v>
      </c>
      <c r="C71" s="33" t="s">
        <v>205</v>
      </c>
      <c r="D71" t="str" cm="1">
        <f t="array" aca="1" ref="D71" ca="1">IF($B71="","",IF(LEFT($AI71,3)="Yes","Blocked - "&amp;MID($AI71,7,100)&amp;IF(SUMPRODUCT(('Rework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Dev",IF(AND(L71="",K71=""),"No target set",IF(AND(IF(L71&lt;&gt;"",L71,K71)&lt;TODAY(),M71=""),"Overdue","On track")),IF(C71="PBI Dev",IF(AND(R71="",Q71=""),"No target set",IF(AND(IF(R71&lt;&gt;"",R71,Q71)&lt;TODAY(),S71=""),"Overdue","On track")),IF(C71="QA",_xlfn.LET(_xlpm.tgt,IF(AL71&lt;&gt;"",AL71,IF(W71&lt;&gt;"",W71,V71)),_xlpm.sent,_xlfn.MAXIFS('Rework Log'!$B$3:$B$500,'Rework Log'!$A$3:$A$500,$B71,'Rework Log'!$C$3:$C$500,"QA"),_xlpm.act,IF(AND(X71&lt;&gt;"",X71&gt;_xlpm.sent),X71,""),IF(_xlpm.tgt="","No target set",IF(AND(_xlpm.tgt&lt;TODAY(),_xlpm.act=""),"Overdue","On track"))),IF(C71="DPO Approval",_xlfn.LET(_xlpm.tgt,IF(AM71&lt;&gt;"",AM71,IF(AA71&lt;&gt;"",AA71,Z71)),_xlpm.sent,_xlfn.MAXIFS('Rework Log'!$B$3:$B$500,'Rework Log'!$A$3:$A$500,$B71,'Rework Log'!$C$3:$C$500,"DPO*"),_xlpm.act,IF(AND(AB71&lt;&gt;"",AB71&gt;_xlpm.sent),AB71,""),IF(_xlpm.tgt="","No target set",IF(AND(_xlpm.tgt&lt;TODAY(),_xlpm.act=""),"Overdue","On track"))),IF(C71="RELEASED IN PROD","Delivered",""))))))))</f>
        <v>On track</v>
      </c>
      <c r="E71" s="33">
        <v>47</v>
      </c>
      <c r="F71" s="34" t="s">
        <v>146</v>
      </c>
      <c r="G71" s="33"/>
      <c r="H71" s="50">
        <v>46295</v>
      </c>
      <c r="I71" s="56" t="s">
        <v>198</v>
      </c>
      <c r="J71" s="33" t="s">
        <v>43</v>
      </c>
      <c r="K71" s="4">
        <v>46276</v>
      </c>
      <c r="L71" s="36">
        <v>46259</v>
      </c>
      <c r="M71" s="36">
        <v>46259</v>
      </c>
      <c r="N71" s="36"/>
      <c r="O71" s="36" t="s">
        <v>199</v>
      </c>
      <c r="P71" s="64" t="s">
        <v>59</v>
      </c>
      <c r="Q71" s="4">
        <v>46286</v>
      </c>
      <c r="R71" s="36"/>
      <c r="S71" s="36"/>
      <c r="T71" s="70" t="s">
        <v>224</v>
      </c>
      <c r="U71" s="33"/>
      <c r="V71" s="60">
        <v>46290</v>
      </c>
      <c r="W71" s="36"/>
      <c r="X71" s="36"/>
      <c r="Y71" s="36"/>
      <c r="Z71" s="53">
        <v>46295</v>
      </c>
      <c r="AA71" s="36"/>
      <c r="AB71" s="36"/>
      <c r="AC71" s="33" t="s">
        <v>232</v>
      </c>
      <c r="AD71" s="33" t="s">
        <v>93</v>
      </c>
      <c r="AE71" s="38"/>
      <c r="AF71" s="36"/>
      <c r="AG71" s="39"/>
      <c r="AH71" s="33"/>
      <c r="AI71" s="40" t="s">
        <v>52</v>
      </c>
      <c r="AJ71" s="74" t="str">
        <f>IF($B71="","",IF(AND(LEFT($AI71,3)="Yes",SUMPRODUCT(('Rework Log'!$A$3:$A$500=$B71)*('Rework Log'!$G$3:$G$500&lt;&gt;"Yes")*('Rework Log'!$G$3:$G$500&lt;&gt;"Did not pass re-test"))=0),"Blocked - log it on Rework Log",IF(AND(LEFT($AI71,3)&lt;&gt;"Yes",SUMPRODUCT(('Rework Log'!$A$3:$A$500=$B71)*('Rework Log'!$G$3:$G$500&lt;&gt;"Yes")*('Rework Log'!$G$3:$G$500&lt;&gt;"Did not pass re-test"))&gt;0),"Open rework row - mark Blocked? or close it",IF(AND($AI71="Yes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H)",IF(AND($AI71="Yes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H)",IF(AND($AI71="Yes – needs QA to fix",X71&lt;&gt;"",SUMPRODUCT(MAX((('Rework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Log'!$A$3:$A$500,$B71)&gt;0,"",IF(AND(V71&lt;&gt;"",K71&lt;&gt;"",V71&lt;K71),"QA target is before DB Dev target",IF(AND(V71&lt;&gt;"",Q71&lt;&gt;"",V71&lt;Q71),"QA target is before PBI Dev target",IF(AND(Z71&lt;&gt;"",V71&lt;&gt;"",Z71&lt;V71),"DPO Approval target is before QA target",IF(AND(AF71&lt;&gt;"",Z71&lt;&gt;"",AF71&lt;Z71),"Confirmed Deployed date is before DPO Approval target",""))))))))))))</f>
        <v/>
      </c>
      <c r="AK71" s="41"/>
      <c r="AL71" s="32" t="str" cm="1">
        <f t="array" ref="AL71">_xlfn.LET(_xlpm.rep,$B71,_xlpm.sent,_xlfn.MAXIFS('Rework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1" s="32" t="str" cm="1">
        <f t="array" ref="AM71">_xlfn.LET(_xlpm.rep,$B71,_xlpm.sent,_xlfn.MAXIFS('Rework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2" spans="1:39">
      <c r="A72" s="33" t="s">
        <v>126</v>
      </c>
      <c r="B72" s="33" t="s">
        <v>233</v>
      </c>
      <c r="C72" s="33" t="s">
        <v>178</v>
      </c>
      <c r="D72" t="str" cm="1">
        <f t="array" aca="1" ref="D72" ca="1">IF($B72="","",IF(LEFT($AI72,3)="Yes","Blocked - "&amp;MID($AI72,7,100)&amp;IF(SUMPRODUCT(('Rework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Dev",IF(AND(L72="",K72=""),"No target set",IF(AND(IF(L72&lt;&gt;"",L72,K72)&lt;TODAY(),M72=""),"Overdue","On track")),IF(C72="PBI Dev",IF(AND(R72="",Q72=""),"No target set",IF(AND(IF(R72&lt;&gt;"",R72,Q72)&lt;TODAY(),S72=""),"Overdue","On track")),IF(C72="QA",_xlfn.LET(_xlpm.tgt,IF(AL72&lt;&gt;"",AL72,IF(W72&lt;&gt;"",W72,V72)),_xlpm.sent,_xlfn.MAXIFS('Rework Log'!$B$3:$B$500,'Rework Log'!$A$3:$A$500,$B72,'Rework Log'!$C$3:$C$500,"QA"),_xlpm.act,IF(AND(X72&lt;&gt;"",X72&gt;_xlpm.sent),X72,""),IF(_xlpm.tgt="","No target set",IF(AND(_xlpm.tgt&lt;TODAY(),_xlpm.act=""),"Overdue","On track"))),IF(C72="DPO Approval",_xlfn.LET(_xlpm.tgt,IF(AM72&lt;&gt;"",AM72,IF(AA72&lt;&gt;"",AA72,Z72)),_xlpm.sent,_xlfn.MAXIFS('Rework Log'!$B$3:$B$500,'Rework Log'!$A$3:$A$500,$B72,'Rework Log'!$C$3:$C$500,"DPO*"),_xlpm.act,IF(AND(AB72&lt;&gt;"",AB72&gt;_xlpm.sent),AB72,""),IF(_xlpm.tgt="","No target set",IF(AND(_xlpm.tgt&lt;TODAY(),_xlpm.act=""),"Overdue","On track"))),IF(C72="RELEASED IN PROD","Delivered",""))))))))</f>
        <v>On track</v>
      </c>
      <c r="E72" s="33">
        <v>48</v>
      </c>
      <c r="F72" s="34" t="s">
        <v>129</v>
      </c>
      <c r="G72" s="33"/>
      <c r="H72" s="50">
        <v>46295</v>
      </c>
      <c r="I72" s="56" t="s">
        <v>198</v>
      </c>
      <c r="J72" s="33" t="s">
        <v>75</v>
      </c>
      <c r="K72" s="4">
        <v>46276</v>
      </c>
      <c r="L72" s="36">
        <v>46258</v>
      </c>
      <c r="M72" s="36">
        <v>46258</v>
      </c>
      <c r="N72" s="36" t="s">
        <v>44</v>
      </c>
      <c r="O72" s="36" t="s">
        <v>199</v>
      </c>
      <c r="P72" s="64" t="s">
        <v>76</v>
      </c>
      <c r="Q72" s="4">
        <v>46286</v>
      </c>
      <c r="R72" s="36"/>
      <c r="S72" s="36"/>
      <c r="T72" s="70" t="s">
        <v>224</v>
      </c>
      <c r="U72" s="33"/>
      <c r="V72" s="60">
        <v>46290</v>
      </c>
      <c r="W72" s="36"/>
      <c r="X72" s="36"/>
      <c r="Y72" s="36"/>
      <c r="Z72" s="53">
        <v>46295</v>
      </c>
      <c r="AA72" s="36"/>
      <c r="AB72" s="36"/>
      <c r="AC72" s="33" t="s">
        <v>173</v>
      </c>
      <c r="AD72" s="33" t="s">
        <v>48</v>
      </c>
      <c r="AE72" s="38"/>
      <c r="AF72" s="36"/>
      <c r="AG72" s="39"/>
      <c r="AH72" s="33"/>
      <c r="AI72" s="40" t="s">
        <v>52</v>
      </c>
      <c r="AJ72" s="74" t="str">
        <f>IF($B72="","",IF(AND(LEFT($AI72,3)="Yes",SUMPRODUCT(('Rework Log'!$A$3:$A$500=$B72)*('Rework Log'!$G$3:$G$500&lt;&gt;"Yes")*('Rework Log'!$G$3:$G$500&lt;&gt;"Did not pass re-test"))=0),"Blocked - log it on Rework Log",IF(AND(LEFT($AI72,3)&lt;&gt;"Yes",SUMPRODUCT(('Rework Log'!$A$3:$A$500=$B72)*('Rework Log'!$G$3:$G$500&lt;&gt;"Yes")*('Rework Log'!$G$3:$G$500&lt;&gt;"Did not pass re-test"))&gt;0),"Open rework row - mark Blocked? or close it",IF(AND($AI72="Yes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H)",IF(AND($AI72="Yes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H)",IF(AND($AI72="Yes – needs QA to fix",X72&lt;&gt;"",SUMPRODUCT(MAX((('Rework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Log'!$A$3:$A$500,$B72)&gt;0,"",IF(AND(V72&lt;&gt;"",K72&lt;&gt;"",V72&lt;K72),"QA target is before DB Dev target",IF(AND(V72&lt;&gt;"",Q72&lt;&gt;"",V72&lt;Q72),"QA target is before PBI Dev target",IF(AND(Z72&lt;&gt;"",V72&lt;&gt;"",Z72&lt;V72),"DPO Approval target is before QA target",IF(AND(AF72&lt;&gt;"",Z72&lt;&gt;"",AF72&lt;Z72),"Confirmed Deployed date is before DPO Approval target",""))))))))))))</f>
        <v/>
      </c>
      <c r="AK72" s="41"/>
      <c r="AL72" s="32" t="str" cm="1">
        <f t="array" ref="AL72">_xlfn.LET(_xlpm.rep,$B72,_xlpm.sent,_xlfn.MAXIFS('Rework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2" s="32" t="str" cm="1">
        <f t="array" ref="AM72">_xlfn.LET(_xlpm.rep,$B72,_xlpm.sent,_xlfn.MAXIFS('Rework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3" spans="1:39" hidden="1">
      <c r="A73" s="79" t="s">
        <v>126</v>
      </c>
      <c r="B73" s="31" t="s">
        <v>234</v>
      </c>
      <c r="C73" s="31" t="s">
        <v>178</v>
      </c>
      <c r="D73" t="str" cm="1">
        <f t="array" aca="1" ref="D73" ca="1">IF($B73="","",IF(LEFT($AI73,3)="Yes","Blocked - "&amp;MID($AI73,7,100)&amp;IF(SUMPRODUCT(('Rework Log'!$A$3:$A$500=$B73)*('Rework Log'!$G$3:$G$500&lt;&gt;"Yes")*('Rework Log'!$G$3:$G$500&lt;&gt;"Did not pass re-test"))=0,"",IF(SUMPRODUCT(MAX((('Rework Log'!$A$3:$A$500=$B73)*('Rework Log'!$G$3:$G$500&lt;&gt;"Yes")*('Rework Log'!$G$3:$G$500&lt;&gt;"Did not pass re-test"))*'Rework Log'!$I$3:$I$500))=0," - unclaimed"," - promised "&amp;TEXT(SUMPRODUCT(MAX((('Rework Log'!$A$3:$A$500=$B73)*('Rework Log'!$G$3:$G$500&lt;&gt;"Yes")*('Rework Log'!$G$3:$G$500&lt;&gt;"Did not pass re-test"))*'Rework Log'!$I$3:$I$500)),"m/d"))),IF(C73="NOT STARTED",IF(H73="","No plan date set",IF(H73&lt;TODAY(),"Review - planned start passed","On track")),IF(C73="DB Dev",IF(AND(L73="",K73=""),"No target set",IF(AND(IF(L73&lt;&gt;"",L73,K73)&lt;TODAY(),M73=""),"Overdue","On track")),IF(C73="PBI Dev",IF(AND(R73="",Q73=""),"No target set",IF(AND(IF(R73&lt;&gt;"",R73,Q73)&lt;TODAY(),S73=""),"Overdue","On track")),IF(C73="QA",_xlfn.LET(_xlpm.tgt,IF(AL73&lt;&gt;"",AL73,IF(W73&lt;&gt;"",W73,V73)),_xlpm.sent,_xlfn.MAXIFS('Rework Log'!$B$3:$B$500,'Rework Log'!$A$3:$A$500,$B73,'Rework Log'!$C$3:$C$500,"QA"),_xlpm.act,IF(AND(X73&lt;&gt;"",X73&gt;_xlpm.sent),X73,""),IF(_xlpm.tgt="","No target set",IF(AND(_xlpm.tgt&lt;TODAY(),_xlpm.act=""),"Overdue","On track"))),IF(C73="DPO Approval",_xlfn.LET(_xlpm.tgt,IF(AM73&lt;&gt;"",AM73,IF(AA73&lt;&gt;"",AA73,Z73)),_xlpm.sent,_xlfn.MAXIFS('Rework Log'!$B$3:$B$500,'Rework Log'!$A$3:$A$500,$B73,'Rework Log'!$C$3:$C$500,"DPO*"),_xlpm.act,IF(AND(AB73&lt;&gt;"",AB73&gt;_xlpm.sent),AB73,""),IF(_xlpm.tgt="","No target set",IF(AND(_xlpm.tgt&lt;TODAY(),_xlpm.act=""),"Overdue","On track"))),IF(C73="RELEASED IN PROD","Delivered",""))))))))</f>
        <v>No target set</v>
      </c>
      <c r="E73" s="31">
        <v>49</v>
      </c>
      <c r="F73" s="31"/>
      <c r="G73" s="31"/>
      <c r="H73" s="50">
        <v>46325</v>
      </c>
      <c r="I73" s="57" t="s">
        <v>235</v>
      </c>
      <c r="J73" s="31" t="s">
        <v>75</v>
      </c>
      <c r="K73" s="51"/>
      <c r="L73" s="43">
        <v>46259</v>
      </c>
      <c r="M73" s="47">
        <v>46259</v>
      </c>
      <c r="N73" s="44" t="s">
        <v>44</v>
      </c>
      <c r="O73" s="44" t="s">
        <v>199</v>
      </c>
      <c r="P73" s="67"/>
      <c r="Q73" s="51"/>
      <c r="R73" s="43"/>
      <c r="S73" s="44"/>
      <c r="T73" s="71" t="s">
        <v>236</v>
      </c>
      <c r="U73" s="31"/>
      <c r="W73" s="43"/>
      <c r="X73" s="31"/>
      <c r="Y73" s="31"/>
      <c r="AA73" s="43"/>
      <c r="AB73" s="43"/>
      <c r="AC73" s="31" t="s">
        <v>201</v>
      </c>
      <c r="AD73" s="31" t="s">
        <v>71</v>
      </c>
      <c r="AE73" s="31"/>
      <c r="AF73" s="31"/>
      <c r="AG73" s="31"/>
      <c r="AH73" s="31"/>
      <c r="AI73" s="31"/>
      <c r="AJ73" s="31"/>
      <c r="AK73" s="31"/>
      <c r="AL73" s="32" t="str" cm="1">
        <f t="array" ref="AL73">_xlfn.LET(_xlpm.rep,$B73,_xlpm.sent,_xlfn.MAXIFS('Rework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3" s="32" t="str" cm="1">
        <f t="array" ref="AM73">_xlfn.LET(_xlpm.rep,$B73,_xlpm.sent,_xlfn.MAXIFS('Rework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4" spans="1:39" hidden="1">
      <c r="A74" s="31" t="s">
        <v>126</v>
      </c>
      <c r="B74" s="31" t="s">
        <v>237</v>
      </c>
      <c r="C74" s="31" t="s">
        <v>205</v>
      </c>
      <c r="D74" t="str" cm="1">
        <f t="array" aca="1" ref="D74" ca="1">IF($B74="","",IF(LEFT($AI74,3)="Yes","Blocked - "&amp;MID($AI74,7,100)&amp;IF(SUMPRODUCT(('Rework Log'!$A$3:$A$500=$B74)*('Rework Log'!$G$3:$G$500&lt;&gt;"Yes")*('Rework Log'!$G$3:$G$500&lt;&gt;"Did not pass re-test"))=0,"",IF(SUMPRODUCT(MAX((('Rework Log'!$A$3:$A$500=$B74)*('Rework Log'!$G$3:$G$500&lt;&gt;"Yes")*('Rework Log'!$G$3:$G$500&lt;&gt;"Did not pass re-test"))*'Rework Log'!$I$3:$I$500))=0," - unclaimed"," - promised "&amp;TEXT(SUMPRODUCT(MAX((('Rework Log'!$A$3:$A$500=$B74)*('Rework Log'!$G$3:$G$500&lt;&gt;"Yes")*('Rework Log'!$G$3:$G$500&lt;&gt;"Did not pass re-test"))*'Rework Log'!$I$3:$I$500)),"m/d"))),IF(C74="NOT STARTED",IF(H74="","No plan date set",IF(H74&lt;TODAY(),"Review - planned start passed","On track")),IF(C74="DB Dev",IF(AND(L74="",K74=""),"No target set",IF(AND(IF(L74&lt;&gt;"",L74,K74)&lt;TODAY(),M74=""),"Overdue","On track")),IF(C74="PBI Dev",IF(AND(R74="",Q74=""),"No target set",IF(AND(IF(R74&lt;&gt;"",R74,Q74)&lt;TODAY(),S74=""),"Overdue","On track")),IF(C74="QA",_xlfn.LET(_xlpm.tgt,IF(AL74&lt;&gt;"",AL74,IF(W74&lt;&gt;"",W74,V74)),_xlpm.sent,_xlfn.MAXIFS('Rework Log'!$B$3:$B$500,'Rework Log'!$A$3:$A$500,$B74,'Rework Log'!$C$3:$C$500,"QA"),_xlpm.act,IF(AND(X74&lt;&gt;"",X74&gt;_xlpm.sent),X74,""),IF(_xlpm.tgt="","No target set",IF(AND(_xlpm.tgt&lt;TODAY(),_xlpm.act=""),"Overdue","On track"))),IF(C74="DPO Approval",_xlfn.LET(_xlpm.tgt,IF(AM74&lt;&gt;"",AM74,IF(AA74&lt;&gt;"",AA74,Z74)),_xlpm.sent,_xlfn.MAXIFS('Rework Log'!$B$3:$B$500,'Rework Log'!$A$3:$A$500,$B74,'Rework Log'!$C$3:$C$500,"DPO*"),_xlpm.act,IF(AND(AB74&lt;&gt;"",AB74&gt;_xlpm.sent),AB74,""),IF(_xlpm.tgt="","No target set",IF(AND(_xlpm.tgt&lt;TODAY(),_xlpm.act=""),"Overdue","On track"))),IF(C74="RELEASED IN PROD","Delivered",""))))))))</f>
        <v>On track</v>
      </c>
      <c r="E74" s="31">
        <v>50</v>
      </c>
      <c r="F74" s="31"/>
      <c r="G74" s="31"/>
      <c r="H74" s="50">
        <v>46325</v>
      </c>
      <c r="I74" s="57" t="s">
        <v>235</v>
      </c>
      <c r="J74" s="55" t="s">
        <v>223</v>
      </c>
      <c r="K74" s="51"/>
      <c r="L74" s="43"/>
      <c r="M74" s="44"/>
      <c r="N74" s="44"/>
      <c r="O74" s="44" t="s">
        <v>199</v>
      </c>
      <c r="P74" s="76"/>
      <c r="Q74" s="51"/>
      <c r="R74" s="43"/>
      <c r="S74" s="44"/>
      <c r="T74" s="71" t="s">
        <v>236</v>
      </c>
      <c r="U74" s="47"/>
      <c r="W74" s="43"/>
      <c r="X74" s="31"/>
      <c r="Y74" s="36"/>
      <c r="AA74" s="43"/>
      <c r="AB74" s="43"/>
      <c r="AC74" s="31" t="s">
        <v>173</v>
      </c>
      <c r="AD74" s="31" t="s">
        <v>93</v>
      </c>
      <c r="AE74" s="31"/>
      <c r="AF74" s="31"/>
      <c r="AG74" s="31"/>
      <c r="AH74" s="31"/>
      <c r="AI74" s="31"/>
      <c r="AJ74" s="31"/>
      <c r="AK74" s="31"/>
      <c r="AL74" s="32" t="str" cm="1">
        <f t="array" ref="AL74">_xlfn.LET(_xlpm.rep,$B74,_xlpm.sent,_xlfn.MAXIFS('Rework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4" s="32" t="str" cm="1">
        <f t="array" ref="AM74">_xlfn.LET(_xlpm.rep,$B74,_xlpm.sent,_xlfn.MAXIFS('Rework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5" spans="1:39" hidden="1">
      <c r="A75" s="31" t="s">
        <v>126</v>
      </c>
      <c r="B75" s="31" t="s">
        <v>238</v>
      </c>
      <c r="C75" s="31" t="s">
        <v>205</v>
      </c>
      <c r="D75" t="str" cm="1">
        <f t="array" aca="1" ref="D75" ca="1">IF($B75="","",IF(LEFT($AI75,3)="Yes","Blocked - "&amp;MID($AI75,7,100)&amp;IF(SUMPRODUCT(('Rework Log'!$A$3:$A$500=$B75)*('Rework Log'!$G$3:$G$500&lt;&gt;"Yes")*('Rework Log'!$G$3:$G$500&lt;&gt;"Did not pass re-test"))=0,"",IF(SUMPRODUCT(MAX((('Rework Log'!$A$3:$A$500=$B75)*('Rework Log'!$G$3:$G$500&lt;&gt;"Yes")*('Rework Log'!$G$3:$G$500&lt;&gt;"Did not pass re-test"))*'Rework Log'!$I$3:$I$500))=0," - unclaimed"," - promised "&amp;TEXT(SUMPRODUCT(MAX((('Rework Log'!$A$3:$A$500=$B75)*('Rework Log'!$G$3:$G$500&lt;&gt;"Yes")*('Rework Log'!$G$3:$G$500&lt;&gt;"Did not pass re-test"))*'Rework Log'!$I$3:$I$500)),"m/d"))),IF(C75="NOT STARTED",IF(H75="","No plan date set",IF(H75&lt;TODAY(),"Review - planned start passed","On track")),IF(C75="DB Dev",IF(AND(L75="",K75=""),"No target set",IF(AND(IF(L75&lt;&gt;"",L75,K75)&lt;TODAY(),M75=""),"Overdue","On track")),IF(C75="PBI Dev",IF(AND(R75="",Q75=""),"No target set",IF(AND(IF(R75&lt;&gt;"",R75,Q75)&lt;TODAY(),S75=""),"Overdue","On track")),IF(C75="QA",_xlfn.LET(_xlpm.tgt,IF(AL75&lt;&gt;"",AL75,IF(W75&lt;&gt;"",W75,V75)),_xlpm.sent,_xlfn.MAXIFS('Rework Log'!$B$3:$B$500,'Rework Log'!$A$3:$A$500,$B75,'Rework Log'!$C$3:$C$500,"QA"),_xlpm.act,IF(AND(X75&lt;&gt;"",X75&gt;_xlpm.sent),X75,""),IF(_xlpm.tgt="","No target set",IF(AND(_xlpm.tgt&lt;TODAY(),_xlpm.act=""),"Overdue","On track"))),IF(C75="DPO Approval",_xlfn.LET(_xlpm.tgt,IF(AM75&lt;&gt;"",AM75,IF(AA75&lt;&gt;"",AA75,Z75)),_xlpm.sent,_xlfn.MAXIFS('Rework Log'!$B$3:$B$500,'Rework Log'!$A$3:$A$500,$B75,'Rework Log'!$C$3:$C$500,"DPO*"),_xlpm.act,IF(AND(AB75&lt;&gt;"",AB75&gt;_xlpm.sent),AB75,""),IF(_xlpm.tgt="","No target set",IF(AND(_xlpm.tgt&lt;TODAY(),_xlpm.act=""),"Overdue","On track"))),IF(C75="RELEASED IN PROD","Delivered",""))))))))</f>
        <v>On track</v>
      </c>
      <c r="E75" s="31">
        <v>51</v>
      </c>
      <c r="F75" s="31"/>
      <c r="G75" s="31"/>
      <c r="H75" s="50">
        <v>46325</v>
      </c>
      <c r="I75" s="57" t="s">
        <v>235</v>
      </c>
      <c r="J75" s="55" t="s">
        <v>58</v>
      </c>
      <c r="K75" s="51"/>
      <c r="L75" s="43"/>
      <c r="M75" s="44"/>
      <c r="N75" s="44"/>
      <c r="O75" s="44" t="s">
        <v>199</v>
      </c>
      <c r="P75" s="76"/>
      <c r="Q75" s="51"/>
      <c r="R75" s="43"/>
      <c r="S75" s="44"/>
      <c r="T75" s="71" t="s">
        <v>236</v>
      </c>
      <c r="U75" s="47"/>
      <c r="W75" s="43"/>
      <c r="X75" s="31"/>
      <c r="Y75" s="36"/>
      <c r="AA75" s="43"/>
      <c r="AB75" s="43"/>
      <c r="AC75" s="31" t="s">
        <v>239</v>
      </c>
      <c r="AD75" s="31" t="s">
        <v>93</v>
      </c>
      <c r="AE75" s="31"/>
      <c r="AF75" s="31"/>
      <c r="AG75" s="31"/>
      <c r="AH75" s="31"/>
      <c r="AI75" s="31"/>
      <c r="AJ75" s="31"/>
      <c r="AK75" s="31"/>
      <c r="AL75" s="32" t="str" cm="1">
        <f t="array" ref="AL75">_xlfn.LET(_xlpm.rep,$B75,_xlpm.sent,_xlfn.MAXIFS('Rework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5" s="32" t="str" cm="1">
        <f t="array" ref="AM75">_xlfn.LET(_xlpm.rep,$B75,_xlpm.sent,_xlfn.MAXIFS('Rework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6" spans="1:39" hidden="1">
      <c r="A76" s="31" t="s">
        <v>126</v>
      </c>
      <c r="B76" s="31" t="s">
        <v>240</v>
      </c>
      <c r="C76" s="31" t="s">
        <v>205</v>
      </c>
      <c r="D76" t="str" cm="1">
        <f t="array" aca="1" ref="D76" ca="1">IF($B76="","",IF(LEFT($AI76,3)="Yes","Blocked - "&amp;MID($AI76,7,100)&amp;IF(SUMPRODUCT(('Rework Log'!$A$3:$A$500=$B76)*('Rework Log'!$G$3:$G$500&lt;&gt;"Yes")*('Rework Log'!$G$3:$G$500&lt;&gt;"Did not pass re-test"))=0,"",IF(SUMPRODUCT(MAX((('Rework Log'!$A$3:$A$500=$B76)*('Rework Log'!$G$3:$G$500&lt;&gt;"Yes")*('Rework Log'!$G$3:$G$500&lt;&gt;"Did not pass re-test"))*'Rework Log'!$I$3:$I$500))=0," - unclaimed"," - promised "&amp;TEXT(SUMPRODUCT(MAX((('Rework Log'!$A$3:$A$500=$B76)*('Rework Log'!$G$3:$G$500&lt;&gt;"Yes")*('Rework Log'!$G$3:$G$500&lt;&gt;"Did not pass re-test"))*'Rework Log'!$I$3:$I$500)),"m/d"))),IF(C76="NOT STARTED",IF(H76="","No plan date set",IF(H76&lt;TODAY(),"Review - planned start passed","On track")),IF(C76="DB Dev",IF(AND(L76="",K76=""),"No target set",IF(AND(IF(L76&lt;&gt;"",L76,K76)&lt;TODAY(),M76=""),"Overdue","On track")),IF(C76="PBI Dev",IF(AND(R76="",Q76=""),"No target set",IF(AND(IF(R76&lt;&gt;"",R76,Q76)&lt;TODAY(),S76=""),"Overdue","On track")),IF(C76="QA",_xlfn.LET(_xlpm.tgt,IF(AL76&lt;&gt;"",AL76,IF(W76&lt;&gt;"",W76,V76)),_xlpm.sent,_xlfn.MAXIFS('Rework Log'!$B$3:$B$500,'Rework Log'!$A$3:$A$500,$B76,'Rework Log'!$C$3:$C$500,"QA"),_xlpm.act,IF(AND(X76&lt;&gt;"",X76&gt;_xlpm.sent),X76,""),IF(_xlpm.tgt="","No target set",IF(AND(_xlpm.tgt&lt;TODAY(),_xlpm.act=""),"Overdue","On track"))),IF(C76="DPO Approval",_xlfn.LET(_xlpm.tgt,IF(AM76&lt;&gt;"",AM76,IF(AA76&lt;&gt;"",AA76,Z76)),_xlpm.sent,_xlfn.MAXIFS('Rework Log'!$B$3:$B$500,'Rework Log'!$A$3:$A$500,$B76,'Rework Log'!$C$3:$C$500,"DPO*"),_xlpm.act,IF(AND(AB76&lt;&gt;"",AB76&gt;_xlpm.sent),AB76,""),IF(_xlpm.tgt="","No target set",IF(AND(_xlpm.tgt&lt;TODAY(),_xlpm.act=""),"Overdue","On track"))),IF(C76="RELEASED IN PROD","Delivered",""))))))))</f>
        <v>On track</v>
      </c>
      <c r="E76" s="31">
        <v>52</v>
      </c>
      <c r="F76" s="31"/>
      <c r="G76" s="31"/>
      <c r="H76" s="50">
        <v>46325</v>
      </c>
      <c r="I76" s="57" t="s">
        <v>235</v>
      </c>
      <c r="J76" s="55"/>
      <c r="K76" s="51"/>
      <c r="L76" s="43"/>
      <c r="M76" s="44"/>
      <c r="N76" s="44"/>
      <c r="O76" s="44" t="s">
        <v>241</v>
      </c>
      <c r="P76" s="76"/>
      <c r="Q76" s="51"/>
      <c r="R76" s="43"/>
      <c r="S76" s="44"/>
      <c r="T76" s="71" t="s">
        <v>236</v>
      </c>
      <c r="U76" s="47"/>
      <c r="W76" s="43"/>
      <c r="X76" s="31"/>
      <c r="Y76" s="36"/>
      <c r="AA76" s="43"/>
      <c r="AB76" s="43"/>
      <c r="AC76" s="31" t="s">
        <v>239</v>
      </c>
      <c r="AD76" s="31" t="s">
        <v>93</v>
      </c>
      <c r="AE76" s="31"/>
      <c r="AF76" s="31"/>
      <c r="AG76" s="31"/>
      <c r="AH76" s="31"/>
      <c r="AI76" s="31"/>
      <c r="AJ76" s="31"/>
      <c r="AK76" s="31"/>
      <c r="AL76" s="32" t="str" cm="1">
        <f t="array" ref="AL76">_xlfn.LET(_xlpm.rep,$B76,_xlpm.sent,_xlfn.MAXIFS('Rework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6" s="32" t="str" cm="1">
        <f t="array" ref="AM76">_xlfn.LET(_xlpm.rep,$B76,_xlpm.sent,_xlfn.MAXIFS('Rework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7" spans="1:39" hidden="1">
      <c r="A77" s="31" t="s">
        <v>126</v>
      </c>
      <c r="B77" s="31" t="s">
        <v>242</v>
      </c>
      <c r="C77" s="31" t="s">
        <v>205</v>
      </c>
      <c r="D77" t="str" cm="1">
        <f t="array" aca="1" ref="D77" ca="1">IF($B77="","",IF(LEFT($AI77,3)="Yes","Blocked - "&amp;MID($AI77,7,100)&amp;IF(SUMPRODUCT(('Rework Log'!$A$3:$A$500=$B77)*('Rework Log'!$G$3:$G$500&lt;&gt;"Yes")*('Rework Log'!$G$3:$G$500&lt;&gt;"Did not pass re-test"))=0,"",IF(SUMPRODUCT(MAX((('Rework Log'!$A$3:$A$500=$B77)*('Rework Log'!$G$3:$G$500&lt;&gt;"Yes")*('Rework Log'!$G$3:$G$500&lt;&gt;"Did not pass re-test"))*'Rework Log'!$I$3:$I$500))=0," - unclaimed"," - promised "&amp;TEXT(SUMPRODUCT(MAX((('Rework Log'!$A$3:$A$500=$B77)*('Rework Log'!$G$3:$G$500&lt;&gt;"Yes")*('Rework Log'!$G$3:$G$500&lt;&gt;"Did not pass re-test"))*'Rework Log'!$I$3:$I$500)),"m/d"))),IF(C77="NOT STARTED",IF(H77="","No plan date set",IF(H77&lt;TODAY(),"Review - planned start passed","On track")),IF(C77="DB Dev",IF(AND(L77="",K77=""),"No target set",IF(AND(IF(L77&lt;&gt;"",L77,K77)&lt;TODAY(),M77=""),"Overdue","On track")),IF(C77="PBI Dev",IF(AND(R77="",Q77=""),"No target set",IF(AND(IF(R77&lt;&gt;"",R77,Q77)&lt;TODAY(),S77=""),"Overdue","On track")),IF(C77="QA",_xlfn.LET(_xlpm.tgt,IF(AL77&lt;&gt;"",AL77,IF(W77&lt;&gt;"",W77,V77)),_xlpm.sent,_xlfn.MAXIFS('Rework Log'!$B$3:$B$500,'Rework Log'!$A$3:$A$500,$B77,'Rework Log'!$C$3:$C$500,"QA"),_xlpm.act,IF(AND(X77&lt;&gt;"",X77&gt;_xlpm.sent),X77,""),IF(_xlpm.tgt="","No target set",IF(AND(_xlpm.tgt&lt;TODAY(),_xlpm.act=""),"Overdue","On track"))),IF(C77="DPO Approval",_xlfn.LET(_xlpm.tgt,IF(AM77&lt;&gt;"",AM77,IF(AA77&lt;&gt;"",AA77,Z77)),_xlpm.sent,_xlfn.MAXIFS('Rework Log'!$B$3:$B$500,'Rework Log'!$A$3:$A$500,$B77,'Rework Log'!$C$3:$C$500,"DPO*"),_xlpm.act,IF(AND(AB77&lt;&gt;"",AB77&gt;_xlpm.sent),AB77,""),IF(_xlpm.tgt="","No target set",IF(AND(_xlpm.tgt&lt;TODAY(),_xlpm.act=""),"Overdue","On track"))),IF(C77="RELEASED IN PROD","Delivered",""))))))))</f>
        <v>On track</v>
      </c>
      <c r="E77" s="31">
        <v>53</v>
      </c>
      <c r="F77" s="31"/>
      <c r="G77" s="31"/>
      <c r="H77" s="50">
        <v>46325</v>
      </c>
      <c r="I77" s="57" t="s">
        <v>235</v>
      </c>
      <c r="J77" s="55"/>
      <c r="K77" s="51"/>
      <c r="L77" s="43"/>
      <c r="M77" s="44"/>
      <c r="N77" s="44"/>
      <c r="O77" s="44" t="s">
        <v>241</v>
      </c>
      <c r="P77" s="76"/>
      <c r="Q77" s="51"/>
      <c r="R77" s="43"/>
      <c r="S77" s="44"/>
      <c r="T77" s="71" t="s">
        <v>236</v>
      </c>
      <c r="U77" s="47"/>
      <c r="W77" s="43"/>
      <c r="X77" s="31"/>
      <c r="Y77" s="36"/>
      <c r="AA77" s="43"/>
      <c r="AB77" s="43"/>
      <c r="AC77" s="31" t="s">
        <v>239</v>
      </c>
      <c r="AD77" s="31" t="s">
        <v>93</v>
      </c>
      <c r="AE77" s="31"/>
      <c r="AF77" s="31"/>
      <c r="AG77" s="31"/>
      <c r="AH77" s="31"/>
      <c r="AI77" s="31"/>
      <c r="AJ77" s="31"/>
      <c r="AK77" s="31"/>
      <c r="AL77" s="32" t="str" cm="1">
        <f t="array" ref="AL77">_xlfn.LET(_xlpm.rep,$B77,_xlpm.sent,_xlfn.MAXIFS('Rework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7" s="32" t="str" cm="1">
        <f t="array" ref="AM77">_xlfn.LET(_xlpm.rep,$B77,_xlpm.sent,_xlfn.MAXIFS('Rework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8" spans="1:39" hidden="1">
      <c r="A78" s="31" t="s">
        <v>126</v>
      </c>
      <c r="B78" s="31" t="s">
        <v>243</v>
      </c>
      <c r="C78" s="31" t="s">
        <v>205</v>
      </c>
      <c r="D78" t="str" cm="1">
        <f t="array" aca="1" ref="D78" ca="1">IF($B78="","",IF(LEFT($AI78,3)="Yes","Blocked - "&amp;MID($AI78,7,100)&amp;IF(SUMPRODUCT(('Rework Log'!$A$3:$A$500=$B78)*('Rework Log'!$G$3:$G$500&lt;&gt;"Yes")*('Rework Log'!$G$3:$G$500&lt;&gt;"Did not pass re-test"))=0,"",IF(SUMPRODUCT(MAX((('Rework Log'!$A$3:$A$500=$B78)*('Rework Log'!$G$3:$G$500&lt;&gt;"Yes")*('Rework Log'!$G$3:$G$500&lt;&gt;"Did not pass re-test"))*'Rework Log'!$I$3:$I$500))=0," - unclaimed"," - promised "&amp;TEXT(SUMPRODUCT(MAX((('Rework Log'!$A$3:$A$500=$B78)*('Rework Log'!$G$3:$G$500&lt;&gt;"Yes")*('Rework Log'!$G$3:$G$500&lt;&gt;"Did not pass re-test"))*'Rework Log'!$I$3:$I$500)),"m/d"))),IF(C78="NOT STARTED",IF(H78="","No plan date set",IF(H78&lt;TODAY(),"Review - planned start passed","On track")),IF(C78="DB Dev",IF(AND(L78="",K78=""),"No target set",IF(AND(IF(L78&lt;&gt;"",L78,K78)&lt;TODAY(),M78=""),"Overdue","On track")),IF(C78="PBI Dev",IF(AND(R78="",Q78=""),"No target set",IF(AND(IF(R78&lt;&gt;"",R78,Q78)&lt;TODAY(),S78=""),"Overdue","On track")),IF(C78="QA",_xlfn.LET(_xlpm.tgt,IF(AL78&lt;&gt;"",AL78,IF(W78&lt;&gt;"",W78,V78)),_xlpm.sent,_xlfn.MAXIFS('Rework Log'!$B$3:$B$500,'Rework Log'!$A$3:$A$500,$B78,'Rework Log'!$C$3:$C$500,"QA"),_xlpm.act,IF(AND(X78&lt;&gt;"",X78&gt;_xlpm.sent),X78,""),IF(_xlpm.tgt="","No target set",IF(AND(_xlpm.tgt&lt;TODAY(),_xlpm.act=""),"Overdue","On track"))),IF(C78="DPO Approval",_xlfn.LET(_xlpm.tgt,IF(AM78&lt;&gt;"",AM78,IF(AA78&lt;&gt;"",AA78,Z78)),_xlpm.sent,_xlfn.MAXIFS('Rework Log'!$B$3:$B$500,'Rework Log'!$A$3:$A$500,$B78,'Rework Log'!$C$3:$C$500,"DPO*"),_xlpm.act,IF(AND(AB78&lt;&gt;"",AB78&gt;_xlpm.sent),AB78,""),IF(_xlpm.tgt="","No target set",IF(AND(_xlpm.tgt&lt;TODAY(),_xlpm.act=""),"Overdue","On track"))),IF(C78="RELEASED IN PROD","Delivered",""))))))))</f>
        <v>On track</v>
      </c>
      <c r="E78" s="31">
        <v>54</v>
      </c>
      <c r="F78" s="31"/>
      <c r="G78" s="31"/>
      <c r="H78" s="50">
        <v>46325</v>
      </c>
      <c r="I78" s="57" t="s">
        <v>235</v>
      </c>
      <c r="J78" s="55" t="s">
        <v>43</v>
      </c>
      <c r="K78" s="51"/>
      <c r="L78" s="43"/>
      <c r="M78" s="44"/>
      <c r="N78" s="44"/>
      <c r="O78" s="44" t="s">
        <v>241</v>
      </c>
      <c r="P78" s="76"/>
      <c r="Q78" s="51"/>
      <c r="R78" s="43"/>
      <c r="S78" s="44"/>
      <c r="T78" s="71" t="s">
        <v>236</v>
      </c>
      <c r="U78" s="47"/>
      <c r="W78" s="43"/>
      <c r="X78" s="31"/>
      <c r="Y78" s="36"/>
      <c r="AA78" s="43"/>
      <c r="AB78" s="43"/>
      <c r="AC78" s="31" t="s">
        <v>190</v>
      </c>
      <c r="AD78" s="31" t="s">
        <v>93</v>
      </c>
      <c r="AE78" s="31"/>
      <c r="AF78" s="31"/>
      <c r="AG78" s="31"/>
      <c r="AH78" s="31"/>
      <c r="AI78" s="31"/>
      <c r="AJ78" s="31"/>
      <c r="AK78" s="31"/>
      <c r="AL78" s="32" t="str" cm="1">
        <f t="array" ref="AL78">_xlfn.LET(_xlpm.rep,$B78,_xlpm.sent,_xlfn.MAXIFS('Rework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8" s="32" t="str" cm="1">
        <f t="array" ref="AM78">_xlfn.LET(_xlpm.rep,$B78,_xlpm.sent,_xlfn.MAXIFS('Rework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79" spans="1:39" hidden="1">
      <c r="A79" s="31" t="s">
        <v>126</v>
      </c>
      <c r="B79" s="31" t="s">
        <v>244</v>
      </c>
      <c r="C79" s="31" t="s">
        <v>205</v>
      </c>
      <c r="D79" t="str" cm="1">
        <f t="array" aca="1" ref="D79" ca="1">IF($B79="","",IF(LEFT($AI79,3)="Yes","Blocked - "&amp;MID($AI79,7,100)&amp;IF(SUMPRODUCT(('Rework Log'!$A$3:$A$500=$B79)*('Rework Log'!$G$3:$G$500&lt;&gt;"Yes")*('Rework Log'!$G$3:$G$500&lt;&gt;"Did not pass re-test"))=0,"",IF(SUMPRODUCT(MAX((('Rework Log'!$A$3:$A$500=$B79)*('Rework Log'!$G$3:$G$500&lt;&gt;"Yes")*('Rework Log'!$G$3:$G$500&lt;&gt;"Did not pass re-test"))*'Rework Log'!$I$3:$I$500))=0," - unclaimed"," - promised "&amp;TEXT(SUMPRODUCT(MAX((('Rework Log'!$A$3:$A$500=$B79)*('Rework Log'!$G$3:$G$500&lt;&gt;"Yes")*('Rework Log'!$G$3:$G$500&lt;&gt;"Did not pass re-test"))*'Rework Log'!$I$3:$I$500)),"m/d"))),IF(C79="NOT STARTED",IF(H79="","No plan date set",IF(H79&lt;TODAY(),"Review - planned start passed","On track")),IF(C79="DB Dev",IF(AND(L79="",K79=""),"No target set",IF(AND(IF(L79&lt;&gt;"",L79,K79)&lt;TODAY(),M79=""),"Overdue","On track")),IF(C79="PBI Dev",IF(AND(R79="",Q79=""),"No target set",IF(AND(IF(R79&lt;&gt;"",R79,Q79)&lt;TODAY(),S79=""),"Overdue","On track")),IF(C79="QA",_xlfn.LET(_xlpm.tgt,IF(AL79&lt;&gt;"",AL79,IF(W79&lt;&gt;"",W79,V79)),_xlpm.sent,_xlfn.MAXIFS('Rework Log'!$B$3:$B$500,'Rework Log'!$A$3:$A$500,$B79,'Rework Log'!$C$3:$C$500,"QA"),_xlpm.act,IF(AND(X79&lt;&gt;"",X79&gt;_xlpm.sent),X79,""),IF(_xlpm.tgt="","No target set",IF(AND(_xlpm.tgt&lt;TODAY(),_xlpm.act=""),"Overdue","On track"))),IF(C79="DPO Approval",_xlfn.LET(_xlpm.tgt,IF(AM79&lt;&gt;"",AM79,IF(AA79&lt;&gt;"",AA79,Z79)),_xlpm.sent,_xlfn.MAXIFS('Rework Log'!$B$3:$B$500,'Rework Log'!$A$3:$A$500,$B79,'Rework Log'!$C$3:$C$500,"DPO*"),_xlpm.act,IF(AND(AB79&lt;&gt;"",AB79&gt;_xlpm.sent),AB79,""),IF(_xlpm.tgt="","No target set",IF(AND(_xlpm.tgt&lt;TODAY(),_xlpm.act=""),"Overdue","On track"))),IF(C79="RELEASED IN PROD","Delivered",""))))))))</f>
        <v>On track</v>
      </c>
      <c r="E79" s="31">
        <v>55</v>
      </c>
      <c r="F79" s="31"/>
      <c r="G79" s="31"/>
      <c r="H79" s="50">
        <v>46325</v>
      </c>
      <c r="I79" s="57" t="s">
        <v>235</v>
      </c>
      <c r="J79" s="55" t="s">
        <v>75</v>
      </c>
      <c r="K79" s="51"/>
      <c r="L79" s="43"/>
      <c r="M79" s="44"/>
      <c r="N79" s="44"/>
      <c r="O79" s="44" t="s">
        <v>199</v>
      </c>
      <c r="P79" s="76"/>
      <c r="Q79" s="51"/>
      <c r="R79" s="43"/>
      <c r="S79" s="44"/>
      <c r="T79" s="71" t="s">
        <v>236</v>
      </c>
      <c r="U79" s="47"/>
      <c r="W79" s="43"/>
      <c r="X79" s="31"/>
      <c r="Y79" s="36"/>
      <c r="AA79" s="43"/>
      <c r="AB79" s="43"/>
      <c r="AC79" s="31" t="s">
        <v>245</v>
      </c>
      <c r="AD79" s="31" t="s">
        <v>93</v>
      </c>
      <c r="AE79" s="31"/>
      <c r="AF79" s="31"/>
      <c r="AG79" s="31"/>
      <c r="AH79" s="31"/>
      <c r="AI79" s="31"/>
      <c r="AJ79" s="31"/>
      <c r="AK79" s="31"/>
      <c r="AL79" s="32" t="str" cm="1">
        <f t="array" ref="AL79">_xlfn.LET(_xlpm.rep,$B79,_xlpm.sent,_xlfn.MAXIFS('Rework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79" s="32" t="str" cm="1">
        <f t="array" ref="AM79">_xlfn.LET(_xlpm.rep,$B79,_xlpm.sent,_xlfn.MAXIFS('Rework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0" spans="1:39" hidden="1">
      <c r="A80" s="31" t="s">
        <v>126</v>
      </c>
      <c r="B80" s="31" t="s">
        <v>246</v>
      </c>
      <c r="C80" s="31" t="s">
        <v>205</v>
      </c>
      <c r="D80" t="str" cm="1">
        <f t="array" aca="1" ref="D80" ca="1">IF($B80="","",IF(LEFT($AI80,3)="Yes","Blocked - "&amp;MID($AI80,7,100)&amp;IF(SUMPRODUCT(('Rework Log'!$A$3:$A$500=$B80)*('Rework Log'!$G$3:$G$500&lt;&gt;"Yes")*('Rework Log'!$G$3:$G$500&lt;&gt;"Did not pass re-test"))=0,"",IF(SUMPRODUCT(MAX((('Rework Log'!$A$3:$A$500=$B80)*('Rework Log'!$G$3:$G$500&lt;&gt;"Yes")*('Rework Log'!$G$3:$G$500&lt;&gt;"Did not pass re-test"))*'Rework Log'!$I$3:$I$500))=0," - unclaimed"," - promised "&amp;TEXT(SUMPRODUCT(MAX((('Rework Log'!$A$3:$A$500=$B80)*('Rework Log'!$G$3:$G$500&lt;&gt;"Yes")*('Rework Log'!$G$3:$G$500&lt;&gt;"Did not pass re-test"))*'Rework Log'!$I$3:$I$500)),"m/d"))),IF(C80="NOT STARTED",IF(H80="","No plan date set",IF(H80&lt;TODAY(),"Review - planned start passed","On track")),IF(C80="DB Dev",IF(AND(L80="",K80=""),"No target set",IF(AND(IF(L80&lt;&gt;"",L80,K80)&lt;TODAY(),M80=""),"Overdue","On track")),IF(C80="PBI Dev",IF(AND(R80="",Q80=""),"No target set",IF(AND(IF(R80&lt;&gt;"",R80,Q80)&lt;TODAY(),S80=""),"Overdue","On track")),IF(C80="QA",_xlfn.LET(_xlpm.tgt,IF(AL80&lt;&gt;"",AL80,IF(W80&lt;&gt;"",W80,V80)),_xlpm.sent,_xlfn.MAXIFS('Rework Log'!$B$3:$B$500,'Rework Log'!$A$3:$A$500,$B80,'Rework Log'!$C$3:$C$500,"QA"),_xlpm.act,IF(AND(X80&lt;&gt;"",X80&gt;_xlpm.sent),X80,""),IF(_xlpm.tgt="","No target set",IF(AND(_xlpm.tgt&lt;TODAY(),_xlpm.act=""),"Overdue","On track"))),IF(C80="DPO Approval",_xlfn.LET(_xlpm.tgt,IF(AM80&lt;&gt;"",AM80,IF(AA80&lt;&gt;"",AA80,Z80)),_xlpm.sent,_xlfn.MAXIFS('Rework Log'!$B$3:$B$500,'Rework Log'!$A$3:$A$500,$B80,'Rework Log'!$C$3:$C$500,"DPO*"),_xlpm.act,IF(AND(AB80&lt;&gt;"",AB80&gt;_xlpm.sent),AB80,""),IF(_xlpm.tgt="","No target set",IF(AND(_xlpm.tgt&lt;TODAY(),_xlpm.act=""),"Overdue","On track"))),IF(C80="RELEASED IN PROD","Delivered",""))))))))</f>
        <v>On track</v>
      </c>
      <c r="E80" s="31">
        <v>56</v>
      </c>
      <c r="F80" s="31"/>
      <c r="G80" s="31"/>
      <c r="H80" s="50">
        <v>46325</v>
      </c>
      <c r="I80" s="57" t="s">
        <v>235</v>
      </c>
      <c r="J80" s="55"/>
      <c r="K80" s="51"/>
      <c r="L80" s="43"/>
      <c r="M80" s="44"/>
      <c r="N80" s="44"/>
      <c r="O80" s="44" t="s">
        <v>241</v>
      </c>
      <c r="P80" s="76"/>
      <c r="Q80" s="51"/>
      <c r="R80" s="43"/>
      <c r="S80" s="44"/>
      <c r="T80" s="71" t="s">
        <v>236</v>
      </c>
      <c r="U80" s="47"/>
      <c r="W80" s="43"/>
      <c r="X80" s="31"/>
      <c r="Y80" s="36"/>
      <c r="AA80" s="43"/>
      <c r="AB80" s="43"/>
      <c r="AC80" s="31" t="s">
        <v>209</v>
      </c>
      <c r="AD80" s="31" t="s">
        <v>93</v>
      </c>
      <c r="AE80" s="31"/>
      <c r="AF80" s="31"/>
      <c r="AG80" s="31"/>
      <c r="AH80" s="31"/>
      <c r="AI80" s="31"/>
      <c r="AJ80" s="31"/>
      <c r="AK80" s="31"/>
      <c r="AL80" s="32" t="str" cm="1">
        <f t="array" ref="AL80">_xlfn.LET(_xlpm.rep,$B80,_xlpm.sent,_xlfn.MAXIFS('Rework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0" s="32" t="str" cm="1">
        <f t="array" ref="AM80">_xlfn.LET(_xlpm.rep,$B80,_xlpm.sent,_xlfn.MAXIFS('Rework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1" spans="1:39" hidden="1">
      <c r="A81" s="31" t="s">
        <v>126</v>
      </c>
      <c r="B81" s="31" t="s">
        <v>247</v>
      </c>
      <c r="C81" s="31" t="s">
        <v>205</v>
      </c>
      <c r="D81" t="str" cm="1">
        <f t="array" aca="1" ref="D81" ca="1">IF($B81="","",IF(LEFT($AI81,3)="Yes","Blocked - "&amp;MID($AI81,7,100)&amp;IF(SUMPRODUCT(('Rework Log'!$A$3:$A$500=$B81)*('Rework Log'!$G$3:$G$500&lt;&gt;"Yes")*('Rework Log'!$G$3:$G$500&lt;&gt;"Did not pass re-test"))=0,"",IF(SUMPRODUCT(MAX((('Rework Log'!$A$3:$A$500=$B81)*('Rework Log'!$G$3:$G$500&lt;&gt;"Yes")*('Rework Log'!$G$3:$G$500&lt;&gt;"Did not pass re-test"))*'Rework Log'!$I$3:$I$500))=0," - unclaimed"," - promised "&amp;TEXT(SUMPRODUCT(MAX((('Rework Log'!$A$3:$A$500=$B81)*('Rework Log'!$G$3:$G$500&lt;&gt;"Yes")*('Rework Log'!$G$3:$G$500&lt;&gt;"Did not pass re-test"))*'Rework Log'!$I$3:$I$500)),"m/d"))),IF(C81="NOT STARTED",IF(H81="","No plan date set",IF(H81&lt;TODAY(),"Review - planned start passed","On track")),IF(C81="DB Dev",IF(AND(L81="",K81=""),"No target set",IF(AND(IF(L81&lt;&gt;"",L81,K81)&lt;TODAY(),M81=""),"Overdue","On track")),IF(C81="PBI Dev",IF(AND(R81="",Q81=""),"No target set",IF(AND(IF(R81&lt;&gt;"",R81,Q81)&lt;TODAY(),S81=""),"Overdue","On track")),IF(C81="QA",_xlfn.LET(_xlpm.tgt,IF(AL81&lt;&gt;"",AL81,IF(W81&lt;&gt;"",W81,V81)),_xlpm.sent,_xlfn.MAXIFS('Rework Log'!$B$3:$B$500,'Rework Log'!$A$3:$A$500,$B81,'Rework Log'!$C$3:$C$500,"QA"),_xlpm.act,IF(AND(X81&lt;&gt;"",X81&gt;_xlpm.sent),X81,""),IF(_xlpm.tgt="","No target set",IF(AND(_xlpm.tgt&lt;TODAY(),_xlpm.act=""),"Overdue","On track"))),IF(C81="DPO Approval",_xlfn.LET(_xlpm.tgt,IF(AM81&lt;&gt;"",AM81,IF(AA81&lt;&gt;"",AA81,Z81)),_xlpm.sent,_xlfn.MAXIFS('Rework Log'!$B$3:$B$500,'Rework Log'!$A$3:$A$500,$B81,'Rework Log'!$C$3:$C$500,"DPO*"),_xlpm.act,IF(AND(AB81&lt;&gt;"",AB81&gt;_xlpm.sent),AB81,""),IF(_xlpm.tgt="","No target set",IF(AND(_xlpm.tgt&lt;TODAY(),_xlpm.act=""),"Overdue","On track"))),IF(C81="RELEASED IN PROD","Delivered",""))))))))</f>
        <v>On track</v>
      </c>
      <c r="E81" s="31">
        <v>57</v>
      </c>
      <c r="F81" s="31"/>
      <c r="G81" s="31"/>
      <c r="H81" s="50">
        <v>46325</v>
      </c>
      <c r="I81" s="57" t="s">
        <v>235</v>
      </c>
      <c r="J81" s="55"/>
      <c r="K81" s="51"/>
      <c r="L81" s="43"/>
      <c r="M81" s="44"/>
      <c r="N81" s="44"/>
      <c r="O81" s="44" t="s">
        <v>241</v>
      </c>
      <c r="P81" s="76"/>
      <c r="Q81" s="51"/>
      <c r="R81" s="43"/>
      <c r="S81" s="44"/>
      <c r="T81" s="70" t="s">
        <v>248</v>
      </c>
      <c r="U81" s="47"/>
      <c r="W81" s="43"/>
      <c r="X81" s="31"/>
      <c r="Y81" s="36"/>
      <c r="AA81" s="43"/>
      <c r="AB81" s="43"/>
      <c r="AC81" s="31" t="s">
        <v>217</v>
      </c>
      <c r="AD81" s="31" t="s">
        <v>93</v>
      </c>
      <c r="AE81" s="31"/>
      <c r="AF81" s="31"/>
      <c r="AG81" s="31"/>
      <c r="AH81" s="31"/>
      <c r="AI81" s="31"/>
      <c r="AJ81" s="31"/>
      <c r="AK81" s="31"/>
      <c r="AL81" s="32" t="str" cm="1">
        <f t="array" ref="AL81">_xlfn.LET(_xlpm.rep,$B81,_xlpm.sent,_xlfn.MAXIFS('Rework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1" s="32" t="str" cm="1">
        <f t="array" ref="AM81">_xlfn.LET(_xlpm.rep,$B81,_xlpm.sent,_xlfn.MAXIFS('Rework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2" spans="1:39" hidden="1">
      <c r="A82" s="31" t="s">
        <v>126</v>
      </c>
      <c r="B82" s="31" t="s">
        <v>249</v>
      </c>
      <c r="C82" s="31" t="s">
        <v>205</v>
      </c>
      <c r="D82" t="str" cm="1">
        <f t="array" aca="1" ref="D82" ca="1">IF($B82="","",IF(LEFT($AI82,3)="Yes","Blocked - "&amp;MID($AI82,7,100)&amp;IF(SUMPRODUCT(('Rework Log'!$A$3:$A$500=$B82)*('Rework Log'!$G$3:$G$500&lt;&gt;"Yes")*('Rework Log'!$G$3:$G$500&lt;&gt;"Did not pass re-test"))=0,"",IF(SUMPRODUCT(MAX((('Rework Log'!$A$3:$A$500=$B82)*('Rework Log'!$G$3:$G$500&lt;&gt;"Yes")*('Rework Log'!$G$3:$G$500&lt;&gt;"Did not pass re-test"))*'Rework Log'!$I$3:$I$500))=0," - unclaimed"," - promised "&amp;TEXT(SUMPRODUCT(MAX((('Rework Log'!$A$3:$A$500=$B82)*('Rework Log'!$G$3:$G$500&lt;&gt;"Yes")*('Rework Log'!$G$3:$G$500&lt;&gt;"Did not pass re-test"))*'Rework Log'!$I$3:$I$500)),"m/d"))),IF(C82="NOT STARTED",IF(H82="","No plan date set",IF(H82&lt;TODAY(),"Review - planned start passed","On track")),IF(C82="DB Dev",IF(AND(L82="",K82=""),"No target set",IF(AND(IF(L82&lt;&gt;"",L82,K82)&lt;TODAY(),M82=""),"Overdue","On track")),IF(C82="PBI Dev",IF(AND(R82="",Q82=""),"No target set",IF(AND(IF(R82&lt;&gt;"",R82,Q82)&lt;TODAY(),S82=""),"Overdue","On track")),IF(C82="QA",_xlfn.LET(_xlpm.tgt,IF(AL82&lt;&gt;"",AL82,IF(W82&lt;&gt;"",W82,V82)),_xlpm.sent,_xlfn.MAXIFS('Rework Log'!$B$3:$B$500,'Rework Log'!$A$3:$A$500,$B82,'Rework Log'!$C$3:$C$500,"QA"),_xlpm.act,IF(AND(X82&lt;&gt;"",X82&gt;_xlpm.sent),X82,""),IF(_xlpm.tgt="","No target set",IF(AND(_xlpm.tgt&lt;TODAY(),_xlpm.act=""),"Overdue","On track"))),IF(C82="DPO Approval",_xlfn.LET(_xlpm.tgt,IF(AM82&lt;&gt;"",AM82,IF(AA82&lt;&gt;"",AA82,Z82)),_xlpm.sent,_xlfn.MAXIFS('Rework Log'!$B$3:$B$500,'Rework Log'!$A$3:$A$500,$B82,'Rework Log'!$C$3:$C$500,"DPO*"),_xlpm.act,IF(AND(AB82&lt;&gt;"",AB82&gt;_xlpm.sent),AB82,""),IF(_xlpm.tgt="","No target set",IF(AND(_xlpm.tgt&lt;TODAY(),_xlpm.act=""),"Overdue","On track"))),IF(C82="RELEASED IN PROD","Delivered",""))))))))</f>
        <v>On track</v>
      </c>
      <c r="E82" s="31">
        <v>58</v>
      </c>
      <c r="F82" s="31"/>
      <c r="G82" s="31"/>
      <c r="H82" s="50">
        <v>46325</v>
      </c>
      <c r="I82" s="57" t="s">
        <v>235</v>
      </c>
      <c r="J82" s="55"/>
      <c r="K82" s="51"/>
      <c r="L82" s="43"/>
      <c r="M82" s="44"/>
      <c r="N82" s="44"/>
      <c r="O82" s="36" t="s">
        <v>250</v>
      </c>
      <c r="P82" s="76"/>
      <c r="Q82" s="51"/>
      <c r="R82" s="43"/>
      <c r="S82" s="44"/>
      <c r="T82" s="70" t="s">
        <v>248</v>
      </c>
      <c r="U82" s="47"/>
      <c r="W82" s="43"/>
      <c r="X82" s="31"/>
      <c r="Y82" s="36"/>
      <c r="AA82" s="43"/>
      <c r="AB82" s="43"/>
      <c r="AC82" s="31" t="s">
        <v>251</v>
      </c>
      <c r="AD82" s="31" t="s">
        <v>93</v>
      </c>
      <c r="AE82" s="31"/>
      <c r="AF82" s="31"/>
      <c r="AG82" s="31"/>
      <c r="AH82" s="31"/>
      <c r="AI82" s="31"/>
      <c r="AJ82" s="31"/>
      <c r="AK82" s="31"/>
      <c r="AL82" s="32" t="str" cm="1">
        <f t="array" ref="AL82">_xlfn.LET(_xlpm.rep,$B82,_xlpm.sent,_xlfn.MAXIFS('Rework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2" s="32" t="str" cm="1">
        <f t="array" ref="AM82">_xlfn.LET(_xlpm.rep,$B82,_xlpm.sent,_xlfn.MAXIFS('Rework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3" spans="1:39" hidden="1">
      <c r="A83" s="31" t="s">
        <v>126</v>
      </c>
      <c r="B83" s="31" t="s">
        <v>252</v>
      </c>
      <c r="C83" s="31" t="s">
        <v>205</v>
      </c>
      <c r="D83" t="str" cm="1">
        <f t="array" aca="1" ref="D83" ca="1">IF($B83="","",IF(LEFT($AI83,3)="Yes","Blocked - "&amp;MID($AI83,7,100)&amp;IF(SUMPRODUCT(('Rework Log'!$A$3:$A$500=$B83)*('Rework Log'!$G$3:$G$500&lt;&gt;"Yes")*('Rework Log'!$G$3:$G$500&lt;&gt;"Did not pass re-test"))=0,"",IF(SUMPRODUCT(MAX((('Rework Log'!$A$3:$A$500=$B83)*('Rework Log'!$G$3:$G$500&lt;&gt;"Yes")*('Rework Log'!$G$3:$G$500&lt;&gt;"Did not pass re-test"))*'Rework Log'!$I$3:$I$500))=0," - unclaimed"," - promised "&amp;TEXT(SUMPRODUCT(MAX((('Rework Log'!$A$3:$A$500=$B83)*('Rework Log'!$G$3:$G$500&lt;&gt;"Yes")*('Rework Log'!$G$3:$G$500&lt;&gt;"Did not pass re-test"))*'Rework Log'!$I$3:$I$500)),"m/d"))),IF(C83="NOT STARTED",IF(H83="","No plan date set",IF(H83&lt;TODAY(),"Review - planned start passed","On track")),IF(C83="DB Dev",IF(AND(L83="",K83=""),"No target set",IF(AND(IF(L83&lt;&gt;"",L83,K83)&lt;TODAY(),M83=""),"Overdue","On track")),IF(C83="PBI Dev",IF(AND(R83="",Q83=""),"No target set",IF(AND(IF(R83&lt;&gt;"",R83,Q83)&lt;TODAY(),S83=""),"Overdue","On track")),IF(C83="QA",_xlfn.LET(_xlpm.tgt,IF(AL83&lt;&gt;"",AL83,IF(W83&lt;&gt;"",W83,V83)),_xlpm.sent,_xlfn.MAXIFS('Rework Log'!$B$3:$B$500,'Rework Log'!$A$3:$A$500,$B83,'Rework Log'!$C$3:$C$500,"QA"),_xlpm.act,IF(AND(X83&lt;&gt;"",X83&gt;_xlpm.sent),X83,""),IF(_xlpm.tgt="","No target set",IF(AND(_xlpm.tgt&lt;TODAY(),_xlpm.act=""),"Overdue","On track"))),IF(C83="DPO Approval",_xlfn.LET(_xlpm.tgt,IF(AM83&lt;&gt;"",AM83,IF(AA83&lt;&gt;"",AA83,Z83)),_xlpm.sent,_xlfn.MAXIFS('Rework Log'!$B$3:$B$500,'Rework Log'!$A$3:$A$500,$B83,'Rework Log'!$C$3:$C$500,"DPO*"),_xlpm.act,IF(AND(AB83&lt;&gt;"",AB83&gt;_xlpm.sent),AB83,""),IF(_xlpm.tgt="","No target set",IF(AND(_xlpm.tgt&lt;TODAY(),_xlpm.act=""),"Overdue","On track"))),IF(C83="RELEASED IN PROD","Delivered",""))))))))</f>
        <v>On track</v>
      </c>
      <c r="E83" s="31">
        <v>59</v>
      </c>
      <c r="F83" s="31"/>
      <c r="G83" s="31"/>
      <c r="H83" s="50">
        <v>46325</v>
      </c>
      <c r="I83" s="57" t="s">
        <v>235</v>
      </c>
      <c r="J83" s="55"/>
      <c r="K83" s="51"/>
      <c r="L83" s="43"/>
      <c r="M83" s="44"/>
      <c r="N83" s="44"/>
      <c r="O83" s="36" t="s">
        <v>250</v>
      </c>
      <c r="P83" s="76"/>
      <c r="Q83" s="51"/>
      <c r="R83" s="43"/>
      <c r="S83" s="44"/>
      <c r="T83" s="70" t="s">
        <v>248</v>
      </c>
      <c r="U83" s="47"/>
      <c r="W83" s="43"/>
      <c r="X83" s="31"/>
      <c r="Y83" s="36"/>
      <c r="AA83" s="43"/>
      <c r="AB83" s="43"/>
      <c r="AC83" s="31" t="s">
        <v>253</v>
      </c>
      <c r="AD83" s="31" t="s">
        <v>93</v>
      </c>
      <c r="AE83" s="31"/>
      <c r="AF83" s="31"/>
      <c r="AG83" s="31"/>
      <c r="AH83" s="31"/>
      <c r="AI83" s="31"/>
      <c r="AJ83" s="31"/>
      <c r="AK83" s="31"/>
      <c r="AL83" s="32" t="str" cm="1">
        <f t="array" ref="AL83">_xlfn.LET(_xlpm.rep,$B83,_xlpm.sent,_xlfn.MAXIFS('Rework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3" s="32" t="str" cm="1">
        <f t="array" ref="AM83">_xlfn.LET(_xlpm.rep,$B83,_xlpm.sent,_xlfn.MAXIFS('Rework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4" spans="1:39" hidden="1">
      <c r="A84" s="31" t="s">
        <v>126</v>
      </c>
      <c r="B84" s="31" t="s">
        <v>254</v>
      </c>
      <c r="C84" s="31" t="s">
        <v>205</v>
      </c>
      <c r="D84" t="str" cm="1">
        <f t="array" aca="1" ref="D84" ca="1">IF($B84="","",IF(LEFT($AI84,3)="Yes","Blocked - "&amp;MID($AI84,7,100)&amp;IF(SUMPRODUCT(('Rework Log'!$A$3:$A$500=$B84)*('Rework Log'!$G$3:$G$500&lt;&gt;"Yes")*('Rework Log'!$G$3:$G$500&lt;&gt;"Did not pass re-test"))=0,"",IF(SUMPRODUCT(MAX((('Rework Log'!$A$3:$A$500=$B84)*('Rework Log'!$G$3:$G$500&lt;&gt;"Yes")*('Rework Log'!$G$3:$G$500&lt;&gt;"Did not pass re-test"))*'Rework Log'!$I$3:$I$500))=0," - unclaimed"," - promised "&amp;TEXT(SUMPRODUCT(MAX((('Rework Log'!$A$3:$A$500=$B84)*('Rework Log'!$G$3:$G$500&lt;&gt;"Yes")*('Rework Log'!$G$3:$G$500&lt;&gt;"Did not pass re-test"))*'Rework Log'!$I$3:$I$500)),"m/d"))),IF(C84="NOT STARTED",IF(H84="","No plan date set",IF(H84&lt;TODAY(),"Review - planned start passed","On track")),IF(C84="DB Dev",IF(AND(L84="",K84=""),"No target set",IF(AND(IF(L84&lt;&gt;"",L84,K84)&lt;TODAY(),M84=""),"Overdue","On track")),IF(C84="PBI Dev",IF(AND(R84="",Q84=""),"No target set",IF(AND(IF(R84&lt;&gt;"",R84,Q84)&lt;TODAY(),S84=""),"Overdue","On track")),IF(C84="QA",_xlfn.LET(_xlpm.tgt,IF(AL84&lt;&gt;"",AL84,IF(W84&lt;&gt;"",W84,V84)),_xlpm.sent,_xlfn.MAXIFS('Rework Log'!$B$3:$B$500,'Rework Log'!$A$3:$A$500,$B84,'Rework Log'!$C$3:$C$500,"QA"),_xlpm.act,IF(AND(X84&lt;&gt;"",X84&gt;_xlpm.sent),X84,""),IF(_xlpm.tgt="","No target set",IF(AND(_xlpm.tgt&lt;TODAY(),_xlpm.act=""),"Overdue","On track"))),IF(C84="DPO Approval",_xlfn.LET(_xlpm.tgt,IF(AM84&lt;&gt;"",AM84,IF(AA84&lt;&gt;"",AA84,Z84)),_xlpm.sent,_xlfn.MAXIFS('Rework Log'!$B$3:$B$500,'Rework Log'!$A$3:$A$500,$B84,'Rework Log'!$C$3:$C$500,"DPO*"),_xlpm.act,IF(AND(AB84&lt;&gt;"",AB84&gt;_xlpm.sent),AB84,""),IF(_xlpm.tgt="","No target set",IF(AND(_xlpm.tgt&lt;TODAY(),_xlpm.act=""),"Overdue","On track"))),IF(C84="RELEASED IN PROD","Delivered",""))))))))</f>
        <v>On track</v>
      </c>
      <c r="E84" s="31">
        <v>60</v>
      </c>
      <c r="F84" s="31"/>
      <c r="G84" s="31"/>
      <c r="H84" s="50">
        <v>46325</v>
      </c>
      <c r="I84" s="57" t="s">
        <v>235</v>
      </c>
      <c r="J84" s="55"/>
      <c r="K84" s="51"/>
      <c r="L84" s="43"/>
      <c r="M84" s="44"/>
      <c r="N84" s="44"/>
      <c r="O84" s="36" t="s">
        <v>250</v>
      </c>
      <c r="P84" s="76"/>
      <c r="Q84" s="51"/>
      <c r="R84" s="43"/>
      <c r="S84" s="44"/>
      <c r="T84" s="70" t="s">
        <v>248</v>
      </c>
      <c r="U84" s="47"/>
      <c r="W84" s="43"/>
      <c r="X84" s="31"/>
      <c r="Y84" s="36"/>
      <c r="AA84" s="43"/>
      <c r="AB84" s="43"/>
      <c r="AC84" s="31" t="s">
        <v>194</v>
      </c>
      <c r="AD84" s="31" t="s">
        <v>71</v>
      </c>
      <c r="AE84" s="31"/>
      <c r="AF84" s="31"/>
      <c r="AG84" s="31"/>
      <c r="AH84" s="31"/>
      <c r="AI84" s="31"/>
      <c r="AJ84" s="31"/>
      <c r="AK84" s="31"/>
      <c r="AL84" s="32" t="str" cm="1">
        <f t="array" ref="AL84">_xlfn.LET(_xlpm.rep,$B84,_xlpm.sent,_xlfn.MAXIFS('Rework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4" s="32" t="str" cm="1">
        <f t="array" ref="AM84">_xlfn.LET(_xlpm.rep,$B84,_xlpm.sent,_xlfn.MAXIFS('Rework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5" spans="1:39" hidden="1">
      <c r="A85" s="31" t="s">
        <v>126</v>
      </c>
      <c r="B85" s="31" t="s">
        <v>255</v>
      </c>
      <c r="C85" s="31" t="s">
        <v>205</v>
      </c>
      <c r="D85" t="str" cm="1">
        <f t="array" aca="1" ref="D85" ca="1">IF($B85="","",IF(LEFT($AI85,3)="Yes","Blocked - "&amp;MID($AI85,7,100)&amp;IF(SUMPRODUCT(('Rework Log'!$A$3:$A$500=$B85)*('Rework Log'!$G$3:$G$500&lt;&gt;"Yes")*('Rework Log'!$G$3:$G$500&lt;&gt;"Did not pass re-test"))=0,"",IF(SUMPRODUCT(MAX((('Rework Log'!$A$3:$A$500=$B85)*('Rework Log'!$G$3:$G$500&lt;&gt;"Yes")*('Rework Log'!$G$3:$G$500&lt;&gt;"Did not pass re-test"))*'Rework Log'!$I$3:$I$500))=0," - unclaimed"," - promised "&amp;TEXT(SUMPRODUCT(MAX((('Rework Log'!$A$3:$A$500=$B85)*('Rework Log'!$G$3:$G$500&lt;&gt;"Yes")*('Rework Log'!$G$3:$G$500&lt;&gt;"Did not pass re-test"))*'Rework Log'!$I$3:$I$500)),"m/d"))),IF(C85="NOT STARTED",IF(H85="","No plan date set",IF(H85&lt;TODAY(),"Review - planned start passed","On track")),IF(C85="DB Dev",IF(AND(L85="",K85=""),"No target set",IF(AND(IF(L85&lt;&gt;"",L85,K85)&lt;TODAY(),M85=""),"Overdue","On track")),IF(C85="PBI Dev",IF(AND(R85="",Q85=""),"No target set",IF(AND(IF(R85&lt;&gt;"",R85,Q85)&lt;TODAY(),S85=""),"Overdue","On track")),IF(C85="QA",_xlfn.LET(_xlpm.tgt,IF(AL85&lt;&gt;"",AL85,IF(W85&lt;&gt;"",W85,V85)),_xlpm.sent,_xlfn.MAXIFS('Rework Log'!$B$3:$B$500,'Rework Log'!$A$3:$A$500,$B85,'Rework Log'!$C$3:$C$500,"QA"),_xlpm.act,IF(AND(X85&lt;&gt;"",X85&gt;_xlpm.sent),X85,""),IF(_xlpm.tgt="","No target set",IF(AND(_xlpm.tgt&lt;TODAY(),_xlpm.act=""),"Overdue","On track"))),IF(C85="DPO Approval",_xlfn.LET(_xlpm.tgt,IF(AM85&lt;&gt;"",AM85,IF(AA85&lt;&gt;"",AA85,Z85)),_xlpm.sent,_xlfn.MAXIFS('Rework Log'!$B$3:$B$500,'Rework Log'!$A$3:$A$500,$B85,'Rework Log'!$C$3:$C$500,"DPO*"),_xlpm.act,IF(AND(AB85&lt;&gt;"",AB85&gt;_xlpm.sent),AB85,""),IF(_xlpm.tgt="","No target set",IF(AND(_xlpm.tgt&lt;TODAY(),_xlpm.act=""),"Overdue","On track"))),IF(C85="RELEASED IN PROD","Delivered",""))))))))</f>
        <v>On track</v>
      </c>
      <c r="E85" s="31" t="s">
        <v>256</v>
      </c>
      <c r="F85" s="31"/>
      <c r="G85" s="31"/>
      <c r="H85" s="50">
        <v>46325</v>
      </c>
      <c r="I85" s="57" t="s">
        <v>235</v>
      </c>
      <c r="J85" s="55"/>
      <c r="K85" s="51"/>
      <c r="L85" s="43"/>
      <c r="M85" s="44"/>
      <c r="N85" s="44"/>
      <c r="O85" s="36" t="s">
        <v>257</v>
      </c>
      <c r="P85" s="76"/>
      <c r="Q85" s="51"/>
      <c r="R85" s="43"/>
      <c r="S85" s="44"/>
      <c r="T85" s="70" t="s">
        <v>248</v>
      </c>
      <c r="U85" s="47"/>
      <c r="W85" s="43"/>
      <c r="X85" s="31"/>
      <c r="Y85" s="36"/>
      <c r="AA85" s="43"/>
      <c r="AB85" s="43"/>
      <c r="AC85" s="31" t="s">
        <v>190</v>
      </c>
      <c r="AD85" s="31" t="s">
        <v>93</v>
      </c>
      <c r="AE85" s="31"/>
      <c r="AF85" s="31"/>
      <c r="AG85" s="31"/>
      <c r="AH85" s="31"/>
      <c r="AI85" s="31"/>
      <c r="AJ85" s="31"/>
      <c r="AK85" s="31"/>
      <c r="AL85" s="32" t="str" cm="1">
        <f t="array" ref="AL85">_xlfn.LET(_xlpm.rep,$B85,_xlpm.sent,_xlfn.MAXIFS('Rework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5" s="32" t="str" cm="1">
        <f t="array" ref="AM85">_xlfn.LET(_xlpm.rep,$B85,_xlpm.sent,_xlfn.MAXIFS('Rework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6" spans="1:39" hidden="1">
      <c r="A86" s="31" t="s">
        <v>126</v>
      </c>
      <c r="B86" s="31" t="s">
        <v>258</v>
      </c>
      <c r="C86" s="31" t="s">
        <v>205</v>
      </c>
      <c r="D86" t="str" cm="1">
        <f t="array" aca="1" ref="D86" ca="1">IF($B86="","",IF(LEFT($AI86,3)="Yes","Blocked - "&amp;MID($AI86,7,100)&amp;IF(SUMPRODUCT(('Rework Log'!$A$3:$A$500=$B86)*('Rework Log'!$G$3:$G$500&lt;&gt;"Yes")*('Rework Log'!$G$3:$G$500&lt;&gt;"Did not pass re-test"))=0,"",IF(SUMPRODUCT(MAX((('Rework Log'!$A$3:$A$500=$B86)*('Rework Log'!$G$3:$G$500&lt;&gt;"Yes")*('Rework Log'!$G$3:$G$500&lt;&gt;"Did not pass re-test"))*'Rework Log'!$I$3:$I$500))=0," - unclaimed"," - promised "&amp;TEXT(SUMPRODUCT(MAX((('Rework Log'!$A$3:$A$500=$B86)*('Rework Log'!$G$3:$G$500&lt;&gt;"Yes")*('Rework Log'!$G$3:$G$500&lt;&gt;"Did not pass re-test"))*'Rework Log'!$I$3:$I$500)),"m/d"))),IF(C86="NOT STARTED",IF(H86="","No plan date set",IF(H86&lt;TODAY(),"Review - planned start passed","On track")),IF(C86="DB Dev",IF(AND(L86="",K86=""),"No target set",IF(AND(IF(L86&lt;&gt;"",L86,K86)&lt;TODAY(),M86=""),"Overdue","On track")),IF(C86="PBI Dev",IF(AND(R86="",Q86=""),"No target set",IF(AND(IF(R86&lt;&gt;"",R86,Q86)&lt;TODAY(),S86=""),"Overdue","On track")),IF(C86="QA",_xlfn.LET(_xlpm.tgt,IF(AL86&lt;&gt;"",AL86,IF(W86&lt;&gt;"",W86,V86)),_xlpm.sent,_xlfn.MAXIFS('Rework Log'!$B$3:$B$500,'Rework Log'!$A$3:$A$500,$B86,'Rework Log'!$C$3:$C$500,"QA"),_xlpm.act,IF(AND(X86&lt;&gt;"",X86&gt;_xlpm.sent),X86,""),IF(_xlpm.tgt="","No target set",IF(AND(_xlpm.tgt&lt;TODAY(),_xlpm.act=""),"Overdue","On track"))),IF(C86="DPO Approval",_xlfn.LET(_xlpm.tgt,IF(AM86&lt;&gt;"",AM86,IF(AA86&lt;&gt;"",AA86,Z86)),_xlpm.sent,_xlfn.MAXIFS('Rework Log'!$B$3:$B$500,'Rework Log'!$A$3:$A$500,$B86,'Rework Log'!$C$3:$C$500,"DPO*"),_xlpm.act,IF(AND(AB86&lt;&gt;"",AB86&gt;_xlpm.sent),AB86,""),IF(_xlpm.tgt="","No target set",IF(AND(_xlpm.tgt&lt;TODAY(),_xlpm.act=""),"Overdue","On track"))),IF(C86="RELEASED IN PROD","Delivered",""))))))))</f>
        <v>On track</v>
      </c>
      <c r="E86" s="31">
        <v>67</v>
      </c>
      <c r="F86" s="31"/>
      <c r="G86" s="31"/>
      <c r="H86" s="50">
        <v>46356</v>
      </c>
      <c r="I86" s="57" t="s">
        <v>259</v>
      </c>
      <c r="J86" s="55"/>
      <c r="K86" s="51"/>
      <c r="L86" s="43"/>
      <c r="M86" s="44"/>
      <c r="N86" s="44"/>
      <c r="O86" s="36" t="s">
        <v>257</v>
      </c>
      <c r="P86" s="76"/>
      <c r="Q86" s="51"/>
      <c r="R86" s="43"/>
      <c r="S86" s="44"/>
      <c r="T86" s="70" t="s">
        <v>248</v>
      </c>
      <c r="U86" s="47"/>
      <c r="W86" s="43"/>
      <c r="X86" s="31"/>
      <c r="Y86" s="36"/>
      <c r="AA86" s="43"/>
      <c r="AB86" s="43"/>
      <c r="AC86" s="31" t="s">
        <v>260</v>
      </c>
      <c r="AD86" s="31" t="s">
        <v>48</v>
      </c>
      <c r="AE86" s="31"/>
      <c r="AF86" s="31"/>
      <c r="AG86" s="31"/>
      <c r="AH86" s="31"/>
      <c r="AI86" s="31"/>
      <c r="AJ86" s="31"/>
      <c r="AK86" s="31"/>
      <c r="AL86" s="32" t="str" cm="1">
        <f t="array" ref="AL86">_xlfn.LET(_xlpm.rep,$B86,_xlpm.sent,_xlfn.MAXIFS('Rework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6" s="32" t="str" cm="1">
        <f t="array" ref="AM86">_xlfn.LET(_xlpm.rep,$B86,_xlpm.sent,_xlfn.MAXIFS('Rework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7" spans="1:39" hidden="1">
      <c r="A87" s="31" t="s">
        <v>126</v>
      </c>
      <c r="B87" s="31" t="s">
        <v>261</v>
      </c>
      <c r="C87" s="31" t="s">
        <v>205</v>
      </c>
      <c r="D87" t="str" cm="1">
        <f t="array" aca="1" ref="D87" ca="1">IF($B87="","",IF(LEFT($AI87,3)="Yes","Blocked - "&amp;MID($AI87,7,100)&amp;IF(SUMPRODUCT(('Rework Log'!$A$3:$A$500=$B87)*('Rework Log'!$G$3:$G$500&lt;&gt;"Yes")*('Rework Log'!$G$3:$G$500&lt;&gt;"Did not pass re-test"))=0,"",IF(SUMPRODUCT(MAX((('Rework Log'!$A$3:$A$500=$B87)*('Rework Log'!$G$3:$G$500&lt;&gt;"Yes")*('Rework Log'!$G$3:$G$500&lt;&gt;"Did not pass re-test"))*'Rework Log'!$I$3:$I$500))=0," - unclaimed"," - promised "&amp;TEXT(SUMPRODUCT(MAX((('Rework Log'!$A$3:$A$500=$B87)*('Rework Log'!$G$3:$G$500&lt;&gt;"Yes")*('Rework Log'!$G$3:$G$500&lt;&gt;"Did not pass re-test"))*'Rework Log'!$I$3:$I$500)),"m/d"))),IF(C87="NOT STARTED",IF(H87="","No plan date set",IF(H87&lt;TODAY(),"Review - planned start passed","On track")),IF(C87="DB Dev",IF(AND(L87="",K87=""),"No target set",IF(AND(IF(L87&lt;&gt;"",L87,K87)&lt;TODAY(),M87=""),"Overdue","On track")),IF(C87="PBI Dev",IF(AND(R87="",Q87=""),"No target set",IF(AND(IF(R87&lt;&gt;"",R87,Q87)&lt;TODAY(),S87=""),"Overdue","On track")),IF(C87="QA",_xlfn.LET(_xlpm.tgt,IF(AL87&lt;&gt;"",AL87,IF(W87&lt;&gt;"",W87,V87)),_xlpm.sent,_xlfn.MAXIFS('Rework Log'!$B$3:$B$500,'Rework Log'!$A$3:$A$500,$B87,'Rework Log'!$C$3:$C$500,"QA"),_xlpm.act,IF(AND(X87&lt;&gt;"",X87&gt;_xlpm.sent),X87,""),IF(_xlpm.tgt="","No target set",IF(AND(_xlpm.tgt&lt;TODAY(),_xlpm.act=""),"Overdue","On track"))),IF(C87="DPO Approval",_xlfn.LET(_xlpm.tgt,IF(AM87&lt;&gt;"",AM87,IF(AA87&lt;&gt;"",AA87,Z87)),_xlpm.sent,_xlfn.MAXIFS('Rework Log'!$B$3:$B$500,'Rework Log'!$A$3:$A$500,$B87,'Rework Log'!$C$3:$C$500,"DPO*"),_xlpm.act,IF(AND(AB87&lt;&gt;"",AB87&gt;_xlpm.sent),AB87,""),IF(_xlpm.tgt="","No target set",IF(AND(_xlpm.tgt&lt;TODAY(),_xlpm.act=""),"Overdue","On track"))),IF(C87="RELEASED IN PROD","Delivered",""))))))))</f>
        <v>On track</v>
      </c>
      <c r="E87" s="31">
        <v>68</v>
      </c>
      <c r="F87" s="31"/>
      <c r="G87" s="31"/>
      <c r="H87" s="50">
        <v>46356</v>
      </c>
      <c r="I87" s="57" t="s">
        <v>259</v>
      </c>
      <c r="J87" s="55"/>
      <c r="K87" s="51"/>
      <c r="L87" s="43"/>
      <c r="M87" s="44"/>
      <c r="N87" s="44"/>
      <c r="O87" s="36" t="s">
        <v>257</v>
      </c>
      <c r="P87" s="76"/>
      <c r="Q87" s="51"/>
      <c r="R87" s="43"/>
      <c r="S87" s="44"/>
      <c r="T87" s="70" t="s">
        <v>248</v>
      </c>
      <c r="U87" s="47"/>
      <c r="W87" s="43"/>
      <c r="X87" s="31"/>
      <c r="Y87" s="36"/>
      <c r="AA87" s="43"/>
      <c r="AB87" s="43"/>
      <c r="AC87" s="31" t="s">
        <v>173</v>
      </c>
      <c r="AD87" s="31" t="s">
        <v>48</v>
      </c>
      <c r="AE87" s="31"/>
      <c r="AF87" s="31"/>
      <c r="AG87" s="31"/>
      <c r="AH87" s="31"/>
      <c r="AI87" s="31"/>
      <c r="AJ87" s="31"/>
      <c r="AK87" s="31"/>
      <c r="AL87" s="32" t="str" cm="1">
        <f t="array" ref="AL87">_xlfn.LET(_xlpm.rep,$B87,_xlpm.sent,_xlfn.MAXIFS('Rework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7" s="32" t="str" cm="1">
        <f t="array" ref="AM87">_xlfn.LET(_xlpm.rep,$B87,_xlpm.sent,_xlfn.MAXIFS('Rework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8" spans="1:39" hidden="1">
      <c r="A88" s="31" t="s">
        <v>126</v>
      </c>
      <c r="B88" s="31" t="s">
        <v>262</v>
      </c>
      <c r="C88" s="31" t="s">
        <v>205</v>
      </c>
      <c r="D88" t="str" cm="1">
        <f t="array" aca="1" ref="D88" ca="1">IF($B88="","",IF(LEFT($AI88,3)="Yes","Blocked - "&amp;MID($AI88,7,100)&amp;IF(SUMPRODUCT(('Rework Log'!$A$3:$A$500=$B88)*('Rework Log'!$G$3:$G$500&lt;&gt;"Yes")*('Rework Log'!$G$3:$G$500&lt;&gt;"Did not pass re-test"))=0,"",IF(SUMPRODUCT(MAX((('Rework Log'!$A$3:$A$500=$B88)*('Rework Log'!$G$3:$G$500&lt;&gt;"Yes")*('Rework Log'!$G$3:$G$500&lt;&gt;"Did not pass re-test"))*'Rework Log'!$I$3:$I$500))=0," - unclaimed"," - promised "&amp;TEXT(SUMPRODUCT(MAX((('Rework Log'!$A$3:$A$500=$B88)*('Rework Log'!$G$3:$G$500&lt;&gt;"Yes")*('Rework Log'!$G$3:$G$500&lt;&gt;"Did not pass re-test"))*'Rework Log'!$I$3:$I$500)),"m/d"))),IF(C88="NOT STARTED",IF(H88="","No plan date set",IF(H88&lt;TODAY(),"Review - planned start passed","On track")),IF(C88="DB Dev",IF(AND(L88="",K88=""),"No target set",IF(AND(IF(L88&lt;&gt;"",L88,K88)&lt;TODAY(),M88=""),"Overdue","On track")),IF(C88="PBI Dev",IF(AND(R88="",Q88=""),"No target set",IF(AND(IF(R88&lt;&gt;"",R88,Q88)&lt;TODAY(),S88=""),"Overdue","On track")),IF(C88="QA",_xlfn.LET(_xlpm.tgt,IF(AL88&lt;&gt;"",AL88,IF(W88&lt;&gt;"",W88,V88)),_xlpm.sent,_xlfn.MAXIFS('Rework Log'!$B$3:$B$500,'Rework Log'!$A$3:$A$500,$B88,'Rework Log'!$C$3:$C$500,"QA"),_xlpm.act,IF(AND(X88&lt;&gt;"",X88&gt;_xlpm.sent),X88,""),IF(_xlpm.tgt="","No target set",IF(AND(_xlpm.tgt&lt;TODAY(),_xlpm.act=""),"Overdue","On track"))),IF(C88="DPO Approval",_xlfn.LET(_xlpm.tgt,IF(AM88&lt;&gt;"",AM88,IF(AA88&lt;&gt;"",AA88,Z88)),_xlpm.sent,_xlfn.MAXIFS('Rework Log'!$B$3:$B$500,'Rework Log'!$A$3:$A$500,$B88,'Rework Log'!$C$3:$C$500,"DPO*"),_xlpm.act,IF(AND(AB88&lt;&gt;"",AB88&gt;_xlpm.sent),AB88,""),IF(_xlpm.tgt="","No target set",IF(AND(_xlpm.tgt&lt;TODAY(),_xlpm.act=""),"Overdue","On track"))),IF(C88="RELEASED IN PROD","Delivered",""))))))))</f>
        <v>On track</v>
      </c>
      <c r="E88" s="31">
        <v>69</v>
      </c>
      <c r="F88" s="31"/>
      <c r="G88" s="31"/>
      <c r="H88" s="50">
        <v>46356</v>
      </c>
      <c r="I88" s="57" t="s">
        <v>259</v>
      </c>
      <c r="J88" s="55"/>
      <c r="K88" s="51"/>
      <c r="L88" s="43"/>
      <c r="M88" s="44"/>
      <c r="N88" s="44"/>
      <c r="O88" s="36" t="s">
        <v>257</v>
      </c>
      <c r="P88" s="76"/>
      <c r="Q88" s="51"/>
      <c r="R88" s="43"/>
      <c r="S88" s="44"/>
      <c r="T88" s="70" t="s">
        <v>263</v>
      </c>
      <c r="U88" s="47"/>
      <c r="W88" s="43"/>
      <c r="X88" s="31"/>
      <c r="Y88" s="36"/>
      <c r="AA88" s="43"/>
      <c r="AB88" s="43"/>
      <c r="AC88" s="31" t="s">
        <v>173</v>
      </c>
      <c r="AD88" s="31" t="s">
        <v>71</v>
      </c>
      <c r="AE88" s="31"/>
      <c r="AF88" s="31"/>
      <c r="AG88" s="31"/>
      <c r="AH88" s="31"/>
      <c r="AI88" s="31"/>
      <c r="AJ88" s="31"/>
      <c r="AK88" s="31"/>
      <c r="AL88" s="32" t="str" cm="1">
        <f t="array" ref="AL88">_xlfn.LET(_xlpm.rep,$B88,_xlpm.sent,_xlfn.MAXIFS('Rework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8" s="32" t="str" cm="1">
        <f t="array" ref="AM88">_xlfn.LET(_xlpm.rep,$B88,_xlpm.sent,_xlfn.MAXIFS('Rework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89" spans="1:39" hidden="1">
      <c r="A89" s="31" t="s">
        <v>126</v>
      </c>
      <c r="B89" s="31" t="s">
        <v>264</v>
      </c>
      <c r="C89" s="31" t="s">
        <v>205</v>
      </c>
      <c r="D89" t="str" cm="1">
        <f t="array" aca="1" ref="D89" ca="1">IF($B89="","",IF(LEFT($AI89,3)="Yes","Blocked - "&amp;MID($AI89,7,100)&amp;IF(SUMPRODUCT(('Rework Log'!$A$3:$A$500=$B89)*('Rework Log'!$G$3:$G$500&lt;&gt;"Yes")*('Rework Log'!$G$3:$G$500&lt;&gt;"Did not pass re-test"))=0,"",IF(SUMPRODUCT(MAX((('Rework Log'!$A$3:$A$500=$B89)*('Rework Log'!$G$3:$G$500&lt;&gt;"Yes")*('Rework Log'!$G$3:$G$500&lt;&gt;"Did not pass re-test"))*'Rework Log'!$I$3:$I$500))=0," - unclaimed"," - promised "&amp;TEXT(SUMPRODUCT(MAX((('Rework Log'!$A$3:$A$500=$B89)*('Rework Log'!$G$3:$G$500&lt;&gt;"Yes")*('Rework Log'!$G$3:$G$500&lt;&gt;"Did not pass re-test"))*'Rework Log'!$I$3:$I$500)),"m/d"))),IF(C89="NOT STARTED",IF(H89="","No plan date set",IF(H89&lt;TODAY(),"Review - planned start passed","On track")),IF(C89="DB Dev",IF(AND(L89="",K89=""),"No target set",IF(AND(IF(L89&lt;&gt;"",L89,K89)&lt;TODAY(),M89=""),"Overdue","On track")),IF(C89="PBI Dev",IF(AND(R89="",Q89=""),"No target set",IF(AND(IF(R89&lt;&gt;"",R89,Q89)&lt;TODAY(),S89=""),"Overdue","On track")),IF(C89="QA",_xlfn.LET(_xlpm.tgt,IF(AL89&lt;&gt;"",AL89,IF(W89&lt;&gt;"",W89,V89)),_xlpm.sent,_xlfn.MAXIFS('Rework Log'!$B$3:$B$500,'Rework Log'!$A$3:$A$500,$B89,'Rework Log'!$C$3:$C$500,"QA"),_xlpm.act,IF(AND(X89&lt;&gt;"",X89&gt;_xlpm.sent),X89,""),IF(_xlpm.tgt="","No target set",IF(AND(_xlpm.tgt&lt;TODAY(),_xlpm.act=""),"Overdue","On track"))),IF(C89="DPO Approval",_xlfn.LET(_xlpm.tgt,IF(AM89&lt;&gt;"",AM89,IF(AA89&lt;&gt;"",AA89,Z89)),_xlpm.sent,_xlfn.MAXIFS('Rework Log'!$B$3:$B$500,'Rework Log'!$A$3:$A$500,$B89,'Rework Log'!$C$3:$C$500,"DPO*"),_xlpm.act,IF(AND(AB89&lt;&gt;"",AB89&gt;_xlpm.sent),AB89,""),IF(_xlpm.tgt="","No target set",IF(AND(_xlpm.tgt&lt;TODAY(),_xlpm.act=""),"Overdue","On track"))),IF(C89="RELEASED IN PROD","Delivered",""))))))))</f>
        <v>On track</v>
      </c>
      <c r="E89" s="31">
        <v>70</v>
      </c>
      <c r="F89" s="31"/>
      <c r="G89" s="31"/>
      <c r="H89" s="50">
        <v>46356</v>
      </c>
      <c r="I89" s="57" t="s">
        <v>259</v>
      </c>
      <c r="J89" s="55"/>
      <c r="K89" s="51"/>
      <c r="L89" s="43"/>
      <c r="M89" s="44"/>
      <c r="N89" s="44"/>
      <c r="O89" s="36" t="s">
        <v>257</v>
      </c>
      <c r="P89" s="76"/>
      <c r="Q89" s="51"/>
      <c r="R89" s="43"/>
      <c r="S89" s="44"/>
      <c r="T89" s="70" t="s">
        <v>263</v>
      </c>
      <c r="U89" s="47"/>
      <c r="W89" s="43"/>
      <c r="X89" s="31"/>
      <c r="Y89" s="36"/>
      <c r="AA89" s="43"/>
      <c r="AB89" s="43"/>
      <c r="AC89" s="31" t="s">
        <v>173</v>
      </c>
      <c r="AD89" s="31" t="s">
        <v>71</v>
      </c>
      <c r="AE89" s="31"/>
      <c r="AF89" s="31"/>
      <c r="AG89" s="31"/>
      <c r="AH89" s="31"/>
      <c r="AI89" s="31"/>
      <c r="AJ89" s="31"/>
      <c r="AK89" s="31"/>
      <c r="AL89" s="32" t="str" cm="1">
        <f t="array" ref="AL89">_xlfn.LET(_xlpm.rep,$B89,_xlpm.sent,_xlfn.MAXIFS('Rework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89" s="32" t="str" cm="1">
        <f t="array" ref="AM89">_xlfn.LET(_xlpm.rep,$B89,_xlpm.sent,_xlfn.MAXIFS('Rework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0" spans="1:39" hidden="1">
      <c r="A90" s="31" t="s">
        <v>126</v>
      </c>
      <c r="B90" s="31" t="s">
        <v>265</v>
      </c>
      <c r="C90" s="31" t="s">
        <v>205</v>
      </c>
      <c r="D90" t="str" cm="1">
        <f t="array" aca="1" ref="D90" ca="1">IF($B90="","",IF(LEFT($AI90,3)="Yes","Blocked - "&amp;MID($AI90,7,100)&amp;IF(SUMPRODUCT(('Rework Log'!$A$3:$A$500=$B90)*('Rework Log'!$G$3:$G$500&lt;&gt;"Yes")*('Rework Log'!$G$3:$G$500&lt;&gt;"Did not pass re-test"))=0,"",IF(SUMPRODUCT(MAX((('Rework Log'!$A$3:$A$500=$B90)*('Rework Log'!$G$3:$G$500&lt;&gt;"Yes")*('Rework Log'!$G$3:$G$500&lt;&gt;"Did not pass re-test"))*'Rework Log'!$I$3:$I$500))=0," - unclaimed"," - promised "&amp;TEXT(SUMPRODUCT(MAX((('Rework Log'!$A$3:$A$500=$B90)*('Rework Log'!$G$3:$G$500&lt;&gt;"Yes")*('Rework Log'!$G$3:$G$500&lt;&gt;"Did not pass re-test"))*'Rework Log'!$I$3:$I$500)),"m/d"))),IF(C90="NOT STARTED",IF(H90="","No plan date set",IF(H90&lt;TODAY(),"Review - planned start passed","On track")),IF(C90="DB Dev",IF(AND(L90="",K90=""),"No target set",IF(AND(IF(L90&lt;&gt;"",L90,K90)&lt;TODAY(),M90=""),"Overdue","On track")),IF(C90="PBI Dev",IF(AND(R90="",Q90=""),"No target set",IF(AND(IF(R90&lt;&gt;"",R90,Q90)&lt;TODAY(),S90=""),"Overdue","On track")),IF(C90="QA",_xlfn.LET(_xlpm.tgt,IF(AL90&lt;&gt;"",AL90,IF(W90&lt;&gt;"",W90,V90)),_xlpm.sent,_xlfn.MAXIFS('Rework Log'!$B$3:$B$500,'Rework Log'!$A$3:$A$500,$B90,'Rework Log'!$C$3:$C$500,"QA"),_xlpm.act,IF(AND(X90&lt;&gt;"",X90&gt;_xlpm.sent),X90,""),IF(_xlpm.tgt="","No target set",IF(AND(_xlpm.tgt&lt;TODAY(),_xlpm.act=""),"Overdue","On track"))),IF(C90="DPO Approval",_xlfn.LET(_xlpm.tgt,IF(AM90&lt;&gt;"",AM90,IF(AA90&lt;&gt;"",AA90,Z90)),_xlpm.sent,_xlfn.MAXIFS('Rework Log'!$B$3:$B$500,'Rework Log'!$A$3:$A$500,$B90,'Rework Log'!$C$3:$C$500,"DPO*"),_xlpm.act,IF(AND(AB90&lt;&gt;"",AB90&gt;_xlpm.sent),AB90,""),IF(_xlpm.tgt="","No target set",IF(AND(_xlpm.tgt&lt;TODAY(),_xlpm.act=""),"Overdue","On track"))),IF(C90="RELEASED IN PROD","Delivered",""))))))))</f>
        <v>On track</v>
      </c>
      <c r="E90" s="31">
        <v>71</v>
      </c>
      <c r="F90" s="31"/>
      <c r="G90" s="31"/>
      <c r="H90" s="50">
        <v>46356</v>
      </c>
      <c r="I90" s="57" t="s">
        <v>259</v>
      </c>
      <c r="J90" s="55"/>
      <c r="K90" s="51"/>
      <c r="L90" s="43"/>
      <c r="M90" s="44"/>
      <c r="N90" s="44"/>
      <c r="O90" s="36" t="s">
        <v>257</v>
      </c>
      <c r="P90" s="76"/>
      <c r="Q90" s="51"/>
      <c r="R90" s="43"/>
      <c r="S90" s="44"/>
      <c r="T90" s="70" t="s">
        <v>263</v>
      </c>
      <c r="U90" s="47"/>
      <c r="W90" s="43"/>
      <c r="X90" s="31"/>
      <c r="Y90" s="36"/>
      <c r="AA90" s="43"/>
      <c r="AB90" s="43"/>
      <c r="AC90" s="31" t="s">
        <v>173</v>
      </c>
      <c r="AD90" s="31" t="s">
        <v>71</v>
      </c>
      <c r="AE90" s="31"/>
      <c r="AF90" s="31"/>
      <c r="AG90" s="31"/>
      <c r="AH90" s="31"/>
      <c r="AI90" s="31"/>
      <c r="AJ90" s="31"/>
      <c r="AK90" s="31"/>
      <c r="AL90" s="32" t="str" cm="1">
        <f t="array" ref="AL90">_xlfn.LET(_xlpm.rep,$B90,_xlpm.sent,_xlfn.MAXIFS('Rework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0" s="32" t="str" cm="1">
        <f t="array" ref="AM90">_xlfn.LET(_xlpm.rep,$B90,_xlpm.sent,_xlfn.MAXIFS('Rework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1" spans="1:39" hidden="1">
      <c r="A91" s="31" t="s">
        <v>126</v>
      </c>
      <c r="B91" s="31" t="s">
        <v>266</v>
      </c>
      <c r="C91" s="31" t="s">
        <v>205</v>
      </c>
      <c r="D91" t="str" cm="1">
        <f t="array" aca="1" ref="D91" ca="1">IF($B91="","",IF(LEFT($AI91,3)="Yes","Blocked - "&amp;MID($AI91,7,100)&amp;IF(SUMPRODUCT(('Rework Log'!$A$3:$A$500=$B91)*('Rework Log'!$G$3:$G$500&lt;&gt;"Yes")*('Rework Log'!$G$3:$G$500&lt;&gt;"Did not pass re-test"))=0,"",IF(SUMPRODUCT(MAX((('Rework Log'!$A$3:$A$500=$B91)*('Rework Log'!$G$3:$G$500&lt;&gt;"Yes")*('Rework Log'!$G$3:$G$500&lt;&gt;"Did not pass re-test"))*'Rework Log'!$I$3:$I$500))=0," - unclaimed"," - promised "&amp;TEXT(SUMPRODUCT(MAX((('Rework Log'!$A$3:$A$500=$B91)*('Rework Log'!$G$3:$G$500&lt;&gt;"Yes")*('Rework Log'!$G$3:$G$500&lt;&gt;"Did not pass re-test"))*'Rework Log'!$I$3:$I$500)),"m/d"))),IF(C91="NOT STARTED",IF(H91="","No plan date set",IF(H91&lt;TODAY(),"Review - planned start passed","On track")),IF(C91="DB Dev",IF(AND(L91="",K91=""),"No target set",IF(AND(IF(L91&lt;&gt;"",L91,K91)&lt;TODAY(),M91=""),"Overdue","On track")),IF(C91="PBI Dev",IF(AND(R91="",Q91=""),"No target set",IF(AND(IF(R91&lt;&gt;"",R91,Q91)&lt;TODAY(),S91=""),"Overdue","On track")),IF(C91="QA",_xlfn.LET(_xlpm.tgt,IF(AL91&lt;&gt;"",AL91,IF(W91&lt;&gt;"",W91,V91)),_xlpm.sent,_xlfn.MAXIFS('Rework Log'!$B$3:$B$500,'Rework Log'!$A$3:$A$500,$B91,'Rework Log'!$C$3:$C$500,"QA"),_xlpm.act,IF(AND(X91&lt;&gt;"",X91&gt;_xlpm.sent),X91,""),IF(_xlpm.tgt="","No target set",IF(AND(_xlpm.tgt&lt;TODAY(),_xlpm.act=""),"Overdue","On track"))),IF(C91="DPO Approval",_xlfn.LET(_xlpm.tgt,IF(AM91&lt;&gt;"",AM91,IF(AA91&lt;&gt;"",AA91,Z91)),_xlpm.sent,_xlfn.MAXIFS('Rework Log'!$B$3:$B$500,'Rework Log'!$A$3:$A$500,$B91,'Rework Log'!$C$3:$C$500,"DPO*"),_xlpm.act,IF(AND(AB91&lt;&gt;"",AB91&gt;_xlpm.sent),AB91,""),IF(_xlpm.tgt="","No target set",IF(AND(_xlpm.tgt&lt;TODAY(),_xlpm.act=""),"Overdue","On track"))),IF(C91="RELEASED IN PROD","Delivered",""))))))))</f>
        <v>On track</v>
      </c>
      <c r="E91" s="31">
        <v>72</v>
      </c>
      <c r="F91" s="31"/>
      <c r="G91" s="31"/>
      <c r="H91" s="50">
        <v>46356</v>
      </c>
      <c r="I91" s="57" t="s">
        <v>259</v>
      </c>
      <c r="J91" s="55"/>
      <c r="K91" s="51"/>
      <c r="L91" s="43"/>
      <c r="M91" s="44"/>
      <c r="N91" s="44"/>
      <c r="O91" s="36" t="s">
        <v>257</v>
      </c>
      <c r="P91" s="76"/>
      <c r="Q91" s="51"/>
      <c r="R91" s="43"/>
      <c r="S91" s="44"/>
      <c r="T91" s="70" t="s">
        <v>263</v>
      </c>
      <c r="U91" s="47"/>
      <c r="W91" s="43"/>
      <c r="X91" s="31"/>
      <c r="Y91" s="36"/>
      <c r="AA91" s="43"/>
      <c r="AB91" s="43"/>
      <c r="AC91" s="31" t="s">
        <v>267</v>
      </c>
      <c r="AD91" s="31" t="s">
        <v>71</v>
      </c>
      <c r="AE91" s="31"/>
      <c r="AF91" s="31"/>
      <c r="AG91" s="31"/>
      <c r="AH91" s="31"/>
      <c r="AI91" s="31"/>
      <c r="AJ91" s="31"/>
      <c r="AK91" s="31"/>
      <c r="AL91" s="32" t="str" cm="1">
        <f t="array" ref="AL91">_xlfn.LET(_xlpm.rep,$B91,_xlpm.sent,_xlfn.MAXIFS('Rework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1" s="32" t="str" cm="1">
        <f t="array" ref="AM91">_xlfn.LET(_xlpm.rep,$B91,_xlpm.sent,_xlfn.MAXIFS('Rework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2" spans="1:39" hidden="1">
      <c r="A92" s="31" t="s">
        <v>126</v>
      </c>
      <c r="B92" s="31" t="s">
        <v>268</v>
      </c>
      <c r="C92" s="31" t="s">
        <v>205</v>
      </c>
      <c r="D92" t="str" cm="1">
        <f t="array" aca="1" ref="D92" ca="1">IF($B92="","",IF(LEFT($AI92,3)="Yes","Blocked - "&amp;MID($AI92,7,100)&amp;IF(SUMPRODUCT(('Rework Log'!$A$3:$A$500=$B92)*('Rework Log'!$G$3:$G$500&lt;&gt;"Yes")*('Rework Log'!$G$3:$G$500&lt;&gt;"Did not pass re-test"))=0,"",IF(SUMPRODUCT(MAX((('Rework Log'!$A$3:$A$500=$B92)*('Rework Log'!$G$3:$G$500&lt;&gt;"Yes")*('Rework Log'!$G$3:$G$500&lt;&gt;"Did not pass re-test"))*'Rework Log'!$I$3:$I$500))=0," - unclaimed"," - promised "&amp;TEXT(SUMPRODUCT(MAX((('Rework Log'!$A$3:$A$500=$B92)*('Rework Log'!$G$3:$G$500&lt;&gt;"Yes")*('Rework Log'!$G$3:$G$500&lt;&gt;"Did not pass re-test"))*'Rework Log'!$I$3:$I$500)),"m/d"))),IF(C92="NOT STARTED",IF(H92="","No plan date set",IF(H92&lt;TODAY(),"Review - planned start passed","On track")),IF(C92="DB Dev",IF(AND(L92="",K92=""),"No target set",IF(AND(IF(L92&lt;&gt;"",L92,K92)&lt;TODAY(),M92=""),"Overdue","On track")),IF(C92="PBI Dev",IF(AND(R92="",Q92=""),"No target set",IF(AND(IF(R92&lt;&gt;"",R92,Q92)&lt;TODAY(),S92=""),"Overdue","On track")),IF(C92="QA",_xlfn.LET(_xlpm.tgt,IF(AL92&lt;&gt;"",AL92,IF(W92&lt;&gt;"",W92,V92)),_xlpm.sent,_xlfn.MAXIFS('Rework Log'!$B$3:$B$500,'Rework Log'!$A$3:$A$500,$B92,'Rework Log'!$C$3:$C$500,"QA"),_xlpm.act,IF(AND(X92&lt;&gt;"",X92&gt;_xlpm.sent),X92,""),IF(_xlpm.tgt="","No target set",IF(AND(_xlpm.tgt&lt;TODAY(),_xlpm.act=""),"Overdue","On track"))),IF(C92="DPO Approval",_xlfn.LET(_xlpm.tgt,IF(AM92&lt;&gt;"",AM92,IF(AA92&lt;&gt;"",AA92,Z92)),_xlpm.sent,_xlfn.MAXIFS('Rework Log'!$B$3:$B$500,'Rework Log'!$A$3:$A$500,$B92,'Rework Log'!$C$3:$C$500,"DPO*"),_xlpm.act,IF(AND(AB92&lt;&gt;"",AB92&gt;_xlpm.sent),AB92,""),IF(_xlpm.tgt="","No target set",IF(AND(_xlpm.tgt&lt;TODAY(),_xlpm.act=""),"Overdue","On track"))),IF(C92="RELEASED IN PROD","Delivered",""))))))))</f>
        <v>On track</v>
      </c>
      <c r="E92" s="31">
        <v>73</v>
      </c>
      <c r="F92" s="31"/>
      <c r="G92" s="31"/>
      <c r="H92" s="50">
        <v>46356</v>
      </c>
      <c r="I92" s="57" t="s">
        <v>259</v>
      </c>
      <c r="J92" s="55"/>
      <c r="K92" s="51"/>
      <c r="L92" s="43"/>
      <c r="M92" s="44"/>
      <c r="N92" s="44"/>
      <c r="O92" s="36" t="s">
        <v>269</v>
      </c>
      <c r="P92" s="76"/>
      <c r="Q92" s="51"/>
      <c r="R92" s="43"/>
      <c r="S92" s="44"/>
      <c r="T92" s="70" t="s">
        <v>263</v>
      </c>
      <c r="U92" s="47"/>
      <c r="W92" s="43"/>
      <c r="X92" s="31"/>
      <c r="Y92" s="36"/>
      <c r="AA92" s="43"/>
      <c r="AB92" s="43"/>
      <c r="AC92" s="31" t="s">
        <v>173</v>
      </c>
      <c r="AD92" s="31" t="s">
        <v>71</v>
      </c>
      <c r="AE92" s="31"/>
      <c r="AF92" s="31"/>
      <c r="AG92" s="31"/>
      <c r="AH92" s="31"/>
      <c r="AI92" s="31"/>
      <c r="AJ92" s="31"/>
      <c r="AK92" s="31"/>
      <c r="AL92" s="32" t="str" cm="1">
        <f t="array" ref="AL92">_xlfn.LET(_xlpm.rep,$B92,_xlpm.sent,_xlfn.MAXIFS('Rework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2" s="32" t="str" cm="1">
        <f t="array" ref="AM92">_xlfn.LET(_xlpm.rep,$B92,_xlpm.sent,_xlfn.MAXIFS('Rework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3" spans="1:39" hidden="1">
      <c r="A93" s="31" t="s">
        <v>126</v>
      </c>
      <c r="B93" s="31" t="s">
        <v>270</v>
      </c>
      <c r="C93" s="31" t="s">
        <v>205</v>
      </c>
      <c r="D93" t="str" cm="1">
        <f t="array" aca="1" ref="D93" ca="1">IF($B93="","",IF(LEFT($AI93,3)="Yes","Blocked - "&amp;MID($AI93,7,100)&amp;IF(SUMPRODUCT(('Rework Log'!$A$3:$A$500=$B93)*('Rework Log'!$G$3:$G$500&lt;&gt;"Yes")*('Rework Log'!$G$3:$G$500&lt;&gt;"Did not pass re-test"))=0,"",IF(SUMPRODUCT(MAX((('Rework Log'!$A$3:$A$500=$B93)*('Rework Log'!$G$3:$G$500&lt;&gt;"Yes")*('Rework Log'!$G$3:$G$500&lt;&gt;"Did not pass re-test"))*'Rework Log'!$I$3:$I$500))=0," - unclaimed"," - promised "&amp;TEXT(SUMPRODUCT(MAX((('Rework Log'!$A$3:$A$500=$B93)*('Rework Log'!$G$3:$G$500&lt;&gt;"Yes")*('Rework Log'!$G$3:$G$500&lt;&gt;"Did not pass re-test"))*'Rework Log'!$I$3:$I$500)),"m/d"))),IF(C93="NOT STARTED",IF(H93="","No plan date set",IF(H93&lt;TODAY(),"Review - planned start passed","On track")),IF(C93="DB Dev",IF(AND(L93="",K93=""),"No target set",IF(AND(IF(L93&lt;&gt;"",L93,K93)&lt;TODAY(),M93=""),"Overdue","On track")),IF(C93="PBI Dev",IF(AND(R93="",Q93=""),"No target set",IF(AND(IF(R93&lt;&gt;"",R93,Q93)&lt;TODAY(),S93=""),"Overdue","On track")),IF(C93="QA",_xlfn.LET(_xlpm.tgt,IF(AL93&lt;&gt;"",AL93,IF(W93&lt;&gt;"",W93,V93)),_xlpm.sent,_xlfn.MAXIFS('Rework Log'!$B$3:$B$500,'Rework Log'!$A$3:$A$500,$B93,'Rework Log'!$C$3:$C$500,"QA"),_xlpm.act,IF(AND(X93&lt;&gt;"",X93&gt;_xlpm.sent),X93,""),IF(_xlpm.tgt="","No target set",IF(AND(_xlpm.tgt&lt;TODAY(),_xlpm.act=""),"Overdue","On track"))),IF(C93="DPO Approval",_xlfn.LET(_xlpm.tgt,IF(AM93&lt;&gt;"",AM93,IF(AA93&lt;&gt;"",AA93,Z93)),_xlpm.sent,_xlfn.MAXIFS('Rework Log'!$B$3:$B$500,'Rework Log'!$A$3:$A$500,$B93,'Rework Log'!$C$3:$C$500,"DPO*"),_xlpm.act,IF(AND(AB93&lt;&gt;"",AB93&gt;_xlpm.sent),AB93,""),IF(_xlpm.tgt="","No target set",IF(AND(_xlpm.tgt&lt;TODAY(),_xlpm.act=""),"Overdue","On track"))),IF(C93="RELEASED IN PROD","Delivered",""))))))))</f>
        <v>On track</v>
      </c>
      <c r="E93" s="31">
        <v>74</v>
      </c>
      <c r="F93" s="31"/>
      <c r="G93" s="31"/>
      <c r="H93" s="50">
        <v>46356</v>
      </c>
      <c r="I93" s="57" t="s">
        <v>259</v>
      </c>
      <c r="J93" s="55"/>
      <c r="K93" s="51"/>
      <c r="L93" s="43"/>
      <c r="M93" s="44"/>
      <c r="N93" s="44"/>
      <c r="O93" s="36" t="s">
        <v>269</v>
      </c>
      <c r="P93" s="76"/>
      <c r="Q93" s="51"/>
      <c r="R93" s="43"/>
      <c r="S93" s="44"/>
      <c r="T93" s="70" t="s">
        <v>263</v>
      </c>
      <c r="U93" s="47"/>
      <c r="W93" s="43"/>
      <c r="X93" s="31"/>
      <c r="Y93" s="36"/>
      <c r="AA93" s="43"/>
      <c r="AB93" s="43"/>
      <c r="AC93" s="31" t="s">
        <v>196</v>
      </c>
      <c r="AD93" s="31" t="s">
        <v>93</v>
      </c>
      <c r="AE93" s="31"/>
      <c r="AF93" s="31"/>
      <c r="AG93" s="31"/>
      <c r="AH93" s="31"/>
      <c r="AI93" s="31"/>
      <c r="AJ93" s="31"/>
      <c r="AK93" s="31"/>
      <c r="AL93" s="32" t="str" cm="1">
        <f t="array" ref="AL93">_xlfn.LET(_xlpm.rep,$B93,_xlpm.sent,_xlfn.MAXIFS('Rework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3" s="32" t="str" cm="1">
        <f t="array" ref="AM93">_xlfn.LET(_xlpm.rep,$B93,_xlpm.sent,_xlfn.MAXIFS('Rework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4" spans="1:39" hidden="1">
      <c r="A94" s="31" t="s">
        <v>126</v>
      </c>
      <c r="B94" s="31" t="s">
        <v>271</v>
      </c>
      <c r="C94" s="31" t="s">
        <v>205</v>
      </c>
      <c r="D94" t="str" cm="1">
        <f t="array" aca="1" ref="D94" ca="1">IF($B94="","",IF(LEFT($AI94,3)="Yes","Blocked - "&amp;MID($AI94,7,100)&amp;IF(SUMPRODUCT(('Rework Log'!$A$3:$A$500=$B94)*('Rework Log'!$G$3:$G$500&lt;&gt;"Yes")*('Rework Log'!$G$3:$G$500&lt;&gt;"Did not pass re-test"))=0,"",IF(SUMPRODUCT(MAX((('Rework Log'!$A$3:$A$500=$B94)*('Rework Log'!$G$3:$G$500&lt;&gt;"Yes")*('Rework Log'!$G$3:$G$500&lt;&gt;"Did not pass re-test"))*'Rework Log'!$I$3:$I$500))=0," - unclaimed"," - promised "&amp;TEXT(SUMPRODUCT(MAX((('Rework Log'!$A$3:$A$500=$B94)*('Rework Log'!$G$3:$G$500&lt;&gt;"Yes")*('Rework Log'!$G$3:$G$500&lt;&gt;"Did not pass re-test"))*'Rework Log'!$I$3:$I$500)),"m/d"))),IF(C94="NOT STARTED",IF(H94="","No plan date set",IF(H94&lt;TODAY(),"Review - planned start passed","On track")),IF(C94="DB Dev",IF(AND(L94="",K94=""),"No target set",IF(AND(IF(L94&lt;&gt;"",L94,K94)&lt;TODAY(),M94=""),"Overdue","On track")),IF(C94="PBI Dev",IF(AND(R94="",Q94=""),"No target set",IF(AND(IF(R94&lt;&gt;"",R94,Q94)&lt;TODAY(),S94=""),"Overdue","On track")),IF(C94="QA",_xlfn.LET(_xlpm.tgt,IF(AL94&lt;&gt;"",AL94,IF(W94&lt;&gt;"",W94,V94)),_xlpm.sent,_xlfn.MAXIFS('Rework Log'!$B$3:$B$500,'Rework Log'!$A$3:$A$500,$B94,'Rework Log'!$C$3:$C$500,"QA"),_xlpm.act,IF(AND(X94&lt;&gt;"",X94&gt;_xlpm.sent),X94,""),IF(_xlpm.tgt="","No target set",IF(AND(_xlpm.tgt&lt;TODAY(),_xlpm.act=""),"Overdue","On track"))),IF(C94="DPO Approval",_xlfn.LET(_xlpm.tgt,IF(AM94&lt;&gt;"",AM94,IF(AA94&lt;&gt;"",AA94,Z94)),_xlpm.sent,_xlfn.MAXIFS('Rework Log'!$B$3:$B$500,'Rework Log'!$A$3:$A$500,$B94,'Rework Log'!$C$3:$C$500,"DPO*"),_xlpm.act,IF(AND(AB94&lt;&gt;"",AB94&gt;_xlpm.sent),AB94,""),IF(_xlpm.tgt="","No target set",IF(AND(_xlpm.tgt&lt;TODAY(),_xlpm.act=""),"Overdue","On track"))),IF(C94="RELEASED IN PROD","Delivered",""))))))))</f>
        <v>On track</v>
      </c>
      <c r="E94" s="31">
        <v>80</v>
      </c>
      <c r="F94" s="31"/>
      <c r="G94" s="31"/>
      <c r="H94" s="50">
        <v>46356</v>
      </c>
      <c r="I94" s="57" t="s">
        <v>259</v>
      </c>
      <c r="J94" s="55"/>
      <c r="K94" s="51"/>
      <c r="L94" s="43"/>
      <c r="M94" s="44"/>
      <c r="N94" s="44"/>
      <c r="O94" s="36" t="s">
        <v>269</v>
      </c>
      <c r="P94" s="76"/>
      <c r="Q94" s="51"/>
      <c r="R94" s="43"/>
      <c r="S94" s="44"/>
      <c r="T94" s="70" t="s">
        <v>263</v>
      </c>
      <c r="U94" s="47"/>
      <c r="W94" s="43"/>
      <c r="X94" s="31"/>
      <c r="Y94" s="36"/>
      <c r="AA94" s="43"/>
      <c r="AB94" s="43"/>
      <c r="AC94" s="31" t="s">
        <v>272</v>
      </c>
      <c r="AD94" s="31" t="s">
        <v>71</v>
      </c>
      <c r="AE94" s="31"/>
      <c r="AF94" s="31"/>
      <c r="AG94" s="31"/>
      <c r="AH94" s="31"/>
      <c r="AI94" s="31"/>
      <c r="AJ94" s="31"/>
      <c r="AK94" s="31"/>
      <c r="AL94" s="32" t="str" cm="1">
        <f t="array" ref="AL94">_xlfn.LET(_xlpm.rep,$B94,_xlpm.sent,_xlfn.MAXIFS('Rework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4" s="32" t="str" cm="1">
        <f t="array" ref="AM94">_xlfn.LET(_xlpm.rep,$B94,_xlpm.sent,_xlfn.MAXIFS('Rework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5" spans="1:39" hidden="1">
      <c r="A95" s="31" t="s">
        <v>126</v>
      </c>
      <c r="B95" s="31" t="s">
        <v>273</v>
      </c>
      <c r="C95" s="31" t="s">
        <v>205</v>
      </c>
      <c r="D95" t="str" cm="1">
        <f t="array" aca="1" ref="D95" ca="1">IF($B95="","",IF(LEFT($AI95,3)="Yes","Blocked - "&amp;MID($AI95,7,100)&amp;IF(SUMPRODUCT(('Rework Log'!$A$3:$A$500=$B95)*('Rework Log'!$G$3:$G$500&lt;&gt;"Yes")*('Rework Log'!$G$3:$G$500&lt;&gt;"Did not pass re-test"))=0,"",IF(SUMPRODUCT(MAX((('Rework Log'!$A$3:$A$500=$B95)*('Rework Log'!$G$3:$G$500&lt;&gt;"Yes")*('Rework Log'!$G$3:$G$500&lt;&gt;"Did not pass re-test"))*'Rework Log'!$I$3:$I$500))=0," - unclaimed"," - promised "&amp;TEXT(SUMPRODUCT(MAX((('Rework Log'!$A$3:$A$500=$B95)*('Rework Log'!$G$3:$G$500&lt;&gt;"Yes")*('Rework Log'!$G$3:$G$500&lt;&gt;"Did not pass re-test"))*'Rework Log'!$I$3:$I$500)),"m/d"))),IF(C95="NOT STARTED",IF(H95="","No plan date set",IF(H95&lt;TODAY(),"Review - planned start passed","On track")),IF(C95="DB Dev",IF(AND(L95="",K95=""),"No target set",IF(AND(IF(L95&lt;&gt;"",L95,K95)&lt;TODAY(),M95=""),"Overdue","On track")),IF(C95="PBI Dev",IF(AND(R95="",Q95=""),"No target set",IF(AND(IF(R95&lt;&gt;"",R95,Q95)&lt;TODAY(),S95=""),"Overdue","On track")),IF(C95="QA",_xlfn.LET(_xlpm.tgt,IF(AL95&lt;&gt;"",AL95,IF(W95&lt;&gt;"",W95,V95)),_xlpm.sent,_xlfn.MAXIFS('Rework Log'!$B$3:$B$500,'Rework Log'!$A$3:$A$500,$B95,'Rework Log'!$C$3:$C$500,"QA"),_xlpm.act,IF(AND(X95&lt;&gt;"",X95&gt;_xlpm.sent),X95,""),IF(_xlpm.tgt="","No target set",IF(AND(_xlpm.tgt&lt;TODAY(),_xlpm.act=""),"Overdue","On track"))),IF(C95="DPO Approval",_xlfn.LET(_xlpm.tgt,IF(AM95&lt;&gt;"",AM95,IF(AA95&lt;&gt;"",AA95,Z95)),_xlpm.sent,_xlfn.MAXIFS('Rework Log'!$B$3:$B$500,'Rework Log'!$A$3:$A$500,$B95,'Rework Log'!$C$3:$C$500,"DPO*"),_xlpm.act,IF(AND(AB95&lt;&gt;"",AB95&gt;_xlpm.sent),AB95,""),IF(_xlpm.tgt="","No target set",IF(AND(_xlpm.tgt&lt;TODAY(),_xlpm.act=""),"Overdue","On track"))),IF(C95="RELEASED IN PROD","Delivered",""))))))))</f>
        <v>On track</v>
      </c>
      <c r="E95" s="31">
        <v>81</v>
      </c>
      <c r="F95" s="31"/>
      <c r="G95" s="31"/>
      <c r="H95" s="50">
        <v>46356</v>
      </c>
      <c r="I95" s="57" t="s">
        <v>259</v>
      </c>
      <c r="J95" s="55"/>
      <c r="K95" s="51"/>
      <c r="L95" s="43"/>
      <c r="M95" s="44"/>
      <c r="N95" s="44"/>
      <c r="O95" s="36" t="s">
        <v>269</v>
      </c>
      <c r="P95" s="76"/>
      <c r="Q95" s="51"/>
      <c r="R95" s="43"/>
      <c r="S95" s="44"/>
      <c r="T95" s="70" t="s">
        <v>274</v>
      </c>
      <c r="U95" s="47"/>
      <c r="W95" s="43"/>
      <c r="X95" s="31"/>
      <c r="Y95" s="36"/>
      <c r="AA95" s="43"/>
      <c r="AB95" s="43"/>
      <c r="AC95" s="31" t="s">
        <v>275</v>
      </c>
      <c r="AD95" s="31" t="s">
        <v>71</v>
      </c>
      <c r="AE95" s="31"/>
      <c r="AF95" s="31"/>
      <c r="AG95" s="31"/>
      <c r="AH95" s="31"/>
      <c r="AI95" s="31"/>
      <c r="AJ95" s="31"/>
      <c r="AK95" s="31"/>
      <c r="AL95" s="32" t="str" cm="1">
        <f t="array" ref="AL95">_xlfn.LET(_xlpm.rep,$B95,_xlpm.sent,_xlfn.MAXIFS('Rework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5" s="32" t="str" cm="1">
        <f t="array" ref="AM95">_xlfn.LET(_xlpm.rep,$B95,_xlpm.sent,_xlfn.MAXIFS('Rework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6" spans="1:39" hidden="1">
      <c r="A96" s="31" t="s">
        <v>126</v>
      </c>
      <c r="B96" s="31" t="s">
        <v>276</v>
      </c>
      <c r="C96" s="31" t="s">
        <v>205</v>
      </c>
      <c r="D96" t="str" cm="1">
        <f t="array" aca="1" ref="D96" ca="1">IF($B96="","",IF(LEFT($AI96,3)="Yes","Blocked - "&amp;MID($AI96,7,100)&amp;IF(SUMPRODUCT(('Rework Log'!$A$3:$A$500=$B96)*('Rework Log'!$G$3:$G$500&lt;&gt;"Yes")*('Rework Log'!$G$3:$G$500&lt;&gt;"Did not pass re-test"))=0,"",IF(SUMPRODUCT(MAX((('Rework Log'!$A$3:$A$500=$B96)*('Rework Log'!$G$3:$G$500&lt;&gt;"Yes")*('Rework Log'!$G$3:$G$500&lt;&gt;"Did not pass re-test"))*'Rework Log'!$I$3:$I$500))=0," - unclaimed"," - promised "&amp;TEXT(SUMPRODUCT(MAX((('Rework Log'!$A$3:$A$500=$B96)*('Rework Log'!$G$3:$G$500&lt;&gt;"Yes")*('Rework Log'!$G$3:$G$500&lt;&gt;"Did not pass re-test"))*'Rework Log'!$I$3:$I$500)),"m/d"))),IF(C96="NOT STARTED",IF(H96="","No plan date set",IF(H96&lt;TODAY(),"Review - planned start passed","On track")),IF(C96="DB Dev",IF(AND(L96="",K96=""),"No target set",IF(AND(IF(L96&lt;&gt;"",L96,K96)&lt;TODAY(),M96=""),"Overdue","On track")),IF(C96="PBI Dev",IF(AND(R96="",Q96=""),"No target set",IF(AND(IF(R96&lt;&gt;"",R96,Q96)&lt;TODAY(),S96=""),"Overdue","On track")),IF(C96="QA",_xlfn.LET(_xlpm.tgt,IF(AL96&lt;&gt;"",AL96,IF(W96&lt;&gt;"",W96,V96)),_xlpm.sent,_xlfn.MAXIFS('Rework Log'!$B$3:$B$500,'Rework Log'!$A$3:$A$500,$B96,'Rework Log'!$C$3:$C$500,"QA"),_xlpm.act,IF(AND(X96&lt;&gt;"",X96&gt;_xlpm.sent),X96,""),IF(_xlpm.tgt="","No target set",IF(AND(_xlpm.tgt&lt;TODAY(),_xlpm.act=""),"Overdue","On track"))),IF(C96="DPO Approval",_xlfn.LET(_xlpm.tgt,IF(AM96&lt;&gt;"",AM96,IF(AA96&lt;&gt;"",AA96,Z96)),_xlpm.sent,_xlfn.MAXIFS('Rework Log'!$B$3:$B$500,'Rework Log'!$A$3:$A$500,$B96,'Rework Log'!$C$3:$C$500,"DPO*"),_xlpm.act,IF(AND(AB96&lt;&gt;"",AB96&gt;_xlpm.sent),AB96,""),IF(_xlpm.tgt="","No target set",IF(AND(_xlpm.tgt&lt;TODAY(),_xlpm.act=""),"Overdue","On track"))),IF(C96="RELEASED IN PROD","Delivered",""))))))))</f>
        <v>On track</v>
      </c>
      <c r="E96" s="31">
        <v>82</v>
      </c>
      <c r="F96" s="31"/>
      <c r="G96" s="31"/>
      <c r="H96" s="50">
        <v>46356</v>
      </c>
      <c r="I96" s="57" t="s">
        <v>259</v>
      </c>
      <c r="J96" s="55"/>
      <c r="K96" s="51"/>
      <c r="L96" s="43"/>
      <c r="M96" s="44"/>
      <c r="N96" s="44"/>
      <c r="O96" s="36" t="s">
        <v>269</v>
      </c>
      <c r="P96" s="76"/>
      <c r="Q96" s="51"/>
      <c r="R96" s="43"/>
      <c r="S96" s="44"/>
      <c r="T96" s="70" t="s">
        <v>274</v>
      </c>
      <c r="U96" s="47"/>
      <c r="W96" s="43"/>
      <c r="X96" s="31"/>
      <c r="Y96" s="36"/>
      <c r="AA96" s="43"/>
      <c r="AB96" s="43"/>
      <c r="AC96" s="31" t="s">
        <v>277</v>
      </c>
      <c r="AD96" s="31" t="s">
        <v>71</v>
      </c>
      <c r="AE96" s="31"/>
      <c r="AF96" s="31"/>
      <c r="AG96" s="31"/>
      <c r="AH96" s="31"/>
      <c r="AI96" s="31"/>
      <c r="AJ96" s="31"/>
      <c r="AK96" s="31"/>
      <c r="AL96" s="32" t="str" cm="1">
        <f t="array" ref="AL96">_xlfn.LET(_xlpm.rep,$B96,_xlpm.sent,_xlfn.MAXIFS('Rework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6" s="32" t="str" cm="1">
        <f t="array" ref="AM96">_xlfn.LET(_xlpm.rep,$B96,_xlpm.sent,_xlfn.MAXIFS('Rework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7" spans="1:39" hidden="1">
      <c r="A97" s="31" t="s">
        <v>126</v>
      </c>
      <c r="B97" s="31" t="s">
        <v>278</v>
      </c>
      <c r="C97" s="31" t="s">
        <v>205</v>
      </c>
      <c r="D97" t="str" cm="1">
        <f t="array" aca="1" ref="D97" ca="1">IF($B97="","",IF(LEFT($AI97,3)="Yes","Blocked - "&amp;MID($AI97,7,100)&amp;IF(SUMPRODUCT(('Rework Log'!$A$3:$A$500=$B97)*('Rework Log'!$G$3:$G$500&lt;&gt;"Yes")*('Rework Log'!$G$3:$G$500&lt;&gt;"Did not pass re-test"))=0,"",IF(SUMPRODUCT(MAX((('Rework Log'!$A$3:$A$500=$B97)*('Rework Log'!$G$3:$G$500&lt;&gt;"Yes")*('Rework Log'!$G$3:$G$500&lt;&gt;"Did not pass re-test"))*'Rework Log'!$I$3:$I$500))=0," - unclaimed"," - promised "&amp;TEXT(SUMPRODUCT(MAX((('Rework Log'!$A$3:$A$500=$B97)*('Rework Log'!$G$3:$G$500&lt;&gt;"Yes")*('Rework Log'!$G$3:$G$500&lt;&gt;"Did not pass re-test"))*'Rework Log'!$I$3:$I$500)),"m/d"))),IF(C97="NOT STARTED",IF(H97="","No plan date set",IF(H97&lt;TODAY(),"Review - planned start passed","On track")),IF(C97="DB Dev",IF(AND(L97="",K97=""),"No target set",IF(AND(IF(L97&lt;&gt;"",L97,K97)&lt;TODAY(),M97=""),"Overdue","On track")),IF(C97="PBI Dev",IF(AND(R97="",Q97=""),"No target set",IF(AND(IF(R97&lt;&gt;"",R97,Q97)&lt;TODAY(),S97=""),"Overdue","On track")),IF(C97="QA",_xlfn.LET(_xlpm.tgt,IF(AL97&lt;&gt;"",AL97,IF(W97&lt;&gt;"",W97,V97)),_xlpm.sent,_xlfn.MAXIFS('Rework Log'!$B$3:$B$500,'Rework Log'!$A$3:$A$500,$B97,'Rework Log'!$C$3:$C$500,"QA"),_xlpm.act,IF(AND(X97&lt;&gt;"",X97&gt;_xlpm.sent),X97,""),IF(_xlpm.tgt="","No target set",IF(AND(_xlpm.tgt&lt;TODAY(),_xlpm.act=""),"Overdue","On track"))),IF(C97="DPO Approval",_xlfn.LET(_xlpm.tgt,IF(AM97&lt;&gt;"",AM97,IF(AA97&lt;&gt;"",AA97,Z97)),_xlpm.sent,_xlfn.MAXIFS('Rework Log'!$B$3:$B$500,'Rework Log'!$A$3:$A$500,$B97,'Rework Log'!$C$3:$C$500,"DPO*"),_xlpm.act,IF(AND(AB97&lt;&gt;"",AB97&gt;_xlpm.sent),AB97,""),IF(_xlpm.tgt="","No target set",IF(AND(_xlpm.tgt&lt;TODAY(),_xlpm.act=""),"Overdue","On track"))),IF(C97="RELEASED IN PROD","Delivered",""))))))))</f>
        <v>On track</v>
      </c>
      <c r="E97" s="31">
        <v>83</v>
      </c>
      <c r="F97" s="31"/>
      <c r="G97" s="31"/>
      <c r="H97" s="50">
        <v>46356</v>
      </c>
      <c r="I97" s="57" t="s">
        <v>259</v>
      </c>
      <c r="J97" s="55"/>
      <c r="K97" s="51"/>
      <c r="L97" s="43"/>
      <c r="M97" s="44"/>
      <c r="N97" s="44"/>
      <c r="O97" s="36" t="s">
        <v>269</v>
      </c>
      <c r="P97" s="76"/>
      <c r="Q97" s="51"/>
      <c r="R97" s="43"/>
      <c r="S97" s="44"/>
      <c r="T97" s="70" t="s">
        <v>274</v>
      </c>
      <c r="U97" s="47"/>
      <c r="W97" s="43"/>
      <c r="X97" s="31"/>
      <c r="Y97" s="36"/>
      <c r="AA97" s="43"/>
      <c r="AB97" s="43"/>
      <c r="AC97" s="31" t="s">
        <v>279</v>
      </c>
      <c r="AD97" s="31" t="s">
        <v>71</v>
      </c>
      <c r="AE97" s="31"/>
      <c r="AF97" s="31"/>
      <c r="AG97" s="31"/>
      <c r="AH97" s="31"/>
      <c r="AI97" s="31"/>
      <c r="AJ97" s="31"/>
      <c r="AK97" s="31"/>
      <c r="AL97" s="32" t="str" cm="1">
        <f t="array" ref="AL97">_xlfn.LET(_xlpm.rep,$B97,_xlpm.sent,_xlfn.MAXIFS('Rework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7" s="32" t="str" cm="1">
        <f t="array" ref="AM97">_xlfn.LET(_xlpm.rep,$B97,_xlpm.sent,_xlfn.MAXIFS('Rework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8" spans="1:39" hidden="1">
      <c r="A98" s="31" t="s">
        <v>126</v>
      </c>
      <c r="B98" s="31" t="s">
        <v>280</v>
      </c>
      <c r="C98" s="31" t="s">
        <v>205</v>
      </c>
      <c r="D98" t="str" cm="1">
        <f t="array" aca="1" ref="D98" ca="1">IF($B98="","",IF(LEFT($AI98,3)="Yes","Blocked - "&amp;MID($AI98,7,100)&amp;IF(SUMPRODUCT(('Rework Log'!$A$3:$A$500=$B98)*('Rework Log'!$G$3:$G$500&lt;&gt;"Yes")*('Rework Log'!$G$3:$G$500&lt;&gt;"Did not pass re-test"))=0,"",IF(SUMPRODUCT(MAX((('Rework Log'!$A$3:$A$500=$B98)*('Rework Log'!$G$3:$G$500&lt;&gt;"Yes")*('Rework Log'!$G$3:$G$500&lt;&gt;"Did not pass re-test"))*'Rework Log'!$I$3:$I$500))=0," - unclaimed"," - promised "&amp;TEXT(SUMPRODUCT(MAX((('Rework Log'!$A$3:$A$500=$B98)*('Rework Log'!$G$3:$G$500&lt;&gt;"Yes")*('Rework Log'!$G$3:$G$500&lt;&gt;"Did not pass re-test"))*'Rework Log'!$I$3:$I$500)),"m/d"))),IF(C98="NOT STARTED",IF(H98="","No plan date set",IF(H98&lt;TODAY(),"Review - planned start passed","On track")),IF(C98="DB Dev",IF(AND(L98="",K98=""),"No target set",IF(AND(IF(L98&lt;&gt;"",L98,K98)&lt;TODAY(),M98=""),"Overdue","On track")),IF(C98="PBI Dev",IF(AND(R98="",Q98=""),"No target set",IF(AND(IF(R98&lt;&gt;"",R98,Q98)&lt;TODAY(),S98=""),"Overdue","On track")),IF(C98="QA",_xlfn.LET(_xlpm.tgt,IF(AL98&lt;&gt;"",AL98,IF(W98&lt;&gt;"",W98,V98)),_xlpm.sent,_xlfn.MAXIFS('Rework Log'!$B$3:$B$500,'Rework Log'!$A$3:$A$500,$B98,'Rework Log'!$C$3:$C$500,"QA"),_xlpm.act,IF(AND(X98&lt;&gt;"",X98&gt;_xlpm.sent),X98,""),IF(_xlpm.tgt="","No target set",IF(AND(_xlpm.tgt&lt;TODAY(),_xlpm.act=""),"Overdue","On track"))),IF(C98="DPO Approval",_xlfn.LET(_xlpm.tgt,IF(AM98&lt;&gt;"",AM98,IF(AA98&lt;&gt;"",AA98,Z98)),_xlpm.sent,_xlfn.MAXIFS('Rework Log'!$B$3:$B$500,'Rework Log'!$A$3:$A$500,$B98,'Rework Log'!$C$3:$C$500,"DPO*"),_xlpm.act,IF(AND(AB98&lt;&gt;"",AB98&gt;_xlpm.sent),AB98,""),IF(_xlpm.tgt="","No target set",IF(AND(_xlpm.tgt&lt;TODAY(),_xlpm.act=""),"Overdue","On track"))),IF(C98="RELEASED IN PROD","Delivered",""))))))))</f>
        <v>On track</v>
      </c>
      <c r="E98" s="31">
        <v>84</v>
      </c>
      <c r="F98" s="31"/>
      <c r="G98" s="31"/>
      <c r="H98" s="50">
        <v>46356</v>
      </c>
      <c r="I98" s="57" t="s">
        <v>259</v>
      </c>
      <c r="J98" s="55"/>
      <c r="K98" s="51"/>
      <c r="L98" s="43"/>
      <c r="M98" s="44"/>
      <c r="N98" s="44"/>
      <c r="O98" s="36" t="s">
        <v>269</v>
      </c>
      <c r="P98" s="76"/>
      <c r="Q98" s="51"/>
      <c r="R98" s="43"/>
      <c r="S98" s="44"/>
      <c r="T98" s="70" t="s">
        <v>274</v>
      </c>
      <c r="U98" s="47"/>
      <c r="W98" s="43"/>
      <c r="X98" s="31"/>
      <c r="Y98" s="36"/>
      <c r="AA98" s="43"/>
      <c r="AB98" s="43"/>
      <c r="AC98" s="31" t="s">
        <v>173</v>
      </c>
      <c r="AD98" s="31" t="s">
        <v>48</v>
      </c>
      <c r="AE98" s="31"/>
      <c r="AF98" s="31"/>
      <c r="AG98" s="31"/>
      <c r="AH98" s="31"/>
      <c r="AI98" s="31"/>
      <c r="AJ98" s="31"/>
      <c r="AK98" s="31"/>
      <c r="AL98" s="32" t="str" cm="1">
        <f t="array" ref="AL98">_xlfn.LET(_xlpm.rep,$B98,_xlpm.sent,_xlfn.MAXIFS('Rework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8" s="32" t="str" cm="1">
        <f t="array" ref="AM98">_xlfn.LET(_xlpm.rep,$B98,_xlpm.sent,_xlfn.MAXIFS('Rework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99" spans="1:39" hidden="1">
      <c r="A99" s="31" t="s">
        <v>126</v>
      </c>
      <c r="B99" s="31" t="s">
        <v>281</v>
      </c>
      <c r="C99" s="31" t="s">
        <v>205</v>
      </c>
      <c r="D99" t="str" cm="1">
        <f t="array" aca="1" ref="D99" ca="1">IF($B99="","",IF(LEFT($AI99,3)="Yes","Blocked - "&amp;MID($AI99,7,100)&amp;IF(SUMPRODUCT(('Rework Log'!$A$3:$A$500=$B99)*('Rework Log'!$G$3:$G$500&lt;&gt;"Yes")*('Rework Log'!$G$3:$G$500&lt;&gt;"Did not pass re-test"))=0,"",IF(SUMPRODUCT(MAX((('Rework Log'!$A$3:$A$500=$B99)*('Rework Log'!$G$3:$G$500&lt;&gt;"Yes")*('Rework Log'!$G$3:$G$500&lt;&gt;"Did not pass re-test"))*'Rework Log'!$I$3:$I$500))=0," - unclaimed"," - promised "&amp;TEXT(SUMPRODUCT(MAX((('Rework Log'!$A$3:$A$500=$B99)*('Rework Log'!$G$3:$G$500&lt;&gt;"Yes")*('Rework Log'!$G$3:$G$500&lt;&gt;"Did not pass re-test"))*'Rework Log'!$I$3:$I$500)),"m/d"))),IF(C99="NOT STARTED",IF(H99="","No plan date set",IF(H99&lt;TODAY(),"Review - planned start passed","On track")),IF(C99="DB Dev",IF(AND(L99="",K99=""),"No target set",IF(AND(IF(L99&lt;&gt;"",L99,K99)&lt;TODAY(),M99=""),"Overdue","On track")),IF(C99="PBI Dev",IF(AND(R99="",Q99=""),"No target set",IF(AND(IF(R99&lt;&gt;"",R99,Q99)&lt;TODAY(),S99=""),"Overdue","On track")),IF(C99="QA",_xlfn.LET(_xlpm.tgt,IF(AL99&lt;&gt;"",AL99,IF(W99&lt;&gt;"",W99,V99)),_xlpm.sent,_xlfn.MAXIFS('Rework Log'!$B$3:$B$500,'Rework Log'!$A$3:$A$500,$B99,'Rework Log'!$C$3:$C$500,"QA"),_xlpm.act,IF(AND(X99&lt;&gt;"",X99&gt;_xlpm.sent),X99,""),IF(_xlpm.tgt="","No target set",IF(AND(_xlpm.tgt&lt;TODAY(),_xlpm.act=""),"Overdue","On track"))),IF(C99="DPO Approval",_xlfn.LET(_xlpm.tgt,IF(AM99&lt;&gt;"",AM99,IF(AA99&lt;&gt;"",AA99,Z99)),_xlpm.sent,_xlfn.MAXIFS('Rework Log'!$B$3:$B$500,'Rework Log'!$A$3:$A$500,$B99,'Rework Log'!$C$3:$C$500,"DPO*"),_xlpm.act,IF(AND(AB99&lt;&gt;"",AB99&gt;_xlpm.sent),AB99,""),IF(_xlpm.tgt="","No target set",IF(AND(_xlpm.tgt&lt;TODAY(),_xlpm.act=""),"Overdue","On track"))),IF(C99="RELEASED IN PROD","Delivered",""))))))))</f>
        <v>On track</v>
      </c>
      <c r="E99" s="31" t="s">
        <v>282</v>
      </c>
      <c r="F99" s="31"/>
      <c r="G99" s="31"/>
      <c r="H99" s="50">
        <v>46356</v>
      </c>
      <c r="I99" s="57" t="s">
        <v>259</v>
      </c>
      <c r="J99" s="55"/>
      <c r="K99" s="51"/>
      <c r="L99" s="43"/>
      <c r="M99" s="44"/>
      <c r="N99" s="44"/>
      <c r="O99" s="36" t="s">
        <v>269</v>
      </c>
      <c r="P99" s="76"/>
      <c r="Q99" s="51"/>
      <c r="R99" s="43"/>
      <c r="S99" s="44"/>
      <c r="T99" s="70" t="s">
        <v>274</v>
      </c>
      <c r="U99" s="47"/>
      <c r="W99" s="43"/>
      <c r="X99" s="31"/>
      <c r="Y99" s="36"/>
      <c r="AA99" s="43"/>
      <c r="AB99" s="43"/>
      <c r="AC99" s="31" t="s">
        <v>283</v>
      </c>
      <c r="AD99" s="31" t="s">
        <v>93</v>
      </c>
      <c r="AE99" s="31"/>
      <c r="AF99" s="31"/>
      <c r="AG99" s="31"/>
      <c r="AH99" s="31"/>
      <c r="AI99" s="31"/>
      <c r="AJ99" s="31"/>
      <c r="AK99" s="31"/>
      <c r="AL99" s="32" t="str" cm="1">
        <f t="array" ref="AL99">_xlfn.LET(_xlpm.rep,$B99,_xlpm.sent,_xlfn.MAXIFS('Rework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99" s="32" t="str" cm="1">
        <f t="array" ref="AM99">_xlfn.LET(_xlpm.rep,$B99,_xlpm.sent,_xlfn.MAXIFS('Rework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0" spans="1:39" hidden="1">
      <c r="A100" s="31" t="s">
        <v>126</v>
      </c>
      <c r="B100" s="31" t="s">
        <v>284</v>
      </c>
      <c r="C100" s="31" t="s">
        <v>205</v>
      </c>
      <c r="D100" t="str" cm="1">
        <f t="array" aca="1" ref="D100" ca="1">IF($B100="","",IF(LEFT($AI100,3)="Yes","Blocked - "&amp;MID($AI100,7,100)&amp;IF(SUMPRODUCT(('Rework Log'!$A$3:$A$500=$B100)*('Rework Log'!$G$3:$G$500&lt;&gt;"Yes")*('Rework Log'!$G$3:$G$500&lt;&gt;"Did not pass re-test"))=0,"",IF(SUMPRODUCT(MAX((('Rework Log'!$A$3:$A$500=$B100)*('Rework Log'!$G$3:$G$500&lt;&gt;"Yes")*('Rework Log'!$G$3:$G$500&lt;&gt;"Did not pass re-test"))*'Rework Log'!$I$3:$I$500))=0," - unclaimed"," - promised "&amp;TEXT(SUMPRODUCT(MAX((('Rework Log'!$A$3:$A$500=$B100)*('Rework Log'!$G$3:$G$500&lt;&gt;"Yes")*('Rework Log'!$G$3:$G$500&lt;&gt;"Did not pass re-test"))*'Rework Log'!$I$3:$I$500)),"m/d"))),IF(C100="NOT STARTED",IF(H100="","No plan date set",IF(H100&lt;TODAY(),"Review - planned start passed","On track")),IF(C100="DB Dev",IF(AND(L100="",K100=""),"No target set",IF(AND(IF(L100&lt;&gt;"",L100,K100)&lt;TODAY(),M100=""),"Overdue","On track")),IF(C100="PBI Dev",IF(AND(R100="",Q100=""),"No target set",IF(AND(IF(R100&lt;&gt;"",R100,Q100)&lt;TODAY(),S100=""),"Overdue","On track")),IF(C100="QA",_xlfn.LET(_xlpm.tgt,IF(AL100&lt;&gt;"",AL100,IF(W100&lt;&gt;"",W100,V100)),_xlpm.sent,_xlfn.MAXIFS('Rework Log'!$B$3:$B$500,'Rework Log'!$A$3:$A$500,$B100,'Rework Log'!$C$3:$C$500,"QA"),_xlpm.act,IF(AND(X100&lt;&gt;"",X100&gt;_xlpm.sent),X100,""),IF(_xlpm.tgt="","No target set",IF(AND(_xlpm.tgt&lt;TODAY(),_xlpm.act=""),"Overdue","On track"))),IF(C100="DPO Approval",_xlfn.LET(_xlpm.tgt,IF(AM100&lt;&gt;"",AM100,IF(AA100&lt;&gt;"",AA100,Z100)),_xlpm.sent,_xlfn.MAXIFS('Rework Log'!$B$3:$B$500,'Rework Log'!$A$3:$A$500,$B100,'Rework Log'!$C$3:$C$500,"DPO*"),_xlpm.act,IF(AND(AB100&lt;&gt;"",AB100&gt;_xlpm.sent),AB100,""),IF(_xlpm.tgt="","No target set",IF(AND(_xlpm.tgt&lt;TODAY(),_xlpm.act=""),"Overdue","On track"))),IF(C100="RELEASED IN PROD","Delivered",""))))))))</f>
        <v>On track</v>
      </c>
      <c r="E100" s="31">
        <v>85</v>
      </c>
      <c r="F100" s="31"/>
      <c r="G100" s="31"/>
      <c r="H100" s="50">
        <v>46356</v>
      </c>
      <c r="I100" s="57" t="s">
        <v>259</v>
      </c>
      <c r="J100" s="55"/>
      <c r="K100" s="51"/>
      <c r="L100" s="43"/>
      <c r="M100" s="44"/>
      <c r="N100" s="44"/>
      <c r="O100" s="36" t="s">
        <v>269</v>
      </c>
      <c r="P100" s="76"/>
      <c r="Q100" s="51"/>
      <c r="R100" s="43"/>
      <c r="S100" s="44"/>
      <c r="T100" s="70" t="s">
        <v>274</v>
      </c>
      <c r="U100" s="47"/>
      <c r="W100" s="43"/>
      <c r="X100" s="31"/>
      <c r="Y100" s="36"/>
      <c r="AA100" s="43"/>
      <c r="AB100" s="43"/>
      <c r="AC100" s="31" t="s">
        <v>285</v>
      </c>
      <c r="AD100" s="31" t="s">
        <v>71</v>
      </c>
      <c r="AE100" s="31"/>
      <c r="AF100" s="31"/>
      <c r="AG100" s="31"/>
      <c r="AH100" s="31"/>
      <c r="AI100" s="31"/>
      <c r="AJ100" s="31"/>
      <c r="AK100" s="31"/>
      <c r="AL100" s="32" t="str" cm="1">
        <f t="array" ref="AL100">_xlfn.LET(_xlpm.rep,$B100,_xlpm.sent,_xlfn.MAXIFS('Rework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0" s="32" t="str" cm="1">
        <f t="array" ref="AM100">_xlfn.LET(_xlpm.rep,$B100,_xlpm.sent,_xlfn.MAXIFS('Rework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1" spans="1:39" hidden="1">
      <c r="A101" s="31" t="s">
        <v>286</v>
      </c>
      <c r="B101" s="31" t="s">
        <v>287</v>
      </c>
      <c r="C101" s="31" t="s">
        <v>205</v>
      </c>
      <c r="D101" t="str" cm="1">
        <f t="array" aca="1" ref="D101" ca="1">IF($B101="","",IF(LEFT($AI101,3)="Yes","Blocked - "&amp;MID($AI101,7,100)&amp;IF(SUMPRODUCT(('Rework Log'!$A$3:$A$500=$B101)*('Rework Log'!$G$3:$G$500&lt;&gt;"Yes")*('Rework Log'!$G$3:$G$500&lt;&gt;"Did not pass re-test"))=0,"",IF(SUMPRODUCT(MAX((('Rework Log'!$A$3:$A$500=$B101)*('Rework Log'!$G$3:$G$500&lt;&gt;"Yes")*('Rework Log'!$G$3:$G$500&lt;&gt;"Did not pass re-test"))*'Rework Log'!$I$3:$I$500))=0," - unclaimed"," - promised "&amp;TEXT(SUMPRODUCT(MAX((('Rework Log'!$A$3:$A$500=$B101)*('Rework Log'!$G$3:$G$500&lt;&gt;"Yes")*('Rework Log'!$G$3:$G$500&lt;&gt;"Did not pass re-test"))*'Rework Log'!$I$3:$I$500)),"m/d"))),IF(C101="NOT STARTED",IF(H101="","No plan date set",IF(H101&lt;TODAY(),"Review - planned start passed","On track")),IF(C101="DB Dev",IF(AND(L101="",K101=""),"No target set",IF(AND(IF(L101&lt;&gt;"",L101,K101)&lt;TODAY(),M101=""),"Overdue","On track")),IF(C101="PBI Dev",IF(AND(R101="",Q101=""),"No target set",IF(AND(IF(R101&lt;&gt;"",R101,Q101)&lt;TODAY(),S101=""),"Overdue","On track")),IF(C101="QA",_xlfn.LET(_xlpm.tgt,IF(AL101&lt;&gt;"",AL101,IF(W101&lt;&gt;"",W101,V101)),_xlpm.sent,_xlfn.MAXIFS('Rework Log'!$B$3:$B$500,'Rework Log'!$A$3:$A$500,$B101,'Rework Log'!$C$3:$C$500,"QA"),_xlpm.act,IF(AND(X101&lt;&gt;"",X101&gt;_xlpm.sent),X101,""),IF(_xlpm.tgt="","No target set",IF(AND(_xlpm.tgt&lt;TODAY(),_xlpm.act=""),"Overdue","On track"))),IF(C101="DPO Approval",_xlfn.LET(_xlpm.tgt,IF(AM101&lt;&gt;"",AM101,IF(AA101&lt;&gt;"",AA101,Z101)),_xlpm.sent,_xlfn.MAXIFS('Rework Log'!$B$3:$B$500,'Rework Log'!$A$3:$A$500,$B101,'Rework Log'!$C$3:$C$500,"DPO*"),_xlpm.act,IF(AND(AB101&lt;&gt;"",AB101&gt;_xlpm.sent),AB101,""),IF(_xlpm.tgt="","No target set",IF(AND(_xlpm.tgt&lt;TODAY(),_xlpm.act=""),"Overdue","On track"))),IF(C101="RELEASED IN PROD","Delivered",""))))))))</f>
        <v>On track</v>
      </c>
      <c r="E101" s="31">
        <v>1</v>
      </c>
      <c r="F101" s="31" t="s">
        <v>129</v>
      </c>
      <c r="G101" s="31"/>
      <c r="H101" s="28">
        <v>46387</v>
      </c>
      <c r="I101" s="57" t="s">
        <v>288</v>
      </c>
      <c r="J101" s="55"/>
      <c r="L101" s="43"/>
      <c r="M101" s="31"/>
      <c r="N101" s="31"/>
      <c r="O101" s="36" t="s">
        <v>289</v>
      </c>
      <c r="P101" s="76"/>
      <c r="R101" s="43"/>
      <c r="S101" s="31"/>
      <c r="T101" s="70" t="s">
        <v>274</v>
      </c>
      <c r="U101" s="47"/>
      <c r="W101" s="43"/>
      <c r="X101" s="31"/>
      <c r="Y101" s="36"/>
      <c r="AA101" s="43"/>
      <c r="AB101" s="43"/>
      <c r="AC101" s="31" t="s">
        <v>290</v>
      </c>
      <c r="AD101" s="31" t="s">
        <v>93</v>
      </c>
      <c r="AE101" s="31"/>
      <c r="AF101" s="31"/>
      <c r="AG101" s="31"/>
      <c r="AH101" s="31"/>
      <c r="AI101" s="31"/>
      <c r="AJ101" s="31"/>
      <c r="AK101" s="31"/>
      <c r="AL101" s="31" t="str" cm="1">
        <f t="array" ref="AL101">_xlfn.LET(_xlpm.rep,$B101,_xlpm.sent,_xlfn.MAXIFS('Rework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1" s="31" t="str" cm="1">
        <f t="array" ref="AM101">_xlfn.LET(_xlpm.rep,$B101,_xlpm.sent,_xlfn.MAXIFS('Rework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2" spans="1:39" hidden="1">
      <c r="A102" s="31" t="s">
        <v>286</v>
      </c>
      <c r="B102" s="31" t="s">
        <v>291</v>
      </c>
      <c r="C102" s="31" t="s">
        <v>205</v>
      </c>
      <c r="D102" t="str" cm="1">
        <f t="array" aca="1" ref="D102" ca="1">IF($B102="","",IF(LEFT($AI102,3)="Yes","Blocked - "&amp;MID($AI102,7,100)&amp;IF(SUMPRODUCT(('Rework Log'!$A$3:$A$500=$B102)*('Rework Log'!$G$3:$G$500&lt;&gt;"Yes")*('Rework Log'!$G$3:$G$500&lt;&gt;"Did not pass re-test"))=0,"",IF(SUMPRODUCT(MAX((('Rework Log'!$A$3:$A$500=$B102)*('Rework Log'!$G$3:$G$500&lt;&gt;"Yes")*('Rework Log'!$G$3:$G$500&lt;&gt;"Did not pass re-test"))*'Rework Log'!$I$3:$I$500))=0," - unclaimed"," - promised "&amp;TEXT(SUMPRODUCT(MAX((('Rework Log'!$A$3:$A$500=$B102)*('Rework Log'!$G$3:$G$500&lt;&gt;"Yes")*('Rework Log'!$G$3:$G$500&lt;&gt;"Did not pass re-test"))*'Rework Log'!$I$3:$I$500)),"m/d"))),IF(C102="NOT STARTED",IF(H102="","No plan date set",IF(H102&lt;TODAY(),"Review - planned start passed","On track")),IF(C102="DB Dev",IF(AND(L102="",K102=""),"No target set",IF(AND(IF(L102&lt;&gt;"",L102,K102)&lt;TODAY(),M102=""),"Overdue","On track")),IF(C102="PBI Dev",IF(AND(R102="",Q102=""),"No target set",IF(AND(IF(R102&lt;&gt;"",R102,Q102)&lt;TODAY(),S102=""),"Overdue","On track")),IF(C102="QA",_xlfn.LET(_xlpm.tgt,IF(AL102&lt;&gt;"",AL102,IF(W102&lt;&gt;"",W102,V102)),_xlpm.sent,_xlfn.MAXIFS('Rework Log'!$B$3:$B$500,'Rework Log'!$A$3:$A$500,$B102,'Rework Log'!$C$3:$C$500,"QA"),_xlpm.act,IF(AND(X102&lt;&gt;"",X102&gt;_xlpm.sent),X102,""),IF(_xlpm.tgt="","No target set",IF(AND(_xlpm.tgt&lt;TODAY(),_xlpm.act=""),"Overdue","On track"))),IF(C102="DPO Approval",_xlfn.LET(_xlpm.tgt,IF(AM102&lt;&gt;"",AM102,IF(AA102&lt;&gt;"",AA102,Z102)),_xlpm.sent,_xlfn.MAXIFS('Rework Log'!$B$3:$B$500,'Rework Log'!$A$3:$A$500,$B102,'Rework Log'!$C$3:$C$500,"DPO*"),_xlpm.act,IF(AND(AB102&lt;&gt;"",AB102&gt;_xlpm.sent),AB102,""),IF(_xlpm.tgt="","No target set",IF(AND(_xlpm.tgt&lt;TODAY(),_xlpm.act=""),"Overdue","On track"))),IF(C102="RELEASED IN PROD","Delivered",""))))))))</f>
        <v>On track</v>
      </c>
      <c r="E102" s="31">
        <v>2</v>
      </c>
      <c r="F102" s="31" t="s">
        <v>129</v>
      </c>
      <c r="G102" s="31"/>
      <c r="H102" s="28">
        <v>46387</v>
      </c>
      <c r="I102" s="57" t="s">
        <v>288</v>
      </c>
      <c r="J102" s="55"/>
      <c r="L102" s="43"/>
      <c r="M102" s="31"/>
      <c r="N102" s="31"/>
      <c r="O102" s="36" t="s">
        <v>289</v>
      </c>
      <c r="P102" s="76"/>
      <c r="R102" s="43"/>
      <c r="S102" s="31"/>
      <c r="T102" s="70" t="s">
        <v>292</v>
      </c>
      <c r="U102" s="47"/>
      <c r="W102" s="43"/>
      <c r="X102" s="31"/>
      <c r="Y102" s="36"/>
      <c r="AA102" s="43"/>
      <c r="AB102" s="43"/>
      <c r="AC102" s="31" t="s">
        <v>293</v>
      </c>
      <c r="AD102" s="31" t="s">
        <v>93</v>
      </c>
      <c r="AE102" s="31"/>
      <c r="AF102" s="31"/>
      <c r="AG102" s="31"/>
      <c r="AH102" s="31"/>
      <c r="AI102" s="31"/>
      <c r="AJ102" s="31"/>
      <c r="AK102" s="31"/>
      <c r="AL102" s="31" t="str" cm="1">
        <f t="array" ref="AL102">_xlfn.LET(_xlpm.rep,$B102,_xlpm.sent,_xlfn.MAXIFS('Rework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2" s="31" t="str" cm="1">
        <f t="array" ref="AM102">_xlfn.LET(_xlpm.rep,$B102,_xlpm.sent,_xlfn.MAXIFS('Rework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3" spans="1:39" hidden="1">
      <c r="A103" s="31" t="s">
        <v>286</v>
      </c>
      <c r="B103" s="31" t="s">
        <v>294</v>
      </c>
      <c r="C103" s="31" t="s">
        <v>205</v>
      </c>
      <c r="D103" t="str" cm="1">
        <f t="array" aca="1" ref="D103" ca="1">IF($B103="","",IF(LEFT($AI103,3)="Yes","Blocked - "&amp;MID($AI103,7,100)&amp;IF(SUMPRODUCT(('Rework Log'!$A$3:$A$500=$B103)*('Rework Log'!$G$3:$G$500&lt;&gt;"Yes")*('Rework Log'!$G$3:$G$500&lt;&gt;"Did not pass re-test"))=0,"",IF(SUMPRODUCT(MAX((('Rework Log'!$A$3:$A$500=$B103)*('Rework Log'!$G$3:$G$500&lt;&gt;"Yes")*('Rework Log'!$G$3:$G$500&lt;&gt;"Did not pass re-test"))*'Rework Log'!$I$3:$I$500))=0," - unclaimed"," - promised "&amp;TEXT(SUMPRODUCT(MAX((('Rework Log'!$A$3:$A$500=$B103)*('Rework Log'!$G$3:$G$500&lt;&gt;"Yes")*('Rework Log'!$G$3:$G$500&lt;&gt;"Did not pass re-test"))*'Rework Log'!$I$3:$I$500)),"m/d"))),IF(C103="NOT STARTED",IF(H103="","No plan date set",IF(H103&lt;TODAY(),"Review - planned start passed","On track")),IF(C103="DB Dev",IF(AND(L103="",K103=""),"No target set",IF(AND(IF(L103&lt;&gt;"",L103,K103)&lt;TODAY(),M103=""),"Overdue","On track")),IF(C103="PBI Dev",IF(AND(R103="",Q103=""),"No target set",IF(AND(IF(R103&lt;&gt;"",R103,Q103)&lt;TODAY(),S103=""),"Overdue","On track")),IF(C103="QA",_xlfn.LET(_xlpm.tgt,IF(AL103&lt;&gt;"",AL103,IF(W103&lt;&gt;"",W103,V103)),_xlpm.sent,_xlfn.MAXIFS('Rework Log'!$B$3:$B$500,'Rework Log'!$A$3:$A$500,$B103,'Rework Log'!$C$3:$C$500,"QA"),_xlpm.act,IF(AND(X103&lt;&gt;"",X103&gt;_xlpm.sent),X103,""),IF(_xlpm.tgt="","No target set",IF(AND(_xlpm.tgt&lt;TODAY(),_xlpm.act=""),"Overdue","On track"))),IF(C103="DPO Approval",_xlfn.LET(_xlpm.tgt,IF(AM103&lt;&gt;"",AM103,IF(AA103&lt;&gt;"",AA103,Z103)),_xlpm.sent,_xlfn.MAXIFS('Rework Log'!$B$3:$B$500,'Rework Log'!$A$3:$A$500,$B103,'Rework Log'!$C$3:$C$500,"DPO*"),_xlpm.act,IF(AND(AB103&lt;&gt;"",AB103&gt;_xlpm.sent),AB103,""),IF(_xlpm.tgt="","No target set",IF(AND(_xlpm.tgt&lt;TODAY(),_xlpm.act=""),"Overdue","On track"))),IF(C103="RELEASED IN PROD","Delivered",""))))))))</f>
        <v>On track</v>
      </c>
      <c r="E103" s="31">
        <v>3</v>
      </c>
      <c r="F103" s="31" t="s">
        <v>129</v>
      </c>
      <c r="G103" s="31"/>
      <c r="H103" s="28">
        <v>46387</v>
      </c>
      <c r="I103" s="57" t="s">
        <v>288</v>
      </c>
      <c r="J103" s="55"/>
      <c r="L103" s="43"/>
      <c r="M103" s="31"/>
      <c r="N103" s="31"/>
      <c r="O103" s="36" t="s">
        <v>289</v>
      </c>
      <c r="P103" s="76"/>
      <c r="R103" s="43"/>
      <c r="S103" s="31"/>
      <c r="T103" s="70" t="s">
        <v>292</v>
      </c>
      <c r="U103" s="47"/>
      <c r="W103" s="43"/>
      <c r="X103" s="31"/>
      <c r="Y103" s="36"/>
      <c r="AA103" s="43"/>
      <c r="AB103" s="43"/>
      <c r="AC103" s="31" t="s">
        <v>295</v>
      </c>
      <c r="AD103" s="31" t="s">
        <v>93</v>
      </c>
      <c r="AE103" s="31"/>
      <c r="AF103" s="31"/>
      <c r="AG103" s="31"/>
      <c r="AH103" s="31"/>
      <c r="AI103" s="31"/>
      <c r="AJ103" s="31"/>
      <c r="AK103" s="31"/>
      <c r="AL103" s="31" t="str" cm="1">
        <f t="array" ref="AL103">_xlfn.LET(_xlpm.rep,$B103,_xlpm.sent,_xlfn.MAXIFS('Rework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3" s="31" t="str" cm="1">
        <f t="array" ref="AM103">_xlfn.LET(_xlpm.rep,$B103,_xlpm.sent,_xlfn.MAXIFS('Rework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4" spans="1:39" hidden="1">
      <c r="A104" s="31" t="s">
        <v>296</v>
      </c>
      <c r="B104" s="31" t="s">
        <v>297</v>
      </c>
      <c r="C104" s="31" t="s">
        <v>205</v>
      </c>
      <c r="D104" t="str" cm="1">
        <f t="array" aca="1" ref="D104" ca="1">IF($B104="","",IF(LEFT($AI104,3)="Yes","Blocked - "&amp;MID($AI104,7,100)&amp;IF(SUMPRODUCT(('Rework Log'!$A$3:$A$500=$B104)*('Rework Log'!$G$3:$G$500&lt;&gt;"Yes")*('Rework Log'!$G$3:$G$500&lt;&gt;"Did not pass re-test"))=0,"",IF(SUMPRODUCT(MAX((('Rework Log'!$A$3:$A$500=$B104)*('Rework Log'!$G$3:$G$500&lt;&gt;"Yes")*('Rework Log'!$G$3:$G$500&lt;&gt;"Did not pass re-test"))*'Rework Log'!$I$3:$I$500))=0," - unclaimed"," - promised "&amp;TEXT(SUMPRODUCT(MAX((('Rework Log'!$A$3:$A$500=$B104)*('Rework Log'!$G$3:$G$500&lt;&gt;"Yes")*('Rework Log'!$G$3:$G$500&lt;&gt;"Did not pass re-test"))*'Rework Log'!$I$3:$I$500)),"m/d"))),IF(C104="NOT STARTED",IF(H104="","No plan date set",IF(H104&lt;TODAY(),"Review - planned start passed","On track")),IF(C104="DB Dev",IF(AND(L104="",K104=""),"No target set",IF(AND(IF(L104&lt;&gt;"",L104,K104)&lt;TODAY(),M104=""),"Overdue","On track")),IF(C104="PBI Dev",IF(AND(R104="",Q104=""),"No target set",IF(AND(IF(R104&lt;&gt;"",R104,Q104)&lt;TODAY(),S104=""),"Overdue","On track")),IF(C104="QA",_xlfn.LET(_xlpm.tgt,IF(AL104&lt;&gt;"",AL104,IF(W104&lt;&gt;"",W104,V104)),_xlpm.sent,_xlfn.MAXIFS('Rework Log'!$B$3:$B$500,'Rework Log'!$A$3:$A$500,$B104,'Rework Log'!$C$3:$C$500,"QA"),_xlpm.act,IF(AND(X104&lt;&gt;"",X104&gt;_xlpm.sent),X104,""),IF(_xlpm.tgt="","No target set",IF(AND(_xlpm.tgt&lt;TODAY(),_xlpm.act=""),"Overdue","On track"))),IF(C104="DPO Approval",_xlfn.LET(_xlpm.tgt,IF(AM104&lt;&gt;"",AM104,IF(AA104&lt;&gt;"",AA104,Z104)),_xlpm.sent,_xlfn.MAXIFS('Rework Log'!$B$3:$B$500,'Rework Log'!$A$3:$A$500,$B104,'Rework Log'!$C$3:$C$500,"DPO*"),_xlpm.act,IF(AND(AB104&lt;&gt;"",AB104&gt;_xlpm.sent),AB104,""),IF(_xlpm.tgt="","No target set",IF(AND(_xlpm.tgt&lt;TODAY(),_xlpm.act=""),"Overdue","On track"))),IF(C104="RELEASED IN PROD","Delivered",""))))))))</f>
        <v>On track</v>
      </c>
      <c r="E104" s="31">
        <v>4</v>
      </c>
      <c r="F104" s="31" t="s">
        <v>146</v>
      </c>
      <c r="G104" s="31"/>
      <c r="H104" s="28">
        <v>46387</v>
      </c>
      <c r="I104" s="57" t="s">
        <v>288</v>
      </c>
      <c r="J104" s="55"/>
      <c r="L104" s="43"/>
      <c r="M104" s="31"/>
      <c r="N104" s="31"/>
      <c r="O104" s="36" t="s">
        <v>289</v>
      </c>
      <c r="P104" s="76"/>
      <c r="R104" s="43"/>
      <c r="S104" s="31"/>
      <c r="T104" s="70" t="s">
        <v>292</v>
      </c>
      <c r="U104" s="47"/>
      <c r="W104" s="43"/>
      <c r="X104" s="31"/>
      <c r="Y104" s="36"/>
      <c r="AA104" s="43"/>
      <c r="AB104" s="43"/>
      <c r="AC104" s="31" t="s">
        <v>298</v>
      </c>
      <c r="AD104" s="31" t="s">
        <v>48</v>
      </c>
      <c r="AE104" s="31"/>
      <c r="AF104" s="31"/>
      <c r="AG104" s="31"/>
      <c r="AH104" s="31"/>
      <c r="AI104" s="31"/>
      <c r="AJ104" s="31"/>
      <c r="AK104" s="31"/>
      <c r="AL104" s="31" t="str" cm="1">
        <f t="array" ref="AL104">_xlfn.LET(_xlpm.rep,$B104,_xlpm.sent,_xlfn.MAXIFS('Rework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4" s="31" t="str" cm="1">
        <f t="array" ref="AM104">_xlfn.LET(_xlpm.rep,$B104,_xlpm.sent,_xlfn.MAXIFS('Rework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5" spans="1:39" hidden="1">
      <c r="A105" s="31" t="s">
        <v>286</v>
      </c>
      <c r="B105" s="31" t="s">
        <v>299</v>
      </c>
      <c r="C105" s="31" t="s">
        <v>205</v>
      </c>
      <c r="D105" t="str" cm="1">
        <f t="array" aca="1" ref="D105" ca="1">IF($B105="","",IF(LEFT($AI105,3)="Yes","Blocked - "&amp;MID($AI105,7,100)&amp;IF(SUMPRODUCT(('Rework Log'!$A$3:$A$500=$B105)*('Rework Log'!$G$3:$G$500&lt;&gt;"Yes")*('Rework Log'!$G$3:$G$500&lt;&gt;"Did not pass re-test"))=0,"",IF(SUMPRODUCT(MAX((('Rework Log'!$A$3:$A$500=$B105)*('Rework Log'!$G$3:$G$500&lt;&gt;"Yes")*('Rework Log'!$G$3:$G$500&lt;&gt;"Did not pass re-test"))*'Rework Log'!$I$3:$I$500))=0," - unclaimed"," - promised "&amp;TEXT(SUMPRODUCT(MAX((('Rework Log'!$A$3:$A$500=$B105)*('Rework Log'!$G$3:$G$500&lt;&gt;"Yes")*('Rework Log'!$G$3:$G$500&lt;&gt;"Did not pass re-test"))*'Rework Log'!$I$3:$I$500)),"m/d"))),IF(C105="NOT STARTED",IF(H105="","No plan date set",IF(H105&lt;TODAY(),"Review - planned start passed","On track")),IF(C105="DB Dev",IF(AND(L105="",K105=""),"No target set",IF(AND(IF(L105&lt;&gt;"",L105,K105)&lt;TODAY(),M105=""),"Overdue","On track")),IF(C105="PBI Dev",IF(AND(R105="",Q105=""),"No target set",IF(AND(IF(R105&lt;&gt;"",R105,Q105)&lt;TODAY(),S105=""),"Overdue","On track")),IF(C105="QA",_xlfn.LET(_xlpm.tgt,IF(AL105&lt;&gt;"",AL105,IF(W105&lt;&gt;"",W105,V105)),_xlpm.sent,_xlfn.MAXIFS('Rework Log'!$B$3:$B$500,'Rework Log'!$A$3:$A$500,$B105,'Rework Log'!$C$3:$C$500,"QA"),_xlpm.act,IF(AND(X105&lt;&gt;"",X105&gt;_xlpm.sent),X105,""),IF(_xlpm.tgt="","No target set",IF(AND(_xlpm.tgt&lt;TODAY(),_xlpm.act=""),"Overdue","On track"))),IF(C105="DPO Approval",_xlfn.LET(_xlpm.tgt,IF(AM105&lt;&gt;"",AM105,IF(AA105&lt;&gt;"",AA105,Z105)),_xlpm.sent,_xlfn.MAXIFS('Rework Log'!$B$3:$B$500,'Rework Log'!$A$3:$A$500,$B105,'Rework Log'!$C$3:$C$500,"DPO*"),_xlpm.act,IF(AND(AB105&lt;&gt;"",AB105&gt;_xlpm.sent),AB105,""),IF(_xlpm.tgt="","No target set",IF(AND(_xlpm.tgt&lt;TODAY(),_xlpm.act=""),"Overdue","On track"))),IF(C105="RELEASED IN PROD","Delivered",""))))))))</f>
        <v>On track</v>
      </c>
      <c r="E105" s="31">
        <v>5</v>
      </c>
      <c r="F105" s="31" t="s">
        <v>129</v>
      </c>
      <c r="G105" s="31"/>
      <c r="H105" s="28">
        <v>46387</v>
      </c>
      <c r="I105" s="57" t="s">
        <v>288</v>
      </c>
      <c r="J105" s="55"/>
      <c r="L105" s="43"/>
      <c r="M105" s="31"/>
      <c r="N105" s="31"/>
      <c r="O105" s="36" t="s">
        <v>289</v>
      </c>
      <c r="P105" s="76"/>
      <c r="R105" s="43"/>
      <c r="S105" s="31"/>
      <c r="T105" s="70" t="s">
        <v>292</v>
      </c>
      <c r="U105" s="47"/>
      <c r="W105" s="43"/>
      <c r="X105" s="31"/>
      <c r="Y105" s="36"/>
      <c r="AA105" s="43"/>
      <c r="AB105" s="43"/>
      <c r="AC105" s="31" t="s">
        <v>300</v>
      </c>
      <c r="AD105" s="31" t="s">
        <v>71</v>
      </c>
      <c r="AE105" s="31"/>
      <c r="AF105" s="31"/>
      <c r="AG105" s="31"/>
      <c r="AH105" s="31"/>
      <c r="AI105" s="31"/>
      <c r="AJ105" s="31"/>
      <c r="AK105" s="31"/>
      <c r="AL105" s="31" t="str" cm="1">
        <f t="array" ref="AL105">_xlfn.LET(_xlpm.rep,$B105,_xlpm.sent,_xlfn.MAXIFS('Rework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5" s="31" t="str" cm="1">
        <f t="array" ref="AM105">_xlfn.LET(_xlpm.rep,$B105,_xlpm.sent,_xlfn.MAXIFS('Rework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6" spans="1:39" hidden="1">
      <c r="A106" s="31" t="s">
        <v>286</v>
      </c>
      <c r="B106" s="31" t="s">
        <v>301</v>
      </c>
      <c r="C106" s="31" t="s">
        <v>205</v>
      </c>
      <c r="D106" t="str" cm="1">
        <f t="array" aca="1" ref="D106" ca="1">IF($B106="","",IF(LEFT($AI106,3)="Yes","Blocked - "&amp;MID($AI106,7,100)&amp;IF(SUMPRODUCT(('Rework Log'!$A$3:$A$500=$B106)*('Rework Log'!$G$3:$G$500&lt;&gt;"Yes")*('Rework Log'!$G$3:$G$500&lt;&gt;"Did not pass re-test"))=0,"",IF(SUMPRODUCT(MAX((('Rework Log'!$A$3:$A$500=$B106)*('Rework Log'!$G$3:$G$500&lt;&gt;"Yes")*('Rework Log'!$G$3:$G$500&lt;&gt;"Did not pass re-test"))*'Rework Log'!$I$3:$I$500))=0," - unclaimed"," - promised "&amp;TEXT(SUMPRODUCT(MAX((('Rework Log'!$A$3:$A$500=$B106)*('Rework Log'!$G$3:$G$500&lt;&gt;"Yes")*('Rework Log'!$G$3:$G$500&lt;&gt;"Did not pass re-test"))*'Rework Log'!$I$3:$I$500)),"m/d"))),IF(C106="NOT STARTED",IF(H106="","No plan date set",IF(H106&lt;TODAY(),"Review - planned start passed","On track")),IF(C106="DB Dev",IF(AND(L106="",K106=""),"No target set",IF(AND(IF(L106&lt;&gt;"",L106,K106)&lt;TODAY(),M106=""),"Overdue","On track")),IF(C106="PBI Dev",IF(AND(R106="",Q106=""),"No target set",IF(AND(IF(R106&lt;&gt;"",R106,Q106)&lt;TODAY(),S106=""),"Overdue","On track")),IF(C106="QA",_xlfn.LET(_xlpm.tgt,IF(AL106&lt;&gt;"",AL106,IF(W106&lt;&gt;"",W106,V106)),_xlpm.sent,_xlfn.MAXIFS('Rework Log'!$B$3:$B$500,'Rework Log'!$A$3:$A$500,$B106,'Rework Log'!$C$3:$C$500,"QA"),_xlpm.act,IF(AND(X106&lt;&gt;"",X106&gt;_xlpm.sent),X106,""),IF(_xlpm.tgt="","No target set",IF(AND(_xlpm.tgt&lt;TODAY(),_xlpm.act=""),"Overdue","On track"))),IF(C106="DPO Approval",_xlfn.LET(_xlpm.tgt,IF(AM106&lt;&gt;"",AM106,IF(AA106&lt;&gt;"",AA106,Z106)),_xlpm.sent,_xlfn.MAXIFS('Rework Log'!$B$3:$B$500,'Rework Log'!$A$3:$A$500,$B106,'Rework Log'!$C$3:$C$500,"DPO*"),_xlpm.act,IF(AND(AB106&lt;&gt;"",AB106&gt;_xlpm.sent),AB106,""),IF(_xlpm.tgt="","No target set",IF(AND(_xlpm.tgt&lt;TODAY(),_xlpm.act=""),"Overdue","On track"))),IF(C106="RELEASED IN PROD","Delivered",""))))))))</f>
        <v>On track</v>
      </c>
      <c r="E106" s="31">
        <v>6</v>
      </c>
      <c r="F106" s="31" t="s">
        <v>129</v>
      </c>
      <c r="G106" s="31"/>
      <c r="H106" s="28">
        <v>46387</v>
      </c>
      <c r="I106" s="57" t="s">
        <v>288</v>
      </c>
      <c r="J106" s="55"/>
      <c r="L106" s="43"/>
      <c r="M106" s="31"/>
      <c r="N106" s="31"/>
      <c r="O106" s="36" t="s">
        <v>289</v>
      </c>
      <c r="P106" s="76"/>
      <c r="R106" s="43"/>
      <c r="S106" s="31"/>
      <c r="T106" s="70" t="s">
        <v>292</v>
      </c>
      <c r="U106" s="47"/>
      <c r="W106" s="43"/>
      <c r="X106" s="31"/>
      <c r="Y106" s="36"/>
      <c r="AA106" s="43"/>
      <c r="AB106" s="43"/>
      <c r="AC106" s="31" t="s">
        <v>302</v>
      </c>
      <c r="AD106" s="31" t="s">
        <v>71</v>
      </c>
      <c r="AE106" s="31"/>
      <c r="AF106" s="31"/>
      <c r="AG106" s="31"/>
      <c r="AH106" s="31"/>
      <c r="AI106" s="31"/>
      <c r="AJ106" s="31"/>
      <c r="AK106" s="31"/>
      <c r="AL106" s="31" t="str" cm="1">
        <f t="array" ref="AL106">_xlfn.LET(_xlpm.rep,$B106,_xlpm.sent,_xlfn.MAXIFS('Rework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6" s="31" t="str" cm="1">
        <f t="array" ref="AM106">_xlfn.LET(_xlpm.rep,$B106,_xlpm.sent,_xlfn.MAXIFS('Rework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7" spans="1:39" hidden="1">
      <c r="A107" s="31" t="s">
        <v>286</v>
      </c>
      <c r="B107" s="31" t="s">
        <v>303</v>
      </c>
      <c r="C107" s="31" t="s">
        <v>205</v>
      </c>
      <c r="D107" t="str" cm="1">
        <f t="array" aca="1" ref="D107" ca="1">IF($B107="","",IF(LEFT($AI107,3)="Yes","Blocked - "&amp;MID($AI107,7,100)&amp;IF(SUMPRODUCT(('Rework Log'!$A$3:$A$500=$B107)*('Rework Log'!$G$3:$G$500&lt;&gt;"Yes")*('Rework Log'!$G$3:$G$500&lt;&gt;"Did not pass re-test"))=0,"",IF(SUMPRODUCT(MAX((('Rework Log'!$A$3:$A$500=$B107)*('Rework Log'!$G$3:$G$500&lt;&gt;"Yes")*('Rework Log'!$G$3:$G$500&lt;&gt;"Did not pass re-test"))*'Rework Log'!$I$3:$I$500))=0," - unclaimed"," - promised "&amp;TEXT(SUMPRODUCT(MAX((('Rework Log'!$A$3:$A$500=$B107)*('Rework Log'!$G$3:$G$500&lt;&gt;"Yes")*('Rework Log'!$G$3:$G$500&lt;&gt;"Did not pass re-test"))*'Rework Log'!$I$3:$I$500)),"m/d"))),IF(C107="NOT STARTED",IF(H107="","No plan date set",IF(H107&lt;TODAY(),"Review - planned start passed","On track")),IF(C107="DB Dev",IF(AND(L107="",K107=""),"No target set",IF(AND(IF(L107&lt;&gt;"",L107,K107)&lt;TODAY(),M107=""),"Overdue","On track")),IF(C107="PBI Dev",IF(AND(R107="",Q107=""),"No target set",IF(AND(IF(R107&lt;&gt;"",R107,Q107)&lt;TODAY(),S107=""),"Overdue","On track")),IF(C107="QA",_xlfn.LET(_xlpm.tgt,IF(AL107&lt;&gt;"",AL107,IF(W107&lt;&gt;"",W107,V107)),_xlpm.sent,_xlfn.MAXIFS('Rework Log'!$B$3:$B$500,'Rework Log'!$A$3:$A$500,$B107,'Rework Log'!$C$3:$C$500,"QA"),_xlpm.act,IF(AND(X107&lt;&gt;"",X107&gt;_xlpm.sent),X107,""),IF(_xlpm.tgt="","No target set",IF(AND(_xlpm.tgt&lt;TODAY(),_xlpm.act=""),"Overdue","On track"))),IF(C107="DPO Approval",_xlfn.LET(_xlpm.tgt,IF(AM107&lt;&gt;"",AM107,IF(AA107&lt;&gt;"",AA107,Z107)),_xlpm.sent,_xlfn.MAXIFS('Rework Log'!$B$3:$B$500,'Rework Log'!$A$3:$A$500,$B107,'Rework Log'!$C$3:$C$500,"DPO*"),_xlpm.act,IF(AND(AB107&lt;&gt;"",AB107&gt;_xlpm.sent),AB107,""),IF(_xlpm.tgt="","No target set",IF(AND(_xlpm.tgt&lt;TODAY(),_xlpm.act=""),"Overdue","On track"))),IF(C107="RELEASED IN PROD","Delivered",""))))))))</f>
        <v>On track</v>
      </c>
      <c r="E107" s="31">
        <v>7</v>
      </c>
      <c r="F107" s="31" t="s">
        <v>129</v>
      </c>
      <c r="G107" s="31"/>
      <c r="H107" s="28">
        <v>46387</v>
      </c>
      <c r="I107" s="57" t="s">
        <v>288</v>
      </c>
      <c r="J107" s="55"/>
      <c r="L107" s="43"/>
      <c r="M107" s="31"/>
      <c r="N107" s="31"/>
      <c r="O107" s="36" t="s">
        <v>289</v>
      </c>
      <c r="P107" s="76"/>
      <c r="R107" s="43"/>
      <c r="S107" s="31"/>
      <c r="T107" s="70" t="s">
        <v>292</v>
      </c>
      <c r="U107" s="47"/>
      <c r="W107" s="43"/>
      <c r="X107" s="31"/>
      <c r="Y107" s="36"/>
      <c r="AA107" s="43"/>
      <c r="AB107" s="43"/>
      <c r="AC107" s="31" t="s">
        <v>304</v>
      </c>
      <c r="AD107" s="31" t="s">
        <v>71</v>
      </c>
      <c r="AE107" s="31"/>
      <c r="AF107" s="31"/>
      <c r="AG107" s="31"/>
      <c r="AH107" s="31"/>
      <c r="AI107" s="31"/>
      <c r="AJ107" s="31"/>
      <c r="AK107" s="31"/>
      <c r="AL107" s="31" t="str" cm="1">
        <f t="array" ref="AL107">_xlfn.LET(_xlpm.rep,$B107,_xlpm.sent,_xlfn.MAXIFS('Rework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7" s="31" t="str" cm="1">
        <f t="array" ref="AM107">_xlfn.LET(_xlpm.rep,$B107,_xlpm.sent,_xlfn.MAXIFS('Rework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8" spans="1:39" hidden="1">
      <c r="A108" s="31" t="s">
        <v>286</v>
      </c>
      <c r="B108" s="31" t="s">
        <v>305</v>
      </c>
      <c r="C108" s="31" t="s">
        <v>205</v>
      </c>
      <c r="D108" t="str" cm="1">
        <f t="array" aca="1" ref="D108" ca="1">IF($B108="","",IF(LEFT($AI108,3)="Yes","Blocked - "&amp;MID($AI108,7,100)&amp;IF(SUMPRODUCT(('Rework Log'!$A$3:$A$500=$B108)*('Rework Log'!$G$3:$G$500&lt;&gt;"Yes")*('Rework Log'!$G$3:$G$500&lt;&gt;"Did not pass re-test"))=0,"",IF(SUMPRODUCT(MAX((('Rework Log'!$A$3:$A$500=$B108)*('Rework Log'!$G$3:$G$500&lt;&gt;"Yes")*('Rework Log'!$G$3:$G$500&lt;&gt;"Did not pass re-test"))*'Rework Log'!$I$3:$I$500))=0," - unclaimed"," - promised "&amp;TEXT(SUMPRODUCT(MAX((('Rework Log'!$A$3:$A$500=$B108)*('Rework Log'!$G$3:$G$500&lt;&gt;"Yes")*('Rework Log'!$G$3:$G$500&lt;&gt;"Did not pass re-test"))*'Rework Log'!$I$3:$I$500)),"m/d"))),IF(C108="NOT STARTED",IF(H108="","No plan date set",IF(H108&lt;TODAY(),"Review - planned start passed","On track")),IF(C108="DB Dev",IF(AND(L108="",K108=""),"No target set",IF(AND(IF(L108&lt;&gt;"",L108,K108)&lt;TODAY(),M108=""),"Overdue","On track")),IF(C108="PBI Dev",IF(AND(R108="",Q108=""),"No target set",IF(AND(IF(R108&lt;&gt;"",R108,Q108)&lt;TODAY(),S108=""),"Overdue","On track")),IF(C108="QA",_xlfn.LET(_xlpm.tgt,IF(AL108&lt;&gt;"",AL108,IF(W108&lt;&gt;"",W108,V108)),_xlpm.sent,_xlfn.MAXIFS('Rework Log'!$B$3:$B$500,'Rework Log'!$A$3:$A$500,$B108,'Rework Log'!$C$3:$C$500,"QA"),_xlpm.act,IF(AND(X108&lt;&gt;"",X108&gt;_xlpm.sent),X108,""),IF(_xlpm.tgt="","No target set",IF(AND(_xlpm.tgt&lt;TODAY(),_xlpm.act=""),"Overdue","On track"))),IF(C108="DPO Approval",_xlfn.LET(_xlpm.tgt,IF(AM108&lt;&gt;"",AM108,IF(AA108&lt;&gt;"",AA108,Z108)),_xlpm.sent,_xlfn.MAXIFS('Rework Log'!$B$3:$B$500,'Rework Log'!$A$3:$A$500,$B108,'Rework Log'!$C$3:$C$500,"DPO*"),_xlpm.act,IF(AND(AB108&lt;&gt;"",AB108&gt;_xlpm.sent),AB108,""),IF(_xlpm.tgt="","No target set",IF(AND(_xlpm.tgt&lt;TODAY(),_xlpm.act=""),"Overdue","On track"))),IF(C108="RELEASED IN PROD","Delivered",""))))))))</f>
        <v>On track</v>
      </c>
      <c r="E108" s="31">
        <v>8</v>
      </c>
      <c r="F108" s="31" t="s">
        <v>129</v>
      </c>
      <c r="G108" s="31"/>
      <c r="H108" s="28">
        <v>46387</v>
      </c>
      <c r="I108" s="57" t="s">
        <v>288</v>
      </c>
      <c r="J108" s="55"/>
      <c r="L108" s="43"/>
      <c r="M108" s="31"/>
      <c r="N108" s="31"/>
      <c r="O108" s="36" t="s">
        <v>306</v>
      </c>
      <c r="P108" s="76"/>
      <c r="R108" s="43"/>
      <c r="S108" s="31"/>
      <c r="T108" s="70" t="s">
        <v>292</v>
      </c>
      <c r="U108" s="47"/>
      <c r="W108" s="43"/>
      <c r="X108" s="31"/>
      <c r="Y108" s="36"/>
      <c r="AA108" s="43"/>
      <c r="AB108" s="43"/>
      <c r="AC108" s="31" t="s">
        <v>307</v>
      </c>
      <c r="AD108" s="31" t="s">
        <v>71</v>
      </c>
      <c r="AE108" s="31"/>
      <c r="AF108" s="31"/>
      <c r="AG108" s="31"/>
      <c r="AH108" s="31"/>
      <c r="AI108" s="31"/>
      <c r="AJ108" s="31"/>
      <c r="AK108" s="31"/>
      <c r="AL108" s="31" t="str" cm="1">
        <f t="array" ref="AL108">_xlfn.LET(_xlpm.rep,$B108,_xlpm.sent,_xlfn.MAXIFS('Rework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8" s="31" t="str" cm="1">
        <f t="array" ref="AM108">_xlfn.LET(_xlpm.rep,$B108,_xlpm.sent,_xlfn.MAXIFS('Rework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09" spans="1:39" hidden="1">
      <c r="A109" s="31" t="s">
        <v>296</v>
      </c>
      <c r="B109" s="31" t="s">
        <v>308</v>
      </c>
      <c r="C109" s="31" t="s">
        <v>205</v>
      </c>
      <c r="D109" t="str" cm="1">
        <f t="array" aca="1" ref="D109" ca="1">IF($B109="","",IF(LEFT($AI109,3)="Yes","Blocked - "&amp;MID($AI109,7,100)&amp;IF(SUMPRODUCT(('Rework Log'!$A$3:$A$500=$B109)*('Rework Log'!$G$3:$G$500&lt;&gt;"Yes")*('Rework Log'!$G$3:$G$500&lt;&gt;"Did not pass re-test"))=0,"",IF(SUMPRODUCT(MAX((('Rework Log'!$A$3:$A$500=$B109)*('Rework Log'!$G$3:$G$500&lt;&gt;"Yes")*('Rework Log'!$G$3:$G$500&lt;&gt;"Did not pass re-test"))*'Rework Log'!$I$3:$I$500))=0," - unclaimed"," - promised "&amp;TEXT(SUMPRODUCT(MAX((('Rework Log'!$A$3:$A$500=$B109)*('Rework Log'!$G$3:$G$500&lt;&gt;"Yes")*('Rework Log'!$G$3:$G$500&lt;&gt;"Did not pass re-test"))*'Rework Log'!$I$3:$I$500)),"m/d"))),IF(C109="NOT STARTED",IF(H109="","No plan date set",IF(H109&lt;TODAY(),"Review - planned start passed","On track")),IF(C109="DB Dev",IF(AND(L109="",K109=""),"No target set",IF(AND(IF(L109&lt;&gt;"",L109,K109)&lt;TODAY(),M109=""),"Overdue","On track")),IF(C109="PBI Dev",IF(AND(R109="",Q109=""),"No target set",IF(AND(IF(R109&lt;&gt;"",R109,Q109)&lt;TODAY(),S109=""),"Overdue","On track")),IF(C109="QA",_xlfn.LET(_xlpm.tgt,IF(AL109&lt;&gt;"",AL109,IF(W109&lt;&gt;"",W109,V109)),_xlpm.sent,_xlfn.MAXIFS('Rework Log'!$B$3:$B$500,'Rework Log'!$A$3:$A$500,$B109,'Rework Log'!$C$3:$C$500,"QA"),_xlpm.act,IF(AND(X109&lt;&gt;"",X109&gt;_xlpm.sent),X109,""),IF(_xlpm.tgt="","No target set",IF(AND(_xlpm.tgt&lt;TODAY(),_xlpm.act=""),"Overdue","On track"))),IF(C109="DPO Approval",_xlfn.LET(_xlpm.tgt,IF(AM109&lt;&gt;"",AM109,IF(AA109&lt;&gt;"",AA109,Z109)),_xlpm.sent,_xlfn.MAXIFS('Rework Log'!$B$3:$B$500,'Rework Log'!$A$3:$A$500,$B109,'Rework Log'!$C$3:$C$500,"DPO*"),_xlpm.act,IF(AND(AB109&lt;&gt;"",AB109&gt;_xlpm.sent),AB109,""),IF(_xlpm.tgt="","No target set",IF(AND(_xlpm.tgt&lt;TODAY(),_xlpm.act=""),"Overdue","On track"))),IF(C109="RELEASED IN PROD","Delivered",""))))))))</f>
        <v>On track</v>
      </c>
      <c r="E109" s="31">
        <v>9</v>
      </c>
      <c r="F109" s="31" t="s">
        <v>146</v>
      </c>
      <c r="G109" s="31"/>
      <c r="H109" s="28">
        <v>46387</v>
      </c>
      <c r="I109" s="57" t="s">
        <v>288</v>
      </c>
      <c r="J109" s="55"/>
      <c r="L109" s="43"/>
      <c r="M109" s="31"/>
      <c r="N109" s="31"/>
      <c r="O109" s="36" t="s">
        <v>306</v>
      </c>
      <c r="P109" s="76"/>
      <c r="R109" s="43"/>
      <c r="S109" s="31"/>
      <c r="T109" s="70" t="s">
        <v>309</v>
      </c>
      <c r="U109" s="47"/>
      <c r="W109" s="43"/>
      <c r="X109" s="31"/>
      <c r="Y109" s="36"/>
      <c r="AA109" s="43"/>
      <c r="AB109" s="43"/>
      <c r="AC109" s="31" t="s">
        <v>310</v>
      </c>
      <c r="AD109" s="31" t="s">
        <v>71</v>
      </c>
      <c r="AE109" s="31"/>
      <c r="AF109" s="31"/>
      <c r="AG109" s="31"/>
      <c r="AH109" s="31"/>
      <c r="AI109" s="31"/>
      <c r="AJ109" s="31"/>
      <c r="AK109" s="31"/>
      <c r="AL109" s="31" t="str" cm="1">
        <f t="array" ref="AL109">_xlfn.LET(_xlpm.rep,$B109,_xlpm.sent,_xlfn.MAXIFS('Rework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09" s="31" t="str" cm="1">
        <f t="array" ref="AM109">_xlfn.LET(_xlpm.rep,$B109,_xlpm.sent,_xlfn.MAXIFS('Rework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0" spans="1:39" hidden="1">
      <c r="A110" s="31" t="s">
        <v>286</v>
      </c>
      <c r="B110" s="31" t="s">
        <v>311</v>
      </c>
      <c r="C110" s="31" t="s">
        <v>205</v>
      </c>
      <c r="D110" t="str" cm="1">
        <f t="array" aca="1" ref="D110" ca="1">IF($B110="","",IF(LEFT($AI110,3)="Yes","Blocked - "&amp;MID($AI110,7,100)&amp;IF(SUMPRODUCT(('Rework Log'!$A$3:$A$500=$B110)*('Rework Log'!$G$3:$G$500&lt;&gt;"Yes")*('Rework Log'!$G$3:$G$500&lt;&gt;"Did not pass re-test"))=0,"",IF(SUMPRODUCT(MAX((('Rework Log'!$A$3:$A$500=$B110)*('Rework Log'!$G$3:$G$500&lt;&gt;"Yes")*('Rework Log'!$G$3:$G$500&lt;&gt;"Did not pass re-test"))*'Rework Log'!$I$3:$I$500))=0," - unclaimed"," - promised "&amp;TEXT(SUMPRODUCT(MAX((('Rework Log'!$A$3:$A$500=$B110)*('Rework Log'!$G$3:$G$500&lt;&gt;"Yes")*('Rework Log'!$G$3:$G$500&lt;&gt;"Did not pass re-test"))*'Rework Log'!$I$3:$I$500)),"m/d"))),IF(C110="NOT STARTED",IF(H110="","No plan date set",IF(H110&lt;TODAY(),"Review - planned start passed","On track")),IF(C110="DB Dev",IF(AND(L110="",K110=""),"No target set",IF(AND(IF(L110&lt;&gt;"",L110,K110)&lt;TODAY(),M110=""),"Overdue","On track")),IF(C110="PBI Dev",IF(AND(R110="",Q110=""),"No target set",IF(AND(IF(R110&lt;&gt;"",R110,Q110)&lt;TODAY(),S110=""),"Overdue","On track")),IF(C110="QA",_xlfn.LET(_xlpm.tgt,IF(AL110&lt;&gt;"",AL110,IF(W110&lt;&gt;"",W110,V110)),_xlpm.sent,_xlfn.MAXIFS('Rework Log'!$B$3:$B$500,'Rework Log'!$A$3:$A$500,$B110,'Rework Log'!$C$3:$C$500,"QA"),_xlpm.act,IF(AND(X110&lt;&gt;"",X110&gt;_xlpm.sent),X110,""),IF(_xlpm.tgt="","No target set",IF(AND(_xlpm.tgt&lt;TODAY(),_xlpm.act=""),"Overdue","On track"))),IF(C110="DPO Approval",_xlfn.LET(_xlpm.tgt,IF(AM110&lt;&gt;"",AM110,IF(AA110&lt;&gt;"",AA110,Z110)),_xlpm.sent,_xlfn.MAXIFS('Rework Log'!$B$3:$B$500,'Rework Log'!$A$3:$A$500,$B110,'Rework Log'!$C$3:$C$500,"DPO*"),_xlpm.act,IF(AND(AB110&lt;&gt;"",AB110&gt;_xlpm.sent),AB110,""),IF(_xlpm.tgt="","No target set",IF(AND(_xlpm.tgt&lt;TODAY(),_xlpm.act=""),"Overdue","On track"))),IF(C110="RELEASED IN PROD","Delivered",""))))))))</f>
        <v>On track</v>
      </c>
      <c r="E110" s="31">
        <v>10</v>
      </c>
      <c r="F110" s="31" t="s">
        <v>129</v>
      </c>
      <c r="G110" s="31"/>
      <c r="H110" s="28">
        <v>46387</v>
      </c>
      <c r="I110" s="57" t="s">
        <v>288</v>
      </c>
      <c r="J110" s="55"/>
      <c r="L110" s="43"/>
      <c r="M110" s="31"/>
      <c r="N110" s="31"/>
      <c r="O110" s="36" t="s">
        <v>306</v>
      </c>
      <c r="P110" s="76"/>
      <c r="R110" s="43"/>
      <c r="S110" s="31"/>
      <c r="T110" s="70" t="s">
        <v>309</v>
      </c>
      <c r="U110" s="47"/>
      <c r="W110" s="43"/>
      <c r="X110" s="31"/>
      <c r="Y110" s="36"/>
      <c r="AA110" s="43"/>
      <c r="AB110" s="43"/>
      <c r="AC110" s="31" t="s">
        <v>312</v>
      </c>
      <c r="AD110" s="31" t="s">
        <v>71</v>
      </c>
      <c r="AE110" s="31"/>
      <c r="AF110" s="31"/>
      <c r="AG110" s="31"/>
      <c r="AH110" s="31"/>
      <c r="AI110" s="31"/>
      <c r="AJ110" s="31"/>
      <c r="AK110" s="31"/>
      <c r="AL110" s="31" t="str" cm="1">
        <f t="array" ref="AL110">_xlfn.LET(_xlpm.rep,$B110,_xlpm.sent,_xlfn.MAXIFS('Rework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0" s="31" t="str" cm="1">
        <f t="array" ref="AM110">_xlfn.LET(_xlpm.rep,$B110,_xlpm.sent,_xlfn.MAXIFS('Rework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1" spans="1:39" hidden="1">
      <c r="A111" s="31" t="s">
        <v>296</v>
      </c>
      <c r="B111" s="31" t="s">
        <v>313</v>
      </c>
      <c r="C111" s="31" t="s">
        <v>205</v>
      </c>
      <c r="D111" t="str" cm="1">
        <f t="array" aca="1" ref="D111" ca="1">IF($B111="","",IF(LEFT($AI111,3)="Yes","Blocked - "&amp;MID($AI111,7,100)&amp;IF(SUMPRODUCT(('Rework Log'!$A$3:$A$500=$B111)*('Rework Log'!$G$3:$G$500&lt;&gt;"Yes")*('Rework Log'!$G$3:$G$500&lt;&gt;"Did not pass re-test"))=0,"",IF(SUMPRODUCT(MAX((('Rework Log'!$A$3:$A$500=$B111)*('Rework Log'!$G$3:$G$500&lt;&gt;"Yes")*('Rework Log'!$G$3:$G$500&lt;&gt;"Did not pass re-test"))*'Rework Log'!$I$3:$I$500))=0," - unclaimed"," - promised "&amp;TEXT(SUMPRODUCT(MAX((('Rework Log'!$A$3:$A$500=$B111)*('Rework Log'!$G$3:$G$500&lt;&gt;"Yes")*('Rework Log'!$G$3:$G$500&lt;&gt;"Did not pass re-test"))*'Rework Log'!$I$3:$I$500)),"m/d"))),IF(C111="NOT STARTED",IF(H111="","No plan date set",IF(H111&lt;TODAY(),"Review - planned start passed","On track")),IF(C111="DB Dev",IF(AND(L111="",K111=""),"No target set",IF(AND(IF(L111&lt;&gt;"",L111,K111)&lt;TODAY(),M111=""),"Overdue","On track")),IF(C111="PBI Dev",IF(AND(R111="",Q111=""),"No target set",IF(AND(IF(R111&lt;&gt;"",R111,Q111)&lt;TODAY(),S111=""),"Overdue","On track")),IF(C111="QA",_xlfn.LET(_xlpm.tgt,IF(AL111&lt;&gt;"",AL111,IF(W111&lt;&gt;"",W111,V111)),_xlpm.sent,_xlfn.MAXIFS('Rework Log'!$B$3:$B$500,'Rework Log'!$A$3:$A$500,$B111,'Rework Log'!$C$3:$C$500,"QA"),_xlpm.act,IF(AND(X111&lt;&gt;"",X111&gt;_xlpm.sent),X111,""),IF(_xlpm.tgt="","No target set",IF(AND(_xlpm.tgt&lt;TODAY(),_xlpm.act=""),"Overdue","On track"))),IF(C111="DPO Approval",_xlfn.LET(_xlpm.tgt,IF(AM111&lt;&gt;"",AM111,IF(AA111&lt;&gt;"",AA111,Z111)),_xlpm.sent,_xlfn.MAXIFS('Rework Log'!$B$3:$B$500,'Rework Log'!$A$3:$A$500,$B111,'Rework Log'!$C$3:$C$500,"DPO*"),_xlpm.act,IF(AND(AB111&lt;&gt;"",AB111&gt;_xlpm.sent),AB111,""),IF(_xlpm.tgt="","No target set",IF(AND(_xlpm.tgt&lt;TODAY(),_xlpm.act=""),"Overdue","On track"))),IF(C111="RELEASED IN PROD","Delivered",""))))))))</f>
        <v>On track</v>
      </c>
      <c r="E111" s="31">
        <v>11</v>
      </c>
      <c r="F111" s="31" t="s">
        <v>146</v>
      </c>
      <c r="G111" s="31"/>
      <c r="H111" s="28">
        <v>46387</v>
      </c>
      <c r="I111" s="57" t="s">
        <v>288</v>
      </c>
      <c r="J111" s="55"/>
      <c r="L111" s="43"/>
      <c r="M111" s="31"/>
      <c r="N111" s="31"/>
      <c r="O111" s="36" t="s">
        <v>306</v>
      </c>
      <c r="P111" s="76"/>
      <c r="R111" s="43"/>
      <c r="S111" s="31"/>
      <c r="T111" s="70" t="s">
        <v>309</v>
      </c>
      <c r="U111" s="47"/>
      <c r="W111" s="43"/>
      <c r="X111" s="31"/>
      <c r="Y111" s="36"/>
      <c r="AA111" s="43"/>
      <c r="AB111" s="43"/>
      <c r="AC111" s="31" t="s">
        <v>314</v>
      </c>
      <c r="AD111" s="31" t="s">
        <v>71</v>
      </c>
      <c r="AE111" s="31"/>
      <c r="AF111" s="31"/>
      <c r="AG111" s="31"/>
      <c r="AH111" s="31"/>
      <c r="AI111" s="31"/>
      <c r="AJ111" s="31"/>
      <c r="AK111" s="31"/>
      <c r="AL111" s="31" t="str" cm="1">
        <f t="array" ref="AL111">_xlfn.LET(_xlpm.rep,$B111,_xlpm.sent,_xlfn.MAXIFS('Rework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1" s="31" t="str" cm="1">
        <f t="array" ref="AM111">_xlfn.LET(_xlpm.rep,$B111,_xlpm.sent,_xlfn.MAXIFS('Rework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2" spans="1:39" hidden="1">
      <c r="A112" s="31" t="s">
        <v>296</v>
      </c>
      <c r="B112" s="31" t="s">
        <v>315</v>
      </c>
      <c r="C112" s="31" t="s">
        <v>205</v>
      </c>
      <c r="D112" t="str" cm="1">
        <f t="array" aca="1" ref="D112" ca="1">IF($B112="","",IF(LEFT($AI112,3)="Yes","Blocked - "&amp;MID($AI112,7,100)&amp;IF(SUMPRODUCT(('Rework Log'!$A$3:$A$500=$B112)*('Rework Log'!$G$3:$G$500&lt;&gt;"Yes")*('Rework Log'!$G$3:$G$500&lt;&gt;"Did not pass re-test"))=0,"",IF(SUMPRODUCT(MAX((('Rework Log'!$A$3:$A$500=$B112)*('Rework Log'!$G$3:$G$500&lt;&gt;"Yes")*('Rework Log'!$G$3:$G$500&lt;&gt;"Did not pass re-test"))*'Rework Log'!$I$3:$I$500))=0," - unclaimed"," - promised "&amp;TEXT(SUMPRODUCT(MAX((('Rework Log'!$A$3:$A$500=$B112)*('Rework Log'!$G$3:$G$500&lt;&gt;"Yes")*('Rework Log'!$G$3:$G$500&lt;&gt;"Did not pass re-test"))*'Rework Log'!$I$3:$I$500)),"m/d"))),IF(C112="NOT STARTED",IF(H112="","No plan date set",IF(H112&lt;TODAY(),"Review - planned start passed","On track")),IF(C112="DB Dev",IF(AND(L112="",K112=""),"No target set",IF(AND(IF(L112&lt;&gt;"",L112,K112)&lt;TODAY(),M112=""),"Overdue","On track")),IF(C112="PBI Dev",IF(AND(R112="",Q112=""),"No target set",IF(AND(IF(R112&lt;&gt;"",R112,Q112)&lt;TODAY(),S112=""),"Overdue","On track")),IF(C112="QA",_xlfn.LET(_xlpm.tgt,IF(AL112&lt;&gt;"",AL112,IF(W112&lt;&gt;"",W112,V112)),_xlpm.sent,_xlfn.MAXIFS('Rework Log'!$B$3:$B$500,'Rework Log'!$A$3:$A$500,$B112,'Rework Log'!$C$3:$C$500,"QA"),_xlpm.act,IF(AND(X112&lt;&gt;"",X112&gt;_xlpm.sent),X112,""),IF(_xlpm.tgt="","No target set",IF(AND(_xlpm.tgt&lt;TODAY(),_xlpm.act=""),"Overdue","On track"))),IF(C112="DPO Approval",_xlfn.LET(_xlpm.tgt,IF(AM112&lt;&gt;"",AM112,IF(AA112&lt;&gt;"",AA112,Z112)),_xlpm.sent,_xlfn.MAXIFS('Rework Log'!$B$3:$B$500,'Rework Log'!$A$3:$A$500,$B112,'Rework Log'!$C$3:$C$500,"DPO*"),_xlpm.act,IF(AND(AB112&lt;&gt;"",AB112&gt;_xlpm.sent),AB112,""),IF(_xlpm.tgt="","No target set",IF(AND(_xlpm.tgt&lt;TODAY(),_xlpm.act=""),"Overdue","On track"))),IF(C112="RELEASED IN PROD","Delivered",""))))))))</f>
        <v>On track</v>
      </c>
      <c r="E112" s="31">
        <v>12</v>
      </c>
      <c r="F112" s="31" t="s">
        <v>146</v>
      </c>
      <c r="G112" s="31"/>
      <c r="H112" s="28">
        <v>46387</v>
      </c>
      <c r="I112" s="57" t="s">
        <v>288</v>
      </c>
      <c r="J112" s="55"/>
      <c r="L112" s="43"/>
      <c r="M112" s="31"/>
      <c r="N112" s="31"/>
      <c r="O112" s="36" t="s">
        <v>306</v>
      </c>
      <c r="P112" s="76"/>
      <c r="R112" s="43"/>
      <c r="S112" s="31"/>
      <c r="T112" s="70" t="s">
        <v>309</v>
      </c>
      <c r="U112" s="47"/>
      <c r="W112" s="43"/>
      <c r="X112" s="31"/>
      <c r="Y112" s="36"/>
      <c r="AA112" s="43"/>
      <c r="AB112" s="43"/>
      <c r="AC112" s="31" t="s">
        <v>310</v>
      </c>
      <c r="AD112" s="31" t="s">
        <v>71</v>
      </c>
      <c r="AE112" s="31"/>
      <c r="AF112" s="31"/>
      <c r="AG112" s="31"/>
      <c r="AH112" s="31"/>
      <c r="AI112" s="31"/>
      <c r="AJ112" s="31"/>
      <c r="AK112" s="31"/>
      <c r="AL112" s="31" t="str" cm="1">
        <f t="array" ref="AL112">_xlfn.LET(_xlpm.rep,$B112,_xlpm.sent,_xlfn.MAXIFS('Rework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2" s="31" t="str" cm="1">
        <f t="array" ref="AM112">_xlfn.LET(_xlpm.rep,$B112,_xlpm.sent,_xlfn.MAXIFS('Rework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3" spans="1:39" hidden="1">
      <c r="A113" s="31" t="s">
        <v>296</v>
      </c>
      <c r="B113" s="31" t="s">
        <v>316</v>
      </c>
      <c r="C113" s="31" t="s">
        <v>205</v>
      </c>
      <c r="D113" t="str" cm="1">
        <f t="array" aca="1" ref="D113" ca="1">IF($B113="","",IF(LEFT($AI113,3)="Yes","Blocked - "&amp;MID($AI113,7,100)&amp;IF(SUMPRODUCT(('Rework Log'!$A$3:$A$500=$B113)*('Rework Log'!$G$3:$G$500&lt;&gt;"Yes")*('Rework Log'!$G$3:$G$500&lt;&gt;"Did not pass re-test"))=0,"",IF(SUMPRODUCT(MAX((('Rework Log'!$A$3:$A$500=$B113)*('Rework Log'!$G$3:$G$500&lt;&gt;"Yes")*('Rework Log'!$G$3:$G$500&lt;&gt;"Did not pass re-test"))*'Rework Log'!$I$3:$I$500))=0," - unclaimed"," - promised "&amp;TEXT(SUMPRODUCT(MAX((('Rework Log'!$A$3:$A$500=$B113)*('Rework Log'!$G$3:$G$500&lt;&gt;"Yes")*('Rework Log'!$G$3:$G$500&lt;&gt;"Did not pass re-test"))*'Rework Log'!$I$3:$I$500)),"m/d"))),IF(C113="NOT STARTED",IF(H113="","No plan date set",IF(H113&lt;TODAY(),"Review - planned start passed","On track")),IF(C113="DB Dev",IF(AND(L113="",K113=""),"No target set",IF(AND(IF(L113&lt;&gt;"",L113,K113)&lt;TODAY(),M113=""),"Overdue","On track")),IF(C113="PBI Dev",IF(AND(R113="",Q113=""),"No target set",IF(AND(IF(R113&lt;&gt;"",R113,Q113)&lt;TODAY(),S113=""),"Overdue","On track")),IF(C113="QA",_xlfn.LET(_xlpm.tgt,IF(AL113&lt;&gt;"",AL113,IF(W113&lt;&gt;"",W113,V113)),_xlpm.sent,_xlfn.MAXIFS('Rework Log'!$B$3:$B$500,'Rework Log'!$A$3:$A$500,$B113,'Rework Log'!$C$3:$C$500,"QA"),_xlpm.act,IF(AND(X113&lt;&gt;"",X113&gt;_xlpm.sent),X113,""),IF(_xlpm.tgt="","No target set",IF(AND(_xlpm.tgt&lt;TODAY(),_xlpm.act=""),"Overdue","On track"))),IF(C113="DPO Approval",_xlfn.LET(_xlpm.tgt,IF(AM113&lt;&gt;"",AM113,IF(AA113&lt;&gt;"",AA113,Z113)),_xlpm.sent,_xlfn.MAXIFS('Rework Log'!$B$3:$B$500,'Rework Log'!$A$3:$A$500,$B113,'Rework Log'!$C$3:$C$500,"DPO*"),_xlpm.act,IF(AND(AB113&lt;&gt;"",AB113&gt;_xlpm.sent),AB113,""),IF(_xlpm.tgt="","No target set",IF(AND(_xlpm.tgt&lt;TODAY(),_xlpm.act=""),"Overdue","On track"))),IF(C113="RELEASED IN PROD","Delivered",""))))))))</f>
        <v>On track</v>
      </c>
      <c r="E113" s="31">
        <v>13</v>
      </c>
      <c r="F113" s="31" t="s">
        <v>146</v>
      </c>
      <c r="G113" s="31"/>
      <c r="H113" s="28">
        <v>46387</v>
      </c>
      <c r="I113" s="57" t="s">
        <v>288</v>
      </c>
      <c r="J113" s="55"/>
      <c r="L113" s="43"/>
      <c r="M113" s="31"/>
      <c r="N113" s="31"/>
      <c r="O113" s="36" t="s">
        <v>306</v>
      </c>
      <c r="P113" s="76"/>
      <c r="R113" s="43"/>
      <c r="S113" s="31"/>
      <c r="T113" s="70" t="s">
        <v>309</v>
      </c>
      <c r="U113" s="47"/>
      <c r="W113" s="43"/>
      <c r="X113" s="31"/>
      <c r="Y113" s="36"/>
      <c r="AA113" s="43"/>
      <c r="AB113" s="43"/>
      <c r="AC113" s="31" t="s">
        <v>310</v>
      </c>
      <c r="AD113" s="31" t="s">
        <v>71</v>
      </c>
      <c r="AE113" s="31"/>
      <c r="AF113" s="31"/>
      <c r="AG113" s="31"/>
      <c r="AH113" s="31"/>
      <c r="AI113" s="31"/>
      <c r="AJ113" s="31"/>
      <c r="AK113" s="31"/>
      <c r="AL113" s="31" t="str" cm="1">
        <f t="array" ref="AL113">_xlfn.LET(_xlpm.rep,$B113,_xlpm.sent,_xlfn.MAXIFS('Rework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3" s="31" t="str" cm="1">
        <f t="array" ref="AM113">_xlfn.LET(_xlpm.rep,$B113,_xlpm.sent,_xlfn.MAXIFS('Rework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4" spans="1:39" hidden="1">
      <c r="A114" s="31" t="s">
        <v>296</v>
      </c>
      <c r="B114" s="31" t="s">
        <v>317</v>
      </c>
      <c r="C114" s="31" t="s">
        <v>205</v>
      </c>
      <c r="D114" t="str" cm="1">
        <f t="array" aca="1" ref="D114" ca="1">IF($B114="","",IF(LEFT($AI114,3)="Yes","Blocked - "&amp;MID($AI114,7,100)&amp;IF(SUMPRODUCT(('Rework Log'!$A$3:$A$500=$B114)*('Rework Log'!$G$3:$G$500&lt;&gt;"Yes")*('Rework Log'!$G$3:$G$500&lt;&gt;"Did not pass re-test"))=0,"",IF(SUMPRODUCT(MAX((('Rework Log'!$A$3:$A$500=$B114)*('Rework Log'!$G$3:$G$500&lt;&gt;"Yes")*('Rework Log'!$G$3:$G$500&lt;&gt;"Did not pass re-test"))*'Rework Log'!$I$3:$I$500))=0," - unclaimed"," - promised "&amp;TEXT(SUMPRODUCT(MAX((('Rework Log'!$A$3:$A$500=$B114)*('Rework Log'!$G$3:$G$500&lt;&gt;"Yes")*('Rework Log'!$G$3:$G$500&lt;&gt;"Did not pass re-test"))*'Rework Log'!$I$3:$I$500)),"m/d"))),IF(C114="NOT STARTED",IF(H114="","No plan date set",IF(H114&lt;TODAY(),"Review - planned start passed","On track")),IF(C114="DB Dev",IF(AND(L114="",K114=""),"No target set",IF(AND(IF(L114&lt;&gt;"",L114,K114)&lt;TODAY(),M114=""),"Overdue","On track")),IF(C114="PBI Dev",IF(AND(R114="",Q114=""),"No target set",IF(AND(IF(R114&lt;&gt;"",R114,Q114)&lt;TODAY(),S114=""),"Overdue","On track")),IF(C114="QA",_xlfn.LET(_xlpm.tgt,IF(AL114&lt;&gt;"",AL114,IF(W114&lt;&gt;"",W114,V114)),_xlpm.sent,_xlfn.MAXIFS('Rework Log'!$B$3:$B$500,'Rework Log'!$A$3:$A$500,$B114,'Rework Log'!$C$3:$C$500,"QA"),_xlpm.act,IF(AND(X114&lt;&gt;"",X114&gt;_xlpm.sent),X114,""),IF(_xlpm.tgt="","No target set",IF(AND(_xlpm.tgt&lt;TODAY(),_xlpm.act=""),"Overdue","On track"))),IF(C114="DPO Approval",_xlfn.LET(_xlpm.tgt,IF(AM114&lt;&gt;"",AM114,IF(AA114&lt;&gt;"",AA114,Z114)),_xlpm.sent,_xlfn.MAXIFS('Rework Log'!$B$3:$B$500,'Rework Log'!$A$3:$A$500,$B114,'Rework Log'!$C$3:$C$500,"DPO*"),_xlpm.act,IF(AND(AB114&lt;&gt;"",AB114&gt;_xlpm.sent),AB114,""),IF(_xlpm.tgt="","No target set",IF(AND(_xlpm.tgt&lt;TODAY(),_xlpm.act=""),"Overdue","On track"))),IF(C114="RELEASED IN PROD","Delivered",""))))))))</f>
        <v>On track</v>
      </c>
      <c r="E114" s="31">
        <v>14</v>
      </c>
      <c r="F114" s="31" t="s">
        <v>146</v>
      </c>
      <c r="G114" s="31"/>
      <c r="H114" s="28">
        <v>46387</v>
      </c>
      <c r="I114" s="57" t="s">
        <v>288</v>
      </c>
      <c r="J114" s="55"/>
      <c r="L114" s="43"/>
      <c r="M114" s="31"/>
      <c r="N114" s="31"/>
      <c r="O114" s="36" t="s">
        <v>318</v>
      </c>
      <c r="P114" s="76"/>
      <c r="R114" s="43"/>
      <c r="S114" s="31"/>
      <c r="T114" s="70" t="s">
        <v>309</v>
      </c>
      <c r="U114" s="47"/>
      <c r="W114" s="43"/>
      <c r="X114" s="31"/>
      <c r="Y114" s="36"/>
      <c r="AA114" s="43"/>
      <c r="AB114" s="43"/>
      <c r="AC114" s="31" t="s">
        <v>314</v>
      </c>
      <c r="AD114" s="31" t="s">
        <v>71</v>
      </c>
      <c r="AE114" s="31"/>
      <c r="AF114" s="31"/>
      <c r="AG114" s="31"/>
      <c r="AH114" s="31"/>
      <c r="AI114" s="31"/>
      <c r="AJ114" s="31"/>
      <c r="AK114" s="31"/>
      <c r="AL114" s="31" t="str" cm="1">
        <f t="array" ref="AL114">_xlfn.LET(_xlpm.rep,$B114,_xlpm.sent,_xlfn.MAXIFS('Rework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4" s="31" t="str" cm="1">
        <f t="array" ref="AM114">_xlfn.LET(_xlpm.rep,$B114,_xlpm.sent,_xlfn.MAXIFS('Rework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5" spans="1:39" hidden="1">
      <c r="A115" s="31" t="s">
        <v>296</v>
      </c>
      <c r="B115" s="31" t="s">
        <v>319</v>
      </c>
      <c r="C115" s="31" t="s">
        <v>205</v>
      </c>
      <c r="D115" t="str" cm="1">
        <f t="array" aca="1" ref="D115" ca="1">IF($B115="","",IF(LEFT($AI115,3)="Yes","Blocked - "&amp;MID($AI115,7,100)&amp;IF(SUMPRODUCT(('Rework Log'!$A$3:$A$500=$B115)*('Rework Log'!$G$3:$G$500&lt;&gt;"Yes")*('Rework Log'!$G$3:$G$500&lt;&gt;"Did not pass re-test"))=0,"",IF(SUMPRODUCT(MAX((('Rework Log'!$A$3:$A$500=$B115)*('Rework Log'!$G$3:$G$500&lt;&gt;"Yes")*('Rework Log'!$G$3:$G$500&lt;&gt;"Did not pass re-test"))*'Rework Log'!$I$3:$I$500))=0," - unclaimed"," - promised "&amp;TEXT(SUMPRODUCT(MAX((('Rework Log'!$A$3:$A$500=$B115)*('Rework Log'!$G$3:$G$500&lt;&gt;"Yes")*('Rework Log'!$G$3:$G$500&lt;&gt;"Did not pass re-test"))*'Rework Log'!$I$3:$I$500)),"m/d"))),IF(C115="NOT STARTED",IF(H115="","No plan date set",IF(H115&lt;TODAY(),"Review - planned start passed","On track")),IF(C115="DB Dev",IF(AND(L115="",K115=""),"No target set",IF(AND(IF(L115&lt;&gt;"",L115,K115)&lt;TODAY(),M115=""),"Overdue","On track")),IF(C115="PBI Dev",IF(AND(R115="",Q115=""),"No target set",IF(AND(IF(R115&lt;&gt;"",R115,Q115)&lt;TODAY(),S115=""),"Overdue","On track")),IF(C115="QA",_xlfn.LET(_xlpm.tgt,IF(AL115&lt;&gt;"",AL115,IF(W115&lt;&gt;"",W115,V115)),_xlpm.sent,_xlfn.MAXIFS('Rework Log'!$B$3:$B$500,'Rework Log'!$A$3:$A$500,$B115,'Rework Log'!$C$3:$C$500,"QA"),_xlpm.act,IF(AND(X115&lt;&gt;"",X115&gt;_xlpm.sent),X115,""),IF(_xlpm.tgt="","No target set",IF(AND(_xlpm.tgt&lt;TODAY(),_xlpm.act=""),"Overdue","On track"))),IF(C115="DPO Approval",_xlfn.LET(_xlpm.tgt,IF(AM115&lt;&gt;"",AM115,IF(AA115&lt;&gt;"",AA115,Z115)),_xlpm.sent,_xlfn.MAXIFS('Rework Log'!$B$3:$B$500,'Rework Log'!$A$3:$A$500,$B115,'Rework Log'!$C$3:$C$500,"DPO*"),_xlpm.act,IF(AND(AB115&lt;&gt;"",AB115&gt;_xlpm.sent),AB115,""),IF(_xlpm.tgt="","No target set",IF(AND(_xlpm.tgt&lt;TODAY(),_xlpm.act=""),"Overdue","On track"))),IF(C115="RELEASED IN PROD","Delivered",""))))))))</f>
        <v>On track</v>
      </c>
      <c r="E115" s="31">
        <v>15</v>
      </c>
      <c r="F115" s="31" t="s">
        <v>146</v>
      </c>
      <c r="G115" s="31"/>
      <c r="H115" s="28">
        <v>46387</v>
      </c>
      <c r="I115" s="57" t="s">
        <v>288</v>
      </c>
      <c r="J115" s="55"/>
      <c r="L115" s="43"/>
      <c r="M115" s="31"/>
      <c r="N115" s="31"/>
      <c r="O115" s="36" t="s">
        <v>318</v>
      </c>
      <c r="P115" s="76"/>
      <c r="R115" s="43"/>
      <c r="S115" s="31"/>
      <c r="T115" s="70" t="s">
        <v>309</v>
      </c>
      <c r="U115" s="47"/>
      <c r="W115" s="43"/>
      <c r="X115" s="31"/>
      <c r="Y115" s="36"/>
      <c r="AA115" s="43"/>
      <c r="AB115" s="43"/>
      <c r="AC115" s="31" t="s">
        <v>260</v>
      </c>
      <c r="AD115" s="31" t="s">
        <v>71</v>
      </c>
      <c r="AE115" s="31"/>
      <c r="AF115" s="31"/>
      <c r="AG115" s="31"/>
      <c r="AH115" s="31"/>
      <c r="AI115" s="31"/>
      <c r="AJ115" s="31"/>
      <c r="AK115" s="31"/>
      <c r="AL115" s="31" t="str" cm="1">
        <f t="array" ref="AL115">_xlfn.LET(_xlpm.rep,$B115,_xlpm.sent,_xlfn.MAXIFS('Rework Log'!$B$3:$B$500,'Rework Log'!$A$3:$A$500,_xlpm.rep,'Rework Log'!$C$3:$C$500,"QA"),_xlpm.fixdate,_xlfn.MAXIFS('Rework Log'!$J$3:$J$500,'Rework Log'!$A$3:$A$500,_xlpm.rep,'Rework Log'!$C$3:$C$500,"QA",'Rework Log'!$B$3:$B$500,_xlpm.sent),_xlpm.expfix,_xlfn.MAXIFS('Rework Log'!$I$3:$I$500,'Rework Log'!$A$3:$A$500,_xlpm.rep,'Rework Log'!$C$3:$C$500,"QA",'Rework Log'!$B$3:$B$500,_xlpm.sent),_xlpm.base,IF(_xlpm.fixdate&gt;0,_xlpm.fixdate,_xlpm.expfix),IF(OR(_xlpm.rep="",_xlpm.sent=0,_xlpm.base=0),"",WORKDAY(_xlpm.base,3)))</f>
        <v/>
      </c>
      <c r="AM115" s="31" t="str" cm="1">
        <f t="array" ref="AM115">_xlfn.LET(_xlpm.rep,$B115,_xlpm.sent,_xlfn.MAXIFS('Rework Log'!$B$3:$B$500,'Rework Log'!$A$3:$A$500,_xlpm.rep,'Rework Log'!$C$3:$C$500,"DPO*"),_xlpm.fixdate,_xlfn.MAXIFS('Rework Log'!$J$3:$J$500,'Rework Log'!$A$3:$A$500,_xlpm.rep,'Rework Log'!$C$3:$C$500,"DPO*",'Rework Log'!$B$3:$B$500,_xlpm.sent),_xlpm.expfix,_xlfn.MAXIFS('Rework Log'!$I$3:$I$500,'Rework Log'!$A$3:$A$500,_xlpm.rep,'Rework Log'!$C$3:$C$500,"DPO*",'Rework Log'!$B$3:$B$500,_xlpm.sent),_xlpm.base,IF(_xlpm.fixdate&gt;0,_xlpm.fixdate,_xlpm.expfix),IF(OR(_xlpm.rep="",_xlpm.sent=0,_xlpm.base=0),"",WORKDAY(_xlpm.base,7)))</f>
        <v/>
      </c>
    </row>
    <row r="116" spans="1:39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31"/>
      <c r="P116" s="67"/>
      <c r="R116" s="31"/>
      <c r="S116" s="31"/>
      <c r="T116" s="72"/>
      <c r="U116" s="31"/>
      <c r="W116" s="31"/>
      <c r="X116" s="31"/>
      <c r="Y116" s="31"/>
      <c r="AA116" s="31"/>
      <c r="AB116" s="31"/>
      <c r="AC116" s="31"/>
      <c r="AD116" s="31"/>
      <c r="AE116" s="31"/>
      <c r="AF116" s="31"/>
      <c r="AH116" s="31"/>
    </row>
    <row r="117" spans="1:39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31"/>
      <c r="P117" s="67"/>
      <c r="R117" s="31"/>
      <c r="S117" s="31"/>
      <c r="T117" s="72"/>
      <c r="U117" s="31"/>
      <c r="W117" s="31"/>
      <c r="X117" s="31"/>
      <c r="Y117" s="31"/>
      <c r="AA117" s="31"/>
      <c r="AB117" s="31"/>
      <c r="AC117" s="31"/>
      <c r="AD117" s="31"/>
      <c r="AE117" s="31"/>
      <c r="AF117" s="31"/>
      <c r="AH117" s="31"/>
    </row>
    <row r="118" spans="1:39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31"/>
      <c r="P118" s="67"/>
      <c r="R118" s="31"/>
      <c r="S118" s="31"/>
      <c r="T118" s="72"/>
      <c r="U118" s="31"/>
      <c r="W118" s="31"/>
      <c r="X118" s="31"/>
      <c r="Y118" s="31"/>
      <c r="AA118" s="31"/>
      <c r="AB118" s="31"/>
      <c r="AC118" s="31"/>
      <c r="AD118" s="31"/>
      <c r="AE118" s="31"/>
      <c r="AF118" s="31"/>
      <c r="AH118" s="31"/>
    </row>
    <row r="119" spans="1:39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31"/>
      <c r="P119" s="67"/>
      <c r="R119" s="31"/>
      <c r="S119" s="31"/>
      <c r="T119" s="72"/>
      <c r="U119" s="31"/>
      <c r="W119" s="31"/>
      <c r="X119" s="31"/>
      <c r="Y119" s="31"/>
      <c r="AA119" s="31"/>
      <c r="AB119" s="31"/>
      <c r="AC119" s="31"/>
      <c r="AD119" s="31"/>
      <c r="AE119" s="31"/>
      <c r="AF119" s="31"/>
      <c r="AH119" s="31"/>
    </row>
    <row r="120" spans="1:39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31"/>
      <c r="P120" s="67"/>
      <c r="R120" s="31"/>
      <c r="S120" s="31"/>
      <c r="T120" s="72"/>
      <c r="U120" s="31"/>
      <c r="W120" s="31"/>
      <c r="X120" s="31"/>
      <c r="Y120" s="31"/>
      <c r="AA120" s="31"/>
      <c r="AB120" s="31"/>
      <c r="AC120" s="31"/>
      <c r="AD120" s="31"/>
      <c r="AE120" s="31"/>
      <c r="AF120" s="31"/>
      <c r="AH120" s="31"/>
    </row>
    <row r="121" spans="1:39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31"/>
      <c r="P121" s="67"/>
      <c r="R121" s="31"/>
      <c r="S121" s="31"/>
      <c r="T121" s="72"/>
      <c r="U121" s="31"/>
      <c r="W121" s="31"/>
      <c r="X121" s="31"/>
      <c r="Y121" s="31"/>
      <c r="AA121" s="31"/>
      <c r="AB121" s="31"/>
      <c r="AC121" s="31"/>
      <c r="AD121" s="31"/>
      <c r="AE121" s="31"/>
      <c r="AF121" s="31"/>
      <c r="AH121" s="31"/>
    </row>
    <row r="122" spans="1:39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31"/>
      <c r="P122" s="67"/>
      <c r="R122" s="31"/>
      <c r="S122" s="31"/>
      <c r="T122" s="72"/>
      <c r="U122" s="31"/>
      <c r="W122" s="31"/>
      <c r="X122" s="31"/>
      <c r="Y122" s="31"/>
      <c r="AA122" s="31"/>
      <c r="AB122" s="31"/>
      <c r="AC122" s="31"/>
      <c r="AD122" s="31"/>
      <c r="AE122" s="31"/>
      <c r="AF122" s="31"/>
      <c r="AH122" s="31"/>
    </row>
    <row r="123" spans="1:39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31"/>
      <c r="P123" s="67"/>
      <c r="R123" s="31"/>
      <c r="S123" s="31"/>
      <c r="T123" s="72"/>
      <c r="U123" s="31"/>
      <c r="W123" s="31"/>
      <c r="X123" s="31"/>
      <c r="Y123" s="31"/>
      <c r="AA123" s="31"/>
      <c r="AB123" s="31"/>
      <c r="AC123" s="31"/>
      <c r="AD123" s="31"/>
      <c r="AE123" s="31"/>
      <c r="AF123" s="31"/>
      <c r="AH123" s="31"/>
    </row>
    <row r="124" spans="1:39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31"/>
      <c r="P124" s="67"/>
      <c r="R124" s="31"/>
      <c r="S124" s="31"/>
      <c r="T124" s="72"/>
      <c r="U124" s="31"/>
      <c r="W124" s="31"/>
      <c r="X124" s="31"/>
      <c r="Y124" s="31"/>
      <c r="AA124" s="31"/>
      <c r="AB124" s="31"/>
      <c r="AC124" s="31"/>
      <c r="AD124" s="31"/>
      <c r="AE124" s="31"/>
      <c r="AF124" s="31"/>
      <c r="AH124" s="31"/>
    </row>
    <row r="125" spans="1:39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31"/>
      <c r="P125" s="67"/>
      <c r="R125" s="31"/>
      <c r="S125" s="31"/>
      <c r="T125" s="72"/>
      <c r="U125" s="31"/>
      <c r="W125" s="31"/>
      <c r="X125" s="31"/>
      <c r="Y125" s="31"/>
      <c r="AA125" s="31"/>
      <c r="AB125" s="31"/>
      <c r="AC125" s="31"/>
      <c r="AD125" s="31"/>
      <c r="AE125" s="31"/>
      <c r="AF125" s="31"/>
      <c r="AH125" s="31"/>
    </row>
    <row r="126" spans="1:39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31"/>
      <c r="P126" s="67"/>
      <c r="R126" s="31"/>
      <c r="S126" s="31"/>
      <c r="T126" s="72"/>
      <c r="U126" s="31"/>
      <c r="W126" s="31"/>
      <c r="X126" s="31"/>
      <c r="Y126" s="31"/>
      <c r="AA126" s="31"/>
      <c r="AB126" s="31"/>
      <c r="AC126" s="31"/>
      <c r="AD126" s="31"/>
      <c r="AE126" s="31"/>
      <c r="AF126" s="31"/>
      <c r="AH126" s="31"/>
    </row>
    <row r="127" spans="1:39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31"/>
      <c r="P127" s="67"/>
      <c r="R127" s="31"/>
      <c r="S127" s="31"/>
      <c r="T127" s="72"/>
      <c r="U127" s="31"/>
      <c r="W127" s="31"/>
      <c r="X127" s="31"/>
      <c r="Y127" s="31"/>
      <c r="AA127" s="31"/>
      <c r="AB127" s="31"/>
      <c r="AC127" s="31"/>
      <c r="AD127" s="31"/>
      <c r="AE127" s="31"/>
      <c r="AF127" s="31"/>
      <c r="AH127" s="31"/>
    </row>
    <row r="128" spans="1:39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31"/>
      <c r="P128" s="67"/>
      <c r="R128" s="31"/>
      <c r="S128" s="31"/>
      <c r="T128" s="72"/>
      <c r="U128" s="31"/>
      <c r="W128" s="31"/>
      <c r="X128" s="31"/>
      <c r="Y128" s="31"/>
      <c r="AA128" s="31"/>
      <c r="AB128" s="31"/>
      <c r="AC128" s="31"/>
      <c r="AD128" s="31"/>
      <c r="AE128" s="31"/>
      <c r="AF128" s="31"/>
      <c r="AH128" s="31"/>
    </row>
    <row r="129" spans="1:34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31"/>
      <c r="P129" s="67"/>
      <c r="R129" s="31"/>
      <c r="S129" s="31"/>
      <c r="T129" s="72"/>
      <c r="U129" s="31"/>
      <c r="W129" s="31"/>
      <c r="X129" s="31"/>
      <c r="Y129" s="31"/>
      <c r="AA129" s="31"/>
      <c r="AB129" s="31"/>
      <c r="AC129" s="31"/>
      <c r="AD129" s="31"/>
      <c r="AE129" s="31"/>
      <c r="AF129" s="31"/>
      <c r="AH129" s="31"/>
    </row>
    <row r="130" spans="1:34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31"/>
      <c r="P130" s="67"/>
      <c r="R130" s="31"/>
      <c r="S130" s="31"/>
      <c r="T130" s="72"/>
      <c r="U130" s="31"/>
      <c r="W130" s="31"/>
      <c r="X130" s="31"/>
      <c r="Y130" s="31"/>
      <c r="AA130" s="31"/>
      <c r="AB130" s="31"/>
      <c r="AC130" s="31"/>
      <c r="AD130" s="31"/>
      <c r="AE130" s="31"/>
      <c r="AF130" s="31"/>
      <c r="AH130" s="31"/>
    </row>
    <row r="131" spans="1:34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31"/>
      <c r="P131" s="67"/>
      <c r="R131" s="31"/>
      <c r="S131" s="31"/>
      <c r="T131" s="72"/>
      <c r="U131" s="31"/>
      <c r="W131" s="31"/>
      <c r="X131" s="31"/>
      <c r="Y131" s="31"/>
      <c r="AA131" s="31"/>
      <c r="AB131" s="31"/>
      <c r="AC131" s="31"/>
      <c r="AD131" s="31"/>
      <c r="AE131" s="31"/>
      <c r="AF131" s="31"/>
      <c r="AH131" s="31"/>
    </row>
    <row r="132" spans="1:34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31"/>
      <c r="P132" s="67"/>
      <c r="R132" s="31"/>
      <c r="S132" s="31"/>
      <c r="T132" s="72"/>
      <c r="U132" s="31"/>
      <c r="W132" s="31"/>
      <c r="X132" s="31"/>
      <c r="Y132" s="31"/>
      <c r="AA132" s="31"/>
      <c r="AB132" s="31"/>
      <c r="AC132" s="31"/>
      <c r="AD132" s="31"/>
      <c r="AE132" s="31"/>
      <c r="AF132" s="31"/>
      <c r="AH132" s="31"/>
    </row>
    <row r="133" spans="1:34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31"/>
      <c r="P133" s="67"/>
      <c r="R133" s="31"/>
      <c r="S133" s="31"/>
      <c r="T133" s="72"/>
      <c r="U133" s="31"/>
      <c r="W133" s="31"/>
      <c r="X133" s="31"/>
      <c r="Y133" s="31"/>
      <c r="AA133" s="31"/>
      <c r="AB133" s="31"/>
      <c r="AC133" s="31"/>
      <c r="AD133" s="31"/>
      <c r="AE133" s="31"/>
      <c r="AF133" s="31"/>
      <c r="AH133" s="31"/>
    </row>
    <row r="134" spans="1:34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31"/>
      <c r="P134" s="67"/>
      <c r="R134" s="31"/>
      <c r="S134" s="31"/>
      <c r="T134" s="72"/>
      <c r="U134" s="31"/>
      <c r="W134" s="31"/>
      <c r="X134" s="31"/>
      <c r="Y134" s="31"/>
      <c r="AA134" s="31"/>
      <c r="AB134" s="31"/>
      <c r="AC134" s="31"/>
      <c r="AD134" s="31"/>
      <c r="AE134" s="31"/>
      <c r="AF134" s="31"/>
      <c r="AH134" s="31"/>
    </row>
    <row r="135" spans="1:34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31"/>
      <c r="P135" s="67"/>
      <c r="R135" s="31"/>
      <c r="S135" s="31"/>
      <c r="T135" s="72"/>
      <c r="U135" s="31"/>
      <c r="W135" s="31"/>
      <c r="X135" s="31"/>
      <c r="Y135" s="31"/>
      <c r="AA135" s="31"/>
      <c r="AB135" s="31"/>
      <c r="AC135" s="31"/>
      <c r="AD135" s="31"/>
      <c r="AE135" s="31"/>
      <c r="AF135" s="31"/>
      <c r="AH135" s="31"/>
    </row>
    <row r="136" spans="1:34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31"/>
      <c r="P136" s="67"/>
      <c r="R136" s="31"/>
      <c r="S136" s="31"/>
      <c r="T136" s="72"/>
      <c r="U136" s="31"/>
      <c r="W136" s="31"/>
      <c r="X136" s="31"/>
      <c r="Y136" s="31"/>
      <c r="AA136" s="31"/>
      <c r="AB136" s="31"/>
      <c r="AC136" s="31"/>
      <c r="AD136" s="31"/>
      <c r="AE136" s="31"/>
      <c r="AF136" s="31"/>
      <c r="AH136" s="31"/>
    </row>
    <row r="137" spans="1:34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31"/>
      <c r="P137" s="67"/>
      <c r="R137" s="31"/>
      <c r="S137" s="31"/>
      <c r="T137" s="72"/>
      <c r="U137" s="31"/>
      <c r="W137" s="31"/>
      <c r="X137" s="31"/>
      <c r="Y137" s="31"/>
      <c r="AA137" s="31"/>
      <c r="AB137" s="31"/>
      <c r="AC137" s="31"/>
      <c r="AD137" s="31"/>
      <c r="AE137" s="31"/>
      <c r="AF137" s="31"/>
      <c r="AH137" s="31"/>
    </row>
    <row r="138" spans="1:34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31"/>
      <c r="P138" s="67"/>
      <c r="R138" s="31"/>
      <c r="S138" s="31"/>
      <c r="T138" s="72"/>
      <c r="U138" s="31"/>
      <c r="W138" s="31"/>
      <c r="X138" s="31"/>
      <c r="Y138" s="31"/>
      <c r="AA138" s="31"/>
      <c r="AB138" s="31"/>
      <c r="AC138" s="31"/>
      <c r="AD138" s="31"/>
      <c r="AE138" s="31"/>
      <c r="AF138" s="31"/>
      <c r="AH138" s="31"/>
    </row>
    <row r="139" spans="1:34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31"/>
      <c r="P139" s="67"/>
      <c r="R139" s="31"/>
      <c r="S139" s="31"/>
      <c r="T139" s="72"/>
      <c r="U139" s="31"/>
      <c r="W139" s="31"/>
      <c r="X139" s="31"/>
      <c r="Y139" s="31"/>
      <c r="AA139" s="31"/>
      <c r="AB139" s="31"/>
      <c r="AC139" s="31"/>
      <c r="AD139" s="31"/>
      <c r="AE139" s="31"/>
      <c r="AF139" s="31"/>
      <c r="AH139" s="31"/>
    </row>
    <row r="140" spans="1:34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31"/>
      <c r="P140" s="67"/>
      <c r="R140" s="31"/>
      <c r="S140" s="31"/>
      <c r="T140" s="72"/>
      <c r="U140" s="31"/>
      <c r="W140" s="31"/>
      <c r="X140" s="31"/>
      <c r="Y140" s="31"/>
      <c r="AA140" s="31"/>
      <c r="AB140" s="31"/>
      <c r="AC140" s="31"/>
      <c r="AD140" s="31"/>
      <c r="AE140" s="31"/>
      <c r="AF140" s="31"/>
      <c r="AH140" s="31"/>
    </row>
    <row r="141" spans="1:34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31"/>
      <c r="P141" s="67"/>
      <c r="R141" s="31"/>
      <c r="S141" s="31"/>
      <c r="T141" s="72"/>
      <c r="U141" s="31"/>
      <c r="W141" s="31"/>
      <c r="X141" s="31"/>
      <c r="Y141" s="31"/>
      <c r="AA141" s="31"/>
      <c r="AB141" s="31"/>
      <c r="AC141" s="31"/>
      <c r="AD141" s="31"/>
      <c r="AE141" s="31"/>
      <c r="AF141" s="31"/>
      <c r="AH141" s="31"/>
    </row>
    <row r="142" spans="1:34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31"/>
      <c r="P142" s="67"/>
      <c r="R142" s="31"/>
      <c r="S142" s="31"/>
      <c r="T142" s="72"/>
      <c r="U142" s="31"/>
      <c r="W142" s="31"/>
      <c r="X142" s="31"/>
      <c r="Y142" s="31"/>
      <c r="AA142" s="31"/>
      <c r="AB142" s="31"/>
      <c r="AC142" s="31"/>
      <c r="AD142" s="31"/>
      <c r="AE142" s="31"/>
      <c r="AF142" s="31"/>
      <c r="AH142" s="31"/>
    </row>
    <row r="143" spans="1:34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31"/>
      <c r="P143" s="67"/>
      <c r="R143" s="31"/>
      <c r="S143" s="31"/>
      <c r="T143" s="72"/>
      <c r="U143" s="31"/>
      <c r="W143" s="31"/>
      <c r="X143" s="31"/>
      <c r="Y143" s="31"/>
      <c r="AA143" s="31"/>
      <c r="AB143" s="31"/>
      <c r="AC143" s="31"/>
      <c r="AD143" s="31"/>
      <c r="AE143" s="31"/>
      <c r="AF143" s="31"/>
      <c r="AH143" s="31"/>
    </row>
    <row r="144" spans="1:34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31"/>
      <c r="P144" s="67"/>
      <c r="R144" s="31"/>
      <c r="S144" s="31"/>
      <c r="T144" s="72"/>
      <c r="U144" s="31"/>
      <c r="W144" s="31"/>
      <c r="X144" s="31"/>
      <c r="Y144" s="31"/>
      <c r="AA144" s="31"/>
      <c r="AB144" s="31"/>
      <c r="AC144" s="31"/>
      <c r="AD144" s="31"/>
      <c r="AE144" s="31"/>
      <c r="AF144" s="31"/>
      <c r="AH144" s="31"/>
    </row>
    <row r="145" spans="1:34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31"/>
      <c r="P145" s="67"/>
      <c r="R145" s="31"/>
      <c r="S145" s="31"/>
      <c r="T145" s="72"/>
      <c r="U145" s="31"/>
      <c r="W145" s="31"/>
      <c r="X145" s="31"/>
      <c r="Y145" s="31"/>
      <c r="AA145" s="31"/>
      <c r="AB145" s="31"/>
      <c r="AC145" s="31"/>
      <c r="AD145" s="31"/>
      <c r="AE145" s="31"/>
      <c r="AF145" s="31"/>
      <c r="AH145" s="31"/>
    </row>
    <row r="146" spans="1:34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31"/>
      <c r="P146" s="67"/>
      <c r="R146" s="31"/>
      <c r="S146" s="31"/>
      <c r="T146" s="72"/>
      <c r="U146" s="31"/>
      <c r="W146" s="31"/>
      <c r="X146" s="31"/>
      <c r="Y146" s="31"/>
      <c r="AA146" s="31"/>
      <c r="AB146" s="31"/>
      <c r="AC146" s="31"/>
      <c r="AD146" s="31"/>
      <c r="AE146" s="31"/>
      <c r="AF146" s="31"/>
      <c r="AH146" s="31"/>
    </row>
    <row r="147" spans="1:34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31"/>
      <c r="P147" s="67"/>
      <c r="R147" s="31"/>
      <c r="S147" s="31"/>
      <c r="T147" s="72"/>
      <c r="U147" s="31"/>
      <c r="W147" s="31"/>
      <c r="X147" s="31"/>
      <c r="Y147" s="31"/>
      <c r="AA147" s="31"/>
      <c r="AB147" s="31"/>
      <c r="AC147" s="31"/>
      <c r="AD147" s="31"/>
      <c r="AE147" s="31"/>
      <c r="AF147" s="31"/>
      <c r="AH147" s="31"/>
    </row>
    <row r="148" spans="1:34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31"/>
      <c r="P148" s="67"/>
      <c r="R148" s="31"/>
      <c r="S148" s="31"/>
      <c r="T148" s="72"/>
      <c r="U148" s="31"/>
      <c r="W148" s="31"/>
      <c r="X148" s="31"/>
      <c r="Y148" s="31"/>
      <c r="AA148" s="31"/>
      <c r="AB148" s="31"/>
      <c r="AC148" s="31"/>
      <c r="AD148" s="31"/>
      <c r="AE148" s="31"/>
      <c r="AF148" s="31"/>
      <c r="AH148" s="31"/>
    </row>
    <row r="149" spans="1:34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31"/>
      <c r="P149" s="67"/>
      <c r="R149" s="31"/>
      <c r="S149" s="31"/>
      <c r="T149" s="72"/>
      <c r="U149" s="31"/>
      <c r="W149" s="31"/>
      <c r="X149" s="31"/>
      <c r="Y149" s="31"/>
      <c r="AA149" s="31"/>
      <c r="AB149" s="31"/>
      <c r="AC149" s="31"/>
      <c r="AD149" s="31"/>
      <c r="AE149" s="31"/>
      <c r="AF149" s="31"/>
      <c r="AH149" s="31"/>
    </row>
    <row r="150" spans="1:34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31"/>
      <c r="P150" s="67"/>
      <c r="R150" s="31"/>
      <c r="S150" s="31"/>
      <c r="T150" s="72"/>
      <c r="U150" s="31"/>
      <c r="W150" s="31"/>
      <c r="X150" s="31"/>
      <c r="Y150" s="31"/>
      <c r="AA150" s="31"/>
      <c r="AB150" s="31"/>
      <c r="AC150" s="31"/>
      <c r="AD150" s="31"/>
      <c r="AE150" s="31"/>
      <c r="AF150" s="31"/>
      <c r="AH150" s="31"/>
    </row>
    <row r="151" spans="1:34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31"/>
      <c r="P151" s="67"/>
      <c r="R151" s="31"/>
      <c r="S151" s="31"/>
      <c r="T151" s="72"/>
      <c r="U151" s="31"/>
      <c r="W151" s="31"/>
      <c r="X151" s="31"/>
      <c r="Y151" s="31"/>
      <c r="AA151" s="31"/>
      <c r="AB151" s="31"/>
      <c r="AC151" s="31"/>
      <c r="AD151" s="31"/>
      <c r="AE151" s="31"/>
      <c r="AF151" s="31"/>
      <c r="AH151" s="31"/>
    </row>
    <row r="152" spans="1:34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31"/>
      <c r="P152" s="67"/>
      <c r="R152" s="31"/>
      <c r="S152" s="31"/>
      <c r="T152" s="72"/>
      <c r="U152" s="31"/>
      <c r="W152" s="31"/>
      <c r="X152" s="31"/>
      <c r="Y152" s="31"/>
      <c r="AA152" s="31"/>
      <c r="AB152" s="31"/>
      <c r="AC152" s="31"/>
      <c r="AD152" s="31"/>
      <c r="AE152" s="31"/>
      <c r="AF152" s="31"/>
      <c r="AH152" s="31"/>
    </row>
    <row r="153" spans="1:34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31"/>
      <c r="P153" s="67"/>
      <c r="R153" s="31"/>
      <c r="S153" s="31"/>
      <c r="T153" s="72"/>
      <c r="U153" s="31"/>
      <c r="W153" s="31"/>
      <c r="X153" s="31"/>
      <c r="Y153" s="31"/>
      <c r="AA153" s="31"/>
      <c r="AB153" s="31"/>
      <c r="AC153" s="31"/>
      <c r="AD153" s="31"/>
      <c r="AE153" s="31"/>
      <c r="AF153" s="31"/>
      <c r="AH153" s="31"/>
    </row>
    <row r="154" spans="1:34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31"/>
      <c r="P154" s="67"/>
      <c r="R154" s="31"/>
      <c r="S154" s="31"/>
      <c r="T154" s="72"/>
      <c r="U154" s="31"/>
      <c r="W154" s="31"/>
      <c r="X154" s="31"/>
      <c r="Y154" s="31"/>
      <c r="AA154" s="31"/>
      <c r="AB154" s="31"/>
      <c r="AC154" s="31"/>
      <c r="AD154" s="31"/>
      <c r="AE154" s="31"/>
      <c r="AF154" s="31"/>
      <c r="AH154" s="31"/>
    </row>
    <row r="155" spans="1:34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31"/>
      <c r="P155" s="67"/>
      <c r="R155" s="31"/>
      <c r="S155" s="31"/>
      <c r="T155" s="72"/>
      <c r="U155" s="31"/>
      <c r="W155" s="31"/>
      <c r="X155" s="31"/>
      <c r="Y155" s="31"/>
      <c r="AA155" s="31"/>
      <c r="AB155" s="31"/>
      <c r="AC155" s="31"/>
      <c r="AD155" s="31"/>
      <c r="AE155" s="31"/>
      <c r="AF155" s="31"/>
      <c r="AH155" s="31"/>
    </row>
    <row r="156" spans="1:34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31"/>
      <c r="P156" s="67"/>
      <c r="R156" s="31"/>
      <c r="S156" s="31"/>
      <c r="T156" s="72"/>
      <c r="U156" s="31"/>
      <c r="W156" s="31"/>
      <c r="X156" s="31"/>
      <c r="Y156" s="31"/>
      <c r="AA156" s="31"/>
      <c r="AB156" s="31"/>
      <c r="AC156" s="31"/>
      <c r="AD156" s="31"/>
      <c r="AE156" s="31"/>
      <c r="AF156" s="31"/>
      <c r="AH156" s="31"/>
    </row>
    <row r="157" spans="1:34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31"/>
      <c r="P157" s="67"/>
      <c r="R157" s="31"/>
      <c r="S157" s="31"/>
      <c r="T157" s="72"/>
      <c r="U157" s="31"/>
      <c r="W157" s="31"/>
      <c r="X157" s="31"/>
      <c r="Y157" s="31"/>
      <c r="AA157" s="31"/>
      <c r="AB157" s="31"/>
      <c r="AC157" s="31"/>
      <c r="AD157" s="31"/>
      <c r="AE157" s="31"/>
      <c r="AF157" s="31"/>
      <c r="AH157" s="31"/>
    </row>
    <row r="158" spans="1:34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31"/>
      <c r="P158" s="67"/>
      <c r="R158" s="31"/>
      <c r="S158" s="31"/>
      <c r="T158" s="72"/>
      <c r="U158" s="31"/>
      <c r="W158" s="31"/>
      <c r="X158" s="31"/>
      <c r="Y158" s="31"/>
      <c r="AA158" s="31"/>
      <c r="AB158" s="31"/>
      <c r="AC158" s="31"/>
      <c r="AD158" s="31"/>
      <c r="AE158" s="31"/>
      <c r="AF158" s="31"/>
      <c r="AH158" s="31"/>
    </row>
    <row r="159" spans="1:34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31"/>
      <c r="P159" s="67"/>
      <c r="R159" s="31"/>
      <c r="S159" s="31"/>
      <c r="T159" s="72"/>
      <c r="U159" s="31"/>
      <c r="W159" s="31"/>
      <c r="X159" s="31"/>
      <c r="Y159" s="31"/>
      <c r="AA159" s="31"/>
      <c r="AB159" s="31"/>
      <c r="AC159" s="31"/>
      <c r="AD159" s="31"/>
      <c r="AE159" s="31"/>
      <c r="AF159" s="31"/>
      <c r="AH159" s="31"/>
    </row>
    <row r="160" spans="1:34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31"/>
      <c r="P160" s="67"/>
      <c r="R160" s="31"/>
      <c r="S160" s="31"/>
      <c r="T160" s="72"/>
      <c r="U160" s="31"/>
      <c r="W160" s="31"/>
      <c r="X160" s="31"/>
      <c r="Y160" s="31"/>
      <c r="AA160" s="31"/>
      <c r="AB160" s="31"/>
      <c r="AC160" s="31"/>
      <c r="AD160" s="31"/>
      <c r="AE160" s="31"/>
      <c r="AF160" s="31"/>
      <c r="AH160" s="31"/>
    </row>
    <row r="161" spans="1:34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31"/>
      <c r="P161" s="67"/>
      <c r="R161" s="31"/>
      <c r="S161" s="31"/>
      <c r="T161" s="72"/>
      <c r="U161" s="31"/>
      <c r="W161" s="31"/>
      <c r="X161" s="31"/>
      <c r="Y161" s="31"/>
      <c r="AA161" s="31"/>
      <c r="AB161" s="31"/>
      <c r="AC161" s="31"/>
      <c r="AD161" s="31"/>
      <c r="AE161" s="31"/>
      <c r="AF161" s="31"/>
      <c r="AH161" s="31"/>
    </row>
    <row r="162" spans="1:34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31"/>
      <c r="P162" s="67"/>
      <c r="R162" s="31"/>
      <c r="S162" s="31"/>
      <c r="T162" s="72"/>
      <c r="U162" s="31"/>
      <c r="W162" s="31"/>
      <c r="X162" s="31"/>
      <c r="Y162" s="31"/>
      <c r="AA162" s="31"/>
      <c r="AB162" s="31"/>
      <c r="AC162" s="31"/>
      <c r="AD162" s="31"/>
      <c r="AE162" s="31"/>
      <c r="AF162" s="31"/>
      <c r="AH162" s="31"/>
    </row>
    <row r="163" spans="1:34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31"/>
      <c r="P163" s="67"/>
      <c r="R163" s="31"/>
      <c r="S163" s="31"/>
      <c r="T163" s="72"/>
      <c r="U163" s="31"/>
      <c r="W163" s="31"/>
      <c r="X163" s="31"/>
      <c r="Y163" s="31"/>
      <c r="AA163" s="31"/>
      <c r="AB163" s="31"/>
      <c r="AC163" s="31"/>
      <c r="AD163" s="31"/>
      <c r="AE163" s="31"/>
      <c r="AF163" s="31"/>
      <c r="AH163" s="31"/>
    </row>
    <row r="164" spans="1:34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31"/>
      <c r="P164" s="67"/>
      <c r="R164" s="31"/>
      <c r="S164" s="31"/>
      <c r="T164" s="72"/>
      <c r="U164" s="31"/>
      <c r="W164" s="31"/>
      <c r="X164" s="31"/>
      <c r="Y164" s="31"/>
      <c r="AA164" s="31"/>
      <c r="AB164" s="31"/>
      <c r="AC164" s="31"/>
      <c r="AD164" s="31"/>
      <c r="AE164" s="31"/>
      <c r="AF164" s="31"/>
      <c r="AH164" s="31"/>
    </row>
    <row r="165" spans="1:34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31"/>
      <c r="P165" s="67"/>
      <c r="R165" s="31"/>
      <c r="S165" s="31"/>
      <c r="T165" s="72"/>
      <c r="U165" s="31"/>
      <c r="W165" s="31"/>
      <c r="X165" s="31"/>
      <c r="Y165" s="31"/>
      <c r="AA165" s="31"/>
      <c r="AB165" s="31"/>
      <c r="AC165" s="31"/>
      <c r="AD165" s="31"/>
      <c r="AE165" s="31"/>
      <c r="AF165" s="31"/>
      <c r="AH165" s="31"/>
    </row>
    <row r="166" spans="1:34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31"/>
      <c r="P166" s="67"/>
      <c r="R166" s="31"/>
      <c r="S166" s="31"/>
      <c r="T166" s="72"/>
      <c r="U166" s="31"/>
      <c r="W166" s="31"/>
      <c r="X166" s="31"/>
      <c r="Y166" s="31"/>
      <c r="AA166" s="31"/>
      <c r="AB166" s="31"/>
      <c r="AC166" s="31"/>
      <c r="AD166" s="31"/>
      <c r="AE166" s="31"/>
      <c r="AF166" s="31"/>
      <c r="AH166" s="31"/>
    </row>
    <row r="167" spans="1:34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31"/>
      <c r="P167" s="67"/>
      <c r="R167" s="31"/>
      <c r="S167" s="31"/>
      <c r="T167" s="72"/>
      <c r="U167" s="31"/>
      <c r="W167" s="31"/>
      <c r="X167" s="31"/>
      <c r="Y167" s="31"/>
      <c r="AA167" s="31"/>
      <c r="AB167" s="31"/>
      <c r="AC167" s="31"/>
      <c r="AD167" s="31"/>
      <c r="AE167" s="31"/>
      <c r="AF167" s="31"/>
      <c r="AH167" s="31"/>
    </row>
    <row r="168" spans="1:34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31"/>
      <c r="P168" s="67"/>
      <c r="R168" s="31"/>
      <c r="S168" s="31"/>
      <c r="T168" s="72"/>
      <c r="U168" s="31"/>
      <c r="W168" s="31"/>
      <c r="X168" s="31"/>
      <c r="Y168" s="31"/>
      <c r="AA168" s="31"/>
      <c r="AB168" s="31"/>
      <c r="AC168" s="31"/>
      <c r="AD168" s="31"/>
      <c r="AE168" s="31"/>
      <c r="AF168" s="31"/>
      <c r="AH168" s="31"/>
    </row>
    <row r="169" spans="1:34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31"/>
      <c r="P169" s="67"/>
      <c r="R169" s="31"/>
      <c r="S169" s="31"/>
      <c r="T169" s="72"/>
      <c r="U169" s="31"/>
      <c r="W169" s="31"/>
      <c r="X169" s="31"/>
      <c r="Y169" s="31"/>
      <c r="AA169" s="31"/>
      <c r="AB169" s="31"/>
      <c r="AC169" s="31"/>
      <c r="AD169" s="31"/>
      <c r="AE169" s="31"/>
      <c r="AF169" s="31"/>
      <c r="AH169" s="31"/>
    </row>
    <row r="170" spans="1:34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31"/>
      <c r="P170" s="67"/>
      <c r="R170" s="31"/>
      <c r="S170" s="31"/>
      <c r="T170" s="72"/>
      <c r="U170" s="31"/>
      <c r="W170" s="31"/>
      <c r="X170" s="31"/>
      <c r="Y170" s="31"/>
      <c r="AA170" s="31"/>
      <c r="AB170" s="31"/>
      <c r="AC170" s="31"/>
      <c r="AD170" s="31"/>
      <c r="AE170" s="31"/>
      <c r="AF170" s="31"/>
      <c r="AH170" s="31"/>
    </row>
    <row r="171" spans="1:34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31"/>
      <c r="P171" s="67"/>
      <c r="R171" s="31"/>
      <c r="S171" s="31"/>
      <c r="T171" s="72"/>
      <c r="U171" s="31"/>
      <c r="W171" s="31"/>
      <c r="X171" s="31"/>
      <c r="Y171" s="31"/>
      <c r="AA171" s="31"/>
      <c r="AB171" s="31"/>
      <c r="AC171" s="31"/>
      <c r="AD171" s="31"/>
      <c r="AE171" s="31"/>
      <c r="AF171" s="31"/>
      <c r="AH171" s="31"/>
    </row>
    <row r="172" spans="1:34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31"/>
      <c r="P172" s="67"/>
      <c r="R172" s="31"/>
      <c r="S172" s="31"/>
      <c r="T172" s="72"/>
      <c r="U172" s="31"/>
      <c r="W172" s="31"/>
      <c r="X172" s="31"/>
      <c r="Y172" s="31"/>
      <c r="AA172" s="31"/>
      <c r="AB172" s="31"/>
      <c r="AC172" s="31"/>
      <c r="AD172" s="31"/>
      <c r="AE172" s="31"/>
      <c r="AF172" s="31"/>
      <c r="AH172" s="31"/>
    </row>
    <row r="173" spans="1:34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31"/>
      <c r="P173" s="67"/>
      <c r="R173" s="31"/>
      <c r="S173" s="31"/>
      <c r="T173" s="72"/>
      <c r="U173" s="31"/>
      <c r="W173" s="31"/>
      <c r="X173" s="31"/>
      <c r="Y173" s="31"/>
      <c r="AA173" s="31"/>
      <c r="AB173" s="31"/>
      <c r="AC173" s="31"/>
      <c r="AD173" s="31"/>
      <c r="AE173" s="31"/>
      <c r="AF173" s="31"/>
      <c r="AH173" s="31"/>
    </row>
    <row r="174" spans="1:34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31"/>
      <c r="P174" s="67"/>
      <c r="R174" s="31"/>
      <c r="S174" s="31"/>
      <c r="T174" s="72"/>
      <c r="U174" s="31"/>
      <c r="W174" s="31"/>
      <c r="X174" s="31"/>
      <c r="Y174" s="31"/>
      <c r="AA174" s="31"/>
      <c r="AB174" s="31"/>
      <c r="AC174" s="31"/>
      <c r="AD174" s="31"/>
      <c r="AE174" s="31"/>
      <c r="AF174" s="31"/>
      <c r="AH174" s="31"/>
    </row>
    <row r="175" spans="1:34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31"/>
      <c r="P175" s="67"/>
      <c r="R175" s="31"/>
      <c r="S175" s="31"/>
      <c r="T175" s="72"/>
      <c r="U175" s="31"/>
      <c r="W175" s="31"/>
      <c r="X175" s="31"/>
      <c r="Y175" s="31"/>
      <c r="AA175" s="31"/>
      <c r="AB175" s="31"/>
      <c r="AC175" s="31"/>
      <c r="AD175" s="31"/>
      <c r="AE175" s="31"/>
      <c r="AF175" s="31"/>
      <c r="AH175" s="31"/>
    </row>
    <row r="176" spans="1:34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31"/>
      <c r="P176" s="67"/>
      <c r="R176" s="31"/>
      <c r="S176" s="31"/>
      <c r="T176" s="72"/>
      <c r="U176" s="31"/>
      <c r="W176" s="31"/>
      <c r="X176" s="31"/>
      <c r="Y176" s="31"/>
      <c r="AA176" s="31"/>
      <c r="AB176" s="31"/>
      <c r="AC176" s="31"/>
      <c r="AD176" s="31"/>
      <c r="AE176" s="31"/>
      <c r="AF176" s="31"/>
      <c r="AH176" s="31"/>
    </row>
    <row r="177" spans="1:34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31"/>
      <c r="P177" s="67"/>
      <c r="R177" s="31"/>
      <c r="S177" s="31"/>
      <c r="T177" s="72"/>
      <c r="U177" s="31"/>
      <c r="W177" s="31"/>
      <c r="X177" s="31"/>
      <c r="Y177" s="31"/>
      <c r="AA177" s="31"/>
      <c r="AB177" s="31"/>
      <c r="AC177" s="31"/>
      <c r="AD177" s="31"/>
      <c r="AE177" s="31"/>
      <c r="AF177" s="31"/>
      <c r="AH177" s="31"/>
    </row>
    <row r="178" spans="1:34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31"/>
      <c r="P178" s="67"/>
      <c r="R178" s="31"/>
      <c r="S178" s="31"/>
      <c r="T178" s="72"/>
      <c r="U178" s="31"/>
      <c r="W178" s="31"/>
      <c r="X178" s="31"/>
      <c r="Y178" s="31"/>
      <c r="AA178" s="31"/>
      <c r="AB178" s="31"/>
      <c r="AC178" s="31"/>
      <c r="AD178" s="31"/>
      <c r="AE178" s="31"/>
      <c r="AF178" s="31"/>
      <c r="AH178" s="31"/>
    </row>
    <row r="179" spans="1:34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31"/>
      <c r="P179" s="67"/>
      <c r="R179" s="31"/>
      <c r="S179" s="31"/>
      <c r="T179" s="72"/>
      <c r="U179" s="31"/>
      <c r="W179" s="31"/>
      <c r="X179" s="31"/>
      <c r="Y179" s="31"/>
      <c r="AA179" s="31"/>
      <c r="AB179" s="31"/>
      <c r="AC179" s="31"/>
      <c r="AD179" s="31"/>
      <c r="AE179" s="31"/>
      <c r="AF179" s="31"/>
      <c r="AH179" s="31"/>
    </row>
    <row r="180" spans="1:34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31"/>
      <c r="P180" s="67"/>
      <c r="R180" s="31"/>
      <c r="S180" s="31"/>
      <c r="T180" s="72"/>
      <c r="U180" s="31"/>
      <c r="W180" s="31"/>
      <c r="X180" s="31"/>
      <c r="Y180" s="31"/>
      <c r="AA180" s="31"/>
      <c r="AB180" s="31"/>
      <c r="AC180" s="31"/>
      <c r="AD180" s="31"/>
      <c r="AE180" s="31"/>
      <c r="AF180" s="31"/>
      <c r="AH180" s="31"/>
    </row>
    <row r="181" spans="1:34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31"/>
      <c r="P181" s="67"/>
      <c r="R181" s="31"/>
      <c r="S181" s="31"/>
      <c r="T181" s="72"/>
      <c r="U181" s="31"/>
      <c r="W181" s="31"/>
      <c r="X181" s="31"/>
      <c r="Y181" s="31"/>
      <c r="AA181" s="31"/>
      <c r="AB181" s="31"/>
      <c r="AC181" s="31"/>
      <c r="AD181" s="31"/>
      <c r="AE181" s="31"/>
      <c r="AF181" s="31"/>
      <c r="AH181" s="31"/>
    </row>
    <row r="182" spans="1:34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31"/>
      <c r="P182" s="67"/>
      <c r="R182" s="31"/>
      <c r="S182" s="31"/>
      <c r="T182" s="72"/>
      <c r="U182" s="31"/>
      <c r="W182" s="31"/>
      <c r="X182" s="31"/>
      <c r="Y182" s="31"/>
      <c r="AA182" s="31"/>
      <c r="AB182" s="31"/>
      <c r="AC182" s="31"/>
      <c r="AD182" s="31"/>
      <c r="AE182" s="31"/>
      <c r="AF182" s="31"/>
      <c r="AH182" s="31"/>
    </row>
    <row r="183" spans="1:34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31"/>
      <c r="P183" s="67"/>
      <c r="R183" s="31"/>
      <c r="S183" s="31"/>
      <c r="T183" s="72"/>
      <c r="U183" s="31"/>
      <c r="W183" s="31"/>
      <c r="X183" s="31"/>
      <c r="Y183" s="31"/>
      <c r="AA183" s="31"/>
      <c r="AB183" s="31"/>
      <c r="AC183" s="31"/>
      <c r="AD183" s="31"/>
      <c r="AE183" s="31"/>
      <c r="AF183" s="31"/>
      <c r="AH183" s="31"/>
    </row>
    <row r="184" spans="1:34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31"/>
      <c r="P184" s="67"/>
      <c r="R184" s="31"/>
      <c r="S184" s="31"/>
      <c r="T184" s="72"/>
      <c r="U184" s="31"/>
      <c r="W184" s="31"/>
      <c r="X184" s="31"/>
      <c r="Y184" s="31"/>
      <c r="AA184" s="31"/>
      <c r="AB184" s="31"/>
      <c r="AC184" s="31"/>
      <c r="AD184" s="31"/>
      <c r="AE184" s="31"/>
      <c r="AF184" s="31"/>
      <c r="AH184" s="31"/>
    </row>
    <row r="185" spans="1:34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31"/>
      <c r="P185" s="67"/>
      <c r="R185" s="31"/>
      <c r="S185" s="31"/>
      <c r="T185" s="72"/>
      <c r="U185" s="31"/>
      <c r="W185" s="31"/>
      <c r="X185" s="31"/>
      <c r="Y185" s="31"/>
      <c r="AA185" s="31"/>
      <c r="AB185" s="31"/>
      <c r="AC185" s="31"/>
      <c r="AD185" s="31"/>
      <c r="AE185" s="31"/>
      <c r="AF185" s="31"/>
      <c r="AH185" s="31"/>
    </row>
    <row r="186" spans="1:34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31"/>
      <c r="P186" s="67"/>
      <c r="R186" s="31"/>
      <c r="S186" s="31"/>
      <c r="T186" s="72"/>
      <c r="U186" s="31"/>
      <c r="W186" s="31"/>
      <c r="X186" s="31"/>
      <c r="Y186" s="31"/>
      <c r="AA186" s="31"/>
      <c r="AB186" s="31"/>
      <c r="AC186" s="31"/>
      <c r="AD186" s="31"/>
      <c r="AE186" s="31"/>
      <c r="AF186" s="31"/>
      <c r="AH186" s="31"/>
    </row>
    <row r="187" spans="1:34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31"/>
      <c r="P187" s="67"/>
      <c r="R187" s="31"/>
      <c r="S187" s="31"/>
      <c r="T187" s="72"/>
      <c r="U187" s="31"/>
      <c r="W187" s="31"/>
      <c r="X187" s="31"/>
      <c r="Y187" s="31"/>
      <c r="AA187" s="31"/>
      <c r="AB187" s="31"/>
      <c r="AC187" s="31"/>
      <c r="AD187" s="31"/>
      <c r="AE187" s="31"/>
      <c r="AF187" s="31"/>
      <c r="AH187" s="31"/>
    </row>
    <row r="188" spans="1:34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31"/>
      <c r="P188" s="67"/>
      <c r="R188" s="31"/>
      <c r="S188" s="31"/>
      <c r="T188" s="72"/>
      <c r="U188" s="31"/>
      <c r="W188" s="31"/>
      <c r="X188" s="31"/>
      <c r="Y188" s="31"/>
      <c r="AA188" s="31"/>
      <c r="AB188" s="31"/>
      <c r="AC188" s="31"/>
      <c r="AD188" s="31"/>
      <c r="AE188" s="31"/>
      <c r="AF188" s="31"/>
      <c r="AH188" s="31"/>
    </row>
    <row r="189" spans="1:34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31"/>
      <c r="P189" s="67"/>
      <c r="R189" s="31"/>
      <c r="S189" s="31"/>
      <c r="T189" s="72"/>
      <c r="U189" s="31"/>
      <c r="W189" s="31"/>
      <c r="X189" s="31"/>
      <c r="Y189" s="31"/>
      <c r="AA189" s="31"/>
      <c r="AB189" s="31"/>
      <c r="AC189" s="31"/>
      <c r="AD189" s="31"/>
      <c r="AE189" s="31"/>
      <c r="AF189" s="31"/>
      <c r="AH189" s="31"/>
    </row>
    <row r="190" spans="1:34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31"/>
      <c r="P190" s="67"/>
      <c r="R190" s="31"/>
      <c r="S190" s="31"/>
      <c r="T190" s="72"/>
      <c r="U190" s="31"/>
      <c r="W190" s="31"/>
      <c r="X190" s="31"/>
      <c r="Y190" s="31"/>
      <c r="AA190" s="31"/>
      <c r="AB190" s="31"/>
      <c r="AC190" s="31"/>
      <c r="AD190" s="31"/>
      <c r="AE190" s="31"/>
      <c r="AF190" s="31"/>
      <c r="AH190" s="31"/>
    </row>
    <row r="191" spans="1:34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31"/>
      <c r="P191" s="67"/>
      <c r="R191" s="31"/>
      <c r="S191" s="31"/>
      <c r="T191" s="72"/>
      <c r="U191" s="31"/>
      <c r="W191" s="31"/>
      <c r="X191" s="31"/>
      <c r="Y191" s="31"/>
      <c r="AA191" s="31"/>
      <c r="AB191" s="31"/>
      <c r="AC191" s="31"/>
      <c r="AD191" s="31"/>
      <c r="AE191" s="31"/>
      <c r="AF191" s="31"/>
      <c r="AH191" s="31"/>
    </row>
    <row r="192" spans="1:34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31"/>
      <c r="P192" s="67"/>
      <c r="R192" s="31"/>
      <c r="S192" s="31"/>
      <c r="T192" s="72"/>
      <c r="U192" s="31"/>
      <c r="W192" s="31"/>
      <c r="X192" s="31"/>
      <c r="Y192" s="31"/>
      <c r="AA192" s="31"/>
      <c r="AB192" s="31"/>
      <c r="AC192" s="31"/>
      <c r="AD192" s="31"/>
      <c r="AE192" s="31"/>
      <c r="AF192" s="31"/>
      <c r="AH192" s="31"/>
    </row>
    <row r="193" spans="1:34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31"/>
      <c r="P193" s="67"/>
      <c r="R193" s="31"/>
      <c r="S193" s="31"/>
      <c r="T193" s="72"/>
      <c r="U193" s="31"/>
      <c r="W193" s="31"/>
      <c r="X193" s="31"/>
      <c r="Y193" s="31"/>
      <c r="AA193" s="31"/>
      <c r="AB193" s="31"/>
      <c r="AC193" s="31"/>
      <c r="AD193" s="31"/>
      <c r="AE193" s="31"/>
      <c r="AF193" s="31"/>
      <c r="AH193" s="31"/>
    </row>
    <row r="194" spans="1:34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31"/>
      <c r="P194" s="67"/>
      <c r="R194" s="31"/>
      <c r="S194" s="31"/>
      <c r="T194" s="72"/>
      <c r="U194" s="31"/>
      <c r="W194" s="31"/>
      <c r="X194" s="31"/>
      <c r="Y194" s="31"/>
      <c r="AA194" s="31"/>
      <c r="AB194" s="31"/>
      <c r="AC194" s="31"/>
      <c r="AD194" s="31"/>
      <c r="AE194" s="31"/>
      <c r="AF194" s="31"/>
      <c r="AH194" s="31"/>
    </row>
    <row r="195" spans="1:34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31"/>
      <c r="P195" s="67"/>
      <c r="R195" s="31"/>
      <c r="S195" s="31"/>
      <c r="T195" s="72"/>
      <c r="U195" s="31"/>
      <c r="W195" s="31"/>
      <c r="X195" s="31"/>
      <c r="Y195" s="31"/>
      <c r="AA195" s="31"/>
      <c r="AB195" s="31"/>
      <c r="AC195" s="31"/>
      <c r="AD195" s="31"/>
      <c r="AE195" s="31"/>
      <c r="AF195" s="31"/>
      <c r="AH195" s="31"/>
    </row>
    <row r="196" spans="1:34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31"/>
      <c r="P196" s="67"/>
      <c r="R196" s="31"/>
      <c r="S196" s="31"/>
      <c r="T196" s="72"/>
      <c r="U196" s="31"/>
      <c r="W196" s="31"/>
      <c r="X196" s="31"/>
      <c r="Y196" s="31"/>
      <c r="AA196" s="31"/>
      <c r="AB196" s="31"/>
      <c r="AC196" s="31"/>
      <c r="AD196" s="31"/>
      <c r="AE196" s="31"/>
      <c r="AF196" s="31"/>
      <c r="AH196" s="31"/>
    </row>
    <row r="197" spans="1:34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31"/>
      <c r="P197" s="67"/>
      <c r="R197" s="31"/>
      <c r="S197" s="31"/>
      <c r="T197" s="72"/>
      <c r="U197" s="31"/>
      <c r="W197" s="31"/>
      <c r="X197" s="31"/>
      <c r="Y197" s="31"/>
      <c r="AA197" s="31"/>
      <c r="AB197" s="31"/>
      <c r="AC197" s="31"/>
      <c r="AD197" s="31"/>
      <c r="AE197" s="31"/>
      <c r="AF197" s="31"/>
      <c r="AH197" s="31"/>
    </row>
    <row r="198" spans="1:34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31"/>
      <c r="P198" s="67"/>
      <c r="R198" s="31"/>
      <c r="S198" s="31"/>
      <c r="T198" s="72"/>
      <c r="U198" s="31"/>
      <c r="W198" s="31"/>
      <c r="X198" s="31"/>
      <c r="Y198" s="31"/>
      <c r="AA198" s="31"/>
      <c r="AB198" s="31"/>
      <c r="AC198" s="31"/>
      <c r="AD198" s="31"/>
      <c r="AE198" s="31"/>
      <c r="AF198" s="31"/>
      <c r="AH198" s="31"/>
    </row>
    <row r="199" spans="1:34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31"/>
      <c r="P199" s="67"/>
      <c r="R199" s="31"/>
      <c r="S199" s="31"/>
      <c r="T199" s="72"/>
      <c r="U199" s="31"/>
      <c r="W199" s="31"/>
      <c r="X199" s="31"/>
      <c r="Y199" s="31"/>
      <c r="AA199" s="31"/>
      <c r="AB199" s="31"/>
      <c r="AC199" s="31"/>
      <c r="AD199" s="31"/>
      <c r="AE199" s="31"/>
      <c r="AF199" s="31"/>
      <c r="AH199" s="31"/>
    </row>
    <row r="200" spans="1:34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31"/>
      <c r="P200" s="67"/>
      <c r="R200" s="31"/>
      <c r="S200" s="31"/>
      <c r="T200" s="72"/>
      <c r="U200" s="31"/>
      <c r="W200" s="31"/>
      <c r="X200" s="31"/>
      <c r="Y200" s="31"/>
      <c r="AA200" s="31"/>
      <c r="AB200" s="31"/>
      <c r="AC200" s="31"/>
      <c r="AD200" s="31"/>
      <c r="AE200" s="31"/>
      <c r="AF200" s="31"/>
      <c r="AH200" s="31"/>
    </row>
    <row r="201" spans="1:34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31"/>
      <c r="P201" s="67"/>
      <c r="R201" s="31"/>
      <c r="S201" s="31"/>
      <c r="T201" s="72"/>
      <c r="U201" s="31"/>
      <c r="W201" s="31"/>
      <c r="X201" s="31"/>
      <c r="Y201" s="31"/>
      <c r="AA201" s="31"/>
      <c r="AB201" s="31"/>
      <c r="AC201" s="31"/>
      <c r="AD201" s="31"/>
      <c r="AE201" s="31"/>
      <c r="AF201" s="31"/>
      <c r="AH201" s="31"/>
    </row>
    <row r="202" spans="1:34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31"/>
      <c r="P202" s="67"/>
      <c r="R202" s="31"/>
      <c r="S202" s="31"/>
      <c r="T202" s="72"/>
      <c r="U202" s="31"/>
      <c r="W202" s="31"/>
      <c r="X202" s="31"/>
      <c r="Y202" s="31"/>
      <c r="AA202" s="31"/>
      <c r="AB202" s="31"/>
      <c r="AC202" s="31"/>
      <c r="AD202" s="31"/>
      <c r="AE202" s="31"/>
      <c r="AF202" s="31"/>
      <c r="AH202" s="31"/>
    </row>
    <row r="203" spans="1:34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31"/>
      <c r="P203" s="67"/>
      <c r="R203" s="31"/>
      <c r="S203" s="31"/>
      <c r="T203" s="72"/>
      <c r="U203" s="31"/>
      <c r="W203" s="31"/>
      <c r="X203" s="31"/>
      <c r="Y203" s="31"/>
      <c r="AA203" s="31"/>
      <c r="AB203" s="31"/>
      <c r="AC203" s="31"/>
      <c r="AD203" s="31"/>
      <c r="AE203" s="31"/>
      <c r="AF203" s="31"/>
      <c r="AH203" s="31"/>
    </row>
    <row r="204" spans="1:34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31"/>
      <c r="P204" s="67"/>
      <c r="R204" s="31"/>
      <c r="S204" s="31"/>
      <c r="T204" s="72"/>
      <c r="U204" s="31"/>
      <c r="W204" s="31"/>
      <c r="X204" s="31"/>
      <c r="Y204" s="31"/>
      <c r="AA204" s="31"/>
      <c r="AB204" s="31"/>
      <c r="AC204" s="31"/>
      <c r="AD204" s="31"/>
      <c r="AE204" s="31"/>
      <c r="AF204" s="31"/>
      <c r="AH204" s="31"/>
    </row>
    <row r="205" spans="1:34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31"/>
      <c r="P205" s="67"/>
      <c r="R205" s="31"/>
      <c r="S205" s="31"/>
      <c r="T205" s="72"/>
      <c r="U205" s="31"/>
      <c r="W205" s="31"/>
      <c r="X205" s="31"/>
      <c r="Y205" s="31"/>
      <c r="AA205" s="31"/>
      <c r="AB205" s="31"/>
      <c r="AC205" s="31"/>
      <c r="AD205" s="31"/>
      <c r="AE205" s="31"/>
      <c r="AF205" s="31"/>
      <c r="AH205" s="31"/>
    </row>
    <row r="206" spans="1:34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31"/>
      <c r="P206" s="67"/>
      <c r="R206" s="31"/>
      <c r="S206" s="31"/>
      <c r="T206" s="72"/>
      <c r="U206" s="31"/>
      <c r="W206" s="31"/>
      <c r="X206" s="31"/>
      <c r="Y206" s="31"/>
      <c r="AA206" s="31"/>
      <c r="AB206" s="31"/>
      <c r="AC206" s="31"/>
      <c r="AD206" s="31"/>
      <c r="AE206" s="31"/>
      <c r="AF206" s="31"/>
      <c r="AH206" s="31"/>
    </row>
    <row r="207" spans="1:34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31"/>
      <c r="P207" s="67"/>
      <c r="R207" s="31"/>
      <c r="S207" s="31"/>
      <c r="T207" s="72"/>
      <c r="U207" s="31"/>
      <c r="W207" s="31"/>
      <c r="X207" s="31"/>
      <c r="Y207" s="31"/>
      <c r="AA207" s="31"/>
      <c r="AB207" s="31"/>
      <c r="AC207" s="31"/>
      <c r="AD207" s="31"/>
      <c r="AE207" s="31"/>
      <c r="AF207" s="31"/>
      <c r="AH207" s="31"/>
    </row>
    <row r="208" spans="1:34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31"/>
      <c r="P208" s="67"/>
      <c r="R208" s="31"/>
      <c r="S208" s="31"/>
      <c r="T208" s="72"/>
      <c r="U208" s="31"/>
      <c r="W208" s="31"/>
      <c r="X208" s="31"/>
      <c r="Y208" s="31"/>
      <c r="AA208" s="31"/>
      <c r="AB208" s="31"/>
      <c r="AC208" s="31"/>
      <c r="AD208" s="31"/>
      <c r="AE208" s="31"/>
      <c r="AF208" s="31"/>
      <c r="AH208" s="31"/>
    </row>
    <row r="209" spans="1:34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31"/>
      <c r="P209" s="67"/>
      <c r="R209" s="31"/>
      <c r="S209" s="31"/>
      <c r="T209" s="72"/>
      <c r="U209" s="31"/>
      <c r="W209" s="31"/>
      <c r="X209" s="31"/>
      <c r="Y209" s="31"/>
      <c r="AA209" s="31"/>
      <c r="AB209" s="31"/>
      <c r="AC209" s="31"/>
      <c r="AD209" s="31"/>
      <c r="AE209" s="31"/>
      <c r="AF209" s="31"/>
      <c r="AH209" s="31"/>
    </row>
    <row r="210" spans="1:34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31"/>
      <c r="P210" s="67"/>
      <c r="R210" s="31"/>
      <c r="S210" s="31"/>
      <c r="T210" s="72"/>
      <c r="U210" s="31"/>
      <c r="W210" s="31"/>
      <c r="X210" s="31"/>
      <c r="Y210" s="31"/>
      <c r="AA210" s="31"/>
      <c r="AB210" s="31"/>
      <c r="AC210" s="31"/>
      <c r="AD210" s="31"/>
      <c r="AE210" s="31"/>
      <c r="AF210" s="31"/>
      <c r="AH210" s="31"/>
    </row>
    <row r="211" spans="1:34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31"/>
      <c r="P211" s="67"/>
      <c r="R211" s="31"/>
      <c r="S211" s="31"/>
      <c r="T211" s="72"/>
      <c r="U211" s="31"/>
      <c r="W211" s="31"/>
      <c r="X211" s="31"/>
      <c r="Y211" s="31"/>
      <c r="AA211" s="31"/>
      <c r="AB211" s="31"/>
      <c r="AC211" s="31"/>
      <c r="AD211" s="31"/>
      <c r="AE211" s="31"/>
      <c r="AF211" s="31"/>
      <c r="AH211" s="31"/>
    </row>
    <row r="212" spans="1:34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31"/>
      <c r="P212" s="67"/>
      <c r="R212" s="31"/>
      <c r="S212" s="31"/>
      <c r="T212" s="72"/>
      <c r="U212" s="31"/>
      <c r="W212" s="31"/>
      <c r="X212" s="31"/>
      <c r="Y212" s="31"/>
      <c r="AA212" s="31"/>
      <c r="AB212" s="31"/>
      <c r="AC212" s="31"/>
      <c r="AD212" s="31"/>
      <c r="AE212" s="31"/>
      <c r="AF212" s="31"/>
      <c r="AH212" s="31"/>
    </row>
    <row r="213" spans="1:34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31"/>
      <c r="P213" s="67"/>
      <c r="R213" s="31"/>
      <c r="S213" s="31"/>
      <c r="T213" s="72"/>
      <c r="U213" s="31"/>
      <c r="W213" s="31"/>
      <c r="X213" s="31"/>
      <c r="Y213" s="31"/>
      <c r="AA213" s="31"/>
      <c r="AB213" s="31"/>
      <c r="AC213" s="31"/>
      <c r="AD213" s="31"/>
      <c r="AE213" s="31"/>
      <c r="AF213" s="31"/>
      <c r="AH213" s="31"/>
    </row>
    <row r="214" spans="1:34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31"/>
      <c r="P214" s="67"/>
      <c r="R214" s="31"/>
      <c r="S214" s="31"/>
      <c r="T214" s="72"/>
      <c r="U214" s="31"/>
      <c r="W214" s="31"/>
      <c r="X214" s="31"/>
      <c r="Y214" s="31"/>
      <c r="AA214" s="31"/>
      <c r="AB214" s="31"/>
      <c r="AC214" s="31"/>
      <c r="AD214" s="31"/>
      <c r="AE214" s="31"/>
      <c r="AF214" s="31"/>
      <c r="AH214" s="31"/>
    </row>
    <row r="215" spans="1:34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31"/>
      <c r="P215" s="67"/>
      <c r="R215" s="31"/>
      <c r="S215" s="31"/>
      <c r="T215" s="72"/>
      <c r="U215" s="31"/>
      <c r="W215" s="31"/>
      <c r="X215" s="31"/>
      <c r="Y215" s="31"/>
      <c r="AA215" s="31"/>
      <c r="AB215" s="31"/>
      <c r="AC215" s="31"/>
      <c r="AD215" s="31"/>
      <c r="AE215" s="31"/>
      <c r="AF215" s="31"/>
      <c r="AH215" s="31"/>
    </row>
    <row r="216" spans="1:34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31"/>
      <c r="P216" s="67"/>
      <c r="R216" s="31"/>
      <c r="S216" s="31"/>
      <c r="T216" s="72"/>
      <c r="U216" s="31"/>
      <c r="W216" s="31"/>
      <c r="X216" s="31"/>
      <c r="Y216" s="31"/>
      <c r="AA216" s="31"/>
      <c r="AB216" s="31"/>
      <c r="AC216" s="31"/>
      <c r="AD216" s="31"/>
      <c r="AE216" s="31"/>
      <c r="AF216" s="31"/>
      <c r="AH216" s="31"/>
    </row>
    <row r="217" spans="1:34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31"/>
      <c r="P217" s="67"/>
      <c r="R217" s="31"/>
      <c r="S217" s="31"/>
      <c r="T217" s="72"/>
      <c r="U217" s="31"/>
      <c r="W217" s="31"/>
      <c r="X217" s="31"/>
      <c r="Y217" s="31"/>
      <c r="AA217" s="31"/>
      <c r="AB217" s="31"/>
      <c r="AC217" s="31"/>
      <c r="AD217" s="31"/>
      <c r="AE217" s="31"/>
      <c r="AF217" s="31"/>
      <c r="AH217" s="31"/>
    </row>
    <row r="218" spans="1:34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31"/>
      <c r="P218" s="67"/>
      <c r="R218" s="31"/>
      <c r="S218" s="31"/>
      <c r="T218" s="72"/>
      <c r="U218" s="31"/>
      <c r="W218" s="31"/>
      <c r="X218" s="31"/>
      <c r="Y218" s="31"/>
      <c r="AA218" s="31"/>
      <c r="AB218" s="31"/>
      <c r="AC218" s="31"/>
      <c r="AD218" s="31"/>
      <c r="AE218" s="31"/>
      <c r="AF218" s="31"/>
      <c r="AH218" s="31"/>
    </row>
    <row r="219" spans="1:34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31"/>
      <c r="P219" s="67"/>
      <c r="R219" s="31"/>
      <c r="S219" s="31"/>
      <c r="T219" s="72"/>
      <c r="U219" s="31"/>
      <c r="W219" s="31"/>
      <c r="X219" s="31"/>
      <c r="Y219" s="31"/>
      <c r="AA219" s="31"/>
      <c r="AB219" s="31"/>
      <c r="AC219" s="31"/>
      <c r="AD219" s="31"/>
      <c r="AE219" s="31"/>
      <c r="AF219" s="31"/>
      <c r="AH219" s="31"/>
    </row>
    <row r="220" spans="1:34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31"/>
      <c r="P220" s="67"/>
      <c r="R220" s="31"/>
      <c r="S220" s="31"/>
      <c r="T220" s="72"/>
      <c r="U220" s="31"/>
      <c r="W220" s="31"/>
      <c r="X220" s="31"/>
      <c r="Y220" s="31"/>
      <c r="AA220" s="31"/>
      <c r="AB220" s="31"/>
      <c r="AC220" s="31"/>
      <c r="AD220" s="31"/>
      <c r="AE220" s="31"/>
      <c r="AF220" s="31"/>
      <c r="AH220" s="31"/>
    </row>
    <row r="221" spans="1:34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31"/>
      <c r="P221" s="67"/>
      <c r="R221" s="31"/>
      <c r="S221" s="31"/>
      <c r="T221" s="72"/>
      <c r="U221" s="31"/>
      <c r="W221" s="31"/>
      <c r="X221" s="31"/>
      <c r="Y221" s="31"/>
      <c r="AA221" s="31"/>
      <c r="AB221" s="31"/>
      <c r="AC221" s="31"/>
      <c r="AD221" s="31"/>
      <c r="AE221" s="31"/>
      <c r="AF221" s="31"/>
      <c r="AH221" s="31"/>
    </row>
    <row r="222" spans="1:34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31"/>
      <c r="P222" s="67"/>
      <c r="R222" s="31"/>
      <c r="S222" s="31"/>
      <c r="T222" s="72"/>
      <c r="U222" s="31"/>
      <c r="W222" s="31"/>
      <c r="X222" s="31"/>
      <c r="Y222" s="31"/>
      <c r="AA222" s="31"/>
      <c r="AB222" s="31"/>
      <c r="AC222" s="31"/>
      <c r="AD222" s="31"/>
      <c r="AE222" s="31"/>
      <c r="AF222" s="31"/>
      <c r="AH222" s="31"/>
    </row>
    <row r="223" spans="1:34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31"/>
      <c r="P223" s="67"/>
      <c r="R223" s="31"/>
      <c r="S223" s="31"/>
      <c r="T223" s="72"/>
      <c r="U223" s="31"/>
      <c r="W223" s="31"/>
      <c r="X223" s="31"/>
      <c r="Y223" s="31"/>
      <c r="AA223" s="31"/>
      <c r="AB223" s="31"/>
      <c r="AC223" s="31"/>
      <c r="AD223" s="31"/>
      <c r="AE223" s="31"/>
      <c r="AF223" s="31"/>
      <c r="AH223" s="31"/>
    </row>
    <row r="224" spans="1:34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31"/>
      <c r="P224" s="67"/>
      <c r="R224" s="31"/>
      <c r="S224" s="31"/>
      <c r="T224" s="72"/>
      <c r="U224" s="31"/>
      <c r="W224" s="31"/>
      <c r="X224" s="31"/>
      <c r="Y224" s="31"/>
      <c r="AA224" s="31"/>
      <c r="AB224" s="31"/>
      <c r="AC224" s="31"/>
      <c r="AD224" s="31"/>
      <c r="AE224" s="31"/>
      <c r="AF224" s="31"/>
      <c r="AH224" s="31"/>
    </row>
    <row r="225" spans="1:34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31"/>
      <c r="P225" s="67"/>
      <c r="R225" s="31"/>
      <c r="S225" s="31"/>
      <c r="T225" s="72"/>
      <c r="U225" s="31"/>
      <c r="W225" s="31"/>
      <c r="X225" s="31"/>
      <c r="Y225" s="31"/>
      <c r="AA225" s="31"/>
      <c r="AB225" s="31"/>
      <c r="AC225" s="31"/>
      <c r="AD225" s="31"/>
      <c r="AE225" s="31"/>
      <c r="AF225" s="31"/>
      <c r="AH225" s="31"/>
    </row>
    <row r="226" spans="1:34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31"/>
      <c r="P226" s="67"/>
      <c r="R226" s="31"/>
      <c r="S226" s="31"/>
      <c r="T226" s="72"/>
      <c r="U226" s="31"/>
      <c r="W226" s="31"/>
      <c r="X226" s="31"/>
      <c r="Y226" s="31"/>
      <c r="AA226" s="31"/>
      <c r="AB226" s="31"/>
      <c r="AC226" s="31"/>
      <c r="AD226" s="31"/>
      <c r="AE226" s="31"/>
      <c r="AF226" s="31"/>
      <c r="AH226" s="31"/>
    </row>
    <row r="227" spans="1:34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31"/>
      <c r="P227" s="67"/>
      <c r="R227" s="31"/>
      <c r="S227" s="31"/>
      <c r="T227" s="72"/>
      <c r="U227" s="31"/>
      <c r="W227" s="31"/>
      <c r="X227" s="31"/>
      <c r="Y227" s="31"/>
      <c r="AA227" s="31"/>
      <c r="AB227" s="31"/>
      <c r="AC227" s="31"/>
      <c r="AD227" s="31"/>
      <c r="AE227" s="31"/>
      <c r="AF227" s="31"/>
      <c r="AH227" s="31"/>
    </row>
    <row r="228" spans="1:34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31"/>
      <c r="P228" s="67"/>
      <c r="R228" s="31"/>
      <c r="S228" s="31"/>
      <c r="T228" s="72"/>
      <c r="U228" s="31"/>
      <c r="W228" s="31"/>
      <c r="X228" s="31"/>
      <c r="Y228" s="31"/>
      <c r="AA228" s="31"/>
      <c r="AB228" s="31"/>
      <c r="AC228" s="31"/>
      <c r="AD228" s="31"/>
      <c r="AE228" s="31"/>
      <c r="AF228" s="31"/>
      <c r="AH228" s="31"/>
    </row>
    <row r="229" spans="1:34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31"/>
      <c r="P229" s="67"/>
      <c r="R229" s="31"/>
      <c r="S229" s="31"/>
      <c r="T229" s="72"/>
      <c r="U229" s="31"/>
      <c r="W229" s="31"/>
      <c r="X229" s="31"/>
      <c r="Y229" s="31"/>
      <c r="AA229" s="31"/>
      <c r="AB229" s="31"/>
      <c r="AC229" s="31"/>
      <c r="AD229" s="31"/>
      <c r="AE229" s="31"/>
      <c r="AF229" s="31"/>
      <c r="AH229" s="31"/>
    </row>
    <row r="230" spans="1:34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31"/>
      <c r="P230" s="67"/>
      <c r="R230" s="31"/>
      <c r="S230" s="31"/>
      <c r="T230" s="72"/>
      <c r="U230" s="31"/>
      <c r="W230" s="31"/>
      <c r="X230" s="31"/>
      <c r="Y230" s="31"/>
      <c r="AA230" s="31"/>
      <c r="AB230" s="31"/>
      <c r="AC230" s="31"/>
      <c r="AD230" s="31"/>
      <c r="AE230" s="31"/>
      <c r="AF230" s="31"/>
      <c r="AH230" s="31"/>
    </row>
    <row r="231" spans="1:34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31"/>
      <c r="P231" s="67"/>
      <c r="R231" s="31"/>
      <c r="S231" s="31"/>
      <c r="T231" s="72"/>
      <c r="U231" s="31"/>
      <c r="W231" s="31"/>
      <c r="X231" s="31"/>
      <c r="Y231" s="31"/>
      <c r="AA231" s="31"/>
      <c r="AB231" s="31"/>
      <c r="AC231" s="31"/>
      <c r="AD231" s="31"/>
      <c r="AE231" s="31"/>
      <c r="AF231" s="31"/>
      <c r="AH231" s="31"/>
    </row>
    <row r="232" spans="1:34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31"/>
      <c r="P232" s="67"/>
      <c r="R232" s="31"/>
      <c r="S232" s="31"/>
      <c r="T232" s="72"/>
      <c r="U232" s="31"/>
      <c r="W232" s="31"/>
      <c r="X232" s="31"/>
      <c r="Y232" s="31"/>
      <c r="AA232" s="31"/>
      <c r="AB232" s="31"/>
      <c r="AC232" s="31"/>
      <c r="AD232" s="31"/>
      <c r="AE232" s="31"/>
      <c r="AF232" s="31"/>
      <c r="AH232" s="31"/>
    </row>
    <row r="233" spans="1:34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31"/>
      <c r="P233" s="67"/>
      <c r="R233" s="31"/>
      <c r="S233" s="31"/>
      <c r="T233" s="72"/>
      <c r="U233" s="31"/>
      <c r="W233" s="31"/>
      <c r="X233" s="31"/>
      <c r="Y233" s="31"/>
      <c r="AA233" s="31"/>
      <c r="AB233" s="31"/>
      <c r="AC233" s="31"/>
      <c r="AD233" s="31"/>
      <c r="AE233" s="31"/>
      <c r="AF233" s="31"/>
      <c r="AH233" s="31"/>
    </row>
    <row r="234" spans="1:34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31"/>
      <c r="P234" s="67"/>
      <c r="R234" s="31"/>
      <c r="S234" s="31"/>
      <c r="T234" s="72"/>
      <c r="U234" s="31"/>
      <c r="W234" s="31"/>
      <c r="X234" s="31"/>
      <c r="Y234" s="31"/>
      <c r="AA234" s="31"/>
      <c r="AB234" s="31"/>
      <c r="AC234" s="31"/>
      <c r="AD234" s="31"/>
      <c r="AE234" s="31"/>
      <c r="AF234" s="31"/>
      <c r="AH234" s="31"/>
    </row>
    <row r="235" spans="1:34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31"/>
      <c r="P235" s="67"/>
      <c r="R235" s="31"/>
      <c r="S235" s="31"/>
      <c r="T235" s="72"/>
      <c r="U235" s="31"/>
      <c r="W235" s="31"/>
      <c r="X235" s="31"/>
      <c r="Y235" s="31"/>
      <c r="AA235" s="31"/>
      <c r="AB235" s="31"/>
      <c r="AC235" s="31"/>
      <c r="AD235" s="31"/>
      <c r="AE235" s="31"/>
      <c r="AF235" s="31"/>
      <c r="AH235" s="31"/>
    </row>
    <row r="236" spans="1:34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31"/>
      <c r="P236" s="67"/>
      <c r="R236" s="31"/>
      <c r="S236" s="31"/>
      <c r="T236" s="72"/>
      <c r="U236" s="31"/>
      <c r="W236" s="31"/>
      <c r="X236" s="31"/>
      <c r="Y236" s="31"/>
      <c r="AA236" s="31"/>
      <c r="AB236" s="31"/>
      <c r="AC236" s="31"/>
      <c r="AD236" s="31"/>
      <c r="AE236" s="31"/>
      <c r="AF236" s="31"/>
      <c r="AH236" s="31"/>
    </row>
    <row r="237" spans="1:34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31"/>
      <c r="P237" s="67"/>
      <c r="R237" s="31"/>
      <c r="S237" s="31"/>
      <c r="T237" s="72"/>
      <c r="U237" s="31"/>
      <c r="W237" s="31"/>
      <c r="X237" s="31"/>
      <c r="Y237" s="31"/>
      <c r="AA237" s="31"/>
      <c r="AB237" s="31"/>
      <c r="AC237" s="31"/>
      <c r="AD237" s="31"/>
      <c r="AE237" s="31"/>
      <c r="AF237" s="31"/>
      <c r="AH237" s="31"/>
    </row>
    <row r="238" spans="1:34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31"/>
      <c r="P238" s="67"/>
      <c r="R238" s="31"/>
      <c r="S238" s="31"/>
      <c r="T238" s="72"/>
      <c r="U238" s="31"/>
      <c r="W238" s="31"/>
      <c r="X238" s="31"/>
      <c r="Y238" s="31"/>
      <c r="AA238" s="31"/>
      <c r="AB238" s="31"/>
      <c r="AC238" s="31"/>
      <c r="AD238" s="31"/>
      <c r="AE238" s="31"/>
      <c r="AF238" s="31"/>
      <c r="AH238" s="31"/>
    </row>
    <row r="239" spans="1:34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31"/>
      <c r="P239" s="67"/>
      <c r="R239" s="31"/>
      <c r="S239" s="31"/>
      <c r="T239" s="72"/>
      <c r="U239" s="31"/>
      <c r="W239" s="31"/>
      <c r="X239" s="31"/>
      <c r="Y239" s="31"/>
      <c r="AA239" s="31"/>
      <c r="AB239" s="31"/>
      <c r="AC239" s="31"/>
      <c r="AD239" s="31"/>
      <c r="AE239" s="31"/>
      <c r="AF239" s="31"/>
      <c r="AH239" s="31"/>
    </row>
    <row r="240" spans="1:34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31"/>
      <c r="P240" s="67"/>
      <c r="R240" s="31"/>
      <c r="S240" s="31"/>
      <c r="T240" s="72"/>
      <c r="U240" s="31"/>
      <c r="W240" s="31"/>
      <c r="X240" s="31"/>
      <c r="Y240" s="31"/>
      <c r="AA240" s="31"/>
      <c r="AB240" s="31"/>
      <c r="AC240" s="31"/>
      <c r="AD240" s="31"/>
      <c r="AE240" s="31"/>
      <c r="AF240" s="31"/>
      <c r="AH240" s="31"/>
    </row>
    <row r="241" spans="1:34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31"/>
      <c r="P241" s="67"/>
      <c r="R241" s="31"/>
      <c r="S241" s="31"/>
      <c r="T241" s="72"/>
      <c r="U241" s="31"/>
      <c r="W241" s="31"/>
      <c r="X241" s="31"/>
      <c r="Y241" s="31"/>
      <c r="AA241" s="31"/>
      <c r="AB241" s="31"/>
      <c r="AC241" s="31"/>
      <c r="AD241" s="31"/>
      <c r="AE241" s="31"/>
      <c r="AF241" s="31"/>
      <c r="AH241" s="31"/>
    </row>
    <row r="242" spans="1:34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31"/>
      <c r="P242" s="67"/>
      <c r="R242" s="31"/>
      <c r="S242" s="31"/>
      <c r="T242" s="72"/>
      <c r="U242" s="31"/>
      <c r="W242" s="31"/>
      <c r="X242" s="31"/>
      <c r="Y242" s="31"/>
      <c r="AA242" s="31"/>
      <c r="AB242" s="31"/>
      <c r="AC242" s="31"/>
      <c r="AD242" s="31"/>
      <c r="AE242" s="31"/>
      <c r="AF242" s="31"/>
      <c r="AH242" s="31"/>
    </row>
    <row r="243" spans="1:34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31"/>
      <c r="P243" s="67"/>
      <c r="R243" s="31"/>
      <c r="S243" s="31"/>
      <c r="T243" s="72"/>
      <c r="U243" s="31"/>
      <c r="W243" s="31"/>
      <c r="X243" s="31"/>
      <c r="Y243" s="31"/>
      <c r="AA243" s="31"/>
      <c r="AB243" s="31"/>
      <c r="AC243" s="31"/>
      <c r="AD243" s="31"/>
      <c r="AE243" s="31"/>
      <c r="AF243" s="31"/>
      <c r="AH243" s="31"/>
    </row>
    <row r="244" spans="1:34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31"/>
      <c r="P244" s="67"/>
      <c r="R244" s="31"/>
      <c r="S244" s="31"/>
      <c r="T244" s="72"/>
      <c r="U244" s="31"/>
      <c r="W244" s="31"/>
      <c r="X244" s="31"/>
      <c r="Y244" s="31"/>
      <c r="AA244" s="31"/>
      <c r="AB244" s="31"/>
      <c r="AC244" s="31"/>
      <c r="AD244" s="31"/>
      <c r="AE244" s="31"/>
      <c r="AF244" s="31"/>
      <c r="AH244" s="31"/>
    </row>
    <row r="245" spans="1:34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31"/>
      <c r="P245" s="67"/>
      <c r="R245" s="31"/>
      <c r="S245" s="31"/>
      <c r="T245" s="72"/>
      <c r="U245" s="31"/>
      <c r="W245" s="31"/>
      <c r="X245" s="31"/>
      <c r="Y245" s="31"/>
      <c r="AA245" s="31"/>
      <c r="AB245" s="31"/>
      <c r="AC245" s="31"/>
      <c r="AD245" s="31"/>
      <c r="AE245" s="31"/>
      <c r="AF245" s="31"/>
      <c r="AH245" s="31"/>
    </row>
    <row r="246" spans="1:34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31"/>
      <c r="P246" s="67"/>
      <c r="R246" s="31"/>
      <c r="S246" s="31"/>
      <c r="T246" s="72"/>
      <c r="U246" s="31"/>
      <c r="W246" s="31"/>
      <c r="X246" s="31"/>
      <c r="Y246" s="31"/>
      <c r="AA246" s="31"/>
      <c r="AB246" s="31"/>
      <c r="AC246" s="31"/>
      <c r="AD246" s="31"/>
      <c r="AE246" s="31"/>
      <c r="AF246" s="31"/>
      <c r="AH246" s="31"/>
    </row>
    <row r="247" spans="1:34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31"/>
      <c r="P247" s="67"/>
      <c r="R247" s="31"/>
      <c r="S247" s="31"/>
      <c r="T247" s="72"/>
      <c r="U247" s="31"/>
      <c r="W247" s="31"/>
      <c r="X247" s="31"/>
      <c r="Y247" s="31"/>
      <c r="AA247" s="31"/>
      <c r="AB247" s="31"/>
      <c r="AC247" s="31"/>
      <c r="AD247" s="31"/>
      <c r="AE247" s="31"/>
      <c r="AF247" s="31"/>
      <c r="AH247" s="31"/>
    </row>
    <row r="248" spans="1:34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31"/>
      <c r="P248" s="67"/>
      <c r="R248" s="31"/>
      <c r="S248" s="31"/>
      <c r="T248" s="72"/>
      <c r="U248" s="31"/>
      <c r="W248" s="31"/>
      <c r="X248" s="31"/>
      <c r="Y248" s="31"/>
      <c r="AA248" s="31"/>
      <c r="AB248" s="31"/>
      <c r="AC248" s="31"/>
      <c r="AD248" s="31"/>
      <c r="AE248" s="31"/>
      <c r="AF248" s="31"/>
      <c r="AH248" s="31"/>
    </row>
    <row r="249" spans="1:34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31"/>
      <c r="P249" s="67"/>
      <c r="R249" s="31"/>
      <c r="S249" s="31"/>
      <c r="T249" s="72"/>
      <c r="U249" s="31"/>
      <c r="W249" s="31"/>
      <c r="X249" s="31"/>
      <c r="Y249" s="31"/>
      <c r="AA249" s="31"/>
      <c r="AB249" s="31"/>
      <c r="AC249" s="31"/>
      <c r="AD249" s="31"/>
      <c r="AE249" s="31"/>
      <c r="AF249" s="31"/>
      <c r="AH249" s="31"/>
    </row>
    <row r="250" spans="1:34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31"/>
      <c r="P250" s="67"/>
      <c r="R250" s="31"/>
      <c r="S250" s="31"/>
      <c r="T250" s="72"/>
      <c r="U250" s="31"/>
      <c r="W250" s="31"/>
      <c r="X250" s="31"/>
      <c r="Y250" s="31"/>
      <c r="AA250" s="31"/>
      <c r="AB250" s="31"/>
      <c r="AC250" s="31"/>
      <c r="AD250" s="31"/>
      <c r="AE250" s="31"/>
      <c r="AF250" s="31"/>
      <c r="AH250" s="31"/>
    </row>
    <row r="251" spans="1:34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31"/>
      <c r="P251" s="67"/>
      <c r="R251" s="31"/>
      <c r="S251" s="31"/>
      <c r="T251" s="72"/>
      <c r="U251" s="31"/>
      <c r="W251" s="31"/>
      <c r="X251" s="31"/>
      <c r="Y251" s="31"/>
      <c r="AA251" s="31"/>
      <c r="AB251" s="31"/>
      <c r="AC251" s="31"/>
      <c r="AD251" s="31"/>
      <c r="AE251" s="31"/>
      <c r="AF251" s="31"/>
      <c r="AH251" s="31"/>
    </row>
    <row r="252" spans="1:34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31"/>
      <c r="P252" s="67"/>
      <c r="R252" s="31"/>
      <c r="S252" s="31"/>
      <c r="T252" s="72"/>
      <c r="U252" s="31"/>
      <c r="W252" s="31"/>
      <c r="X252" s="31"/>
      <c r="Y252" s="31"/>
      <c r="AA252" s="31"/>
      <c r="AB252" s="31"/>
      <c r="AC252" s="31"/>
      <c r="AD252" s="31"/>
      <c r="AE252" s="31"/>
      <c r="AF252" s="31"/>
      <c r="AH252" s="31"/>
    </row>
    <row r="253" spans="1:34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31"/>
      <c r="P253" s="67"/>
      <c r="R253" s="31"/>
      <c r="S253" s="31"/>
      <c r="T253" s="72"/>
      <c r="U253" s="31"/>
      <c r="W253" s="31"/>
      <c r="X253" s="31"/>
      <c r="Y253" s="31"/>
      <c r="AA253" s="31"/>
      <c r="AB253" s="31"/>
      <c r="AC253" s="31"/>
      <c r="AD253" s="31"/>
      <c r="AE253" s="31"/>
      <c r="AF253" s="31"/>
      <c r="AH253" s="31"/>
    </row>
    <row r="254" spans="1:34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31"/>
      <c r="P254" s="67"/>
      <c r="R254" s="31"/>
      <c r="S254" s="31"/>
      <c r="T254" s="72"/>
      <c r="U254" s="31"/>
      <c r="W254" s="31"/>
      <c r="X254" s="31"/>
      <c r="Y254" s="31"/>
      <c r="AA254" s="31"/>
      <c r="AB254" s="31"/>
      <c r="AC254" s="31"/>
      <c r="AD254" s="31"/>
      <c r="AE254" s="31"/>
      <c r="AF254" s="31"/>
      <c r="AH254" s="31"/>
    </row>
    <row r="255" spans="1:34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31"/>
      <c r="P255" s="67"/>
      <c r="R255" s="31"/>
      <c r="S255" s="31"/>
      <c r="T255" s="72"/>
      <c r="U255" s="31"/>
      <c r="W255" s="31"/>
      <c r="X255" s="31"/>
      <c r="Y255" s="31"/>
      <c r="AA255" s="31"/>
      <c r="AB255" s="31"/>
      <c r="AC255" s="31"/>
      <c r="AD255" s="31"/>
      <c r="AE255" s="31"/>
      <c r="AF255" s="31"/>
      <c r="AH255" s="31"/>
    </row>
    <row r="256" spans="1:34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31"/>
      <c r="P256" s="67"/>
      <c r="R256" s="31"/>
      <c r="S256" s="31"/>
      <c r="T256" s="72"/>
      <c r="U256" s="31"/>
      <c r="W256" s="31"/>
      <c r="X256" s="31"/>
      <c r="Y256" s="31"/>
      <c r="AA256" s="31"/>
      <c r="AB256" s="31"/>
      <c r="AC256" s="31"/>
      <c r="AD256" s="31"/>
      <c r="AE256" s="31"/>
      <c r="AF256" s="31"/>
      <c r="AH256" s="31"/>
    </row>
    <row r="257" spans="1:34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31"/>
      <c r="P257" s="67"/>
      <c r="R257" s="31"/>
      <c r="S257" s="31"/>
      <c r="T257" s="72"/>
      <c r="U257" s="31"/>
      <c r="W257" s="31"/>
      <c r="X257" s="31"/>
      <c r="Y257" s="31"/>
      <c r="AA257" s="31"/>
      <c r="AB257" s="31"/>
      <c r="AC257" s="31"/>
      <c r="AD257" s="31"/>
      <c r="AE257" s="31"/>
      <c r="AF257" s="31"/>
      <c r="AH257" s="31"/>
    </row>
    <row r="258" spans="1:34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31"/>
      <c r="P258" s="67"/>
      <c r="R258" s="31"/>
      <c r="S258" s="31"/>
      <c r="T258" s="72"/>
      <c r="U258" s="31"/>
      <c r="W258" s="31"/>
      <c r="X258" s="31"/>
      <c r="Y258" s="31"/>
      <c r="AA258" s="31"/>
      <c r="AB258" s="31"/>
      <c r="AC258" s="31"/>
      <c r="AD258" s="31"/>
      <c r="AE258" s="31"/>
      <c r="AF258" s="31"/>
      <c r="AH258" s="31"/>
    </row>
    <row r="259" spans="1:34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31"/>
      <c r="P259" s="67"/>
      <c r="R259" s="31"/>
      <c r="S259" s="31"/>
      <c r="T259" s="72"/>
      <c r="U259" s="31"/>
      <c r="W259" s="31"/>
      <c r="X259" s="31"/>
      <c r="Y259" s="31"/>
      <c r="AA259" s="31"/>
      <c r="AB259" s="31"/>
      <c r="AC259" s="31"/>
      <c r="AD259" s="31"/>
      <c r="AE259" s="31"/>
      <c r="AF259" s="31"/>
      <c r="AH259" s="31"/>
    </row>
    <row r="260" spans="1:34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31"/>
      <c r="P260" s="67"/>
      <c r="R260" s="31"/>
      <c r="S260" s="31"/>
      <c r="T260" s="72"/>
      <c r="U260" s="31"/>
      <c r="W260" s="31"/>
      <c r="X260" s="31"/>
      <c r="Y260" s="31"/>
      <c r="AA260" s="31"/>
      <c r="AB260" s="31"/>
      <c r="AC260" s="31"/>
      <c r="AD260" s="31"/>
      <c r="AE260" s="31"/>
      <c r="AF260" s="31"/>
      <c r="AH260" s="31"/>
    </row>
    <row r="261" spans="1:34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31"/>
      <c r="P261" s="67"/>
      <c r="R261" s="31"/>
      <c r="S261" s="31"/>
      <c r="T261" s="72"/>
      <c r="U261" s="31"/>
      <c r="W261" s="31"/>
      <c r="X261" s="31"/>
      <c r="Y261" s="31"/>
      <c r="AA261" s="31"/>
      <c r="AB261" s="31"/>
      <c r="AC261" s="31"/>
      <c r="AD261" s="31"/>
      <c r="AE261" s="31"/>
      <c r="AF261" s="31"/>
      <c r="AH261" s="31"/>
    </row>
    <row r="262" spans="1:34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31"/>
      <c r="P262" s="67"/>
      <c r="R262" s="31"/>
      <c r="S262" s="31"/>
      <c r="T262" s="72"/>
      <c r="U262" s="31"/>
      <c r="W262" s="31"/>
      <c r="X262" s="31"/>
      <c r="Y262" s="31"/>
      <c r="AA262" s="31"/>
      <c r="AB262" s="31"/>
      <c r="AC262" s="31"/>
      <c r="AD262" s="31"/>
      <c r="AE262" s="31"/>
      <c r="AF262" s="31"/>
      <c r="AH262" s="31"/>
    </row>
    <row r="263" spans="1:34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31"/>
      <c r="P263" s="67"/>
      <c r="R263" s="31"/>
      <c r="S263" s="31"/>
      <c r="T263" s="72"/>
      <c r="U263" s="31"/>
      <c r="W263" s="31"/>
      <c r="X263" s="31"/>
      <c r="Y263" s="31"/>
      <c r="AA263" s="31"/>
      <c r="AB263" s="31"/>
      <c r="AC263" s="31"/>
      <c r="AD263" s="31"/>
      <c r="AE263" s="31"/>
      <c r="AF263" s="31"/>
      <c r="AH263" s="31"/>
    </row>
    <row r="264" spans="1:34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31"/>
      <c r="P264" s="67"/>
      <c r="R264" s="31"/>
      <c r="S264" s="31"/>
      <c r="T264" s="72"/>
      <c r="U264" s="31"/>
      <c r="W264" s="31"/>
      <c r="X264" s="31"/>
      <c r="Y264" s="31"/>
      <c r="AA264" s="31"/>
      <c r="AB264" s="31"/>
      <c r="AC264" s="31"/>
      <c r="AD264" s="31"/>
      <c r="AE264" s="31"/>
      <c r="AF264" s="31"/>
      <c r="AH264" s="31"/>
    </row>
    <row r="265" spans="1:34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31"/>
      <c r="P265" s="67"/>
      <c r="R265" s="31"/>
      <c r="S265" s="31"/>
      <c r="T265" s="72"/>
      <c r="U265" s="31"/>
      <c r="W265" s="31"/>
      <c r="X265" s="31"/>
      <c r="Y265" s="31"/>
      <c r="AA265" s="31"/>
      <c r="AB265" s="31"/>
      <c r="AC265" s="31"/>
      <c r="AD265" s="31"/>
      <c r="AE265" s="31"/>
      <c r="AF265" s="31"/>
      <c r="AH265" s="31"/>
    </row>
    <row r="266" spans="1:34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31"/>
      <c r="P266" s="67"/>
      <c r="R266" s="31"/>
      <c r="S266" s="31"/>
      <c r="T266" s="72"/>
      <c r="U266" s="31"/>
      <c r="W266" s="31"/>
      <c r="X266" s="31"/>
      <c r="Y266" s="31"/>
      <c r="AA266" s="31"/>
      <c r="AB266" s="31"/>
      <c r="AC266" s="31"/>
      <c r="AD266" s="31"/>
      <c r="AE266" s="31"/>
      <c r="AF266" s="31"/>
      <c r="AH266" s="31"/>
    </row>
    <row r="267" spans="1:34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31"/>
      <c r="P267" s="67"/>
      <c r="R267" s="31"/>
      <c r="S267" s="31"/>
      <c r="T267" s="72"/>
      <c r="U267" s="31"/>
      <c r="W267" s="31"/>
      <c r="X267" s="31"/>
      <c r="Y267" s="31"/>
      <c r="AA267" s="31"/>
      <c r="AB267" s="31"/>
      <c r="AC267" s="31"/>
      <c r="AD267" s="31"/>
      <c r="AE267" s="31"/>
      <c r="AF267" s="31"/>
      <c r="AH267" s="31"/>
    </row>
    <row r="268" spans="1:34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31"/>
      <c r="P268" s="67"/>
      <c r="R268" s="31"/>
      <c r="S268" s="31"/>
      <c r="T268" s="72"/>
      <c r="U268" s="31"/>
      <c r="W268" s="31"/>
      <c r="X268" s="31"/>
      <c r="Y268" s="31"/>
      <c r="AA268" s="31"/>
      <c r="AB268" s="31"/>
      <c r="AC268" s="31"/>
      <c r="AD268" s="31"/>
      <c r="AE268" s="31"/>
      <c r="AF268" s="31"/>
      <c r="AH268" s="31"/>
    </row>
    <row r="269" spans="1:34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31"/>
      <c r="P269" s="67"/>
      <c r="R269" s="31"/>
      <c r="S269" s="31"/>
      <c r="T269" s="72"/>
      <c r="U269" s="31"/>
      <c r="W269" s="31"/>
      <c r="X269" s="31"/>
      <c r="Y269" s="31"/>
      <c r="AA269" s="31"/>
      <c r="AB269" s="31"/>
      <c r="AC269" s="31"/>
      <c r="AD269" s="31"/>
      <c r="AE269" s="31"/>
      <c r="AF269" s="31"/>
      <c r="AH269" s="31"/>
    </row>
    <row r="270" spans="1:34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31"/>
      <c r="P270" s="67"/>
      <c r="R270" s="31"/>
      <c r="S270" s="31"/>
      <c r="T270" s="72"/>
      <c r="U270" s="31"/>
      <c r="W270" s="31"/>
      <c r="X270" s="31"/>
      <c r="Y270" s="31"/>
      <c r="AA270" s="31"/>
      <c r="AB270" s="31"/>
      <c r="AC270" s="31"/>
      <c r="AD270" s="31"/>
      <c r="AE270" s="31"/>
      <c r="AF270" s="31"/>
      <c r="AH270" s="31"/>
    </row>
    <row r="271" spans="1:34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31"/>
      <c r="P271" s="67"/>
      <c r="R271" s="31"/>
      <c r="S271" s="31"/>
      <c r="T271" s="72"/>
      <c r="U271" s="31"/>
      <c r="W271" s="31"/>
      <c r="X271" s="31"/>
      <c r="Y271" s="31"/>
      <c r="AA271" s="31"/>
      <c r="AB271" s="31"/>
      <c r="AC271" s="31"/>
      <c r="AD271" s="31"/>
      <c r="AE271" s="31"/>
      <c r="AF271" s="31"/>
      <c r="AH271" s="31"/>
    </row>
    <row r="272" spans="1:34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31"/>
      <c r="P272" s="67"/>
      <c r="R272" s="31"/>
      <c r="S272" s="31"/>
      <c r="T272" s="72"/>
      <c r="U272" s="31"/>
      <c r="W272" s="31"/>
      <c r="X272" s="31"/>
      <c r="Y272" s="31"/>
      <c r="AA272" s="31"/>
      <c r="AB272" s="31"/>
      <c r="AC272" s="31"/>
      <c r="AD272" s="31"/>
      <c r="AE272" s="31"/>
      <c r="AF272" s="31"/>
      <c r="AH272" s="31"/>
    </row>
    <row r="273" spans="1:34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31"/>
      <c r="P273" s="67"/>
      <c r="R273" s="31"/>
      <c r="S273" s="31"/>
      <c r="T273" s="72"/>
      <c r="U273" s="31"/>
      <c r="W273" s="31"/>
      <c r="X273" s="31"/>
      <c r="Y273" s="31"/>
      <c r="AA273" s="31"/>
      <c r="AB273" s="31"/>
      <c r="AC273" s="31"/>
      <c r="AD273" s="31"/>
      <c r="AE273" s="31"/>
      <c r="AF273" s="31"/>
      <c r="AH273" s="31"/>
    </row>
    <row r="274" spans="1:34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31"/>
      <c r="P274" s="67"/>
      <c r="R274" s="31"/>
      <c r="S274" s="31"/>
      <c r="T274" s="72"/>
      <c r="U274" s="31"/>
      <c r="W274" s="31"/>
      <c r="X274" s="31"/>
      <c r="Y274" s="31"/>
      <c r="AA274" s="31"/>
      <c r="AB274" s="31"/>
      <c r="AC274" s="31"/>
      <c r="AD274" s="31"/>
      <c r="AE274" s="31"/>
      <c r="AF274" s="31"/>
      <c r="AH274" s="31"/>
    </row>
    <row r="275" spans="1:34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31"/>
      <c r="P275" s="67"/>
      <c r="R275" s="31"/>
      <c r="S275" s="31"/>
      <c r="T275" s="72"/>
      <c r="U275" s="31"/>
      <c r="W275" s="31"/>
      <c r="X275" s="31"/>
      <c r="Y275" s="31"/>
      <c r="AA275" s="31"/>
      <c r="AB275" s="31"/>
      <c r="AC275" s="31"/>
      <c r="AD275" s="31"/>
      <c r="AE275" s="31"/>
      <c r="AF275" s="31"/>
      <c r="AH275" s="31"/>
    </row>
    <row r="276" spans="1:34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31"/>
      <c r="P276" s="67"/>
      <c r="R276" s="31"/>
      <c r="S276" s="31"/>
      <c r="T276" s="72"/>
      <c r="U276" s="31"/>
      <c r="W276" s="31"/>
      <c r="X276" s="31"/>
      <c r="Y276" s="31"/>
      <c r="AA276" s="31"/>
      <c r="AB276" s="31"/>
      <c r="AC276" s="31"/>
      <c r="AD276" s="31"/>
      <c r="AE276" s="31"/>
      <c r="AF276" s="31"/>
      <c r="AH276" s="31"/>
    </row>
    <row r="277" spans="1:34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31"/>
      <c r="P277" s="67"/>
      <c r="R277" s="31"/>
      <c r="S277" s="31"/>
      <c r="T277" s="72"/>
      <c r="U277" s="31"/>
      <c r="W277" s="31"/>
      <c r="X277" s="31"/>
      <c r="Y277" s="31"/>
      <c r="AA277" s="31"/>
      <c r="AB277" s="31"/>
      <c r="AC277" s="31"/>
      <c r="AD277" s="31"/>
      <c r="AE277" s="31"/>
      <c r="AF277" s="31"/>
      <c r="AH277" s="31"/>
    </row>
    <row r="278" spans="1:34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31"/>
      <c r="P278" s="67"/>
      <c r="R278" s="31"/>
      <c r="S278" s="31"/>
      <c r="T278" s="72"/>
      <c r="U278" s="31"/>
      <c r="W278" s="31"/>
      <c r="X278" s="31"/>
      <c r="Y278" s="31"/>
      <c r="AA278" s="31"/>
      <c r="AB278" s="31"/>
      <c r="AC278" s="31"/>
      <c r="AD278" s="31"/>
      <c r="AE278" s="31"/>
      <c r="AF278" s="31"/>
      <c r="AH278" s="31"/>
    </row>
    <row r="279" spans="1:34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31"/>
      <c r="P279" s="67"/>
      <c r="R279" s="31"/>
      <c r="S279" s="31"/>
      <c r="T279" s="72"/>
      <c r="U279" s="31"/>
      <c r="W279" s="31"/>
      <c r="X279" s="31"/>
      <c r="Y279" s="31"/>
      <c r="AA279" s="31"/>
      <c r="AB279" s="31"/>
      <c r="AC279" s="31"/>
      <c r="AD279" s="31"/>
      <c r="AE279" s="31"/>
      <c r="AF279" s="31"/>
      <c r="AH279" s="31"/>
    </row>
    <row r="280" spans="1:34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31"/>
      <c r="P280" s="67"/>
      <c r="R280" s="31"/>
      <c r="S280" s="31"/>
      <c r="T280" s="72"/>
      <c r="U280" s="31"/>
      <c r="W280" s="31"/>
      <c r="X280" s="31"/>
      <c r="Y280" s="31"/>
      <c r="AA280" s="31"/>
      <c r="AB280" s="31"/>
      <c r="AC280" s="31"/>
      <c r="AD280" s="31"/>
      <c r="AE280" s="31"/>
      <c r="AF280" s="31"/>
      <c r="AH280" s="31"/>
    </row>
    <row r="281" spans="1:34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31"/>
      <c r="P281" s="67"/>
      <c r="R281" s="31"/>
      <c r="S281" s="31"/>
      <c r="T281" s="72"/>
      <c r="U281" s="31"/>
      <c r="W281" s="31"/>
      <c r="X281" s="31"/>
      <c r="Y281" s="31"/>
      <c r="AA281" s="31"/>
      <c r="AB281" s="31"/>
      <c r="AC281" s="31"/>
      <c r="AD281" s="31"/>
      <c r="AE281" s="31"/>
      <c r="AF281" s="31"/>
      <c r="AH281" s="31"/>
    </row>
    <row r="282" spans="1:34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31"/>
      <c r="P282" s="67"/>
      <c r="R282" s="31"/>
      <c r="S282" s="31"/>
      <c r="T282" s="72"/>
      <c r="U282" s="31"/>
      <c r="W282" s="31"/>
      <c r="X282" s="31"/>
      <c r="Y282" s="31"/>
      <c r="AA282" s="31"/>
      <c r="AB282" s="31"/>
      <c r="AC282" s="31"/>
      <c r="AD282" s="31"/>
      <c r="AE282" s="31"/>
      <c r="AF282" s="31"/>
      <c r="AH282" s="31"/>
    </row>
    <row r="283" spans="1:34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31"/>
      <c r="P283" s="67"/>
      <c r="R283" s="31"/>
      <c r="S283" s="31"/>
      <c r="T283" s="72"/>
      <c r="U283" s="31"/>
      <c r="W283" s="31"/>
      <c r="X283" s="31"/>
      <c r="Y283" s="31"/>
      <c r="AA283" s="31"/>
      <c r="AB283" s="31"/>
      <c r="AC283" s="31"/>
      <c r="AD283" s="31"/>
      <c r="AE283" s="31"/>
      <c r="AF283" s="31"/>
      <c r="AH283" s="31"/>
    </row>
    <row r="284" spans="1:34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31"/>
      <c r="P284" s="67"/>
      <c r="R284" s="31"/>
      <c r="S284" s="31"/>
      <c r="T284" s="72"/>
      <c r="U284" s="31"/>
      <c r="W284" s="31"/>
      <c r="X284" s="31"/>
      <c r="Y284" s="31"/>
      <c r="AA284" s="31"/>
      <c r="AB284" s="31"/>
      <c r="AC284" s="31"/>
      <c r="AD284" s="31"/>
      <c r="AE284" s="31"/>
      <c r="AF284" s="31"/>
      <c r="AH284" s="31"/>
    </row>
    <row r="285" spans="1:34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31"/>
      <c r="P285" s="67"/>
      <c r="R285" s="31"/>
      <c r="S285" s="31"/>
      <c r="T285" s="72"/>
      <c r="U285" s="31"/>
      <c r="W285" s="31"/>
      <c r="X285" s="31"/>
      <c r="Y285" s="31"/>
      <c r="AA285" s="31"/>
      <c r="AB285" s="31"/>
      <c r="AC285" s="31"/>
      <c r="AD285" s="31"/>
      <c r="AE285" s="31"/>
      <c r="AF285" s="31"/>
      <c r="AH285" s="31"/>
    </row>
    <row r="286" spans="1:34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31"/>
      <c r="P286" s="67"/>
      <c r="R286" s="31"/>
      <c r="S286" s="31"/>
      <c r="T286" s="72"/>
      <c r="U286" s="31"/>
      <c r="W286" s="31"/>
      <c r="X286" s="31"/>
      <c r="Y286" s="31"/>
      <c r="AA286" s="31"/>
      <c r="AB286" s="31"/>
      <c r="AC286" s="31"/>
      <c r="AD286" s="31"/>
      <c r="AE286" s="31"/>
      <c r="AF286" s="31"/>
      <c r="AH286" s="31"/>
    </row>
    <row r="287" spans="1:34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31"/>
      <c r="P287" s="67"/>
      <c r="R287" s="31"/>
      <c r="S287" s="31"/>
      <c r="T287" s="72"/>
      <c r="U287" s="31"/>
      <c r="W287" s="31"/>
      <c r="X287" s="31"/>
      <c r="Y287" s="31"/>
      <c r="AA287" s="31"/>
      <c r="AB287" s="31"/>
      <c r="AC287" s="31"/>
      <c r="AD287" s="31"/>
      <c r="AE287" s="31"/>
      <c r="AF287" s="31"/>
      <c r="AH287" s="31"/>
    </row>
    <row r="288" spans="1:34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31"/>
      <c r="P288" s="67"/>
      <c r="R288" s="31"/>
      <c r="S288" s="31"/>
      <c r="T288" s="72"/>
      <c r="U288" s="31"/>
      <c r="W288" s="31"/>
      <c r="X288" s="31"/>
      <c r="Y288" s="31"/>
      <c r="AA288" s="31"/>
      <c r="AB288" s="31"/>
      <c r="AC288" s="31"/>
      <c r="AD288" s="31"/>
      <c r="AE288" s="31"/>
      <c r="AF288" s="31"/>
      <c r="AH288" s="31"/>
    </row>
    <row r="289" spans="1:34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31"/>
      <c r="P289" s="67"/>
      <c r="R289" s="31"/>
      <c r="S289" s="31"/>
      <c r="T289" s="72"/>
      <c r="U289" s="31"/>
      <c r="W289" s="31"/>
      <c r="X289" s="31"/>
      <c r="Y289" s="31"/>
      <c r="AA289" s="31"/>
      <c r="AB289" s="31"/>
      <c r="AC289" s="31"/>
      <c r="AD289" s="31"/>
      <c r="AE289" s="31"/>
      <c r="AF289" s="31"/>
      <c r="AH289" s="31"/>
    </row>
    <row r="290" spans="1:34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31"/>
      <c r="P290" s="67"/>
      <c r="R290" s="31"/>
      <c r="S290" s="31"/>
      <c r="T290" s="72"/>
      <c r="U290" s="31"/>
      <c r="W290" s="31"/>
      <c r="X290" s="31"/>
      <c r="Y290" s="31"/>
      <c r="AA290" s="31"/>
      <c r="AB290" s="31"/>
      <c r="AC290" s="31"/>
      <c r="AD290" s="31"/>
      <c r="AE290" s="31"/>
      <c r="AF290" s="31"/>
      <c r="AH290" s="31"/>
    </row>
    <row r="291" spans="1:34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31"/>
      <c r="P291" s="67"/>
      <c r="R291" s="31"/>
      <c r="S291" s="31"/>
      <c r="T291" s="72"/>
      <c r="U291" s="31"/>
      <c r="W291" s="31"/>
      <c r="X291" s="31"/>
      <c r="Y291" s="31"/>
      <c r="AA291" s="31"/>
      <c r="AB291" s="31"/>
      <c r="AC291" s="31"/>
      <c r="AD291" s="31"/>
      <c r="AE291" s="31"/>
      <c r="AF291" s="31"/>
      <c r="AH291" s="31"/>
    </row>
    <row r="292" spans="1:34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31"/>
      <c r="P292" s="67"/>
      <c r="R292" s="31"/>
      <c r="S292" s="31"/>
      <c r="T292" s="72"/>
      <c r="U292" s="31"/>
      <c r="W292" s="31"/>
      <c r="X292" s="31"/>
      <c r="Y292" s="31"/>
      <c r="AA292" s="31"/>
      <c r="AB292" s="31"/>
      <c r="AC292" s="31"/>
      <c r="AD292" s="31"/>
      <c r="AE292" s="31"/>
      <c r="AF292" s="31"/>
      <c r="AH292" s="31"/>
    </row>
    <row r="293" spans="1:34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31"/>
      <c r="P293" s="67"/>
      <c r="R293" s="31"/>
      <c r="S293" s="31"/>
      <c r="T293" s="72"/>
      <c r="U293" s="31"/>
      <c r="W293" s="31"/>
      <c r="X293" s="31"/>
      <c r="Y293" s="31"/>
      <c r="AA293" s="31"/>
      <c r="AB293" s="31"/>
      <c r="AC293" s="31"/>
      <c r="AD293" s="31"/>
      <c r="AE293" s="31"/>
      <c r="AF293" s="31"/>
      <c r="AH293" s="31"/>
    </row>
    <row r="294" spans="1:34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31"/>
      <c r="P294" s="67"/>
      <c r="R294" s="31"/>
      <c r="S294" s="31"/>
      <c r="T294" s="72"/>
      <c r="U294" s="31"/>
      <c r="W294" s="31"/>
      <c r="X294" s="31"/>
      <c r="Y294" s="31"/>
      <c r="AA294" s="31"/>
      <c r="AB294" s="31"/>
      <c r="AC294" s="31"/>
      <c r="AD294" s="31"/>
      <c r="AE294" s="31"/>
      <c r="AF294" s="31"/>
      <c r="AH294" s="31"/>
    </row>
    <row r="295" spans="1:34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31"/>
      <c r="P295" s="67"/>
      <c r="R295" s="31"/>
      <c r="S295" s="31"/>
      <c r="T295" s="72"/>
      <c r="U295" s="31"/>
      <c r="W295" s="31"/>
      <c r="X295" s="31"/>
      <c r="Y295" s="31"/>
      <c r="AA295" s="31"/>
      <c r="AB295" s="31"/>
      <c r="AC295" s="31"/>
      <c r="AD295" s="31"/>
      <c r="AE295" s="31"/>
      <c r="AF295" s="31"/>
      <c r="AH295" s="31"/>
    </row>
    <row r="296" spans="1:34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31"/>
      <c r="P296" s="67"/>
      <c r="R296" s="31"/>
      <c r="S296" s="31"/>
      <c r="T296" s="72"/>
      <c r="U296" s="31"/>
      <c r="W296" s="31"/>
      <c r="X296" s="31"/>
      <c r="Y296" s="31"/>
      <c r="AA296" s="31"/>
      <c r="AB296" s="31"/>
      <c r="AC296" s="31"/>
      <c r="AD296" s="31"/>
      <c r="AE296" s="31"/>
      <c r="AF296" s="31"/>
      <c r="AH296" s="31"/>
    </row>
    <row r="297" spans="1:34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31"/>
      <c r="P297" s="67"/>
      <c r="R297" s="31"/>
      <c r="S297" s="31"/>
      <c r="T297" s="72"/>
      <c r="U297" s="31"/>
      <c r="W297" s="31"/>
      <c r="X297" s="31"/>
      <c r="Y297" s="31"/>
      <c r="AA297" s="31"/>
      <c r="AB297" s="31"/>
      <c r="AC297" s="31"/>
      <c r="AD297" s="31"/>
      <c r="AE297" s="31"/>
      <c r="AF297" s="31"/>
      <c r="AH297" s="31"/>
    </row>
    <row r="298" spans="1:34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31"/>
      <c r="P298" s="67"/>
      <c r="R298" s="31"/>
      <c r="S298" s="31"/>
      <c r="T298" s="72"/>
      <c r="U298" s="31"/>
      <c r="W298" s="31"/>
      <c r="X298" s="31"/>
      <c r="Y298" s="31"/>
      <c r="AA298" s="31"/>
      <c r="AB298" s="31"/>
      <c r="AC298" s="31"/>
      <c r="AD298" s="31"/>
      <c r="AE298" s="31"/>
      <c r="AF298" s="31"/>
      <c r="AH298" s="31"/>
    </row>
    <row r="299" spans="1:34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31"/>
      <c r="P299" s="67"/>
      <c r="R299" s="31"/>
      <c r="S299" s="31"/>
      <c r="T299" s="72"/>
      <c r="U299" s="31"/>
      <c r="W299" s="31"/>
      <c r="X299" s="31"/>
      <c r="Y299" s="31"/>
      <c r="AA299" s="31"/>
      <c r="AB299" s="31"/>
      <c r="AC299" s="31"/>
      <c r="AD299" s="31"/>
      <c r="AE299" s="31"/>
      <c r="AF299" s="31"/>
      <c r="AH299" s="31"/>
    </row>
    <row r="300" spans="1:34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31"/>
      <c r="P300" s="67"/>
      <c r="R300" s="31"/>
      <c r="S300" s="31"/>
      <c r="T300" s="72"/>
      <c r="U300" s="31"/>
      <c r="W300" s="31"/>
      <c r="X300" s="31"/>
      <c r="Y300" s="31"/>
      <c r="AA300" s="31"/>
      <c r="AB300" s="31"/>
      <c r="AC300" s="31"/>
      <c r="AD300" s="31"/>
      <c r="AE300" s="31"/>
      <c r="AF300" s="31"/>
      <c r="AH300" s="31"/>
    </row>
    <row r="301" spans="1:34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31"/>
      <c r="P301" s="67"/>
      <c r="R301" s="31"/>
      <c r="S301" s="31"/>
      <c r="T301" s="72"/>
      <c r="U301" s="31"/>
      <c r="W301" s="31"/>
      <c r="X301" s="31"/>
      <c r="Y301" s="31"/>
      <c r="AA301" s="31"/>
      <c r="AB301" s="31"/>
      <c r="AC301" s="31"/>
      <c r="AD301" s="31"/>
      <c r="AE301" s="31"/>
      <c r="AF301" s="31"/>
      <c r="AH301" s="31"/>
    </row>
    <row r="302" spans="1:34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31"/>
      <c r="P302" s="67"/>
      <c r="R302" s="31"/>
      <c r="S302" s="31"/>
      <c r="T302" s="72"/>
      <c r="U302" s="31"/>
      <c r="W302" s="31"/>
      <c r="X302" s="31"/>
      <c r="Y302" s="31"/>
      <c r="AA302" s="31"/>
      <c r="AB302" s="31"/>
      <c r="AC302" s="31"/>
      <c r="AD302" s="31"/>
      <c r="AE302" s="31"/>
      <c r="AF302" s="31"/>
      <c r="AH302" s="31"/>
    </row>
    <row r="303" spans="1:34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31"/>
      <c r="P303" s="67"/>
      <c r="R303" s="31"/>
      <c r="S303" s="31"/>
      <c r="T303" s="72"/>
      <c r="U303" s="31"/>
      <c r="W303" s="31"/>
      <c r="X303" s="31"/>
      <c r="Y303" s="31"/>
      <c r="AA303" s="31"/>
      <c r="AB303" s="31"/>
      <c r="AC303" s="31"/>
      <c r="AD303" s="31"/>
      <c r="AE303" s="31"/>
      <c r="AF303" s="31"/>
      <c r="AH303" s="31"/>
    </row>
    <row r="304" spans="1:34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31"/>
      <c r="P304" s="67"/>
      <c r="R304" s="31"/>
      <c r="S304" s="31"/>
      <c r="T304" s="72"/>
      <c r="U304" s="31"/>
      <c r="W304" s="31"/>
      <c r="X304" s="31"/>
      <c r="Y304" s="31"/>
      <c r="AA304" s="31"/>
      <c r="AB304" s="31"/>
      <c r="AC304" s="31"/>
      <c r="AD304" s="31"/>
      <c r="AE304" s="31"/>
      <c r="AF304" s="31"/>
      <c r="AH304" s="31"/>
    </row>
    <row r="305" spans="1:34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31"/>
      <c r="P305" s="67"/>
      <c r="R305" s="31"/>
      <c r="S305" s="31"/>
      <c r="T305" s="72"/>
      <c r="U305" s="31"/>
      <c r="W305" s="31"/>
      <c r="X305" s="31"/>
      <c r="Y305" s="31"/>
      <c r="AA305" s="31"/>
      <c r="AB305" s="31"/>
      <c r="AC305" s="31"/>
      <c r="AD305" s="31"/>
      <c r="AE305" s="31"/>
      <c r="AF305" s="31"/>
      <c r="AH305" s="31"/>
    </row>
    <row r="306" spans="1:34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31"/>
      <c r="P306" s="67"/>
      <c r="R306" s="31"/>
      <c r="S306" s="31"/>
      <c r="T306" s="72"/>
      <c r="U306" s="31"/>
      <c r="W306" s="31"/>
      <c r="X306" s="31"/>
      <c r="Y306" s="31"/>
      <c r="AA306" s="31"/>
      <c r="AB306" s="31"/>
      <c r="AC306" s="31"/>
      <c r="AD306" s="31"/>
      <c r="AE306" s="31"/>
      <c r="AF306" s="31"/>
      <c r="AH306" s="31"/>
    </row>
    <row r="307" spans="1:34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31"/>
      <c r="P307" s="67"/>
      <c r="R307" s="31"/>
      <c r="S307" s="31"/>
      <c r="T307" s="72"/>
      <c r="U307" s="31"/>
      <c r="W307" s="31"/>
      <c r="X307" s="31"/>
      <c r="Y307" s="31"/>
      <c r="AA307" s="31"/>
      <c r="AB307" s="31"/>
      <c r="AC307" s="31"/>
      <c r="AD307" s="31"/>
      <c r="AE307" s="31"/>
      <c r="AF307" s="31"/>
      <c r="AH307" s="31"/>
    </row>
    <row r="308" spans="1:34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31"/>
      <c r="P308" s="67"/>
      <c r="R308" s="31"/>
      <c r="S308" s="31"/>
      <c r="T308" s="72"/>
      <c r="U308" s="31"/>
      <c r="W308" s="31"/>
      <c r="X308" s="31"/>
      <c r="Y308" s="31"/>
      <c r="AA308" s="31"/>
      <c r="AB308" s="31"/>
      <c r="AC308" s="31"/>
      <c r="AD308" s="31"/>
      <c r="AE308" s="31"/>
      <c r="AF308" s="31"/>
      <c r="AH308" s="31"/>
    </row>
    <row r="309" spans="1:34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31"/>
      <c r="P309" s="67"/>
      <c r="R309" s="31"/>
      <c r="S309" s="31"/>
      <c r="T309" s="72"/>
      <c r="U309" s="31"/>
      <c r="W309" s="31"/>
      <c r="X309" s="31"/>
      <c r="Y309" s="31"/>
      <c r="AA309" s="31"/>
      <c r="AB309" s="31"/>
      <c r="AC309" s="31"/>
      <c r="AD309" s="31"/>
      <c r="AE309" s="31"/>
      <c r="AF309" s="31"/>
      <c r="AH309" s="31"/>
    </row>
    <row r="310" spans="1:34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31"/>
      <c r="P310" s="67"/>
      <c r="R310" s="31"/>
      <c r="S310" s="31"/>
      <c r="T310" s="72"/>
      <c r="U310" s="31"/>
      <c r="W310" s="31"/>
      <c r="X310" s="31"/>
      <c r="Y310" s="31"/>
      <c r="AA310" s="31"/>
      <c r="AB310" s="31"/>
      <c r="AC310" s="31"/>
      <c r="AD310" s="31"/>
      <c r="AE310" s="31"/>
      <c r="AF310" s="31"/>
      <c r="AH310" s="31"/>
    </row>
    <row r="311" spans="1:34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31"/>
      <c r="P311" s="67"/>
      <c r="R311" s="31"/>
      <c r="S311" s="31"/>
      <c r="T311" s="72"/>
      <c r="U311" s="31"/>
      <c r="W311" s="31"/>
      <c r="X311" s="31"/>
      <c r="Y311" s="31"/>
      <c r="AA311" s="31"/>
      <c r="AB311" s="31"/>
      <c r="AC311" s="31"/>
      <c r="AD311" s="31"/>
      <c r="AE311" s="31"/>
      <c r="AF311" s="31"/>
      <c r="AH311" s="31"/>
    </row>
    <row r="312" spans="1:34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31"/>
      <c r="P312" s="67"/>
      <c r="R312" s="31"/>
      <c r="S312" s="31"/>
      <c r="T312" s="72"/>
      <c r="U312" s="31"/>
      <c r="W312" s="31"/>
      <c r="X312" s="31"/>
      <c r="Y312" s="31"/>
      <c r="AA312" s="31"/>
      <c r="AB312" s="31"/>
      <c r="AC312" s="31"/>
      <c r="AD312" s="31"/>
      <c r="AE312" s="31"/>
      <c r="AF312" s="31"/>
      <c r="AH312" s="31"/>
    </row>
    <row r="313" spans="1:34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31"/>
      <c r="P313" s="67"/>
      <c r="R313" s="31"/>
      <c r="S313" s="31"/>
      <c r="T313" s="72"/>
      <c r="U313" s="31"/>
      <c r="W313" s="31"/>
      <c r="X313" s="31"/>
      <c r="Y313" s="31"/>
      <c r="AA313" s="31"/>
      <c r="AB313" s="31"/>
      <c r="AC313" s="31"/>
      <c r="AD313" s="31"/>
      <c r="AE313" s="31"/>
      <c r="AF313" s="31"/>
      <c r="AH313" s="31"/>
    </row>
    <row r="314" spans="1:34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31"/>
      <c r="P314" s="67"/>
      <c r="R314" s="31"/>
      <c r="S314" s="31"/>
      <c r="T314" s="72"/>
      <c r="U314" s="31"/>
      <c r="W314" s="31"/>
      <c r="X314" s="31"/>
      <c r="Y314" s="31"/>
      <c r="AA314" s="31"/>
      <c r="AB314" s="31"/>
      <c r="AC314" s="31"/>
      <c r="AD314" s="31"/>
      <c r="AE314" s="31"/>
      <c r="AF314" s="31"/>
      <c r="AH314" s="31"/>
    </row>
    <row r="315" spans="1:34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31"/>
      <c r="P315" s="67"/>
      <c r="R315" s="31"/>
      <c r="S315" s="31"/>
      <c r="T315" s="72"/>
      <c r="U315" s="31"/>
      <c r="W315" s="31"/>
      <c r="X315" s="31"/>
      <c r="Y315" s="31"/>
      <c r="AA315" s="31"/>
      <c r="AB315" s="31"/>
      <c r="AC315" s="31"/>
      <c r="AD315" s="31"/>
      <c r="AE315" s="31"/>
      <c r="AF315" s="31"/>
      <c r="AH315" s="31"/>
    </row>
    <row r="316" spans="1:34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31"/>
      <c r="P316" s="67"/>
      <c r="R316" s="31"/>
      <c r="S316" s="31"/>
      <c r="T316" s="72"/>
      <c r="U316" s="31"/>
      <c r="W316" s="31"/>
      <c r="X316" s="31"/>
      <c r="Y316" s="31"/>
      <c r="AA316" s="31"/>
      <c r="AB316" s="31"/>
      <c r="AC316" s="31"/>
      <c r="AD316" s="31"/>
      <c r="AE316" s="31"/>
      <c r="AF316" s="31"/>
      <c r="AH316" s="31"/>
    </row>
    <row r="317" spans="1:34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31"/>
      <c r="P317" s="67"/>
      <c r="R317" s="31"/>
      <c r="S317" s="31"/>
      <c r="T317" s="72"/>
      <c r="U317" s="31"/>
      <c r="W317" s="31"/>
      <c r="X317" s="31"/>
      <c r="Y317" s="31"/>
      <c r="AA317" s="31"/>
      <c r="AB317" s="31"/>
      <c r="AC317" s="31"/>
      <c r="AD317" s="31"/>
      <c r="AE317" s="31"/>
      <c r="AF317" s="31"/>
      <c r="AH317" s="31"/>
    </row>
    <row r="318" spans="1:34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31"/>
      <c r="P318" s="67"/>
      <c r="R318" s="31"/>
      <c r="S318" s="31"/>
      <c r="T318" s="72"/>
      <c r="U318" s="31"/>
      <c r="W318" s="31"/>
      <c r="X318" s="31"/>
      <c r="Y318" s="31"/>
      <c r="AA318" s="31"/>
      <c r="AB318" s="31"/>
      <c r="AC318" s="31"/>
      <c r="AD318" s="31"/>
      <c r="AE318" s="31"/>
      <c r="AF318" s="31"/>
      <c r="AH318" s="31"/>
    </row>
    <row r="319" spans="1:34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31"/>
      <c r="P319" s="67"/>
      <c r="R319" s="31"/>
      <c r="S319" s="31"/>
      <c r="T319" s="72"/>
      <c r="U319" s="31"/>
      <c r="W319" s="31"/>
      <c r="X319" s="31"/>
      <c r="Y319" s="31"/>
      <c r="AA319" s="31"/>
      <c r="AB319" s="31"/>
      <c r="AC319" s="31"/>
      <c r="AD319" s="31"/>
      <c r="AE319" s="31"/>
      <c r="AF319" s="31"/>
      <c r="AH319" s="31"/>
    </row>
    <row r="320" spans="1:34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31"/>
      <c r="P320" s="67"/>
      <c r="R320" s="31"/>
      <c r="S320" s="31"/>
      <c r="T320" s="72"/>
      <c r="U320" s="31"/>
      <c r="W320" s="31"/>
      <c r="X320" s="31"/>
      <c r="Y320" s="31"/>
      <c r="AA320" s="31"/>
      <c r="AB320" s="31"/>
      <c r="AC320" s="31"/>
      <c r="AD320" s="31"/>
      <c r="AE320" s="31"/>
      <c r="AF320" s="31"/>
      <c r="AH320" s="31"/>
    </row>
    <row r="321" spans="1:34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31"/>
      <c r="P321" s="67"/>
      <c r="R321" s="31"/>
      <c r="S321" s="31"/>
      <c r="T321" s="72"/>
      <c r="U321" s="31"/>
      <c r="W321" s="31"/>
      <c r="X321" s="31"/>
      <c r="Y321" s="31"/>
      <c r="AA321" s="31"/>
      <c r="AB321" s="31"/>
      <c r="AC321" s="31"/>
      <c r="AD321" s="31"/>
      <c r="AE321" s="31"/>
      <c r="AF321" s="31"/>
      <c r="AH321" s="31"/>
    </row>
    <row r="322" spans="1:34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31"/>
      <c r="P322" s="67"/>
      <c r="R322" s="31"/>
      <c r="S322" s="31"/>
      <c r="T322" s="72"/>
      <c r="U322" s="31"/>
      <c r="W322" s="31"/>
      <c r="X322" s="31"/>
      <c r="Y322" s="31"/>
      <c r="AA322" s="31"/>
      <c r="AB322" s="31"/>
      <c r="AC322" s="31"/>
      <c r="AD322" s="31"/>
      <c r="AE322" s="31"/>
      <c r="AF322" s="31"/>
      <c r="AH322" s="31"/>
    </row>
    <row r="323" spans="1:34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31"/>
      <c r="P323" s="67"/>
      <c r="R323" s="31"/>
      <c r="S323" s="31"/>
      <c r="T323" s="72"/>
      <c r="U323" s="31"/>
      <c r="W323" s="31"/>
      <c r="X323" s="31"/>
      <c r="Y323" s="31"/>
      <c r="AA323" s="31"/>
      <c r="AB323" s="31"/>
      <c r="AC323" s="31"/>
      <c r="AD323" s="31"/>
      <c r="AE323" s="31"/>
      <c r="AF323" s="31"/>
      <c r="AH323" s="31"/>
    </row>
    <row r="324" spans="1:34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31"/>
      <c r="P324" s="67"/>
      <c r="R324" s="31"/>
      <c r="S324" s="31"/>
      <c r="T324" s="72"/>
      <c r="U324" s="31"/>
      <c r="W324" s="31"/>
      <c r="X324" s="31"/>
      <c r="Y324" s="31"/>
      <c r="AA324" s="31"/>
      <c r="AB324" s="31"/>
      <c r="AC324" s="31"/>
      <c r="AD324" s="31"/>
      <c r="AE324" s="31"/>
      <c r="AF324" s="31"/>
      <c r="AH324" s="31"/>
    </row>
    <row r="325" spans="1:34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31"/>
      <c r="P325" s="67"/>
      <c r="R325" s="31"/>
      <c r="S325" s="31"/>
      <c r="T325" s="72"/>
      <c r="U325" s="31"/>
      <c r="W325" s="31"/>
      <c r="X325" s="31"/>
      <c r="Y325" s="31"/>
      <c r="AA325" s="31"/>
      <c r="AB325" s="31"/>
      <c r="AC325" s="31"/>
      <c r="AD325" s="31"/>
      <c r="AE325" s="31"/>
      <c r="AF325" s="31"/>
      <c r="AH325" s="31"/>
    </row>
    <row r="326" spans="1:34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31"/>
      <c r="P326" s="67"/>
      <c r="R326" s="31"/>
      <c r="S326" s="31"/>
      <c r="T326" s="72"/>
      <c r="U326" s="31"/>
      <c r="W326" s="31"/>
      <c r="X326" s="31"/>
      <c r="Y326" s="31"/>
      <c r="AA326" s="31"/>
      <c r="AB326" s="31"/>
      <c r="AC326" s="31"/>
      <c r="AD326" s="31"/>
      <c r="AE326" s="31"/>
      <c r="AF326" s="31"/>
      <c r="AH326" s="31"/>
    </row>
    <row r="327" spans="1:34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31"/>
      <c r="P327" s="67"/>
      <c r="R327" s="31"/>
      <c r="S327" s="31"/>
      <c r="T327" s="72"/>
      <c r="U327" s="31"/>
      <c r="W327" s="31"/>
      <c r="X327" s="31"/>
      <c r="Y327" s="31"/>
      <c r="AA327" s="31"/>
      <c r="AB327" s="31"/>
      <c r="AC327" s="31"/>
      <c r="AD327" s="31"/>
      <c r="AE327" s="31"/>
      <c r="AF327" s="31"/>
      <c r="AH327" s="31"/>
    </row>
    <row r="328" spans="1:34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31"/>
      <c r="P328" s="67"/>
      <c r="R328" s="31"/>
      <c r="S328" s="31"/>
      <c r="T328" s="72"/>
      <c r="U328" s="31"/>
      <c r="W328" s="31"/>
      <c r="X328" s="31"/>
      <c r="Y328" s="31"/>
      <c r="AA328" s="31"/>
      <c r="AB328" s="31"/>
      <c r="AC328" s="31"/>
      <c r="AD328" s="31"/>
      <c r="AE328" s="31"/>
      <c r="AF328" s="31"/>
      <c r="AH328" s="31"/>
    </row>
    <row r="329" spans="1:34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31"/>
      <c r="P329" s="67"/>
      <c r="R329" s="31"/>
      <c r="S329" s="31"/>
      <c r="T329" s="72"/>
      <c r="U329" s="31"/>
      <c r="W329" s="31"/>
      <c r="X329" s="31"/>
      <c r="Y329" s="31"/>
      <c r="AA329" s="31"/>
      <c r="AB329" s="31"/>
      <c r="AC329" s="31"/>
      <c r="AD329" s="31"/>
      <c r="AE329" s="31"/>
      <c r="AF329" s="31"/>
      <c r="AH329" s="31"/>
    </row>
    <row r="330" spans="1:34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31"/>
      <c r="P330" s="67"/>
      <c r="R330" s="31"/>
      <c r="S330" s="31"/>
      <c r="T330" s="72"/>
      <c r="U330" s="31"/>
      <c r="W330" s="31"/>
      <c r="X330" s="31"/>
      <c r="Y330" s="31"/>
      <c r="AA330" s="31"/>
      <c r="AB330" s="31"/>
      <c r="AC330" s="31"/>
      <c r="AD330" s="31"/>
      <c r="AE330" s="31"/>
      <c r="AF330" s="31"/>
      <c r="AH330" s="31"/>
    </row>
    <row r="331" spans="1:34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31"/>
      <c r="P331" s="67"/>
      <c r="R331" s="31"/>
      <c r="S331" s="31"/>
      <c r="T331" s="72"/>
      <c r="U331" s="31"/>
      <c r="W331" s="31"/>
      <c r="X331" s="31"/>
      <c r="Y331" s="31"/>
      <c r="AA331" s="31"/>
      <c r="AB331" s="31"/>
      <c r="AC331" s="31"/>
      <c r="AD331" s="31"/>
      <c r="AE331" s="31"/>
      <c r="AF331" s="31"/>
      <c r="AH331" s="31"/>
    </row>
    <row r="332" spans="1:34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31"/>
      <c r="P332" s="67"/>
      <c r="R332" s="31"/>
      <c r="S332" s="31"/>
      <c r="T332" s="72"/>
      <c r="U332" s="31"/>
      <c r="W332" s="31"/>
      <c r="X332" s="31"/>
      <c r="Y332" s="31"/>
      <c r="AA332" s="31"/>
      <c r="AB332" s="31"/>
      <c r="AC332" s="31"/>
      <c r="AD332" s="31"/>
      <c r="AE332" s="31"/>
      <c r="AF332" s="31"/>
      <c r="AH332" s="31"/>
    </row>
    <row r="333" spans="1:34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31"/>
      <c r="P333" s="67"/>
      <c r="R333" s="31"/>
      <c r="S333" s="31"/>
      <c r="T333" s="72"/>
      <c r="U333" s="31"/>
      <c r="W333" s="31"/>
      <c r="X333" s="31"/>
      <c r="Y333" s="31"/>
      <c r="AA333" s="31"/>
      <c r="AB333" s="31"/>
      <c r="AC333" s="31"/>
      <c r="AD333" s="31"/>
      <c r="AE333" s="31"/>
      <c r="AF333" s="31"/>
      <c r="AH333" s="31"/>
    </row>
    <row r="334" spans="1:34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31"/>
      <c r="P334" s="67"/>
      <c r="R334" s="31"/>
      <c r="S334" s="31"/>
      <c r="T334" s="72"/>
      <c r="U334" s="31"/>
      <c r="W334" s="31"/>
      <c r="X334" s="31"/>
      <c r="Y334" s="31"/>
      <c r="AA334" s="31"/>
      <c r="AB334" s="31"/>
      <c r="AC334" s="31"/>
      <c r="AD334" s="31"/>
      <c r="AE334" s="31"/>
      <c r="AF334" s="31"/>
      <c r="AH334" s="31"/>
    </row>
    <row r="335" spans="1:34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31"/>
      <c r="P335" s="67"/>
      <c r="R335" s="31"/>
      <c r="S335" s="31"/>
      <c r="T335" s="72"/>
      <c r="U335" s="31"/>
      <c r="W335" s="31"/>
      <c r="X335" s="31"/>
      <c r="Y335" s="31"/>
      <c r="AA335" s="31"/>
      <c r="AB335" s="31"/>
      <c r="AC335" s="31"/>
      <c r="AD335" s="31"/>
      <c r="AE335" s="31"/>
      <c r="AF335" s="31"/>
      <c r="AH335" s="31"/>
    </row>
    <row r="336" spans="1:34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31"/>
      <c r="P336" s="67"/>
      <c r="R336" s="31"/>
      <c r="S336" s="31"/>
      <c r="T336" s="72"/>
      <c r="U336" s="31"/>
      <c r="W336" s="31"/>
      <c r="X336" s="31"/>
      <c r="Y336" s="31"/>
      <c r="AA336" s="31"/>
      <c r="AB336" s="31"/>
      <c r="AC336" s="31"/>
      <c r="AD336" s="31"/>
      <c r="AE336" s="31"/>
      <c r="AF336" s="31"/>
      <c r="AH336" s="31"/>
    </row>
    <row r="337" spans="1:34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31"/>
      <c r="P337" s="67"/>
      <c r="R337" s="31"/>
      <c r="S337" s="31"/>
      <c r="T337" s="72"/>
      <c r="U337" s="31"/>
      <c r="W337" s="31"/>
      <c r="X337" s="31"/>
      <c r="Y337" s="31"/>
      <c r="AA337" s="31"/>
      <c r="AB337" s="31"/>
      <c r="AC337" s="31"/>
      <c r="AD337" s="31"/>
      <c r="AE337" s="31"/>
      <c r="AF337" s="31"/>
      <c r="AH337" s="31"/>
    </row>
    <row r="338" spans="1:34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31"/>
      <c r="P338" s="67"/>
      <c r="R338" s="31"/>
      <c r="S338" s="31"/>
      <c r="T338" s="72"/>
      <c r="U338" s="31"/>
      <c r="W338" s="31"/>
      <c r="X338" s="31"/>
      <c r="Y338" s="31"/>
      <c r="AA338" s="31"/>
      <c r="AB338" s="31"/>
      <c r="AC338" s="31"/>
      <c r="AD338" s="31"/>
      <c r="AE338" s="31"/>
      <c r="AF338" s="31"/>
      <c r="AH338" s="31"/>
    </row>
    <row r="339" spans="1:34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31"/>
      <c r="P339" s="67"/>
      <c r="R339" s="31"/>
      <c r="S339" s="31"/>
      <c r="T339" s="72"/>
      <c r="U339" s="31"/>
      <c r="W339" s="31"/>
      <c r="X339" s="31"/>
      <c r="Y339" s="31"/>
      <c r="AA339" s="31"/>
      <c r="AB339" s="31"/>
      <c r="AC339" s="31"/>
      <c r="AD339" s="31"/>
      <c r="AE339" s="31"/>
      <c r="AF339" s="31"/>
      <c r="AH339" s="31"/>
    </row>
    <row r="340" spans="1:34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31"/>
      <c r="P340" s="67"/>
      <c r="R340" s="31"/>
      <c r="S340" s="31"/>
      <c r="T340" s="72"/>
      <c r="U340" s="31"/>
      <c r="W340" s="31"/>
      <c r="X340" s="31"/>
      <c r="Y340" s="31"/>
      <c r="AA340" s="31"/>
      <c r="AB340" s="31"/>
      <c r="AC340" s="31"/>
      <c r="AD340" s="31"/>
      <c r="AE340" s="31"/>
      <c r="AF340" s="31"/>
      <c r="AH340" s="31"/>
    </row>
    <row r="341" spans="1:34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31"/>
      <c r="P341" s="67"/>
      <c r="R341" s="31"/>
      <c r="S341" s="31"/>
      <c r="T341" s="72"/>
      <c r="U341" s="31"/>
      <c r="W341" s="31"/>
      <c r="X341" s="31"/>
      <c r="Y341" s="31"/>
      <c r="AA341" s="31"/>
      <c r="AB341" s="31"/>
      <c r="AC341" s="31"/>
      <c r="AD341" s="31"/>
      <c r="AE341" s="31"/>
      <c r="AF341" s="31"/>
      <c r="AH341" s="31"/>
    </row>
    <row r="342" spans="1:34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31"/>
      <c r="P342" s="67"/>
      <c r="R342" s="31"/>
      <c r="S342" s="31"/>
      <c r="T342" s="72"/>
      <c r="U342" s="31"/>
      <c r="W342" s="31"/>
      <c r="X342" s="31"/>
      <c r="Y342" s="31"/>
      <c r="AA342" s="31"/>
      <c r="AB342" s="31"/>
      <c r="AC342" s="31"/>
      <c r="AD342" s="31"/>
      <c r="AE342" s="31"/>
      <c r="AF342" s="31"/>
      <c r="AH342" s="31"/>
    </row>
    <row r="343" spans="1:34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31"/>
      <c r="P343" s="67"/>
      <c r="R343" s="31"/>
      <c r="S343" s="31"/>
      <c r="T343" s="72"/>
      <c r="U343" s="31"/>
      <c r="W343" s="31"/>
      <c r="X343" s="31"/>
      <c r="Y343" s="31"/>
      <c r="AA343" s="31"/>
      <c r="AB343" s="31"/>
      <c r="AC343" s="31"/>
      <c r="AD343" s="31"/>
      <c r="AE343" s="31"/>
      <c r="AF343" s="31"/>
      <c r="AH343" s="31"/>
    </row>
    <row r="344" spans="1:34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31"/>
      <c r="P344" s="67"/>
      <c r="R344" s="31"/>
      <c r="S344" s="31"/>
      <c r="T344" s="72"/>
      <c r="U344" s="31"/>
      <c r="W344" s="31"/>
      <c r="X344" s="31"/>
      <c r="Y344" s="31"/>
      <c r="AA344" s="31"/>
      <c r="AB344" s="31"/>
      <c r="AC344" s="31"/>
      <c r="AD344" s="31"/>
      <c r="AE344" s="31"/>
      <c r="AF344" s="31"/>
      <c r="AH344" s="31"/>
    </row>
    <row r="345" spans="1:34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31"/>
      <c r="P345" s="67"/>
      <c r="R345" s="31"/>
      <c r="S345" s="31"/>
      <c r="T345" s="72"/>
      <c r="U345" s="31"/>
      <c r="W345" s="31"/>
      <c r="X345" s="31"/>
      <c r="Y345" s="31"/>
      <c r="AA345" s="31"/>
      <c r="AB345" s="31"/>
      <c r="AC345" s="31"/>
      <c r="AD345" s="31"/>
      <c r="AE345" s="31"/>
      <c r="AF345" s="31"/>
      <c r="AH345" s="31"/>
    </row>
    <row r="346" spans="1:34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31"/>
      <c r="P346" s="67"/>
      <c r="R346" s="31"/>
      <c r="S346" s="31"/>
      <c r="T346" s="72"/>
      <c r="U346" s="31"/>
      <c r="W346" s="31"/>
      <c r="X346" s="31"/>
      <c r="Y346" s="31"/>
      <c r="AA346" s="31"/>
      <c r="AB346" s="31"/>
      <c r="AC346" s="31"/>
      <c r="AD346" s="31"/>
      <c r="AE346" s="31"/>
      <c r="AF346" s="31"/>
      <c r="AH346" s="31"/>
    </row>
    <row r="347" spans="1:34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31"/>
      <c r="P347" s="67"/>
      <c r="R347" s="31"/>
      <c r="S347" s="31"/>
      <c r="T347" s="72"/>
      <c r="U347" s="31"/>
      <c r="W347" s="31"/>
      <c r="X347" s="31"/>
      <c r="Y347" s="31"/>
      <c r="AA347" s="31"/>
      <c r="AB347" s="31"/>
      <c r="AC347" s="31"/>
      <c r="AD347" s="31"/>
      <c r="AE347" s="31"/>
      <c r="AF347" s="31"/>
      <c r="AH347" s="31"/>
    </row>
    <row r="348" spans="1:34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31"/>
      <c r="P348" s="67"/>
      <c r="R348" s="31"/>
      <c r="S348" s="31"/>
      <c r="T348" s="72"/>
      <c r="U348" s="31"/>
      <c r="W348" s="31"/>
      <c r="X348" s="31"/>
      <c r="Y348" s="31"/>
      <c r="AA348" s="31"/>
      <c r="AB348" s="31"/>
      <c r="AC348" s="31"/>
      <c r="AD348" s="31"/>
      <c r="AE348" s="31"/>
      <c r="AF348" s="31"/>
      <c r="AH348" s="31"/>
    </row>
    <row r="349" spans="1:34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31"/>
      <c r="P349" s="67"/>
      <c r="R349" s="31"/>
      <c r="S349" s="31"/>
      <c r="T349" s="72"/>
      <c r="U349" s="31"/>
      <c r="W349" s="31"/>
      <c r="X349" s="31"/>
      <c r="Y349" s="31"/>
      <c r="AA349" s="31"/>
      <c r="AB349" s="31"/>
      <c r="AC349" s="31"/>
      <c r="AD349" s="31"/>
      <c r="AE349" s="31"/>
      <c r="AF349" s="31"/>
      <c r="AH349" s="31"/>
    </row>
    <row r="350" spans="1:34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31"/>
      <c r="P350" s="67"/>
      <c r="R350" s="31"/>
      <c r="S350" s="31"/>
      <c r="T350" s="72"/>
      <c r="U350" s="31"/>
      <c r="W350" s="31"/>
      <c r="X350" s="31"/>
      <c r="Y350" s="31"/>
      <c r="AA350" s="31"/>
      <c r="AB350" s="31"/>
      <c r="AC350" s="31"/>
      <c r="AD350" s="31"/>
      <c r="AE350" s="31"/>
      <c r="AF350" s="31"/>
      <c r="AH350" s="31"/>
    </row>
    <row r="351" spans="1:34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31"/>
      <c r="P351" s="67"/>
      <c r="R351" s="31"/>
      <c r="S351" s="31"/>
      <c r="T351" s="72"/>
      <c r="U351" s="31"/>
      <c r="W351" s="31"/>
      <c r="X351" s="31"/>
      <c r="Y351" s="31"/>
      <c r="AA351" s="31"/>
      <c r="AB351" s="31"/>
      <c r="AC351" s="31"/>
      <c r="AD351" s="31"/>
      <c r="AE351" s="31"/>
      <c r="AF351" s="31"/>
      <c r="AH351" s="31"/>
    </row>
    <row r="352" spans="1:34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31"/>
      <c r="P352" s="67"/>
      <c r="R352" s="31"/>
      <c r="S352" s="31"/>
      <c r="T352" s="72"/>
      <c r="U352" s="31"/>
      <c r="W352" s="31"/>
      <c r="X352" s="31"/>
      <c r="Y352" s="31"/>
      <c r="AA352" s="31"/>
      <c r="AB352" s="31"/>
      <c r="AC352" s="31"/>
      <c r="AD352" s="31"/>
      <c r="AE352" s="31"/>
      <c r="AF352" s="31"/>
      <c r="AH352" s="31"/>
    </row>
    <row r="353" spans="1:34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31"/>
      <c r="P353" s="67"/>
      <c r="R353" s="31"/>
      <c r="S353" s="31"/>
      <c r="T353" s="72"/>
      <c r="U353" s="31"/>
      <c r="W353" s="31"/>
      <c r="X353" s="31"/>
      <c r="Y353" s="31"/>
      <c r="AA353" s="31"/>
      <c r="AB353" s="31"/>
      <c r="AC353" s="31"/>
      <c r="AD353" s="31"/>
      <c r="AE353" s="31"/>
      <c r="AF353" s="31"/>
      <c r="AH353" s="31"/>
    </row>
    <row r="354" spans="1:34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31"/>
      <c r="P354" s="67"/>
      <c r="R354" s="31"/>
      <c r="S354" s="31"/>
      <c r="T354" s="72"/>
      <c r="U354" s="31"/>
      <c r="W354" s="31"/>
      <c r="X354" s="31"/>
      <c r="Y354" s="31"/>
      <c r="AA354" s="31"/>
      <c r="AB354" s="31"/>
      <c r="AC354" s="31"/>
      <c r="AD354" s="31"/>
      <c r="AE354" s="31"/>
      <c r="AF354" s="31"/>
      <c r="AH354" s="31"/>
    </row>
    <row r="355" spans="1:34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31"/>
      <c r="P355" s="67"/>
      <c r="R355" s="31"/>
      <c r="S355" s="31"/>
      <c r="T355" s="72"/>
      <c r="U355" s="31"/>
      <c r="W355" s="31"/>
      <c r="X355" s="31"/>
      <c r="Y355" s="31"/>
      <c r="AA355" s="31"/>
      <c r="AB355" s="31"/>
      <c r="AC355" s="31"/>
      <c r="AD355" s="31"/>
      <c r="AE355" s="31"/>
      <c r="AF355" s="31"/>
      <c r="AH355" s="31"/>
    </row>
    <row r="356" spans="1:34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31"/>
      <c r="P356" s="67"/>
      <c r="R356" s="31"/>
      <c r="S356" s="31"/>
      <c r="T356" s="72"/>
      <c r="U356" s="31"/>
      <c r="W356" s="31"/>
      <c r="X356" s="31"/>
      <c r="Y356" s="31"/>
      <c r="AA356" s="31"/>
      <c r="AB356" s="31"/>
      <c r="AC356" s="31"/>
      <c r="AD356" s="31"/>
      <c r="AE356" s="31"/>
      <c r="AF356" s="31"/>
      <c r="AH356" s="31"/>
    </row>
    <row r="357" spans="1:34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31"/>
      <c r="P357" s="67"/>
      <c r="R357" s="31"/>
      <c r="S357" s="31"/>
      <c r="T357" s="72"/>
      <c r="U357" s="31"/>
      <c r="W357" s="31"/>
      <c r="X357" s="31"/>
      <c r="Y357" s="31"/>
      <c r="AA357" s="31"/>
      <c r="AB357" s="31"/>
      <c r="AC357" s="31"/>
      <c r="AD357" s="31"/>
      <c r="AE357" s="31"/>
      <c r="AF357" s="31"/>
      <c r="AH357" s="31"/>
    </row>
    <row r="358" spans="1:34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31"/>
      <c r="P358" s="67"/>
      <c r="R358" s="31"/>
      <c r="S358" s="31"/>
      <c r="T358" s="72"/>
      <c r="U358" s="31"/>
      <c r="W358" s="31"/>
      <c r="X358" s="31"/>
      <c r="Y358" s="31"/>
      <c r="AA358" s="31"/>
      <c r="AB358" s="31"/>
      <c r="AC358" s="31"/>
      <c r="AD358" s="31"/>
      <c r="AE358" s="31"/>
      <c r="AF358" s="31"/>
      <c r="AH358" s="31"/>
    </row>
    <row r="359" spans="1:34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31"/>
      <c r="P359" s="67"/>
      <c r="R359" s="31"/>
      <c r="S359" s="31"/>
      <c r="T359" s="72"/>
      <c r="U359" s="31"/>
      <c r="W359" s="31"/>
      <c r="X359" s="31"/>
      <c r="Y359" s="31"/>
      <c r="AA359" s="31"/>
      <c r="AB359" s="31"/>
      <c r="AC359" s="31"/>
      <c r="AD359" s="31"/>
      <c r="AE359" s="31"/>
      <c r="AF359" s="31"/>
      <c r="AH359" s="31"/>
    </row>
    <row r="360" spans="1:34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31"/>
      <c r="P360" s="67"/>
      <c r="R360" s="31"/>
      <c r="S360" s="31"/>
      <c r="T360" s="72"/>
      <c r="U360" s="31"/>
      <c r="W360" s="31"/>
      <c r="X360" s="31"/>
      <c r="Y360" s="31"/>
      <c r="AA360" s="31"/>
      <c r="AB360" s="31"/>
      <c r="AC360" s="31"/>
      <c r="AD360" s="31"/>
      <c r="AE360" s="31"/>
      <c r="AF360" s="31"/>
      <c r="AH360" s="31"/>
    </row>
    <row r="361" spans="1:34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31"/>
      <c r="P361" s="67"/>
      <c r="R361" s="31"/>
      <c r="S361" s="31"/>
      <c r="T361" s="72"/>
      <c r="U361" s="31"/>
      <c r="W361" s="31"/>
      <c r="X361" s="31"/>
      <c r="Y361" s="31"/>
      <c r="AA361" s="31"/>
      <c r="AB361" s="31"/>
      <c r="AC361" s="31"/>
      <c r="AD361" s="31"/>
      <c r="AE361" s="31"/>
      <c r="AF361" s="31"/>
      <c r="AH361" s="31"/>
    </row>
    <row r="362" spans="1:34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31"/>
      <c r="P362" s="67"/>
      <c r="R362" s="31"/>
      <c r="S362" s="31"/>
      <c r="T362" s="72"/>
      <c r="U362" s="31"/>
      <c r="W362" s="31"/>
      <c r="X362" s="31"/>
      <c r="Y362" s="31"/>
      <c r="AA362" s="31"/>
      <c r="AB362" s="31"/>
      <c r="AC362" s="31"/>
      <c r="AD362" s="31"/>
      <c r="AE362" s="31"/>
      <c r="AF362" s="31"/>
      <c r="AH362" s="31"/>
    </row>
    <row r="363" spans="1:34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31"/>
      <c r="P363" s="67"/>
      <c r="R363" s="31"/>
      <c r="S363" s="31"/>
      <c r="T363" s="72"/>
      <c r="U363" s="31"/>
      <c r="W363" s="31"/>
      <c r="X363" s="31"/>
      <c r="Y363" s="31"/>
      <c r="AA363" s="31"/>
      <c r="AB363" s="31"/>
      <c r="AC363" s="31"/>
      <c r="AD363" s="31"/>
      <c r="AE363" s="31"/>
      <c r="AF363" s="31"/>
      <c r="AH363" s="31"/>
    </row>
    <row r="364" spans="1:34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31"/>
      <c r="P364" s="67"/>
      <c r="R364" s="31"/>
      <c r="S364" s="31"/>
      <c r="T364" s="72"/>
      <c r="U364" s="31"/>
      <c r="W364" s="31"/>
      <c r="X364" s="31"/>
      <c r="Y364" s="31"/>
      <c r="AA364" s="31"/>
      <c r="AB364" s="31"/>
      <c r="AC364" s="31"/>
      <c r="AD364" s="31"/>
      <c r="AE364" s="31"/>
      <c r="AF364" s="31"/>
      <c r="AH364" s="31"/>
    </row>
    <row r="365" spans="1:34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31"/>
      <c r="P365" s="67"/>
      <c r="R365" s="31"/>
      <c r="S365" s="31"/>
      <c r="T365" s="72"/>
      <c r="U365" s="31"/>
      <c r="W365" s="31"/>
      <c r="X365" s="31"/>
      <c r="Y365" s="31"/>
      <c r="AA365" s="31"/>
      <c r="AB365" s="31"/>
      <c r="AC365" s="31"/>
      <c r="AD365" s="31"/>
      <c r="AE365" s="31"/>
      <c r="AF365" s="31"/>
      <c r="AH365" s="31"/>
    </row>
    <row r="366" spans="1:34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31"/>
      <c r="P366" s="67"/>
      <c r="R366" s="31"/>
      <c r="S366" s="31"/>
      <c r="T366" s="72"/>
      <c r="U366" s="31"/>
      <c r="W366" s="31"/>
      <c r="X366" s="31"/>
      <c r="Y366" s="31"/>
      <c r="AA366" s="31"/>
      <c r="AB366" s="31"/>
      <c r="AC366" s="31"/>
      <c r="AD366" s="31"/>
      <c r="AE366" s="31"/>
      <c r="AF366" s="31"/>
      <c r="AH366" s="31"/>
    </row>
    <row r="367" spans="1:34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31"/>
      <c r="P367" s="67"/>
      <c r="R367" s="31"/>
      <c r="S367" s="31"/>
      <c r="T367" s="72"/>
      <c r="U367" s="31"/>
      <c r="W367" s="31"/>
      <c r="X367" s="31"/>
      <c r="Y367" s="31"/>
      <c r="AA367" s="31"/>
      <c r="AB367" s="31"/>
      <c r="AC367" s="31"/>
      <c r="AD367" s="31"/>
      <c r="AE367" s="31"/>
      <c r="AF367" s="31"/>
      <c r="AH367" s="31"/>
    </row>
    <row r="368" spans="1:34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31"/>
      <c r="P368" s="67"/>
      <c r="R368" s="31"/>
      <c r="S368" s="31"/>
      <c r="T368" s="72"/>
      <c r="U368" s="31"/>
      <c r="W368" s="31"/>
      <c r="X368" s="31"/>
      <c r="Y368" s="31"/>
      <c r="AA368" s="31"/>
      <c r="AB368" s="31"/>
      <c r="AC368" s="31"/>
      <c r="AD368" s="31"/>
      <c r="AE368" s="31"/>
      <c r="AF368" s="31"/>
      <c r="AH368" s="31"/>
    </row>
    <row r="369" spans="1:34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31"/>
      <c r="P369" s="67"/>
      <c r="R369" s="31"/>
      <c r="S369" s="31"/>
      <c r="T369" s="72"/>
      <c r="U369" s="31"/>
      <c r="W369" s="31"/>
      <c r="X369" s="31"/>
      <c r="Y369" s="31"/>
      <c r="AA369" s="31"/>
      <c r="AB369" s="31"/>
      <c r="AC369" s="31"/>
      <c r="AD369" s="31"/>
      <c r="AE369" s="31"/>
      <c r="AF369" s="31"/>
      <c r="AH369" s="31"/>
    </row>
    <row r="370" spans="1:34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31"/>
      <c r="P370" s="67"/>
      <c r="R370" s="31"/>
      <c r="S370" s="31"/>
      <c r="T370" s="72"/>
      <c r="U370" s="31"/>
      <c r="W370" s="31"/>
      <c r="X370" s="31"/>
      <c r="Y370" s="31"/>
      <c r="AA370" s="31"/>
      <c r="AB370" s="31"/>
      <c r="AC370" s="31"/>
      <c r="AD370" s="31"/>
      <c r="AE370" s="31"/>
      <c r="AF370" s="31"/>
      <c r="AH370" s="31"/>
    </row>
    <row r="371" spans="1:34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31"/>
      <c r="P371" s="67"/>
      <c r="R371" s="31"/>
      <c r="S371" s="31"/>
      <c r="T371" s="72"/>
      <c r="U371" s="31"/>
      <c r="W371" s="31"/>
      <c r="X371" s="31"/>
      <c r="Y371" s="31"/>
      <c r="AA371" s="31"/>
      <c r="AB371" s="31"/>
      <c r="AC371" s="31"/>
      <c r="AD371" s="31"/>
      <c r="AE371" s="31"/>
      <c r="AF371" s="31"/>
      <c r="AH371" s="31"/>
    </row>
    <row r="372" spans="1:34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31"/>
      <c r="P372" s="67"/>
      <c r="R372" s="31"/>
      <c r="S372" s="31"/>
      <c r="T372" s="72"/>
      <c r="U372" s="31"/>
      <c r="W372" s="31"/>
      <c r="X372" s="31"/>
      <c r="Y372" s="31"/>
      <c r="AA372" s="31"/>
      <c r="AB372" s="31"/>
      <c r="AC372" s="31"/>
      <c r="AD372" s="31"/>
      <c r="AE372" s="31"/>
      <c r="AF372" s="31"/>
      <c r="AH372" s="31"/>
    </row>
    <row r="373" spans="1:34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31"/>
      <c r="P373" s="67"/>
      <c r="R373" s="31"/>
      <c r="S373" s="31"/>
      <c r="T373" s="72"/>
      <c r="U373" s="31"/>
      <c r="W373" s="31"/>
      <c r="X373" s="31"/>
      <c r="Y373" s="31"/>
      <c r="AA373" s="31"/>
      <c r="AB373" s="31"/>
      <c r="AC373" s="31"/>
      <c r="AD373" s="31"/>
      <c r="AE373" s="31"/>
      <c r="AF373" s="31"/>
      <c r="AH373" s="31"/>
    </row>
    <row r="374" spans="1:34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31"/>
      <c r="P374" s="67"/>
      <c r="R374" s="31"/>
      <c r="S374" s="31"/>
      <c r="T374" s="72"/>
      <c r="U374" s="31"/>
      <c r="W374" s="31"/>
      <c r="X374" s="31"/>
      <c r="Y374" s="31"/>
      <c r="AA374" s="31"/>
      <c r="AB374" s="31"/>
      <c r="AC374" s="31"/>
      <c r="AD374" s="31"/>
      <c r="AE374" s="31"/>
      <c r="AF374" s="31"/>
      <c r="AH374" s="31"/>
    </row>
    <row r="375" spans="1:34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31"/>
      <c r="P375" s="67"/>
      <c r="R375" s="31"/>
      <c r="S375" s="31"/>
      <c r="T375" s="72"/>
      <c r="U375" s="31"/>
      <c r="W375" s="31"/>
      <c r="X375" s="31"/>
      <c r="Y375" s="31"/>
      <c r="AA375" s="31"/>
      <c r="AB375" s="31"/>
      <c r="AC375" s="31"/>
      <c r="AD375" s="31"/>
      <c r="AE375" s="31"/>
      <c r="AF375" s="31"/>
      <c r="AH375" s="31"/>
    </row>
    <row r="376" spans="1:34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31"/>
      <c r="P376" s="67"/>
      <c r="R376" s="31"/>
      <c r="S376" s="31"/>
      <c r="T376" s="72"/>
      <c r="U376" s="31"/>
      <c r="W376" s="31"/>
      <c r="X376" s="31"/>
      <c r="Y376" s="31"/>
      <c r="AA376" s="31"/>
      <c r="AB376" s="31"/>
      <c r="AC376" s="31"/>
      <c r="AD376" s="31"/>
      <c r="AE376" s="31"/>
      <c r="AF376" s="31"/>
      <c r="AH376" s="31"/>
    </row>
    <row r="377" spans="1:34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31"/>
      <c r="P377" s="67"/>
      <c r="R377" s="31"/>
      <c r="S377" s="31"/>
      <c r="T377" s="72"/>
      <c r="U377" s="31"/>
      <c r="W377" s="31"/>
      <c r="X377" s="31"/>
      <c r="Y377" s="31"/>
      <c r="AA377" s="31"/>
      <c r="AB377" s="31"/>
      <c r="AC377" s="31"/>
      <c r="AD377" s="31"/>
      <c r="AE377" s="31"/>
      <c r="AF377" s="31"/>
      <c r="AH377" s="31"/>
    </row>
    <row r="378" spans="1:34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31"/>
      <c r="P378" s="67"/>
      <c r="R378" s="31"/>
      <c r="S378" s="31"/>
      <c r="T378" s="72"/>
      <c r="U378" s="31"/>
      <c r="W378" s="31"/>
      <c r="X378" s="31"/>
      <c r="Y378" s="31"/>
      <c r="AA378" s="31"/>
      <c r="AB378" s="31"/>
      <c r="AC378" s="31"/>
      <c r="AD378" s="31"/>
      <c r="AE378" s="31"/>
      <c r="AF378" s="31"/>
      <c r="AH378" s="31"/>
    </row>
    <row r="379" spans="1:34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31"/>
      <c r="P379" s="67"/>
      <c r="R379" s="31"/>
      <c r="S379" s="31"/>
      <c r="T379" s="72"/>
      <c r="U379" s="31"/>
      <c r="W379" s="31"/>
      <c r="X379" s="31"/>
      <c r="Y379" s="31"/>
      <c r="AA379" s="31"/>
      <c r="AB379" s="31"/>
      <c r="AC379" s="31"/>
      <c r="AD379" s="31"/>
      <c r="AE379" s="31"/>
      <c r="AF379" s="31"/>
      <c r="AH379" s="31"/>
    </row>
    <row r="380" spans="1:34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31"/>
      <c r="P380" s="67"/>
      <c r="R380" s="31"/>
      <c r="S380" s="31"/>
      <c r="T380" s="72"/>
      <c r="U380" s="31"/>
      <c r="W380" s="31"/>
      <c r="X380" s="31"/>
      <c r="Y380" s="31"/>
      <c r="AA380" s="31"/>
      <c r="AB380" s="31"/>
      <c r="AC380" s="31"/>
      <c r="AD380" s="31"/>
      <c r="AE380" s="31"/>
      <c r="AF380" s="31"/>
      <c r="AH380" s="31"/>
    </row>
    <row r="381" spans="1:34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31"/>
      <c r="P381" s="67"/>
      <c r="R381" s="31"/>
      <c r="S381" s="31"/>
      <c r="T381" s="72"/>
      <c r="U381" s="31"/>
      <c r="W381" s="31"/>
      <c r="X381" s="31"/>
      <c r="Y381" s="31"/>
      <c r="AA381" s="31"/>
      <c r="AB381" s="31"/>
      <c r="AC381" s="31"/>
      <c r="AD381" s="31"/>
      <c r="AE381" s="31"/>
      <c r="AF381" s="31"/>
      <c r="AH381" s="31"/>
    </row>
    <row r="382" spans="1:34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31"/>
      <c r="P382" s="67"/>
      <c r="R382" s="31"/>
      <c r="S382" s="31"/>
      <c r="T382" s="72"/>
      <c r="U382" s="31"/>
      <c r="W382" s="31"/>
      <c r="X382" s="31"/>
      <c r="Y382" s="31"/>
      <c r="AA382" s="31"/>
      <c r="AB382" s="31"/>
      <c r="AC382" s="31"/>
      <c r="AD382" s="31"/>
      <c r="AE382" s="31"/>
      <c r="AF382" s="31"/>
      <c r="AH382" s="31"/>
    </row>
    <row r="383" spans="1:34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31"/>
      <c r="P383" s="67"/>
      <c r="R383" s="31"/>
      <c r="S383" s="31"/>
      <c r="T383" s="72"/>
      <c r="U383" s="31"/>
      <c r="W383" s="31"/>
      <c r="X383" s="31"/>
      <c r="Y383" s="31"/>
      <c r="AA383" s="31"/>
      <c r="AB383" s="31"/>
      <c r="AC383" s="31"/>
      <c r="AD383" s="31"/>
      <c r="AE383" s="31"/>
      <c r="AF383" s="31"/>
      <c r="AH383" s="31"/>
    </row>
    <row r="384" spans="1:34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31"/>
      <c r="P384" s="67"/>
      <c r="R384" s="31"/>
      <c r="S384" s="31"/>
      <c r="T384" s="72"/>
      <c r="U384" s="31"/>
      <c r="W384" s="31"/>
      <c r="X384" s="31"/>
      <c r="Y384" s="31"/>
      <c r="AA384" s="31"/>
      <c r="AB384" s="31"/>
      <c r="AC384" s="31"/>
      <c r="AD384" s="31"/>
      <c r="AE384" s="31"/>
      <c r="AF384" s="31"/>
      <c r="AH384" s="31"/>
    </row>
    <row r="385" spans="1:34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31"/>
      <c r="P385" s="67"/>
      <c r="R385" s="31"/>
      <c r="S385" s="31"/>
      <c r="T385" s="72"/>
      <c r="U385" s="31"/>
      <c r="W385" s="31"/>
      <c r="X385" s="31"/>
      <c r="Y385" s="31"/>
      <c r="AA385" s="31"/>
      <c r="AB385" s="31"/>
      <c r="AC385" s="31"/>
      <c r="AD385" s="31"/>
      <c r="AE385" s="31"/>
      <c r="AF385" s="31"/>
      <c r="AH385" s="31"/>
    </row>
    <row r="386" spans="1:34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31"/>
      <c r="P386" s="67"/>
      <c r="R386" s="31"/>
      <c r="S386" s="31"/>
      <c r="T386" s="72"/>
      <c r="U386" s="31"/>
      <c r="W386" s="31"/>
      <c r="X386" s="31"/>
      <c r="Y386" s="31"/>
      <c r="AA386" s="31"/>
      <c r="AB386" s="31"/>
      <c r="AC386" s="31"/>
      <c r="AD386" s="31"/>
      <c r="AE386" s="31"/>
      <c r="AF386" s="31"/>
      <c r="AH386" s="31"/>
    </row>
    <row r="387" spans="1:34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31"/>
      <c r="P387" s="67"/>
      <c r="R387" s="31"/>
      <c r="S387" s="31"/>
      <c r="T387" s="72"/>
      <c r="U387" s="31"/>
      <c r="W387" s="31"/>
      <c r="X387" s="31"/>
      <c r="Y387" s="31"/>
      <c r="AA387" s="31"/>
      <c r="AB387" s="31"/>
      <c r="AC387" s="31"/>
      <c r="AD387" s="31"/>
      <c r="AE387" s="31"/>
      <c r="AF387" s="31"/>
      <c r="AH387" s="31"/>
    </row>
    <row r="388" spans="1:34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31"/>
      <c r="P388" s="67"/>
      <c r="R388" s="31"/>
      <c r="S388" s="31"/>
      <c r="T388" s="72"/>
      <c r="U388" s="31"/>
      <c r="W388" s="31"/>
      <c r="X388" s="31"/>
      <c r="Y388" s="31"/>
      <c r="AA388" s="31"/>
      <c r="AB388" s="31"/>
      <c r="AC388" s="31"/>
      <c r="AD388" s="31"/>
      <c r="AE388" s="31"/>
      <c r="AF388" s="31"/>
      <c r="AH388" s="31"/>
    </row>
    <row r="389" spans="1:34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31"/>
      <c r="P389" s="67"/>
      <c r="R389" s="31"/>
      <c r="S389" s="31"/>
      <c r="T389" s="72"/>
      <c r="U389" s="31"/>
      <c r="W389" s="31"/>
      <c r="X389" s="31"/>
      <c r="Y389" s="31"/>
      <c r="AA389" s="31"/>
      <c r="AB389" s="31"/>
      <c r="AC389" s="31"/>
      <c r="AD389" s="31"/>
      <c r="AE389" s="31"/>
      <c r="AF389" s="31"/>
      <c r="AH389" s="31"/>
    </row>
    <row r="390" spans="1:34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31"/>
      <c r="P390" s="67"/>
      <c r="R390" s="31"/>
      <c r="S390" s="31"/>
      <c r="T390" s="72"/>
      <c r="U390" s="31"/>
      <c r="W390" s="31"/>
      <c r="X390" s="31"/>
      <c r="Y390" s="31"/>
      <c r="AA390" s="31"/>
      <c r="AB390" s="31"/>
      <c r="AC390" s="31"/>
      <c r="AD390" s="31"/>
      <c r="AE390" s="31"/>
      <c r="AF390" s="31"/>
      <c r="AH390" s="31"/>
    </row>
    <row r="391" spans="1:34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31"/>
      <c r="P391" s="67"/>
      <c r="R391" s="31"/>
      <c r="S391" s="31"/>
      <c r="T391" s="72"/>
      <c r="U391" s="31"/>
      <c r="W391" s="31"/>
      <c r="X391" s="31"/>
      <c r="Y391" s="31"/>
      <c r="AA391" s="31"/>
      <c r="AB391" s="31"/>
      <c r="AC391" s="31"/>
      <c r="AD391" s="31"/>
      <c r="AE391" s="31"/>
      <c r="AF391" s="31"/>
      <c r="AH391" s="31"/>
    </row>
    <row r="392" spans="1:34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31"/>
      <c r="P392" s="67"/>
      <c r="R392" s="31"/>
      <c r="S392" s="31"/>
      <c r="T392" s="72"/>
      <c r="U392" s="31"/>
      <c r="W392" s="31"/>
      <c r="X392" s="31"/>
      <c r="Y392" s="31"/>
      <c r="AA392" s="31"/>
      <c r="AB392" s="31"/>
      <c r="AC392" s="31"/>
      <c r="AD392" s="31"/>
      <c r="AE392" s="31"/>
      <c r="AF392" s="31"/>
      <c r="AH392" s="31"/>
    </row>
    <row r="393" spans="1:34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31"/>
      <c r="P393" s="67"/>
      <c r="R393" s="31"/>
      <c r="S393" s="31"/>
      <c r="T393" s="72"/>
      <c r="U393" s="31"/>
      <c r="W393" s="31"/>
      <c r="X393" s="31"/>
      <c r="Y393" s="31"/>
      <c r="AA393" s="31"/>
      <c r="AB393" s="31"/>
      <c r="AC393" s="31"/>
      <c r="AD393" s="31"/>
      <c r="AE393" s="31"/>
      <c r="AF393" s="31"/>
      <c r="AH393" s="31"/>
    </row>
    <row r="394" spans="1:34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31"/>
      <c r="P394" s="67"/>
      <c r="R394" s="31"/>
      <c r="S394" s="31"/>
      <c r="T394" s="72"/>
      <c r="U394" s="31"/>
      <c r="W394" s="31"/>
      <c r="X394" s="31"/>
      <c r="Y394" s="31"/>
      <c r="AA394" s="31"/>
      <c r="AB394" s="31"/>
      <c r="AC394" s="31"/>
      <c r="AD394" s="31"/>
      <c r="AE394" s="31"/>
      <c r="AF394" s="31"/>
      <c r="AH394" s="31"/>
    </row>
    <row r="395" spans="1:34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31"/>
      <c r="P395" s="67"/>
      <c r="R395" s="31"/>
      <c r="S395" s="31"/>
      <c r="T395" s="72"/>
      <c r="U395" s="31"/>
      <c r="W395" s="31"/>
      <c r="X395" s="31"/>
      <c r="Y395" s="31"/>
      <c r="AA395" s="31"/>
      <c r="AB395" s="31"/>
      <c r="AC395" s="31"/>
      <c r="AD395" s="31"/>
      <c r="AE395" s="31"/>
      <c r="AF395" s="31"/>
      <c r="AH395" s="31"/>
    </row>
    <row r="396" spans="1:34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31"/>
      <c r="P396" s="67"/>
      <c r="R396" s="31"/>
      <c r="S396" s="31"/>
      <c r="T396" s="72"/>
      <c r="U396" s="31"/>
      <c r="W396" s="31"/>
      <c r="X396" s="31"/>
      <c r="Y396" s="31"/>
      <c r="AA396" s="31"/>
      <c r="AB396" s="31"/>
      <c r="AC396" s="31"/>
      <c r="AD396" s="31"/>
      <c r="AE396" s="31"/>
      <c r="AF396" s="31"/>
      <c r="AH396" s="31"/>
    </row>
    <row r="397" spans="1:34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31"/>
      <c r="P397" s="67"/>
      <c r="R397" s="31"/>
      <c r="S397" s="31"/>
      <c r="T397" s="72"/>
      <c r="U397" s="31"/>
      <c r="W397" s="31"/>
      <c r="X397" s="31"/>
      <c r="Y397" s="31"/>
      <c r="AA397" s="31"/>
      <c r="AB397" s="31"/>
      <c r="AC397" s="31"/>
      <c r="AD397" s="31"/>
      <c r="AE397" s="31"/>
      <c r="AF397" s="31"/>
      <c r="AH397" s="31"/>
    </row>
    <row r="398" spans="1:34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31"/>
      <c r="P398" s="67"/>
      <c r="R398" s="31"/>
      <c r="S398" s="31"/>
      <c r="T398" s="72"/>
      <c r="U398" s="31"/>
      <c r="W398" s="31"/>
      <c r="X398" s="31"/>
      <c r="Y398" s="31"/>
      <c r="AA398" s="31"/>
      <c r="AB398" s="31"/>
      <c r="AC398" s="31"/>
      <c r="AD398" s="31"/>
      <c r="AE398" s="31"/>
      <c r="AF398" s="31"/>
      <c r="AH398" s="31"/>
    </row>
    <row r="399" spans="1:34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31"/>
      <c r="P399" s="67"/>
      <c r="R399" s="31"/>
      <c r="S399" s="31"/>
      <c r="T399" s="72"/>
      <c r="U399" s="31"/>
      <c r="W399" s="31"/>
      <c r="X399" s="31"/>
      <c r="Y399" s="31"/>
      <c r="AA399" s="31"/>
      <c r="AB399" s="31"/>
      <c r="AC399" s="31"/>
      <c r="AD399" s="31"/>
      <c r="AE399" s="31"/>
      <c r="AF399" s="31"/>
      <c r="AH399" s="31"/>
    </row>
    <row r="400" spans="1:34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31"/>
      <c r="P400" s="67"/>
      <c r="R400" s="31"/>
      <c r="S400" s="31"/>
      <c r="T400" s="72"/>
      <c r="U400" s="31"/>
      <c r="W400" s="31"/>
      <c r="X400" s="31"/>
      <c r="Y400" s="31"/>
      <c r="AA400" s="31"/>
      <c r="AB400" s="31"/>
      <c r="AC400" s="31"/>
      <c r="AD400" s="31"/>
      <c r="AE400" s="31"/>
      <c r="AF400" s="31"/>
      <c r="AH400" s="31"/>
    </row>
    <row r="401" spans="1:34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31"/>
      <c r="P401" s="67"/>
      <c r="R401" s="31"/>
      <c r="S401" s="31"/>
      <c r="T401" s="72"/>
      <c r="U401" s="31"/>
      <c r="W401" s="31"/>
      <c r="X401" s="31"/>
      <c r="Y401" s="31"/>
      <c r="AA401" s="31"/>
      <c r="AB401" s="31"/>
      <c r="AC401" s="31"/>
      <c r="AD401" s="31"/>
      <c r="AE401" s="31"/>
      <c r="AF401" s="31"/>
      <c r="AH401" s="31"/>
    </row>
    <row r="402" spans="1:34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31"/>
      <c r="P402" s="67"/>
      <c r="R402" s="31"/>
      <c r="S402" s="31"/>
      <c r="T402" s="72"/>
      <c r="U402" s="31"/>
      <c r="W402" s="31"/>
      <c r="X402" s="31"/>
      <c r="Y402" s="31"/>
      <c r="AA402" s="31"/>
      <c r="AB402" s="31"/>
      <c r="AC402" s="31"/>
      <c r="AD402" s="31"/>
      <c r="AE402" s="31"/>
      <c r="AF402" s="31"/>
      <c r="AH402" s="31"/>
    </row>
    <row r="403" spans="1:34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31"/>
      <c r="P403" s="67"/>
      <c r="R403" s="31"/>
      <c r="S403" s="31"/>
      <c r="T403" s="72"/>
      <c r="U403" s="31"/>
      <c r="W403" s="31"/>
      <c r="X403" s="31"/>
      <c r="Y403" s="31"/>
      <c r="AA403" s="31"/>
      <c r="AB403" s="31"/>
      <c r="AC403" s="31"/>
      <c r="AD403" s="31"/>
      <c r="AE403" s="31"/>
      <c r="AF403" s="31"/>
      <c r="AH403" s="31"/>
    </row>
    <row r="404" spans="1:34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31"/>
      <c r="P404" s="67"/>
      <c r="R404" s="31"/>
      <c r="S404" s="31"/>
      <c r="T404" s="72"/>
      <c r="U404" s="31"/>
      <c r="W404" s="31"/>
      <c r="X404" s="31"/>
      <c r="Y404" s="31"/>
      <c r="AA404" s="31"/>
      <c r="AB404" s="31"/>
      <c r="AC404" s="31"/>
      <c r="AD404" s="31"/>
      <c r="AE404" s="31"/>
      <c r="AF404" s="31"/>
      <c r="AH404" s="31"/>
    </row>
    <row r="405" spans="1:34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31"/>
      <c r="P405" s="67"/>
      <c r="R405" s="31"/>
      <c r="S405" s="31"/>
      <c r="T405" s="72"/>
      <c r="U405" s="31"/>
      <c r="W405" s="31"/>
      <c r="X405" s="31"/>
      <c r="Y405" s="31"/>
      <c r="AA405" s="31"/>
      <c r="AB405" s="31"/>
      <c r="AC405" s="31"/>
      <c r="AD405" s="31"/>
      <c r="AE405" s="31"/>
      <c r="AF405" s="31"/>
      <c r="AH405" s="31"/>
    </row>
    <row r="406" spans="1:34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31"/>
      <c r="P406" s="67"/>
      <c r="R406" s="31"/>
      <c r="S406" s="31"/>
      <c r="T406" s="72"/>
      <c r="U406" s="31"/>
      <c r="W406" s="31"/>
      <c r="X406" s="31"/>
      <c r="Y406" s="31"/>
      <c r="AA406" s="31"/>
      <c r="AB406" s="31"/>
      <c r="AC406" s="31"/>
      <c r="AD406" s="31"/>
      <c r="AE406" s="31"/>
      <c r="AF406" s="31"/>
      <c r="AH406" s="31"/>
    </row>
    <row r="407" spans="1:34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31"/>
      <c r="P407" s="67"/>
      <c r="R407" s="31"/>
      <c r="S407" s="31"/>
      <c r="T407" s="72"/>
      <c r="U407" s="31"/>
      <c r="W407" s="31"/>
      <c r="X407" s="31"/>
      <c r="Y407" s="31"/>
      <c r="AA407" s="31"/>
      <c r="AB407" s="31"/>
      <c r="AC407" s="31"/>
      <c r="AD407" s="31"/>
      <c r="AE407" s="31"/>
      <c r="AF407" s="31"/>
      <c r="AH407" s="31"/>
    </row>
    <row r="408" spans="1:34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31"/>
      <c r="P408" s="67"/>
      <c r="R408" s="31"/>
      <c r="S408" s="31"/>
      <c r="T408" s="72"/>
      <c r="U408" s="31"/>
      <c r="W408" s="31"/>
      <c r="X408" s="31"/>
      <c r="Y408" s="31"/>
      <c r="AA408" s="31"/>
      <c r="AB408" s="31"/>
      <c r="AC408" s="31"/>
      <c r="AD408" s="31"/>
      <c r="AE408" s="31"/>
      <c r="AF408" s="31"/>
      <c r="AH408" s="31"/>
    </row>
    <row r="409" spans="1:34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31"/>
      <c r="P409" s="67"/>
      <c r="R409" s="31"/>
      <c r="S409" s="31"/>
      <c r="T409" s="72"/>
      <c r="U409" s="31"/>
      <c r="W409" s="31"/>
      <c r="X409" s="31"/>
      <c r="Y409" s="31"/>
      <c r="AA409" s="31"/>
      <c r="AB409" s="31"/>
      <c r="AC409" s="31"/>
      <c r="AD409" s="31"/>
      <c r="AE409" s="31"/>
      <c r="AF409" s="31"/>
      <c r="AH409" s="31"/>
    </row>
    <row r="410" spans="1:34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31"/>
      <c r="P410" s="67"/>
      <c r="R410" s="31"/>
      <c r="S410" s="31"/>
      <c r="T410" s="72"/>
      <c r="U410" s="31"/>
      <c r="W410" s="31"/>
      <c r="X410" s="31"/>
      <c r="Y410" s="31"/>
      <c r="AA410" s="31"/>
      <c r="AB410" s="31"/>
      <c r="AC410" s="31"/>
      <c r="AD410" s="31"/>
      <c r="AE410" s="31"/>
      <c r="AF410" s="31"/>
      <c r="AH410" s="31"/>
    </row>
    <row r="411" spans="1:34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31"/>
      <c r="P411" s="67"/>
      <c r="R411" s="31"/>
      <c r="S411" s="31"/>
      <c r="T411" s="72"/>
      <c r="U411" s="31"/>
      <c r="W411" s="31"/>
      <c r="X411" s="31"/>
      <c r="Y411" s="31"/>
      <c r="AA411" s="31"/>
      <c r="AB411" s="31"/>
      <c r="AC411" s="31"/>
      <c r="AD411" s="31"/>
      <c r="AE411" s="31"/>
      <c r="AF411" s="31"/>
      <c r="AH411" s="31"/>
    </row>
    <row r="412" spans="1:34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31"/>
      <c r="P412" s="67"/>
      <c r="R412" s="31"/>
      <c r="S412" s="31"/>
      <c r="T412" s="72"/>
      <c r="U412" s="31"/>
      <c r="W412" s="31"/>
      <c r="X412" s="31"/>
      <c r="Y412" s="31"/>
      <c r="AA412" s="31"/>
      <c r="AB412" s="31"/>
      <c r="AC412" s="31"/>
      <c r="AD412" s="31"/>
      <c r="AE412" s="31"/>
      <c r="AF412" s="31"/>
      <c r="AH412" s="31"/>
    </row>
    <row r="413" spans="1:34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31"/>
      <c r="P413" s="67"/>
      <c r="R413" s="31"/>
      <c r="S413" s="31"/>
      <c r="T413" s="72"/>
      <c r="U413" s="31"/>
      <c r="W413" s="31"/>
      <c r="X413" s="31"/>
      <c r="Y413" s="31"/>
      <c r="AA413" s="31"/>
      <c r="AB413" s="31"/>
      <c r="AC413" s="31"/>
      <c r="AD413" s="31"/>
      <c r="AE413" s="31"/>
      <c r="AF413" s="31"/>
      <c r="AH413" s="31"/>
    </row>
    <row r="414" spans="1:34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31"/>
      <c r="P414" s="67"/>
      <c r="R414" s="31"/>
      <c r="S414" s="31"/>
      <c r="T414" s="72"/>
      <c r="U414" s="31"/>
      <c r="W414" s="31"/>
      <c r="X414" s="31"/>
      <c r="Y414" s="31"/>
      <c r="AA414" s="31"/>
      <c r="AB414" s="31"/>
      <c r="AC414" s="31"/>
      <c r="AD414" s="31"/>
      <c r="AE414" s="31"/>
      <c r="AF414" s="31"/>
      <c r="AH414" s="31"/>
    </row>
    <row r="415" spans="1:34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31"/>
      <c r="P415" s="67"/>
      <c r="R415" s="31"/>
      <c r="S415" s="31"/>
      <c r="T415" s="72"/>
      <c r="U415" s="31"/>
      <c r="W415" s="31"/>
      <c r="X415" s="31"/>
      <c r="Y415" s="31"/>
      <c r="AA415" s="31"/>
      <c r="AB415" s="31"/>
      <c r="AC415" s="31"/>
      <c r="AD415" s="31"/>
      <c r="AE415" s="31"/>
      <c r="AF415" s="31"/>
      <c r="AH415" s="31"/>
    </row>
    <row r="416" spans="1:34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31"/>
      <c r="P416" s="67"/>
      <c r="R416" s="31"/>
      <c r="S416" s="31"/>
      <c r="T416" s="72"/>
      <c r="U416" s="31"/>
      <c r="W416" s="31"/>
      <c r="X416" s="31"/>
      <c r="Y416" s="31"/>
      <c r="AA416" s="31"/>
      <c r="AB416" s="31"/>
      <c r="AC416" s="31"/>
      <c r="AD416" s="31"/>
      <c r="AE416" s="31"/>
      <c r="AF416" s="31"/>
      <c r="AH416" s="31"/>
    </row>
    <row r="417" spans="1:34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31"/>
      <c r="P417" s="67"/>
      <c r="R417" s="31"/>
      <c r="S417" s="31"/>
      <c r="T417" s="72"/>
      <c r="U417" s="31"/>
      <c r="W417" s="31"/>
      <c r="X417" s="31"/>
      <c r="Y417" s="31"/>
      <c r="AA417" s="31"/>
      <c r="AB417" s="31"/>
      <c r="AC417" s="31"/>
      <c r="AD417" s="31"/>
      <c r="AE417" s="31"/>
      <c r="AF417" s="31"/>
      <c r="AH417" s="31"/>
    </row>
    <row r="418" spans="1:34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31"/>
      <c r="P418" s="67"/>
      <c r="R418" s="31"/>
      <c r="S418" s="31"/>
      <c r="T418" s="72"/>
      <c r="U418" s="31"/>
      <c r="W418" s="31"/>
      <c r="X418" s="31"/>
      <c r="Y418" s="31"/>
      <c r="AA418" s="31"/>
      <c r="AB418" s="31"/>
      <c r="AC418" s="31"/>
      <c r="AD418" s="31"/>
      <c r="AE418" s="31"/>
      <c r="AF418" s="31"/>
      <c r="AH418" s="31"/>
    </row>
    <row r="419" spans="1:34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31"/>
      <c r="P419" s="67"/>
      <c r="R419" s="31"/>
      <c r="S419" s="31"/>
      <c r="T419" s="72"/>
      <c r="U419" s="31"/>
      <c r="W419" s="31"/>
      <c r="X419" s="31"/>
      <c r="Y419" s="31"/>
      <c r="AA419" s="31"/>
      <c r="AB419" s="31"/>
      <c r="AC419" s="31"/>
      <c r="AD419" s="31"/>
      <c r="AE419" s="31"/>
      <c r="AF419" s="31"/>
      <c r="AH419" s="31"/>
    </row>
    <row r="420" spans="1:34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31"/>
      <c r="P420" s="67"/>
      <c r="R420" s="31"/>
      <c r="S420" s="31"/>
      <c r="T420" s="72"/>
      <c r="U420" s="31"/>
      <c r="W420" s="31"/>
      <c r="X420" s="31"/>
      <c r="Y420" s="31"/>
      <c r="AA420" s="31"/>
      <c r="AB420" s="31"/>
      <c r="AC420" s="31"/>
      <c r="AD420" s="31"/>
      <c r="AE420" s="31"/>
      <c r="AF420" s="31"/>
      <c r="AH420" s="31"/>
    </row>
    <row r="421" spans="1:34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31"/>
      <c r="P421" s="67"/>
      <c r="R421" s="31"/>
      <c r="S421" s="31"/>
      <c r="T421" s="72"/>
      <c r="U421" s="31"/>
      <c r="W421" s="31"/>
      <c r="X421" s="31"/>
      <c r="Y421" s="31"/>
      <c r="AA421" s="31"/>
      <c r="AB421" s="31"/>
      <c r="AC421" s="31"/>
      <c r="AD421" s="31"/>
      <c r="AE421" s="31"/>
      <c r="AF421" s="31"/>
      <c r="AH421" s="31"/>
    </row>
    <row r="422" spans="1:34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31"/>
      <c r="P422" s="67"/>
      <c r="R422" s="31"/>
      <c r="S422" s="31"/>
      <c r="T422" s="72"/>
      <c r="U422" s="31"/>
      <c r="W422" s="31"/>
      <c r="X422" s="31"/>
      <c r="Y422" s="31"/>
      <c r="AA422" s="31"/>
      <c r="AB422" s="31"/>
      <c r="AC422" s="31"/>
      <c r="AD422" s="31"/>
      <c r="AE422" s="31"/>
      <c r="AF422" s="31"/>
      <c r="AH422" s="31"/>
    </row>
    <row r="423" spans="1:34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31"/>
      <c r="P423" s="67"/>
      <c r="R423" s="31"/>
      <c r="S423" s="31"/>
      <c r="T423" s="72"/>
      <c r="U423" s="31"/>
      <c r="W423" s="31"/>
      <c r="X423" s="31"/>
      <c r="Y423" s="31"/>
      <c r="AA423" s="31"/>
      <c r="AB423" s="31"/>
      <c r="AC423" s="31"/>
      <c r="AD423" s="31"/>
      <c r="AE423" s="31"/>
      <c r="AF423" s="31"/>
      <c r="AH423" s="31"/>
    </row>
    <row r="424" spans="1:34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31"/>
      <c r="P424" s="67"/>
      <c r="R424" s="31"/>
      <c r="S424" s="31"/>
      <c r="T424" s="72"/>
      <c r="U424" s="31"/>
      <c r="W424" s="31"/>
      <c r="X424" s="31"/>
      <c r="Y424" s="31"/>
      <c r="AA424" s="31"/>
      <c r="AB424" s="31"/>
      <c r="AC424" s="31"/>
      <c r="AD424" s="31"/>
      <c r="AE424" s="31"/>
      <c r="AF424" s="31"/>
      <c r="AH424" s="31"/>
    </row>
    <row r="425" spans="1:34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31"/>
      <c r="P425" s="67"/>
      <c r="R425" s="31"/>
      <c r="S425" s="31"/>
      <c r="T425" s="72"/>
      <c r="U425" s="31"/>
      <c r="W425" s="31"/>
      <c r="X425" s="31"/>
      <c r="Y425" s="31"/>
      <c r="AA425" s="31"/>
      <c r="AB425" s="31"/>
      <c r="AC425" s="31"/>
      <c r="AD425" s="31"/>
      <c r="AE425" s="31"/>
      <c r="AF425" s="31"/>
      <c r="AH425" s="31"/>
    </row>
    <row r="426" spans="1:34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31"/>
      <c r="P426" s="67"/>
      <c r="R426" s="31"/>
      <c r="S426" s="31"/>
      <c r="T426" s="72"/>
      <c r="U426" s="31"/>
      <c r="W426" s="31"/>
      <c r="X426" s="31"/>
      <c r="Y426" s="31"/>
      <c r="AA426" s="31"/>
      <c r="AB426" s="31"/>
      <c r="AC426" s="31"/>
      <c r="AD426" s="31"/>
      <c r="AE426" s="31"/>
      <c r="AF426" s="31"/>
      <c r="AH426" s="31"/>
    </row>
    <row r="427" spans="1:34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31"/>
      <c r="P427" s="67"/>
      <c r="R427" s="31"/>
      <c r="S427" s="31"/>
      <c r="T427" s="72"/>
      <c r="U427" s="31"/>
      <c r="W427" s="31"/>
      <c r="X427" s="31"/>
      <c r="Y427" s="31"/>
      <c r="AA427" s="31"/>
      <c r="AB427" s="31"/>
      <c r="AC427" s="31"/>
      <c r="AD427" s="31"/>
      <c r="AE427" s="31"/>
      <c r="AF427" s="31"/>
      <c r="AH427" s="31"/>
    </row>
    <row r="428" spans="1:34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31"/>
      <c r="P428" s="67"/>
      <c r="R428" s="31"/>
      <c r="S428" s="31"/>
      <c r="T428" s="72"/>
      <c r="U428" s="31"/>
      <c r="W428" s="31"/>
      <c r="X428" s="31"/>
      <c r="Y428" s="31"/>
      <c r="AA428" s="31"/>
      <c r="AB428" s="31"/>
      <c r="AC428" s="31"/>
      <c r="AD428" s="31"/>
      <c r="AE428" s="31"/>
      <c r="AF428" s="31"/>
      <c r="AH428" s="31"/>
    </row>
    <row r="429" spans="1:34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31"/>
      <c r="P429" s="67"/>
      <c r="R429" s="31"/>
      <c r="S429" s="31"/>
      <c r="T429" s="72"/>
      <c r="U429" s="31"/>
      <c r="W429" s="31"/>
      <c r="X429" s="31"/>
      <c r="Y429" s="31"/>
      <c r="AA429" s="31"/>
      <c r="AB429" s="31"/>
      <c r="AC429" s="31"/>
      <c r="AD429" s="31"/>
      <c r="AE429" s="31"/>
      <c r="AF429" s="31"/>
      <c r="AH429" s="31"/>
    </row>
    <row r="430" spans="1:34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31"/>
      <c r="P430" s="67"/>
      <c r="R430" s="31"/>
      <c r="S430" s="31"/>
      <c r="T430" s="72"/>
      <c r="U430" s="31"/>
      <c r="W430" s="31"/>
      <c r="X430" s="31"/>
      <c r="Y430" s="31"/>
      <c r="AA430" s="31"/>
      <c r="AB430" s="31"/>
      <c r="AC430" s="31"/>
      <c r="AD430" s="31"/>
      <c r="AE430" s="31"/>
      <c r="AF430" s="31"/>
      <c r="AH430" s="31"/>
    </row>
    <row r="431" spans="1:34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31"/>
      <c r="P431" s="67"/>
      <c r="R431" s="31"/>
      <c r="S431" s="31"/>
      <c r="T431" s="72"/>
      <c r="U431" s="31"/>
      <c r="W431" s="31"/>
      <c r="X431" s="31"/>
      <c r="Y431" s="31"/>
      <c r="AA431" s="31"/>
      <c r="AB431" s="31"/>
      <c r="AC431" s="31"/>
      <c r="AD431" s="31"/>
      <c r="AE431" s="31"/>
      <c r="AF431" s="31"/>
      <c r="AH431" s="31"/>
    </row>
    <row r="432" spans="1:34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31"/>
      <c r="P432" s="67"/>
      <c r="R432" s="31"/>
      <c r="S432" s="31"/>
      <c r="T432" s="72"/>
      <c r="U432" s="31"/>
      <c r="W432" s="31"/>
      <c r="X432" s="31"/>
      <c r="Y432" s="31"/>
      <c r="AA432" s="31"/>
      <c r="AB432" s="31"/>
      <c r="AC432" s="31"/>
      <c r="AD432" s="31"/>
      <c r="AE432" s="31"/>
      <c r="AF432" s="31"/>
      <c r="AH432" s="31"/>
    </row>
    <row r="433" spans="1:34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31"/>
      <c r="P433" s="67"/>
      <c r="R433" s="31"/>
      <c r="S433" s="31"/>
      <c r="T433" s="72"/>
      <c r="U433" s="31"/>
      <c r="W433" s="31"/>
      <c r="X433" s="31"/>
      <c r="Y433" s="31"/>
      <c r="AA433" s="31"/>
      <c r="AB433" s="31"/>
      <c r="AC433" s="31"/>
      <c r="AD433" s="31"/>
      <c r="AE433" s="31"/>
      <c r="AF433" s="31"/>
      <c r="AH433" s="31"/>
    </row>
    <row r="434" spans="1:34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31"/>
      <c r="P434" s="67"/>
      <c r="R434" s="31"/>
      <c r="S434" s="31"/>
      <c r="T434" s="72"/>
      <c r="U434" s="31"/>
      <c r="W434" s="31"/>
      <c r="X434" s="31"/>
      <c r="Y434" s="31"/>
      <c r="AA434" s="31"/>
      <c r="AB434" s="31"/>
      <c r="AC434" s="31"/>
      <c r="AD434" s="31"/>
      <c r="AE434" s="31"/>
      <c r="AF434" s="31"/>
      <c r="AH434" s="31"/>
    </row>
    <row r="435" spans="1:34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31"/>
      <c r="P435" s="67"/>
      <c r="R435" s="31"/>
      <c r="S435" s="31"/>
      <c r="T435" s="72"/>
      <c r="U435" s="31"/>
      <c r="W435" s="31"/>
      <c r="X435" s="31"/>
      <c r="Y435" s="31"/>
      <c r="AA435" s="31"/>
      <c r="AB435" s="31"/>
      <c r="AC435" s="31"/>
      <c r="AD435" s="31"/>
      <c r="AE435" s="31"/>
      <c r="AF435" s="31"/>
      <c r="AH435" s="31"/>
    </row>
    <row r="436" spans="1:34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31"/>
      <c r="P436" s="67"/>
      <c r="R436" s="31"/>
      <c r="S436" s="31"/>
      <c r="T436" s="72"/>
      <c r="U436" s="31"/>
      <c r="W436" s="31"/>
      <c r="X436" s="31"/>
      <c r="Y436" s="31"/>
      <c r="AA436" s="31"/>
      <c r="AB436" s="31"/>
      <c r="AC436" s="31"/>
      <c r="AD436" s="31"/>
      <c r="AE436" s="31"/>
      <c r="AF436" s="31"/>
      <c r="AH436" s="31"/>
    </row>
    <row r="437" spans="1:34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31"/>
      <c r="P437" s="67"/>
      <c r="R437" s="31"/>
      <c r="S437" s="31"/>
      <c r="T437" s="72"/>
      <c r="U437" s="31"/>
      <c r="W437" s="31"/>
      <c r="X437" s="31"/>
      <c r="Y437" s="31"/>
      <c r="AA437" s="31"/>
      <c r="AB437" s="31"/>
      <c r="AC437" s="31"/>
      <c r="AD437" s="31"/>
      <c r="AE437" s="31"/>
      <c r="AF437" s="31"/>
      <c r="AH437" s="31"/>
    </row>
    <row r="438" spans="1:34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31"/>
      <c r="P438" s="67"/>
      <c r="R438" s="31"/>
      <c r="S438" s="31"/>
      <c r="T438" s="72"/>
      <c r="U438" s="31"/>
      <c r="W438" s="31"/>
      <c r="X438" s="31"/>
      <c r="Y438" s="31"/>
      <c r="AA438" s="31"/>
      <c r="AB438" s="31"/>
      <c r="AC438" s="31"/>
      <c r="AD438" s="31"/>
      <c r="AE438" s="31"/>
      <c r="AF438" s="31"/>
      <c r="AH438" s="31"/>
    </row>
    <row r="439" spans="1:34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31"/>
      <c r="P439" s="67"/>
      <c r="R439" s="31"/>
      <c r="S439" s="31"/>
      <c r="T439" s="72"/>
      <c r="U439" s="31"/>
      <c r="W439" s="31"/>
      <c r="X439" s="31"/>
      <c r="Y439" s="31"/>
      <c r="AA439" s="31"/>
      <c r="AB439" s="31"/>
      <c r="AC439" s="31"/>
      <c r="AD439" s="31"/>
      <c r="AE439" s="31"/>
      <c r="AF439" s="31"/>
      <c r="AH439" s="31"/>
    </row>
    <row r="440" spans="1:34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31"/>
      <c r="P440" s="67"/>
      <c r="R440" s="31"/>
      <c r="S440" s="31"/>
      <c r="T440" s="72"/>
      <c r="U440" s="31"/>
      <c r="W440" s="31"/>
      <c r="X440" s="31"/>
      <c r="Y440" s="31"/>
      <c r="AA440" s="31"/>
      <c r="AB440" s="31"/>
      <c r="AC440" s="31"/>
      <c r="AD440" s="31"/>
      <c r="AE440" s="31"/>
      <c r="AF440" s="31"/>
      <c r="AH440" s="31"/>
    </row>
    <row r="441" spans="1:34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31"/>
      <c r="P441" s="67"/>
      <c r="R441" s="31"/>
      <c r="S441" s="31"/>
      <c r="T441" s="72"/>
      <c r="U441" s="31"/>
      <c r="W441" s="31"/>
      <c r="X441" s="31"/>
      <c r="Y441" s="31"/>
      <c r="AA441" s="31"/>
      <c r="AB441" s="31"/>
      <c r="AC441" s="31"/>
      <c r="AD441" s="31"/>
      <c r="AE441" s="31"/>
      <c r="AF441" s="31"/>
      <c r="AH441" s="31"/>
    </row>
    <row r="442" spans="1:34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31"/>
      <c r="P442" s="67"/>
      <c r="R442" s="31"/>
      <c r="S442" s="31"/>
      <c r="T442" s="72"/>
      <c r="U442" s="31"/>
      <c r="W442" s="31"/>
      <c r="X442" s="31"/>
      <c r="Y442" s="31"/>
      <c r="AA442" s="31"/>
      <c r="AB442" s="31"/>
      <c r="AC442" s="31"/>
      <c r="AD442" s="31"/>
      <c r="AE442" s="31"/>
      <c r="AF442" s="31"/>
      <c r="AH442" s="31"/>
    </row>
    <row r="443" spans="1:34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31"/>
      <c r="P443" s="67"/>
      <c r="R443" s="31"/>
      <c r="S443" s="31"/>
      <c r="T443" s="72"/>
      <c r="U443" s="31"/>
      <c r="W443" s="31"/>
      <c r="X443" s="31"/>
      <c r="Y443" s="31"/>
      <c r="AA443" s="31"/>
      <c r="AB443" s="31"/>
      <c r="AC443" s="31"/>
      <c r="AD443" s="31"/>
      <c r="AE443" s="31"/>
      <c r="AF443" s="31"/>
      <c r="AH443" s="31"/>
    </row>
    <row r="444" spans="1:34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31"/>
      <c r="P444" s="67"/>
      <c r="R444" s="31"/>
      <c r="S444" s="31"/>
      <c r="T444" s="72"/>
      <c r="U444" s="31"/>
      <c r="W444" s="31"/>
      <c r="X444" s="31"/>
      <c r="Y444" s="31"/>
      <c r="AA444" s="31"/>
      <c r="AB444" s="31"/>
      <c r="AC444" s="31"/>
      <c r="AD444" s="31"/>
      <c r="AE444" s="31"/>
      <c r="AF444" s="31"/>
      <c r="AH444" s="31"/>
    </row>
    <row r="445" spans="1:34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31"/>
      <c r="P445" s="67"/>
      <c r="R445" s="31"/>
      <c r="S445" s="31"/>
      <c r="T445" s="72"/>
      <c r="U445" s="31"/>
      <c r="W445" s="31"/>
      <c r="X445" s="31"/>
      <c r="Y445" s="31"/>
      <c r="AA445" s="31"/>
      <c r="AB445" s="31"/>
      <c r="AC445" s="31"/>
      <c r="AD445" s="31"/>
      <c r="AE445" s="31"/>
      <c r="AF445" s="31"/>
      <c r="AH445" s="31"/>
    </row>
    <row r="446" spans="1:34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31"/>
      <c r="P446" s="67"/>
      <c r="R446" s="31"/>
      <c r="S446" s="31"/>
      <c r="T446" s="72"/>
      <c r="U446" s="31"/>
      <c r="W446" s="31"/>
      <c r="X446" s="31"/>
      <c r="Y446" s="31"/>
      <c r="AA446" s="31"/>
      <c r="AB446" s="31"/>
      <c r="AC446" s="31"/>
      <c r="AD446" s="31"/>
      <c r="AE446" s="31"/>
      <c r="AF446" s="31"/>
      <c r="AH446" s="31"/>
    </row>
    <row r="447" spans="1:34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31"/>
      <c r="P447" s="67"/>
      <c r="R447" s="31"/>
      <c r="S447" s="31"/>
      <c r="T447" s="72"/>
      <c r="U447" s="31"/>
      <c r="W447" s="31"/>
      <c r="X447" s="31"/>
      <c r="Y447" s="31"/>
      <c r="AA447" s="31"/>
      <c r="AB447" s="31"/>
      <c r="AC447" s="31"/>
      <c r="AD447" s="31"/>
      <c r="AE447" s="31"/>
      <c r="AF447" s="31"/>
      <c r="AH447" s="31"/>
    </row>
    <row r="448" spans="1:34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31"/>
      <c r="P448" s="67"/>
      <c r="R448" s="31"/>
      <c r="S448" s="31"/>
      <c r="T448" s="72"/>
      <c r="U448" s="31"/>
      <c r="W448" s="31"/>
      <c r="X448" s="31"/>
      <c r="Y448" s="31"/>
      <c r="AA448" s="31"/>
      <c r="AB448" s="31"/>
      <c r="AC448" s="31"/>
      <c r="AD448" s="31"/>
      <c r="AE448" s="31"/>
      <c r="AF448" s="31"/>
      <c r="AH448" s="31"/>
    </row>
    <row r="449" spans="1:34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31"/>
      <c r="P449" s="67"/>
      <c r="R449" s="31"/>
      <c r="S449" s="31"/>
      <c r="T449" s="72"/>
      <c r="U449" s="31"/>
      <c r="W449" s="31"/>
      <c r="X449" s="31"/>
      <c r="Y449" s="31"/>
      <c r="AA449" s="31"/>
      <c r="AB449" s="31"/>
      <c r="AC449" s="31"/>
      <c r="AD449" s="31"/>
      <c r="AE449" s="31"/>
      <c r="AF449" s="31"/>
      <c r="AH449" s="31"/>
    </row>
    <row r="450" spans="1:34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31"/>
      <c r="P450" s="67"/>
      <c r="R450" s="31"/>
      <c r="S450" s="31"/>
      <c r="T450" s="72"/>
      <c r="U450" s="31"/>
      <c r="W450" s="31"/>
      <c r="X450" s="31"/>
      <c r="Y450" s="31"/>
      <c r="AA450" s="31"/>
      <c r="AB450" s="31"/>
      <c r="AC450" s="31"/>
      <c r="AD450" s="31"/>
      <c r="AE450" s="31"/>
      <c r="AF450" s="31"/>
      <c r="AH450" s="31"/>
    </row>
    <row r="451" spans="1:34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31"/>
      <c r="P451" s="67"/>
      <c r="R451" s="31"/>
      <c r="S451" s="31"/>
      <c r="T451" s="72"/>
      <c r="U451" s="31"/>
      <c r="W451" s="31"/>
      <c r="X451" s="31"/>
      <c r="Y451" s="31"/>
      <c r="AA451" s="31"/>
      <c r="AB451" s="31"/>
      <c r="AC451" s="31"/>
      <c r="AD451" s="31"/>
      <c r="AE451" s="31"/>
      <c r="AF451" s="31"/>
      <c r="AH451" s="31"/>
    </row>
    <row r="452" spans="1:34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31"/>
      <c r="P452" s="67"/>
      <c r="R452" s="31"/>
      <c r="S452" s="31"/>
      <c r="T452" s="72"/>
      <c r="U452" s="31"/>
      <c r="W452" s="31"/>
      <c r="X452" s="31"/>
      <c r="Y452" s="31"/>
      <c r="AA452" s="31"/>
      <c r="AB452" s="31"/>
      <c r="AC452" s="31"/>
      <c r="AD452" s="31"/>
      <c r="AE452" s="31"/>
      <c r="AF452" s="31"/>
      <c r="AH452" s="31"/>
    </row>
    <row r="453" spans="1:34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31"/>
      <c r="P453" s="67"/>
      <c r="R453" s="31"/>
      <c r="S453" s="31"/>
      <c r="T453" s="72"/>
      <c r="U453" s="31"/>
      <c r="W453" s="31"/>
      <c r="X453" s="31"/>
      <c r="Y453" s="31"/>
      <c r="AA453" s="31"/>
      <c r="AB453" s="31"/>
      <c r="AC453" s="31"/>
      <c r="AD453" s="31"/>
      <c r="AE453" s="31"/>
      <c r="AF453" s="31"/>
      <c r="AH453" s="31"/>
    </row>
    <row r="454" spans="1:34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31"/>
      <c r="P454" s="67"/>
      <c r="R454" s="31"/>
      <c r="S454" s="31"/>
      <c r="T454" s="72"/>
      <c r="U454" s="31"/>
      <c r="W454" s="31"/>
      <c r="X454" s="31"/>
      <c r="Y454" s="31"/>
      <c r="AA454" s="31"/>
      <c r="AB454" s="31"/>
      <c r="AC454" s="31"/>
      <c r="AD454" s="31"/>
      <c r="AE454" s="31"/>
      <c r="AF454" s="31"/>
      <c r="AH454" s="31"/>
    </row>
    <row r="455" spans="1:34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31"/>
      <c r="P455" s="67"/>
      <c r="R455" s="31"/>
      <c r="S455" s="31"/>
      <c r="T455" s="72"/>
      <c r="U455" s="31"/>
      <c r="W455" s="31"/>
      <c r="X455" s="31"/>
      <c r="Y455" s="31"/>
      <c r="AA455" s="31"/>
      <c r="AB455" s="31"/>
      <c r="AC455" s="31"/>
      <c r="AD455" s="31"/>
      <c r="AE455" s="31"/>
      <c r="AF455" s="31"/>
      <c r="AH455" s="31"/>
    </row>
    <row r="456" spans="1:34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31"/>
      <c r="P456" s="67"/>
      <c r="R456" s="31"/>
      <c r="S456" s="31"/>
      <c r="T456" s="72"/>
      <c r="U456" s="31"/>
      <c r="W456" s="31"/>
      <c r="X456" s="31"/>
      <c r="Y456" s="31"/>
      <c r="AA456" s="31"/>
      <c r="AB456" s="31"/>
      <c r="AC456" s="31"/>
      <c r="AD456" s="31"/>
      <c r="AE456" s="31"/>
      <c r="AF456" s="31"/>
      <c r="AH456" s="31"/>
    </row>
    <row r="457" spans="1:34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31"/>
      <c r="P457" s="67"/>
      <c r="R457" s="31"/>
      <c r="S457" s="31"/>
      <c r="T457" s="72"/>
      <c r="U457" s="31"/>
      <c r="W457" s="31"/>
      <c r="X457" s="31"/>
      <c r="Y457" s="31"/>
      <c r="AA457" s="31"/>
      <c r="AB457" s="31"/>
      <c r="AC457" s="31"/>
      <c r="AD457" s="31"/>
      <c r="AE457" s="31"/>
      <c r="AF457" s="31"/>
      <c r="AH457" s="31"/>
    </row>
    <row r="458" spans="1:34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31"/>
      <c r="P458" s="67"/>
      <c r="R458" s="31"/>
      <c r="S458" s="31"/>
      <c r="T458" s="72"/>
      <c r="U458" s="31"/>
      <c r="W458" s="31"/>
      <c r="X458" s="31"/>
      <c r="Y458" s="31"/>
      <c r="AA458" s="31"/>
      <c r="AB458" s="31"/>
      <c r="AC458" s="31"/>
      <c r="AD458" s="31"/>
      <c r="AE458" s="31"/>
      <c r="AF458" s="31"/>
      <c r="AH458" s="31"/>
    </row>
    <row r="459" spans="1:34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31"/>
      <c r="P459" s="67"/>
      <c r="R459" s="31"/>
      <c r="S459" s="31"/>
      <c r="T459" s="72"/>
      <c r="U459" s="31"/>
      <c r="W459" s="31"/>
      <c r="X459" s="31"/>
      <c r="Y459" s="31"/>
      <c r="AA459" s="31"/>
      <c r="AB459" s="31"/>
      <c r="AC459" s="31"/>
      <c r="AD459" s="31"/>
      <c r="AE459" s="31"/>
      <c r="AF459" s="31"/>
      <c r="AH459" s="31"/>
    </row>
    <row r="460" spans="1:34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31"/>
      <c r="P460" s="67"/>
      <c r="R460" s="31"/>
      <c r="S460" s="31"/>
      <c r="T460" s="72"/>
      <c r="U460" s="31"/>
      <c r="W460" s="31"/>
      <c r="X460" s="31"/>
      <c r="Y460" s="31"/>
      <c r="AA460" s="31"/>
      <c r="AB460" s="31"/>
      <c r="AC460" s="31"/>
      <c r="AD460" s="31"/>
      <c r="AE460" s="31"/>
      <c r="AF460" s="31"/>
      <c r="AH460" s="31"/>
    </row>
    <row r="461" spans="1:34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31"/>
      <c r="P461" s="67"/>
      <c r="R461" s="31"/>
      <c r="S461" s="31"/>
      <c r="T461" s="72"/>
      <c r="U461" s="31"/>
      <c r="W461" s="31"/>
      <c r="X461" s="31"/>
      <c r="Y461" s="31"/>
      <c r="AA461" s="31"/>
      <c r="AB461" s="31"/>
      <c r="AC461" s="31"/>
      <c r="AD461" s="31"/>
      <c r="AE461" s="31"/>
      <c r="AF461" s="31"/>
      <c r="AH461" s="31"/>
    </row>
    <row r="462" spans="1:34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31"/>
      <c r="P462" s="67"/>
      <c r="R462" s="31"/>
      <c r="S462" s="31"/>
      <c r="T462" s="72"/>
      <c r="U462" s="31"/>
      <c r="W462" s="31"/>
      <c r="X462" s="31"/>
      <c r="Y462" s="31"/>
      <c r="AA462" s="31"/>
      <c r="AB462" s="31"/>
      <c r="AC462" s="31"/>
      <c r="AD462" s="31"/>
      <c r="AE462" s="31"/>
      <c r="AF462" s="31"/>
      <c r="AH462" s="31"/>
    </row>
    <row r="463" spans="1:34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31"/>
      <c r="P463" s="67"/>
      <c r="R463" s="31"/>
      <c r="S463" s="31"/>
      <c r="T463" s="72"/>
      <c r="U463" s="31"/>
      <c r="W463" s="31"/>
      <c r="X463" s="31"/>
      <c r="Y463" s="31"/>
      <c r="AA463" s="31"/>
      <c r="AB463" s="31"/>
      <c r="AC463" s="31"/>
      <c r="AD463" s="31"/>
      <c r="AE463" s="31"/>
      <c r="AF463" s="31"/>
      <c r="AH463" s="31"/>
    </row>
    <row r="464" spans="1:34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31"/>
      <c r="P464" s="67"/>
      <c r="R464" s="31"/>
      <c r="S464" s="31"/>
      <c r="T464" s="72"/>
      <c r="U464" s="31"/>
      <c r="W464" s="31"/>
      <c r="X464" s="31"/>
      <c r="Y464" s="31"/>
      <c r="AA464" s="31"/>
      <c r="AB464" s="31"/>
      <c r="AC464" s="31"/>
      <c r="AD464" s="31"/>
      <c r="AE464" s="31"/>
      <c r="AF464" s="31"/>
      <c r="AH464" s="31"/>
    </row>
    <row r="465" spans="1:34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31"/>
      <c r="P465" s="67"/>
      <c r="R465" s="31"/>
      <c r="S465" s="31"/>
      <c r="T465" s="72"/>
      <c r="U465" s="31"/>
      <c r="W465" s="31"/>
      <c r="X465" s="31"/>
      <c r="Y465" s="31"/>
      <c r="AA465" s="31"/>
      <c r="AB465" s="31"/>
      <c r="AC465" s="31"/>
      <c r="AD465" s="31"/>
      <c r="AE465" s="31"/>
      <c r="AF465" s="31"/>
      <c r="AH465" s="31"/>
    </row>
    <row r="466" spans="1:34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31"/>
      <c r="P466" s="67"/>
      <c r="R466" s="31"/>
      <c r="S466" s="31"/>
      <c r="T466" s="72"/>
      <c r="U466" s="31"/>
      <c r="W466" s="31"/>
      <c r="X466" s="31"/>
      <c r="Y466" s="31"/>
      <c r="AA466" s="31"/>
      <c r="AB466" s="31"/>
      <c r="AC466" s="31"/>
      <c r="AD466" s="31"/>
      <c r="AE466" s="31"/>
      <c r="AF466" s="31"/>
      <c r="AH466" s="31"/>
    </row>
    <row r="467" spans="1:34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31"/>
      <c r="P467" s="67"/>
      <c r="R467" s="31"/>
      <c r="S467" s="31"/>
      <c r="T467" s="72"/>
      <c r="U467" s="31"/>
      <c r="W467" s="31"/>
      <c r="X467" s="31"/>
      <c r="Y467" s="31"/>
      <c r="AA467" s="31"/>
      <c r="AB467" s="31"/>
      <c r="AC467" s="31"/>
      <c r="AD467" s="31"/>
      <c r="AE467" s="31"/>
      <c r="AF467" s="31"/>
      <c r="AH467" s="31"/>
    </row>
    <row r="468" spans="1:34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31"/>
      <c r="P468" s="67"/>
      <c r="R468" s="31"/>
      <c r="S468" s="31"/>
      <c r="T468" s="72"/>
      <c r="U468" s="31"/>
      <c r="W468" s="31"/>
      <c r="X468" s="31"/>
      <c r="Y468" s="31"/>
      <c r="AA468" s="31"/>
      <c r="AB468" s="31"/>
      <c r="AC468" s="31"/>
      <c r="AD468" s="31"/>
      <c r="AE468" s="31"/>
      <c r="AF468" s="31"/>
      <c r="AH468" s="31"/>
    </row>
    <row r="469" spans="1:34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31"/>
      <c r="P469" s="67"/>
      <c r="R469" s="31"/>
      <c r="S469" s="31"/>
      <c r="T469" s="72"/>
      <c r="U469" s="31"/>
      <c r="W469" s="31"/>
      <c r="X469" s="31"/>
      <c r="Y469" s="31"/>
      <c r="AA469" s="31"/>
      <c r="AB469" s="31"/>
      <c r="AC469" s="31"/>
      <c r="AD469" s="31"/>
      <c r="AE469" s="31"/>
      <c r="AF469" s="31"/>
      <c r="AH469" s="31"/>
    </row>
    <row r="470" spans="1:34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31"/>
      <c r="P470" s="67"/>
      <c r="R470" s="31"/>
      <c r="S470" s="31"/>
      <c r="T470" s="72"/>
      <c r="U470" s="31"/>
      <c r="W470" s="31"/>
      <c r="X470" s="31"/>
      <c r="Y470" s="31"/>
      <c r="AA470" s="31"/>
      <c r="AB470" s="31"/>
      <c r="AC470" s="31"/>
      <c r="AD470" s="31"/>
      <c r="AE470" s="31"/>
      <c r="AF470" s="31"/>
      <c r="AH470" s="31"/>
    </row>
    <row r="471" spans="1:34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31"/>
      <c r="P471" s="67"/>
      <c r="R471" s="31"/>
      <c r="S471" s="31"/>
      <c r="T471" s="72"/>
      <c r="U471" s="31"/>
      <c r="W471" s="31"/>
      <c r="X471" s="31"/>
      <c r="Y471" s="31"/>
      <c r="AA471" s="31"/>
      <c r="AB471" s="31"/>
      <c r="AC471" s="31"/>
      <c r="AD471" s="31"/>
      <c r="AE471" s="31"/>
      <c r="AF471" s="31"/>
      <c r="AH471" s="31"/>
    </row>
    <row r="472" spans="1:34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31"/>
      <c r="P472" s="67"/>
      <c r="R472" s="31"/>
      <c r="S472" s="31"/>
      <c r="T472" s="72"/>
      <c r="U472" s="31"/>
      <c r="W472" s="31"/>
      <c r="X472" s="31"/>
      <c r="Y472" s="31"/>
      <c r="AA472" s="31"/>
      <c r="AB472" s="31"/>
      <c r="AC472" s="31"/>
      <c r="AD472" s="31"/>
      <c r="AE472" s="31"/>
      <c r="AF472" s="31"/>
      <c r="AH472" s="31"/>
    </row>
    <row r="473" spans="1:34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31"/>
      <c r="P473" s="67"/>
      <c r="R473" s="31"/>
      <c r="S473" s="31"/>
      <c r="T473" s="72"/>
      <c r="U473" s="31"/>
      <c r="W473" s="31"/>
      <c r="X473" s="31"/>
      <c r="Y473" s="31"/>
      <c r="AA473" s="31"/>
      <c r="AB473" s="31"/>
      <c r="AC473" s="31"/>
      <c r="AD473" s="31"/>
      <c r="AE473" s="31"/>
      <c r="AF473" s="31"/>
      <c r="AH473" s="31"/>
    </row>
    <row r="474" spans="1:34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31"/>
      <c r="P474" s="67"/>
      <c r="R474" s="31"/>
      <c r="S474" s="31"/>
      <c r="T474" s="72"/>
      <c r="U474" s="31"/>
      <c r="W474" s="31"/>
      <c r="X474" s="31"/>
      <c r="Y474" s="31"/>
      <c r="AA474" s="31"/>
      <c r="AB474" s="31"/>
      <c r="AC474" s="31"/>
      <c r="AD474" s="31"/>
      <c r="AE474" s="31"/>
      <c r="AF474" s="31"/>
      <c r="AH474" s="31"/>
    </row>
    <row r="475" spans="1:34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31"/>
      <c r="P475" s="67"/>
      <c r="R475" s="31"/>
      <c r="S475" s="31"/>
      <c r="T475" s="72"/>
      <c r="U475" s="31"/>
      <c r="W475" s="31"/>
      <c r="X475" s="31"/>
      <c r="Y475" s="31"/>
      <c r="AA475" s="31"/>
      <c r="AB475" s="31"/>
      <c r="AC475" s="31"/>
      <c r="AD475" s="31"/>
      <c r="AE475" s="31"/>
      <c r="AF475" s="31"/>
      <c r="AH475" s="31"/>
    </row>
    <row r="476" spans="1:34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31"/>
      <c r="P476" s="67"/>
      <c r="R476" s="31"/>
      <c r="S476" s="31"/>
      <c r="T476" s="72"/>
      <c r="U476" s="31"/>
      <c r="W476" s="31"/>
      <c r="X476" s="31"/>
      <c r="Y476" s="31"/>
      <c r="AA476" s="31"/>
      <c r="AB476" s="31"/>
      <c r="AC476" s="31"/>
      <c r="AD476" s="31"/>
      <c r="AE476" s="31"/>
      <c r="AF476" s="31"/>
      <c r="AH476" s="31"/>
    </row>
    <row r="477" spans="1:34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31"/>
      <c r="P477" s="67"/>
      <c r="R477" s="31"/>
      <c r="S477" s="31"/>
      <c r="T477" s="72"/>
      <c r="U477" s="31"/>
      <c r="W477" s="31"/>
      <c r="X477" s="31"/>
      <c r="Y477" s="31"/>
      <c r="AA477" s="31"/>
      <c r="AB477" s="31"/>
      <c r="AC477" s="31"/>
      <c r="AD477" s="31"/>
      <c r="AE477" s="31"/>
      <c r="AF477" s="31"/>
      <c r="AH477" s="31"/>
    </row>
    <row r="478" spans="1:34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31"/>
      <c r="P478" s="67"/>
      <c r="R478" s="31"/>
      <c r="S478" s="31"/>
      <c r="T478" s="72"/>
      <c r="U478" s="31"/>
      <c r="W478" s="31"/>
      <c r="X478" s="31"/>
      <c r="Y478" s="31"/>
      <c r="AA478" s="31"/>
      <c r="AB478" s="31"/>
      <c r="AC478" s="31"/>
      <c r="AD478" s="31"/>
      <c r="AE478" s="31"/>
      <c r="AF478" s="31"/>
      <c r="AH478" s="31"/>
    </row>
    <row r="479" spans="1:34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31"/>
      <c r="P479" s="67"/>
      <c r="R479" s="31"/>
      <c r="S479" s="31"/>
      <c r="T479" s="72"/>
      <c r="U479" s="31"/>
      <c r="W479" s="31"/>
      <c r="X479" s="31"/>
      <c r="Y479" s="31"/>
      <c r="AA479" s="31"/>
      <c r="AB479" s="31"/>
      <c r="AC479" s="31"/>
      <c r="AD479" s="31"/>
      <c r="AE479" s="31"/>
      <c r="AF479" s="31"/>
      <c r="AH479" s="31"/>
    </row>
    <row r="480" spans="1:34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31"/>
      <c r="P480" s="67"/>
      <c r="R480" s="31"/>
      <c r="S480" s="31"/>
      <c r="T480" s="72"/>
      <c r="U480" s="31"/>
      <c r="W480" s="31"/>
      <c r="X480" s="31"/>
      <c r="Y480" s="31"/>
      <c r="AA480" s="31"/>
      <c r="AB480" s="31"/>
      <c r="AC480" s="31"/>
      <c r="AD480" s="31"/>
      <c r="AE480" s="31"/>
      <c r="AF480" s="31"/>
      <c r="AH480" s="31"/>
    </row>
    <row r="481" spans="1:34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31"/>
      <c r="P481" s="67"/>
      <c r="R481" s="31"/>
      <c r="S481" s="31"/>
      <c r="T481" s="72"/>
      <c r="U481" s="31"/>
      <c r="W481" s="31"/>
      <c r="X481" s="31"/>
      <c r="Y481" s="31"/>
      <c r="AA481" s="31"/>
      <c r="AB481" s="31"/>
      <c r="AC481" s="31"/>
      <c r="AD481" s="31"/>
      <c r="AE481" s="31"/>
      <c r="AF481" s="31"/>
      <c r="AH481" s="31"/>
    </row>
    <row r="482" spans="1:34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31"/>
      <c r="P482" s="67"/>
      <c r="R482" s="31"/>
      <c r="S482" s="31"/>
      <c r="T482" s="72"/>
      <c r="U482" s="31"/>
      <c r="W482" s="31"/>
      <c r="X482" s="31"/>
      <c r="Y482" s="31"/>
      <c r="AA482" s="31"/>
      <c r="AB482" s="31"/>
      <c r="AC482" s="31"/>
      <c r="AD482" s="31"/>
      <c r="AE482" s="31"/>
      <c r="AF482" s="31"/>
      <c r="AH482" s="31"/>
    </row>
    <row r="483" spans="1:34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31"/>
      <c r="P483" s="67"/>
      <c r="R483" s="31"/>
      <c r="S483" s="31"/>
      <c r="T483" s="72"/>
      <c r="U483" s="31"/>
      <c r="W483" s="31"/>
      <c r="X483" s="31"/>
      <c r="Y483" s="31"/>
      <c r="AA483" s="31"/>
      <c r="AB483" s="31"/>
      <c r="AC483" s="31"/>
      <c r="AD483" s="31"/>
      <c r="AE483" s="31"/>
      <c r="AF483" s="31"/>
      <c r="AH483" s="31"/>
    </row>
    <row r="484" spans="1:34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31"/>
      <c r="P484" s="67"/>
      <c r="R484" s="31"/>
      <c r="S484" s="31"/>
      <c r="T484" s="72"/>
      <c r="U484" s="31"/>
      <c r="W484" s="31"/>
      <c r="X484" s="31"/>
      <c r="Y484" s="31"/>
      <c r="AA484" s="31"/>
      <c r="AB484" s="31"/>
      <c r="AC484" s="31"/>
      <c r="AD484" s="31"/>
      <c r="AE484" s="31"/>
      <c r="AF484" s="31"/>
      <c r="AH484" s="31"/>
    </row>
    <row r="485" spans="1:34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31"/>
      <c r="P485" s="67"/>
      <c r="R485" s="31"/>
      <c r="S485" s="31"/>
      <c r="T485" s="72"/>
      <c r="U485" s="31"/>
      <c r="W485" s="31"/>
      <c r="X485" s="31"/>
      <c r="Y485" s="31"/>
      <c r="AA485" s="31"/>
      <c r="AB485" s="31"/>
      <c r="AC485" s="31"/>
      <c r="AD485" s="31"/>
      <c r="AE485" s="31"/>
      <c r="AF485" s="31"/>
      <c r="AH485" s="31"/>
    </row>
    <row r="486" spans="1:34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31"/>
      <c r="P486" s="67"/>
      <c r="R486" s="31"/>
      <c r="S486" s="31"/>
      <c r="T486" s="72"/>
      <c r="U486" s="31"/>
      <c r="W486" s="31"/>
      <c r="X486" s="31"/>
      <c r="Y486" s="31"/>
      <c r="AA486" s="31"/>
      <c r="AB486" s="31"/>
      <c r="AC486" s="31"/>
      <c r="AD486" s="31"/>
      <c r="AE486" s="31"/>
      <c r="AF486" s="31"/>
      <c r="AH486" s="31"/>
    </row>
    <row r="487" spans="1:34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31"/>
      <c r="P487" s="67"/>
      <c r="R487" s="31"/>
      <c r="S487" s="31"/>
      <c r="T487" s="72"/>
      <c r="U487" s="31"/>
      <c r="W487" s="31"/>
      <c r="X487" s="31"/>
      <c r="Y487" s="31"/>
      <c r="AA487" s="31"/>
      <c r="AB487" s="31"/>
      <c r="AC487" s="31"/>
      <c r="AD487" s="31"/>
      <c r="AE487" s="31"/>
      <c r="AF487" s="31"/>
      <c r="AH487" s="31"/>
    </row>
    <row r="488" spans="1:34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31"/>
      <c r="P488" s="67"/>
      <c r="R488" s="31"/>
      <c r="S488" s="31"/>
      <c r="T488" s="72"/>
      <c r="U488" s="31"/>
      <c r="W488" s="31"/>
      <c r="X488" s="31"/>
      <c r="Y488" s="31"/>
      <c r="AA488" s="31"/>
      <c r="AB488" s="31"/>
      <c r="AC488" s="31"/>
      <c r="AD488" s="31"/>
      <c r="AE488" s="31"/>
      <c r="AF488" s="31"/>
      <c r="AH488" s="31"/>
    </row>
    <row r="489" spans="1:34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31"/>
      <c r="P489" s="67"/>
      <c r="R489" s="31"/>
      <c r="S489" s="31"/>
      <c r="T489" s="72"/>
      <c r="U489" s="31"/>
      <c r="W489" s="31"/>
      <c r="X489" s="31"/>
      <c r="Y489" s="31"/>
      <c r="AA489" s="31"/>
      <c r="AB489" s="31"/>
      <c r="AC489" s="31"/>
      <c r="AD489" s="31"/>
      <c r="AE489" s="31"/>
      <c r="AF489" s="31"/>
      <c r="AH489" s="31"/>
    </row>
    <row r="490" spans="1:34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31"/>
      <c r="P490" s="67"/>
      <c r="R490" s="31"/>
      <c r="S490" s="31"/>
      <c r="T490" s="72"/>
      <c r="U490" s="31"/>
      <c r="W490" s="31"/>
      <c r="X490" s="31"/>
      <c r="Y490" s="31"/>
      <c r="AA490" s="31"/>
      <c r="AB490" s="31"/>
      <c r="AC490" s="31"/>
      <c r="AD490" s="31"/>
      <c r="AE490" s="31"/>
      <c r="AF490" s="31"/>
      <c r="AH490" s="31"/>
    </row>
    <row r="491" spans="1:34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31"/>
      <c r="P491" s="67"/>
      <c r="R491" s="31"/>
      <c r="S491" s="31"/>
      <c r="T491" s="72"/>
      <c r="U491" s="31"/>
      <c r="W491" s="31"/>
      <c r="X491" s="31"/>
      <c r="Y491" s="31"/>
      <c r="AA491" s="31"/>
      <c r="AB491" s="31"/>
      <c r="AC491" s="31"/>
      <c r="AD491" s="31"/>
      <c r="AE491" s="31"/>
      <c r="AF491" s="31"/>
      <c r="AH491" s="31"/>
    </row>
    <row r="492" spans="1:34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31"/>
      <c r="P492" s="67"/>
      <c r="R492" s="31"/>
      <c r="S492" s="31"/>
      <c r="T492" s="72"/>
      <c r="U492" s="31"/>
      <c r="W492" s="31"/>
      <c r="X492" s="31"/>
      <c r="Y492" s="31"/>
      <c r="AA492" s="31"/>
      <c r="AB492" s="31"/>
      <c r="AC492" s="31"/>
      <c r="AD492" s="31"/>
      <c r="AE492" s="31"/>
      <c r="AF492" s="31"/>
      <c r="AH492" s="31"/>
    </row>
    <row r="493" spans="1:34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31"/>
      <c r="P493" s="67"/>
      <c r="R493" s="31"/>
      <c r="S493" s="31"/>
      <c r="T493" s="72"/>
      <c r="U493" s="31"/>
      <c r="W493" s="31"/>
      <c r="X493" s="31"/>
      <c r="Y493" s="31"/>
      <c r="AA493" s="31"/>
      <c r="AB493" s="31"/>
      <c r="AC493" s="31"/>
      <c r="AD493" s="31"/>
      <c r="AE493" s="31"/>
      <c r="AF493" s="31"/>
      <c r="AH493" s="31"/>
    </row>
    <row r="494" spans="1:34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31"/>
      <c r="P494" s="67"/>
      <c r="R494" s="31"/>
      <c r="S494" s="31"/>
      <c r="T494" s="72"/>
      <c r="U494" s="31"/>
      <c r="W494" s="31"/>
      <c r="X494" s="31"/>
      <c r="Y494" s="31"/>
      <c r="AA494" s="31"/>
      <c r="AB494" s="31"/>
      <c r="AC494" s="31"/>
      <c r="AD494" s="31"/>
      <c r="AE494" s="31"/>
      <c r="AF494" s="31"/>
      <c r="AH494" s="31"/>
    </row>
    <row r="495" spans="1:34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31"/>
      <c r="P495" s="67"/>
      <c r="R495" s="31"/>
      <c r="S495" s="31"/>
      <c r="T495" s="72"/>
      <c r="U495" s="31"/>
      <c r="W495" s="31"/>
      <c r="X495" s="31"/>
      <c r="Y495" s="31"/>
      <c r="AA495" s="31"/>
      <c r="AB495" s="31"/>
      <c r="AC495" s="31"/>
      <c r="AD495" s="31"/>
      <c r="AE495" s="31"/>
      <c r="AF495" s="31"/>
      <c r="AH495" s="31"/>
    </row>
    <row r="496" spans="1:34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31"/>
      <c r="P496" s="67"/>
      <c r="R496" s="31"/>
      <c r="S496" s="31"/>
      <c r="T496" s="72"/>
      <c r="U496" s="31"/>
      <c r="W496" s="31"/>
      <c r="X496" s="31"/>
      <c r="Y496" s="31"/>
      <c r="AA496" s="31"/>
      <c r="AB496" s="31"/>
      <c r="AC496" s="31"/>
      <c r="AD496" s="31"/>
      <c r="AE496" s="31"/>
      <c r="AF496" s="31"/>
      <c r="AH496" s="31"/>
    </row>
    <row r="497" spans="1:34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31"/>
      <c r="P497" s="67"/>
      <c r="R497" s="31"/>
      <c r="S497" s="31"/>
      <c r="T497" s="72"/>
      <c r="U497" s="31"/>
      <c r="W497" s="31"/>
      <c r="X497" s="31"/>
      <c r="Y497" s="31"/>
      <c r="AA497" s="31"/>
      <c r="AB497" s="31"/>
      <c r="AC497" s="31"/>
      <c r="AD497" s="31"/>
      <c r="AE497" s="31"/>
      <c r="AF497" s="31"/>
      <c r="AH497" s="31"/>
    </row>
    <row r="498" spans="1:34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31"/>
      <c r="P498" s="67"/>
      <c r="R498" s="31"/>
      <c r="S498" s="31"/>
      <c r="T498" s="72"/>
      <c r="U498" s="31"/>
      <c r="W498" s="31"/>
      <c r="X498" s="31"/>
      <c r="Y498" s="31"/>
      <c r="AA498" s="31"/>
      <c r="AB498" s="31"/>
      <c r="AC498" s="31"/>
      <c r="AD498" s="31"/>
      <c r="AE498" s="31"/>
      <c r="AF498" s="31"/>
      <c r="AH498" s="31"/>
    </row>
    <row r="499" spans="1:34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31"/>
      <c r="P499" s="67"/>
      <c r="R499" s="31"/>
      <c r="S499" s="31"/>
      <c r="T499" s="72"/>
      <c r="U499" s="31"/>
      <c r="W499" s="31"/>
      <c r="X499" s="31"/>
      <c r="Y499" s="31"/>
      <c r="AA499" s="31"/>
      <c r="AB499" s="31"/>
      <c r="AC499" s="31"/>
      <c r="AD499" s="31"/>
      <c r="AE499" s="31"/>
      <c r="AF499" s="31"/>
      <c r="AH499" s="31"/>
    </row>
    <row r="500" spans="1:34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31"/>
      <c r="P500" s="67"/>
      <c r="R500" s="31"/>
      <c r="S500" s="31"/>
      <c r="T500" s="72"/>
      <c r="U500" s="31"/>
      <c r="W500" s="31"/>
      <c r="X500" s="31"/>
      <c r="Y500" s="31"/>
      <c r="AA500" s="31"/>
      <c r="AB500" s="31"/>
      <c r="AC500" s="31"/>
      <c r="AD500" s="31"/>
      <c r="AE500" s="31"/>
      <c r="AF500" s="31"/>
      <c r="AH500" s="31"/>
    </row>
    <row r="501" spans="1:34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31"/>
      <c r="P501" s="67"/>
      <c r="R501" s="31"/>
      <c r="S501" s="31"/>
      <c r="T501" s="72"/>
      <c r="U501" s="31"/>
      <c r="W501" s="31"/>
      <c r="X501" s="31"/>
      <c r="Y501" s="31"/>
      <c r="AA501" s="31"/>
      <c r="AB501" s="31"/>
      <c r="AC501" s="31"/>
      <c r="AD501" s="31"/>
      <c r="AE501" s="31"/>
      <c r="AF501" s="31"/>
      <c r="AH501" s="31"/>
    </row>
    <row r="502" spans="1:34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31"/>
      <c r="P502" s="67"/>
      <c r="R502" s="31"/>
      <c r="S502" s="31"/>
      <c r="T502" s="72"/>
      <c r="U502" s="31"/>
      <c r="W502" s="31"/>
      <c r="X502" s="31"/>
      <c r="Y502" s="31"/>
      <c r="AA502" s="31"/>
      <c r="AB502" s="31"/>
      <c r="AC502" s="31"/>
      <c r="AD502" s="31"/>
      <c r="AE502" s="31"/>
      <c r="AF502" s="31"/>
      <c r="AH502" s="31"/>
    </row>
    <row r="503" spans="1:34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31"/>
      <c r="P503" s="67"/>
      <c r="R503" s="31"/>
      <c r="S503" s="31"/>
      <c r="T503" s="72"/>
      <c r="U503" s="31"/>
      <c r="W503" s="31"/>
      <c r="X503" s="31"/>
      <c r="Y503" s="31"/>
      <c r="AA503" s="31"/>
      <c r="AB503" s="31"/>
      <c r="AC503" s="31"/>
      <c r="AD503" s="31"/>
      <c r="AE503" s="31"/>
      <c r="AF503" s="31"/>
      <c r="AH503" s="31"/>
    </row>
    <row r="504" spans="1:34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31"/>
      <c r="P504" s="67"/>
      <c r="R504" s="31"/>
      <c r="S504" s="31"/>
      <c r="T504" s="72"/>
      <c r="U504" s="31"/>
      <c r="W504" s="31"/>
      <c r="X504" s="31"/>
      <c r="Y504" s="31"/>
      <c r="AA504" s="31"/>
      <c r="AB504" s="31"/>
      <c r="AC504" s="31"/>
      <c r="AD504" s="31"/>
      <c r="AE504" s="31"/>
      <c r="AF504" s="31"/>
      <c r="AH504" s="31"/>
    </row>
    <row r="505" spans="1:34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31"/>
      <c r="P505" s="67"/>
      <c r="R505" s="31"/>
      <c r="S505" s="31"/>
      <c r="T505" s="72"/>
      <c r="U505" s="31"/>
      <c r="W505" s="31"/>
      <c r="X505" s="31"/>
      <c r="Y505" s="31"/>
      <c r="AA505" s="31"/>
      <c r="AB505" s="31"/>
      <c r="AC505" s="31"/>
      <c r="AD505" s="31"/>
      <c r="AE505" s="31"/>
      <c r="AF505" s="31"/>
      <c r="AH505" s="31"/>
    </row>
    <row r="506" spans="1:34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31"/>
      <c r="P506" s="67"/>
      <c r="R506" s="31"/>
      <c r="S506" s="31"/>
      <c r="T506" s="72"/>
      <c r="U506" s="31"/>
      <c r="W506" s="31"/>
      <c r="X506" s="31"/>
      <c r="Y506" s="31"/>
      <c r="AA506" s="31"/>
      <c r="AB506" s="31"/>
      <c r="AC506" s="31"/>
      <c r="AD506" s="31"/>
      <c r="AE506" s="31"/>
      <c r="AF506" s="31"/>
      <c r="AH506" s="31"/>
    </row>
    <row r="507" spans="1:34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31"/>
      <c r="P507" s="67"/>
      <c r="R507" s="31"/>
      <c r="S507" s="31"/>
      <c r="T507" s="72"/>
      <c r="U507" s="31"/>
      <c r="W507" s="31"/>
      <c r="X507" s="31"/>
      <c r="Y507" s="31"/>
      <c r="AA507" s="31"/>
      <c r="AB507" s="31"/>
      <c r="AC507" s="31"/>
      <c r="AD507" s="31"/>
      <c r="AE507" s="31"/>
      <c r="AF507" s="31"/>
      <c r="AH507" s="31"/>
    </row>
    <row r="508" spans="1:34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31"/>
      <c r="P508" s="67"/>
      <c r="R508" s="31"/>
      <c r="S508" s="31"/>
      <c r="T508" s="72"/>
      <c r="U508" s="31"/>
      <c r="W508" s="31"/>
      <c r="X508" s="31"/>
      <c r="Y508" s="31"/>
      <c r="AA508" s="31"/>
      <c r="AB508" s="31"/>
      <c r="AC508" s="31"/>
      <c r="AD508" s="31"/>
      <c r="AE508" s="31"/>
      <c r="AF508" s="31"/>
      <c r="AH508" s="31"/>
    </row>
    <row r="509" spans="1:34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31"/>
      <c r="P509" s="67"/>
      <c r="R509" s="31"/>
      <c r="S509" s="31"/>
      <c r="T509" s="72"/>
      <c r="U509" s="31"/>
      <c r="W509" s="31"/>
      <c r="X509" s="31"/>
      <c r="Y509" s="31"/>
      <c r="AA509" s="31"/>
      <c r="AB509" s="31"/>
      <c r="AC509" s="31"/>
      <c r="AD509" s="31"/>
      <c r="AE509" s="31"/>
      <c r="AF509" s="31"/>
      <c r="AH509" s="31"/>
    </row>
    <row r="510" spans="1:34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31"/>
      <c r="P510" s="67"/>
      <c r="R510" s="31"/>
      <c r="S510" s="31"/>
      <c r="T510" s="72"/>
      <c r="U510" s="31"/>
      <c r="W510" s="31"/>
      <c r="X510" s="31"/>
      <c r="Y510" s="31"/>
      <c r="AA510" s="31"/>
      <c r="AB510" s="31"/>
      <c r="AC510" s="31"/>
      <c r="AD510" s="31"/>
      <c r="AE510" s="31"/>
      <c r="AF510" s="31"/>
      <c r="AH510" s="31"/>
    </row>
    <row r="511" spans="1:34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31"/>
      <c r="P511" s="67"/>
      <c r="R511" s="31"/>
      <c r="S511" s="31"/>
      <c r="T511" s="72"/>
      <c r="U511" s="31"/>
      <c r="W511" s="31"/>
      <c r="X511" s="31"/>
      <c r="Y511" s="31"/>
      <c r="AA511" s="31"/>
      <c r="AB511" s="31"/>
      <c r="AC511" s="31"/>
      <c r="AD511" s="31"/>
      <c r="AE511" s="31"/>
      <c r="AF511" s="31"/>
      <c r="AH511" s="31"/>
    </row>
    <row r="512" spans="1:34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31"/>
      <c r="P512" s="67"/>
      <c r="R512" s="31"/>
      <c r="S512" s="31"/>
      <c r="T512" s="72"/>
      <c r="U512" s="31"/>
      <c r="W512" s="31"/>
      <c r="X512" s="31"/>
      <c r="Y512" s="31"/>
      <c r="AA512" s="31"/>
      <c r="AB512" s="31"/>
      <c r="AC512" s="31"/>
      <c r="AD512" s="31"/>
      <c r="AE512" s="31"/>
      <c r="AF512" s="31"/>
      <c r="AH512" s="31"/>
    </row>
    <row r="513" spans="1:34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31"/>
      <c r="P513" s="67"/>
      <c r="R513" s="31"/>
      <c r="S513" s="31"/>
      <c r="T513" s="72"/>
      <c r="U513" s="31"/>
      <c r="W513" s="31"/>
      <c r="X513" s="31"/>
      <c r="Y513" s="31"/>
      <c r="AA513" s="31"/>
      <c r="AB513" s="31"/>
      <c r="AC513" s="31"/>
      <c r="AD513" s="31"/>
      <c r="AE513" s="31"/>
      <c r="AF513" s="31"/>
      <c r="AH513" s="31"/>
    </row>
    <row r="514" spans="1:34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31"/>
      <c r="P514" s="67"/>
      <c r="R514" s="31"/>
      <c r="S514" s="31"/>
      <c r="T514" s="72"/>
      <c r="U514" s="31"/>
      <c r="W514" s="31"/>
      <c r="X514" s="31"/>
      <c r="Y514" s="31"/>
      <c r="AA514" s="31"/>
      <c r="AB514" s="31"/>
      <c r="AC514" s="31"/>
      <c r="AD514" s="31"/>
      <c r="AE514" s="31"/>
      <c r="AF514" s="31"/>
      <c r="AH514" s="31"/>
    </row>
    <row r="515" spans="1:34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31"/>
      <c r="P515" s="67"/>
      <c r="R515" s="31"/>
      <c r="S515" s="31"/>
      <c r="T515" s="72"/>
      <c r="U515" s="31"/>
      <c r="W515" s="31"/>
      <c r="X515" s="31"/>
      <c r="Y515" s="31"/>
      <c r="AA515" s="31"/>
      <c r="AB515" s="31"/>
      <c r="AC515" s="31"/>
      <c r="AD515" s="31"/>
      <c r="AE515" s="31"/>
      <c r="AF515" s="31"/>
      <c r="AH515" s="31"/>
    </row>
    <row r="516" spans="1:34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31"/>
      <c r="P516" s="67"/>
      <c r="R516" s="31"/>
      <c r="S516" s="31"/>
      <c r="T516" s="72"/>
      <c r="U516" s="31"/>
      <c r="W516" s="31"/>
      <c r="X516" s="31"/>
      <c r="Y516" s="31"/>
      <c r="AA516" s="31"/>
      <c r="AB516" s="31"/>
      <c r="AC516" s="31"/>
      <c r="AD516" s="31"/>
      <c r="AE516" s="31"/>
      <c r="AF516" s="31"/>
      <c r="AH516" s="31"/>
    </row>
    <row r="517" spans="1:34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31"/>
      <c r="P517" s="67"/>
      <c r="R517" s="31"/>
      <c r="S517" s="31"/>
      <c r="T517" s="72"/>
      <c r="U517" s="31"/>
      <c r="W517" s="31"/>
      <c r="X517" s="31"/>
      <c r="Y517" s="31"/>
      <c r="AA517" s="31"/>
      <c r="AB517" s="31"/>
      <c r="AC517" s="31"/>
      <c r="AD517" s="31"/>
      <c r="AE517" s="31"/>
      <c r="AF517" s="31"/>
      <c r="AH517" s="31"/>
    </row>
    <row r="518" spans="1:34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31"/>
      <c r="P518" s="67"/>
      <c r="R518" s="31"/>
      <c r="S518" s="31"/>
      <c r="T518" s="72"/>
      <c r="U518" s="31"/>
      <c r="W518" s="31"/>
      <c r="X518" s="31"/>
      <c r="Y518" s="31"/>
      <c r="AA518" s="31"/>
      <c r="AB518" s="31"/>
      <c r="AC518" s="31"/>
      <c r="AD518" s="31"/>
      <c r="AE518" s="31"/>
      <c r="AF518" s="31"/>
      <c r="AH518" s="31"/>
    </row>
    <row r="519" spans="1:34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31"/>
      <c r="P519" s="67"/>
      <c r="R519" s="31"/>
      <c r="S519" s="31"/>
      <c r="T519" s="72"/>
      <c r="U519" s="31"/>
      <c r="W519" s="31"/>
      <c r="X519" s="31"/>
      <c r="Y519" s="31"/>
      <c r="AA519" s="31"/>
      <c r="AB519" s="31"/>
      <c r="AC519" s="31"/>
      <c r="AD519" s="31"/>
      <c r="AE519" s="31"/>
      <c r="AF519" s="31"/>
      <c r="AH519" s="31"/>
    </row>
    <row r="520" spans="1:34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31"/>
      <c r="P520" s="67"/>
      <c r="R520" s="31"/>
      <c r="S520" s="31"/>
      <c r="T520" s="72"/>
      <c r="U520" s="31"/>
      <c r="W520" s="31"/>
      <c r="X520" s="31"/>
      <c r="Y520" s="31"/>
      <c r="AA520" s="31"/>
      <c r="AB520" s="31"/>
      <c r="AC520" s="31"/>
      <c r="AD520" s="31"/>
      <c r="AE520" s="31"/>
      <c r="AF520" s="31"/>
      <c r="AH520" s="31"/>
    </row>
    <row r="521" spans="1:34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31"/>
      <c r="P521" s="67"/>
      <c r="R521" s="31"/>
      <c r="S521" s="31"/>
      <c r="T521" s="72"/>
      <c r="U521" s="31"/>
      <c r="W521" s="31"/>
      <c r="X521" s="31"/>
      <c r="Y521" s="31"/>
      <c r="AA521" s="31"/>
      <c r="AB521" s="31"/>
      <c r="AC521" s="31"/>
      <c r="AD521" s="31"/>
      <c r="AE521" s="31"/>
      <c r="AF521" s="31"/>
      <c r="AH521" s="31"/>
    </row>
    <row r="522" spans="1:34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31"/>
      <c r="P522" s="67"/>
      <c r="R522" s="31"/>
      <c r="S522" s="31"/>
      <c r="T522" s="72"/>
      <c r="U522" s="31"/>
      <c r="W522" s="31"/>
      <c r="X522" s="31"/>
      <c r="Y522" s="31"/>
      <c r="AA522" s="31"/>
      <c r="AB522" s="31"/>
      <c r="AC522" s="31"/>
      <c r="AD522" s="31"/>
      <c r="AE522" s="31"/>
      <c r="AF522" s="31"/>
      <c r="AH522" s="31"/>
    </row>
    <row r="523" spans="1:34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31"/>
      <c r="P523" s="67"/>
      <c r="R523" s="31"/>
      <c r="S523" s="31"/>
      <c r="T523" s="72"/>
      <c r="U523" s="31"/>
      <c r="W523" s="31"/>
      <c r="X523" s="31"/>
      <c r="Y523" s="31"/>
      <c r="AA523" s="31"/>
      <c r="AB523" s="31"/>
      <c r="AC523" s="31"/>
      <c r="AD523" s="31"/>
      <c r="AE523" s="31"/>
      <c r="AF523" s="31"/>
      <c r="AH523" s="31"/>
    </row>
    <row r="524" spans="1:34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31"/>
      <c r="P524" s="67"/>
      <c r="R524" s="31"/>
      <c r="S524" s="31"/>
      <c r="T524" s="72"/>
      <c r="U524" s="31"/>
      <c r="W524" s="31"/>
      <c r="X524" s="31"/>
      <c r="Y524" s="31"/>
      <c r="AA524" s="31"/>
      <c r="AB524" s="31"/>
      <c r="AC524" s="31"/>
      <c r="AD524" s="31"/>
      <c r="AE524" s="31"/>
      <c r="AF524" s="31"/>
      <c r="AH524" s="31"/>
    </row>
    <row r="525" spans="1:34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31"/>
      <c r="P525" s="67"/>
      <c r="R525" s="31"/>
      <c r="S525" s="31"/>
      <c r="T525" s="72"/>
      <c r="U525" s="31"/>
      <c r="W525" s="31"/>
      <c r="X525" s="31"/>
      <c r="Y525" s="31"/>
      <c r="AA525" s="31"/>
      <c r="AB525" s="31"/>
      <c r="AC525" s="31"/>
      <c r="AD525" s="31"/>
      <c r="AE525" s="31"/>
      <c r="AF525" s="31"/>
      <c r="AH525" s="31"/>
    </row>
    <row r="526" spans="1:34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31"/>
      <c r="P526" s="67"/>
      <c r="R526" s="31"/>
      <c r="S526" s="31"/>
      <c r="T526" s="72"/>
      <c r="U526" s="31"/>
      <c r="W526" s="31"/>
      <c r="X526" s="31"/>
      <c r="Y526" s="31"/>
      <c r="AA526" s="31"/>
      <c r="AB526" s="31"/>
      <c r="AC526" s="31"/>
      <c r="AD526" s="31"/>
      <c r="AE526" s="31"/>
      <c r="AF526" s="31"/>
      <c r="AH526" s="31"/>
    </row>
  </sheetData>
  <sheetProtection formatColumns="0" formatRows="0" sort="0" autoFilter="0"/>
  <phoneticPr fontId="19" type="noConversion"/>
  <conditionalFormatting sqref="G2:V40 L41:V42 G41:J42 W2:AK2 W3:Y3 AA3:AK3 W47:AJ47 W73:AG73 N3:N44 W43:AK44 T96:T101 A2:F115 A101:AD526 W46:AK46 W45:AJ45 W42:AJ42 A74:AG100 W4:AK41 G43:V73 W48:AK72">
    <cfRule type="expression" dxfId="105" priority="37">
      <formula>AND($B2&lt;&gt;"",MOD(ROW(),2)=0)</formula>
    </cfRule>
  </conditionalFormatting>
  <conditionalFormatting sqref="D2:D526">
    <cfRule type="expression" dxfId="104" priority="21">
      <formula>ISNUMBER(SEARCH("Blocked",$D2))</formula>
    </cfRule>
    <cfRule type="expression" dxfId="103" priority="22">
      <formula>ISNUMBER(SEARCH("overdue",$D2))</formula>
    </cfRule>
    <cfRule type="expression" dxfId="102" priority="23">
      <formula>ISNUMBER(SEARCH("no target",$D2))</formula>
    </cfRule>
    <cfRule type="expression" dxfId="101" priority="24">
      <formula>ISNUMBER(SEARCH("Review",$D2))</formula>
    </cfRule>
    <cfRule type="expression" dxfId="100" priority="25">
      <formula>OR($D2="On track",$D2="Delivered")</formula>
    </cfRule>
  </conditionalFormatting>
  <conditionalFormatting sqref="J2:O191">
    <cfRule type="expression" dxfId="99" priority="4">
      <formula>$AI2="Yes – needs DB Dev to fix"</formula>
    </cfRule>
  </conditionalFormatting>
  <conditionalFormatting sqref="K41">
    <cfRule type="expression" dxfId="98" priority="287">
      <formula>AND($B41&lt;&gt;"",MOD(ROW(),2)=0)</formula>
    </cfRule>
    <cfRule type="expression" dxfId="97" priority="288">
      <formula>$AI41="Yes – needs DB Dev to fix"</formula>
    </cfRule>
  </conditionalFormatting>
  <conditionalFormatting sqref="K42">
    <cfRule type="expression" dxfId="96" priority="289">
      <formula>AND($B41&lt;&gt;"",MOD(ROW(),2)=0)</formula>
    </cfRule>
    <cfRule type="expression" dxfId="95" priority="290">
      <formula>$AI41="Yes – needs DB Dev to fix"</formula>
    </cfRule>
  </conditionalFormatting>
  <conditionalFormatting sqref="K73:L100">
    <cfRule type="expression" dxfId="94" priority="96">
      <formula>$AE73="Yes – needs DB Dev to fix"</formula>
    </cfRule>
  </conditionalFormatting>
  <conditionalFormatting sqref="K101:L526">
    <cfRule type="expression" dxfId="93" priority="30">
      <formula>$Z101="Yes – needs DB Dev to fix"</formula>
    </cfRule>
  </conditionalFormatting>
  <conditionalFormatting sqref="M73:P100">
    <cfRule type="expression" dxfId="92" priority="281">
      <formula>$AC73="Yes – needs PBI Dev to fix"</formula>
    </cfRule>
  </conditionalFormatting>
  <conditionalFormatting sqref="M101:P526">
    <cfRule type="expression" dxfId="91" priority="283">
      <formula>$Z101="Yes – needs PBI Dev to fix"</formula>
    </cfRule>
  </conditionalFormatting>
  <conditionalFormatting sqref="Q73:Q100">
    <cfRule type="expression" dxfId="90" priority="100">
      <formula>$AE73="Yes – needs PBI Dev to fix"</formula>
    </cfRule>
  </conditionalFormatting>
  <conditionalFormatting sqref="Q101:R526">
    <cfRule type="expression" dxfId="89" priority="32">
      <formula>$Z101="Yes – needs QA to fix"</formula>
    </cfRule>
  </conditionalFormatting>
  <conditionalFormatting sqref="K40:K41 J29 M29:P29 J32:J33 M32:P33 M40:P41 Q2:U115">
    <cfRule type="expression" dxfId="88" priority="11">
      <formula>$AI2="Yes – needs PBI Dev to fix"</formula>
    </cfRule>
  </conditionalFormatting>
  <conditionalFormatting sqref="R73:U100 T96:T101">
    <cfRule type="expression" dxfId="87" priority="102">
      <formula>$AE73="Yes – needs QA to fix"</formula>
    </cfRule>
  </conditionalFormatting>
  <conditionalFormatting sqref="S101:U526">
    <cfRule type="expression" dxfId="86" priority="33">
      <formula>$Z101="Yes – needs DPO Approval to fix"</formula>
    </cfRule>
  </conditionalFormatting>
  <conditionalFormatting sqref="U10:V19">
    <cfRule type="expression" dxfId="85" priority="20">
      <formula>$AI10="Yes – needs PBI Dev to fix"</formula>
    </cfRule>
  </conditionalFormatting>
  <conditionalFormatting sqref="U101:V526">
    <cfRule type="expression" dxfId="84" priority="29">
      <formula>$V101="Yes"</formula>
    </cfRule>
  </conditionalFormatting>
  <conditionalFormatting sqref="U73:W100">
    <cfRule type="expression" dxfId="83" priority="104">
      <formula>$AE73="Yes – needs DPO Approval to fix"</formula>
    </cfRule>
  </conditionalFormatting>
  <conditionalFormatting sqref="U2:Y115">
    <cfRule type="expression" dxfId="82" priority="75">
      <formula>$AI2="Yes – needs QA to fix"</formula>
    </cfRule>
  </conditionalFormatting>
  <conditionalFormatting sqref="X73:Y100">
    <cfRule type="expression" dxfId="81" priority="106">
      <formula>$X73="Yes"</formula>
    </cfRule>
  </conditionalFormatting>
  <conditionalFormatting sqref="Z3">
    <cfRule type="expression" dxfId="80" priority="291">
      <formula>AND($B3&lt;&gt;"",MOD(ROW(),2)=0)</formula>
    </cfRule>
    <cfRule type="expression" dxfId="79" priority="292">
      <formula>$AI3="Yes – needs DPO Approval to fix"</formula>
    </cfRule>
  </conditionalFormatting>
  <conditionalFormatting sqref="Z101:Z526">
    <cfRule type="expression" dxfId="78" priority="26">
      <formula>LEFT($Z101,3)="Yes"</formula>
    </cfRule>
  </conditionalFormatting>
  <conditionalFormatting sqref="Z2:AD2 AA3:AD3 Z4:AD100">
    <cfRule type="expression" dxfId="77" priority="78">
      <formula>$AI2="Yes – needs DPO Approval to fix"</formula>
    </cfRule>
  </conditionalFormatting>
  <conditionalFormatting sqref="AA101:AB526">
    <cfRule type="expression" dxfId="76" priority="34">
      <formula>ISNUMBER(SEARCH("Move old",$AA101))</formula>
    </cfRule>
    <cfRule type="expression" dxfId="75" priority="34">
      <formula>ISNUMBER(SEARCH("log it",$AA101))</formula>
    </cfRule>
    <cfRule type="expression" dxfId="74" priority="34">
      <formula>ISNUMBER(SEARCH("Open rework",$AA101))</formula>
    </cfRule>
    <cfRule type="expression" dxfId="73" priority="35">
      <formula>ISNUMBER(SEARCH("Duplicate",$AA101))</formula>
    </cfRule>
    <cfRule type="expression" dxfId="72" priority="36">
      <formula>$AA101&lt;&gt;""</formula>
    </cfRule>
  </conditionalFormatting>
  <conditionalFormatting sqref="AE2:AE115">
    <cfRule type="expression" dxfId="71" priority="50">
      <formula>$AE2="Yes"</formula>
    </cfRule>
  </conditionalFormatting>
  <conditionalFormatting sqref="AE73:AE100">
    <cfRule type="expression" dxfId="70" priority="108">
      <formula>LEFT($AE73,3)="Yes"</formula>
    </cfRule>
  </conditionalFormatting>
  <conditionalFormatting sqref="AF73:AF100">
    <cfRule type="expression" dxfId="69" priority="114">
      <formula>ISNUMBER(SEARCH("Open rework",$AF73))</formula>
    </cfRule>
    <cfRule type="expression" dxfId="68" priority="115">
      <formula>ISNUMBER(SEARCH("Move old",$AF73))</formula>
    </cfRule>
    <cfRule type="expression" dxfId="67" priority="116">
      <formula>ISNUMBER(SEARCH("log it",$AF73))</formula>
    </cfRule>
    <cfRule type="expression" dxfId="66" priority="117">
      <formula>ISNUMBER(SEARCH("Duplicate",$AF73))</formula>
    </cfRule>
    <cfRule type="expression" dxfId="65" priority="118">
      <formula>$AF73&lt;&gt;""</formula>
    </cfRule>
  </conditionalFormatting>
  <conditionalFormatting sqref="AI2:AI115">
    <cfRule type="expression" dxfId="64" priority="52">
      <formula>LEFT($AI2,3)="Yes"</formula>
    </cfRule>
  </conditionalFormatting>
  <conditionalFormatting sqref="AJ2:AJ115">
    <cfRule type="expression" dxfId="63" priority="58">
      <formula>ISNUMBER(SEARCH("log it",$AJ2))</formula>
    </cfRule>
    <cfRule type="expression" dxfId="62" priority="59">
      <formula>ISNUMBER(SEARCH("Open rework",$AJ2))</formula>
    </cfRule>
    <cfRule type="expression" dxfId="61" priority="60">
      <formula>ISNUMBER(SEARCH("Move old",$AJ2))</formula>
    </cfRule>
    <cfRule type="expression" dxfId="60" priority="61">
      <formula>ISNUMBER(SEARCH("Duplicate",$AJ2))</formula>
    </cfRule>
    <cfRule type="expression" dxfId="59" priority="62">
      <formula>$AJ2&lt;&gt;""</formula>
    </cfRule>
  </conditionalFormatting>
  <conditionalFormatting sqref="AK47">
    <cfRule type="expression" dxfId="58" priority="294">
      <formula>AND($B51&lt;&gt;"",MOD(ROW(),2)=0)</formula>
    </cfRule>
  </conditionalFormatting>
  <conditionalFormatting sqref="M73">
    <cfRule type="expression" dxfId="57" priority="3">
      <formula>$AE73="Yes – needs DB Dev to fix"</formula>
    </cfRule>
  </conditionalFormatting>
  <conditionalFormatting sqref="O101:O113">
    <cfRule type="expression" dxfId="56" priority="2">
      <formula>$AC101="Yes – needs PBI Dev to fix"</formula>
    </cfRule>
  </conditionalFormatting>
  <conditionalFormatting sqref="AK45">
    <cfRule type="expression" dxfId="55" priority="1">
      <formula>AND($B49&lt;&gt;"",MOD(ROW(),2)=0)</formula>
    </cfRule>
  </conditionalFormatting>
  <dataValidations count="6">
    <dataValidation type="date" operator="greaterThanOrEqual" allowBlank="1" showErrorMessage="1" errorTitle="Real date only" error="This column only accepts real dates. Put notes in Comments instead." sqref="W101:W526 AF2:AF72 S30:S73 H2:H526 AB5:AB72 S2:S28 Q2:R73 Z2:Z100 W2:X72 K2:M526 Q74:S526 AA2:AA72 AB2:AB3 U2:V100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O1:P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  <dataValidation type="list" operator="greaterThanOrEqual" allowBlank="1" showErrorMessage="1" errorTitle="Real date only" error="This column only accepts real dates. Put notes in Comments instead." sqref="AB4" xr:uid="{AB5B7243-367B-48A5-B4E6-E66C038D2D60}">
      <formula1>"Compliance, Regulatory, Ops "</formula1>
    </dataValidation>
    <dataValidation type="list" allowBlank="1" showInputMessage="1" showErrorMessage="1" sqref="AD2:AD1048576" xr:uid="{DA68FF9D-BD58-4B66-BD0E-CEC5E83F324E}">
      <formula1>$T$2:$T$4</formula1>
    </dataValidation>
    <dataValidation allowBlank="1" showInputMessage="1" showErrorMessage="1" sqref="AD1" xr:uid="{FECAB9FC-5D18-4A69-8AB2-F9B5CCD5292C}"/>
  </dataValidations>
  <hyperlinks>
    <hyperlink ref="AK42" r:id="rId1" xr:uid="{5E1EBC8C-185D-4586-BE86-5E620BE457BD}"/>
  </hyperlinks>
  <pageMargins left="0.75" right="0.75" top="1" bottom="1" header="0.5" footer="0.5"/>
  <pageSetup orientation="portrait" r:id="rId2"/>
  <headerFooter>
    <oddFooter>&amp;L_x000D_&amp;1#&amp;"Aptos"&amp;10&amp;K000000 This content is for internal use only</oddFooter>
  </headerFooter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AE2:AE72 U101:V526 X73:X100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Z101:Z526 AE73:AE100 AI2:AI115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P2:P526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U2:U526</xm:sqref>
        </x14:dataValidation>
        <x14:dataValidation type="list" allowBlank="1" showInputMessage="1" showErrorMessage="1" xr:uid="{93DF17FC-2AFB-4DB1-9C8B-30D4ED3B9678}">
          <x14:formula1>
            <xm:f>'Data Validation'!$R$2:$R$4</xm:f>
          </x14:formula1>
          <xm:sqref>N1:N1048575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320</v>
      </c>
    </row>
    <row r="2" spans="1:5">
      <c r="A2" s="6" t="s">
        <v>321</v>
      </c>
    </row>
    <row r="4" spans="1:5" ht="21.95" customHeight="1">
      <c r="A4" s="5" t="s">
        <v>322</v>
      </c>
      <c r="B4" s="85"/>
      <c r="C4" s="86"/>
      <c r="D4" s="86"/>
      <c r="E4" s="86"/>
    </row>
    <row r="6" spans="1:5">
      <c r="A6" s="42" t="s">
        <v>0</v>
      </c>
      <c r="B6" s="83" t="str">
        <f>IF($B$4="","",IFERROR(INDEX('Combined Delivery Data'!$A:$A,MATCH($B$4,'Combined Delivery Data'!$B:$B,0)),""))</f>
        <v/>
      </c>
      <c r="C6" s="87"/>
      <c r="D6" s="87"/>
      <c r="E6" s="88"/>
    </row>
    <row r="7" spans="1:5">
      <c r="A7" s="42" t="s">
        <v>323</v>
      </c>
      <c r="B7" s="83" t="str">
        <f>IF($B$4="","",IFERROR(INDEX('Combined Delivery Data'!$C:$C,MATCH($B$4,'Combined Delivery Data'!$B:$B,0)),""))</f>
        <v/>
      </c>
      <c r="C7" s="87"/>
      <c r="D7" s="87"/>
      <c r="E7" s="88"/>
    </row>
    <row r="8" spans="1:5">
      <c r="A8" s="42" t="s">
        <v>3</v>
      </c>
      <c r="B8" s="83" t="str">
        <f>IF($B$4="","",IFERROR(INDEX('Combined Delivery Data'!$D:$D,MATCH($B$4,'Combined Delivery Data'!$B:$B,0)),""))</f>
        <v/>
      </c>
      <c r="C8" s="87"/>
      <c r="D8" s="87"/>
      <c r="E8" s="88"/>
    </row>
    <row r="9" spans="1:5">
      <c r="A9" s="42" t="s">
        <v>4</v>
      </c>
      <c r="B9" s="83" t="str">
        <f>IF($B$4="","",IFERROR(INDEX('Combined Delivery Data'!$E:$E,MATCH($B$4,'Combined Delivery Data'!$B:$B,0)),""))</f>
        <v/>
      </c>
      <c r="C9" s="87"/>
      <c r="D9" s="87"/>
      <c r="E9" s="88"/>
    </row>
    <row r="10" spans="1:5">
      <c r="A10" s="42" t="s">
        <v>5</v>
      </c>
      <c r="B10" s="83" t="str">
        <f>IF($B$4="","",IFERROR(INDEX('Combined Delivery Data'!$F:$F,MATCH($B$4,'Combined Delivery Data'!$B:$B,0)),""))</f>
        <v/>
      </c>
      <c r="C10" s="87"/>
      <c r="D10" s="87"/>
      <c r="E10" s="88"/>
    </row>
    <row r="11" spans="1:5">
      <c r="A11" s="42" t="s">
        <v>9</v>
      </c>
      <c r="B11" s="83" t="str">
        <f>IF($B$4="","",IFERROR(INDEX('Combined Delivery Data'!$J:$J,MATCH($B$4,'Combined Delivery Data'!$B:$B,0)),""))</f>
        <v/>
      </c>
      <c r="C11" s="87"/>
      <c r="D11" s="87"/>
      <c r="E11" s="88"/>
    </row>
    <row r="12" spans="1:5">
      <c r="A12" s="42" t="s">
        <v>15</v>
      </c>
      <c r="B12" s="83" t="str">
        <f>IF($B$4="","",IFERROR(INDEX('Combined Delivery Data'!$P:$P,MATCH($B$4,'Combined Delivery Data'!$B:$B,0)),""))</f>
        <v/>
      </c>
      <c r="C12" s="87"/>
      <c r="D12" s="87"/>
      <c r="E12" s="88"/>
    </row>
    <row r="13" spans="1:5">
      <c r="A13" s="42" t="s">
        <v>20</v>
      </c>
      <c r="B13" s="83" t="str">
        <f>IF($B$4="","",IFERROR(INDEX('Combined Delivery Data'!$U:$U,MATCH($B$4,'Combined Delivery Data'!$B:$B,0)),""))</f>
        <v/>
      </c>
      <c r="C13" s="87"/>
      <c r="D13" s="87"/>
      <c r="E13" s="88"/>
    </row>
    <row r="14" spans="1:5">
      <c r="A14" s="42" t="s">
        <v>324</v>
      </c>
      <c r="B14" s="82" t="str">
        <f>IF($B$4="","",IFERROR(INDEX('Combined Delivery Data'!$K:$K,MATCH($B$4,'Combined Delivery Data'!$B:$B,0)),""))</f>
        <v/>
      </c>
      <c r="C14" s="87"/>
      <c r="D14" s="87"/>
      <c r="E14" s="88"/>
    </row>
    <row r="15" spans="1:5">
      <c r="A15" s="42" t="s">
        <v>325</v>
      </c>
      <c r="B15" s="82" t="str">
        <f>IF($B$4="","",IFERROR(INDEX('Combined Delivery Data'!$L:$L,MATCH($B$4,'Combined Delivery Data'!$B:$B,0)),""))</f>
        <v/>
      </c>
      <c r="C15" s="87"/>
      <c r="D15" s="87"/>
      <c r="E15" s="88"/>
    </row>
    <row r="16" spans="1:5">
      <c r="A16" s="42" t="s">
        <v>326</v>
      </c>
      <c r="B16" s="82" t="str">
        <f>IF($B$4="","",IFERROR(INDEX('Combined Delivery Data'!$M:$M,MATCH($B$4,'Combined Delivery Data'!$B:$B,0)),""))</f>
        <v/>
      </c>
      <c r="C16" s="87"/>
      <c r="D16" s="87"/>
      <c r="E16" s="88"/>
    </row>
    <row r="17" spans="1:5">
      <c r="A17" s="42" t="s">
        <v>327</v>
      </c>
      <c r="B17" s="82" t="str">
        <f>IF($B$4="","",IFERROR(INDEX('Combined Delivery Data'!$O:$O,MATCH($B$4,'Combined Delivery Data'!$B:$B,0)),""))</f>
        <v/>
      </c>
      <c r="C17" s="87"/>
      <c r="D17" s="87"/>
      <c r="E17" s="88"/>
    </row>
    <row r="18" spans="1:5">
      <c r="A18" s="42" t="s">
        <v>328</v>
      </c>
      <c r="B18" s="82" t="str">
        <f>IF($B$4="","",IFERROR(INDEX('Combined Delivery Data'!$Q:$Q,MATCH($B$4,'Combined Delivery Data'!$B:$B,0)),""))</f>
        <v/>
      </c>
      <c r="C18" s="87"/>
      <c r="D18" s="87"/>
      <c r="E18" s="88"/>
    </row>
    <row r="19" spans="1:5">
      <c r="A19" s="42" t="s">
        <v>329</v>
      </c>
      <c r="B19" s="82" t="str">
        <f>IF($B$4="","",IFERROR(INDEX('Combined Delivery Data'!$R:$R,MATCH($B$4,'Combined Delivery Data'!$B:$B,0)),""))</f>
        <v/>
      </c>
      <c r="C19" s="87"/>
      <c r="D19" s="87"/>
      <c r="E19" s="88"/>
    </row>
    <row r="20" spans="1:5">
      <c r="A20" s="42" t="s">
        <v>330</v>
      </c>
      <c r="B20" s="82" t="str">
        <f>IF($B$4="","",IFERROR(INDEX('Combined Delivery Data'!$S:$S,MATCH($B$4,'Combined Delivery Data'!$B:$B,0)),""))</f>
        <v/>
      </c>
      <c r="C20" s="87"/>
      <c r="D20" s="87"/>
      <c r="E20" s="88"/>
    </row>
    <row r="21" spans="1:5">
      <c r="A21" s="42" t="s">
        <v>28</v>
      </c>
      <c r="B21" s="83" t="str">
        <f>IF($B$4="","",IFERROR(INDEX('Combined Delivery Data'!$T:$T,MATCH($B$4,'Combined Delivery Data'!$B:$B,0)),""))</f>
        <v/>
      </c>
      <c r="C21" s="87"/>
      <c r="D21" s="87"/>
      <c r="E21" s="88"/>
    </row>
    <row r="22" spans="1:5">
      <c r="A22" s="42" t="s">
        <v>30</v>
      </c>
      <c r="B22" s="83" t="str">
        <f>IF($B$4="","",IFERROR(INDEX('Combined Delivery Data'!$V:$V,MATCH($B$4,'Combined Delivery Data'!$B:$B,0)),""))</f>
        <v/>
      </c>
      <c r="C22" s="87"/>
      <c r="D22" s="87"/>
      <c r="E22" s="88"/>
    </row>
    <row r="23" spans="1:5">
      <c r="A23" s="42" t="s">
        <v>31</v>
      </c>
      <c r="B23" s="82" t="str">
        <f>IF($B$4="","",IFERROR(INDEX('Combined Delivery Data'!$W:$W,MATCH($B$4,'Combined Delivery Data'!$B:$B,0)),""))</f>
        <v/>
      </c>
      <c r="C23" s="87"/>
      <c r="D23" s="87"/>
      <c r="E23" s="88"/>
    </row>
    <row r="24" spans="1:5">
      <c r="A24" s="42" t="s">
        <v>34</v>
      </c>
      <c r="B24" s="83" t="str">
        <f>IF($B$4="","",IFERROR(INDEX('Combined Delivery Data'!$Z:$Z,MATCH($B$4,'Combined Delivery Data'!$B:$B,0)),""))</f>
        <v/>
      </c>
      <c r="C24" s="87"/>
      <c r="D24" s="87"/>
      <c r="E24" s="88"/>
    </row>
    <row r="25" spans="1:5">
      <c r="A25" s="42" t="s">
        <v>35</v>
      </c>
      <c r="B25" s="83" t="str">
        <f>IF($B$4="","",IFERROR(INDEX('Combined Delivery Data'!$AA:$AA,MATCH($B$4,'Combined Delivery Data'!$B:$B,0)),""))</f>
        <v/>
      </c>
      <c r="C25" s="87"/>
      <c r="D25" s="87"/>
      <c r="E25" s="88"/>
    </row>
    <row r="26" spans="1:5">
      <c r="A26" s="42" t="s">
        <v>331</v>
      </c>
      <c r="B26" s="83" t="str">
        <f>IF($B$4="","",IFERROR(INDEX('Rework Log'!$Q:$Q,MATCH($B$4,'Rework Log'!$P:$P,0)),""))</f>
        <v/>
      </c>
      <c r="C26" s="87"/>
      <c r="D26" s="87"/>
      <c r="E26" s="88"/>
    </row>
    <row r="27" spans="1:5">
      <c r="A27" s="42" t="s">
        <v>332</v>
      </c>
      <c r="B27" s="83" t="str">
        <f>IF($B$4="","",IFERROR(INDEX('Rework Log'!$R:$R,MATCH($B$4,'Rework Log'!$P:$P,0)),""))</f>
        <v/>
      </c>
      <c r="C27" s="87"/>
      <c r="D27" s="87"/>
      <c r="E27" s="88"/>
    </row>
    <row r="28" spans="1:5">
      <c r="A28" s="42" t="s">
        <v>333</v>
      </c>
      <c r="B28" s="83" t="str">
        <f>IF($B$4="","",IFERROR(INDEX('Rework Log'!$S:$S,MATCH($B$4,'Rework Log'!$P:$P,0)),""))</f>
        <v/>
      </c>
      <c r="C28" s="87"/>
      <c r="D28" s="87"/>
      <c r="E28" s="88"/>
    </row>
    <row r="29" spans="1:5">
      <c r="A29" s="42" t="s">
        <v>334</v>
      </c>
      <c r="B29" s="83" t="str">
        <f>IF($B$4="","",IFERROR(INDEX('Rework Log'!$T:$T,MATCH($B$4,'Rework Log'!$P:$P,0)),""))</f>
        <v/>
      </c>
      <c r="C29" s="87"/>
      <c r="D29" s="87"/>
      <c r="E29" s="88"/>
    </row>
    <row r="30" spans="1:5" ht="15.6" customHeight="1">
      <c r="A30" s="42"/>
      <c r="B30" s="83"/>
      <c r="C30" s="87"/>
      <c r="D30" s="87"/>
      <c r="E30" s="88"/>
    </row>
    <row r="31" spans="1:5" ht="15.6" customHeight="1">
      <c r="A31" s="5" t="s">
        <v>36</v>
      </c>
      <c r="B31" s="89" t="str">
        <f>IF($B$4="","",IFERROR(INDEX('Combined Delivery Data'!$AC:$AC,MATCH($B$4,'Combined Delivery Data'!$B:$B,0)),""))</f>
        <v/>
      </c>
      <c r="C31" s="86"/>
      <c r="D31" s="86"/>
      <c r="E31" s="86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5" activePane="bottomLeft" state="frozen"/>
      <selection pane="bottomLeft" activeCell="E21" sqref="E21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4" t="s">
        <v>335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P1" s="90" t="s">
        <v>336</v>
      </c>
      <c r="Q1" s="90"/>
      <c r="R1" s="90"/>
      <c r="S1" s="90"/>
      <c r="T1" s="90"/>
    </row>
    <row r="2" spans="1:20" ht="30" customHeight="1">
      <c r="A2" s="17" t="s">
        <v>1</v>
      </c>
      <c r="B2" s="17" t="s">
        <v>337</v>
      </c>
      <c r="C2" s="17" t="s">
        <v>338</v>
      </c>
      <c r="D2" s="17" t="s">
        <v>339</v>
      </c>
      <c r="E2" s="17" t="s">
        <v>340</v>
      </c>
      <c r="F2" s="17" t="s">
        <v>341</v>
      </c>
      <c r="G2" s="17" t="s">
        <v>342</v>
      </c>
      <c r="H2" s="30" t="s">
        <v>343</v>
      </c>
      <c r="I2" s="30" t="s">
        <v>344</v>
      </c>
      <c r="J2" s="30" t="s">
        <v>345</v>
      </c>
      <c r="K2" s="30" t="s">
        <v>346</v>
      </c>
      <c r="L2" s="30" t="s">
        <v>347</v>
      </c>
      <c r="M2" s="21" t="s">
        <v>348</v>
      </c>
      <c r="N2" s="21" t="s">
        <v>349</v>
      </c>
      <c r="P2" s="13" t="s">
        <v>1</v>
      </c>
      <c r="Q2" s="13" t="s">
        <v>331</v>
      </c>
      <c r="R2" s="13" t="s">
        <v>332</v>
      </c>
      <c r="S2" s="13" t="s">
        <v>333</v>
      </c>
      <c r="T2" s="13" t="s">
        <v>334</v>
      </c>
    </row>
    <row r="3" spans="1:20">
      <c r="A3" s="33" t="s">
        <v>145</v>
      </c>
      <c r="B3" s="36">
        <v>46230</v>
      </c>
      <c r="C3" s="33" t="s">
        <v>140</v>
      </c>
      <c r="D3" s="33" t="s">
        <v>185</v>
      </c>
      <c r="E3" s="33" t="s">
        <v>146</v>
      </c>
      <c r="F3" s="33" t="s">
        <v>350</v>
      </c>
      <c r="G3" s="33" t="s">
        <v>49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32 d</v>
      </c>
      <c r="N3" t="s">
        <v>49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156</v>
      </c>
      <c r="B4" s="32">
        <v>46237</v>
      </c>
      <c r="C4" s="31" t="s">
        <v>140</v>
      </c>
      <c r="D4" s="31" t="s">
        <v>185</v>
      </c>
      <c r="E4" s="31" t="s">
        <v>146</v>
      </c>
      <c r="F4" s="31" t="s">
        <v>351</v>
      </c>
      <c r="G4" s="31" t="s">
        <v>49</v>
      </c>
      <c r="H4" s="32"/>
      <c r="I4" s="32"/>
      <c r="J4" s="32">
        <v>46247</v>
      </c>
      <c r="K4" s="31" t="s">
        <v>59</v>
      </c>
      <c r="L4" s="31" t="s">
        <v>352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127</v>
      </c>
      <c r="B5" s="32">
        <v>46238</v>
      </c>
      <c r="C5" s="31" t="s">
        <v>140</v>
      </c>
      <c r="D5" s="31" t="s">
        <v>185</v>
      </c>
      <c r="E5" s="31" t="s">
        <v>129</v>
      </c>
      <c r="F5" s="31" t="s">
        <v>353</v>
      </c>
      <c r="G5" s="31" t="s">
        <v>49</v>
      </c>
      <c r="H5" s="32"/>
      <c r="I5" s="32"/>
      <c r="J5" s="32">
        <v>46245</v>
      </c>
      <c r="K5" s="31"/>
      <c r="L5" s="31"/>
      <c r="M5" s="3" t="str">
        <f t="shared" ca="1" si="0"/>
        <v>Fixed</v>
      </c>
      <c r="N5" t="s">
        <v>49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143</v>
      </c>
      <c r="B6" s="32">
        <v>46234</v>
      </c>
      <c r="C6" s="31" t="s">
        <v>140</v>
      </c>
      <c r="D6" s="31" t="s">
        <v>185</v>
      </c>
      <c r="E6" s="31" t="s">
        <v>129</v>
      </c>
      <c r="F6" s="31" t="s">
        <v>354</v>
      </c>
      <c r="G6" s="31" t="s">
        <v>49</v>
      </c>
      <c r="H6" s="32"/>
      <c r="I6" s="32"/>
      <c r="J6" s="32">
        <v>46251</v>
      </c>
      <c r="K6" s="31"/>
      <c r="L6" s="31"/>
      <c r="M6" s="3" t="str">
        <f t="shared" ca="1" si="0"/>
        <v>Fixed</v>
      </c>
      <c r="N6" t="s">
        <v>49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134</v>
      </c>
      <c r="B7" s="32">
        <v>46239</v>
      </c>
      <c r="C7" s="31" t="s">
        <v>140</v>
      </c>
      <c r="D7" s="31" t="s">
        <v>185</v>
      </c>
      <c r="E7" s="31" t="s">
        <v>129</v>
      </c>
      <c r="F7" s="31" t="s">
        <v>355</v>
      </c>
      <c r="G7" s="31" t="s">
        <v>49</v>
      </c>
      <c r="H7" s="32"/>
      <c r="I7" s="32"/>
      <c r="J7" s="32">
        <v>46251</v>
      </c>
      <c r="K7" s="31"/>
      <c r="L7" s="31"/>
      <c r="M7" s="3" t="str">
        <f t="shared" ca="1" si="0"/>
        <v>Fixed</v>
      </c>
      <c r="N7" t="s">
        <v>49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55" t="s">
        <v>134</v>
      </c>
      <c r="B8" s="32">
        <v>46246</v>
      </c>
      <c r="C8" s="31" t="s">
        <v>140</v>
      </c>
      <c r="D8" s="31" t="s">
        <v>185</v>
      </c>
      <c r="E8" s="31" t="s">
        <v>129</v>
      </c>
      <c r="F8" s="31" t="s">
        <v>356</v>
      </c>
      <c r="G8" s="31" t="s">
        <v>49</v>
      </c>
      <c r="H8" s="32"/>
      <c r="I8" s="32"/>
      <c r="J8" s="32">
        <v>46251</v>
      </c>
      <c r="K8" s="31"/>
      <c r="L8" s="31"/>
      <c r="M8" s="3" t="str">
        <f t="shared" ca="1" si="0"/>
        <v>Fixed</v>
      </c>
      <c r="N8" t="s">
        <v>357</v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 t="s">
        <v>156</v>
      </c>
      <c r="B9" s="32">
        <v>46251</v>
      </c>
      <c r="C9" s="31" t="s">
        <v>140</v>
      </c>
      <c r="D9" s="31" t="s">
        <v>185</v>
      </c>
      <c r="E9" s="31" t="s">
        <v>146</v>
      </c>
      <c r="F9" s="31" t="s">
        <v>358</v>
      </c>
      <c r="G9" s="31" t="s">
        <v>49</v>
      </c>
      <c r="H9" s="32"/>
      <c r="I9" s="32"/>
      <c r="J9" s="32">
        <v>46254</v>
      </c>
      <c r="K9" s="31"/>
      <c r="L9" s="31"/>
      <c r="M9" s="3" t="str">
        <f t="shared" ca="1" si="0"/>
        <v>Fixed</v>
      </c>
      <c r="N9" t="s">
        <v>357</v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 t="s">
        <v>145</v>
      </c>
      <c r="B10" s="32">
        <v>46237</v>
      </c>
      <c r="C10" s="31" t="s">
        <v>140</v>
      </c>
      <c r="D10" s="31" t="s">
        <v>185</v>
      </c>
      <c r="E10" s="31" t="s">
        <v>146</v>
      </c>
      <c r="F10" s="31" t="s">
        <v>351</v>
      </c>
      <c r="G10" s="31" t="s">
        <v>49</v>
      </c>
      <c r="H10" s="32"/>
      <c r="I10" s="32"/>
      <c r="J10" s="32">
        <v>46252</v>
      </c>
      <c r="K10" s="31"/>
      <c r="L10" s="31"/>
      <c r="M10" s="3" t="str">
        <f t="shared" ca="1" si="0"/>
        <v>Fixed</v>
      </c>
      <c r="N10" t="s">
        <v>357</v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55" t="s">
        <v>134</v>
      </c>
      <c r="B11" s="32">
        <v>46254</v>
      </c>
      <c r="C11" s="31" t="s">
        <v>140</v>
      </c>
      <c r="D11" s="31" t="s">
        <v>185</v>
      </c>
      <c r="E11" s="31" t="s">
        <v>129</v>
      </c>
      <c r="F11" s="31" t="s">
        <v>353</v>
      </c>
      <c r="G11" s="31" t="s">
        <v>49</v>
      </c>
      <c r="H11" s="32"/>
      <c r="I11" s="32"/>
      <c r="J11" s="32">
        <v>46255</v>
      </c>
      <c r="K11" s="31"/>
      <c r="L11" s="31"/>
      <c r="M11" s="77" t="str">
        <f ca="1">IF($A11="","",IF($G11="Did not pass re-test","Sent back again",IF(NOT(ISNUMBER($B11)),"Missing sent-back date",IF($J11&lt;&gt;"","Fixed",IF($I11="","UNCLAIMED "&amp;(TODAY()-$B11)&amp;" d",IF(TODAY()&gt;$I11,(TODAY()-$I11)&amp;" d LATE","Open "&amp;(TODAY()-$B11)&amp;" d"))))))</f>
        <v>Fixed</v>
      </c>
      <c r="N11" t="s">
        <v>49</v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55" t="s">
        <v>153</v>
      </c>
      <c r="B12" s="32">
        <v>46254</v>
      </c>
      <c r="C12" s="31" t="s">
        <v>140</v>
      </c>
      <c r="D12" s="31" t="s">
        <v>185</v>
      </c>
      <c r="E12" s="31" t="s">
        <v>146</v>
      </c>
      <c r="F12" s="31" t="s">
        <v>359</v>
      </c>
      <c r="G12" s="31" t="s">
        <v>49</v>
      </c>
      <c r="H12" s="32"/>
      <c r="I12" s="32"/>
      <c r="J12" s="32">
        <v>46255</v>
      </c>
      <c r="K12" s="31"/>
      <c r="L12" s="31"/>
      <c r="M12" s="77" t="str">
        <f ca="1">IF($A12="","",IF($G12="Did not pass re-test","Sent back again",IF(NOT(ISNUMBER($B12)),"Missing sent-back date",IF($J12&lt;&gt;"","Fixed",IF($I12="","UNCLAIMED "&amp;(TODAY()-$B12)&amp;" d",IF(TODAY()&gt;$I12,(TODAY()-$I12)&amp;" d LATE","Open "&amp;(TODAY()-$B12)&amp;" d"))))))</f>
        <v>Fixed</v>
      </c>
      <c r="N12" t="s">
        <v>360</v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55" t="s">
        <v>139</v>
      </c>
      <c r="B13" s="32">
        <v>46258</v>
      </c>
      <c r="C13" s="31" t="s">
        <v>140</v>
      </c>
      <c r="D13" s="31" t="s">
        <v>185</v>
      </c>
      <c r="E13" s="31" t="s">
        <v>129</v>
      </c>
      <c r="F13" s="31" t="s">
        <v>361</v>
      </c>
      <c r="G13" s="31" t="s">
        <v>52</v>
      </c>
      <c r="H13" s="32"/>
      <c r="I13" s="32"/>
      <c r="J13" s="32">
        <v>46258</v>
      </c>
      <c r="K13" s="31"/>
      <c r="L13" s="31"/>
      <c r="M13" s="77" t="str">
        <f ca="1">IF($A13="","",IF($G13="Did not pass re-test","Sent back again",IF(NOT(ISNUMBER($B13)),"Missing sent-back date",IF($J13&lt;&gt;"","Fixed",IF($I13="","UNCLAIMED "&amp;(TODAY()-$B13)&amp;" d",IF(TODAY()&gt;$I13,(TODAY()-$I13)&amp;" d LATE","Open "&amp;(TODAY()-$B13)&amp;" d"))))))</f>
        <v>Fixed</v>
      </c>
      <c r="N13" t="s">
        <v>360</v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 t="s">
        <v>148</v>
      </c>
      <c r="B14" s="32">
        <v>46258</v>
      </c>
      <c r="C14" s="31" t="s">
        <v>140</v>
      </c>
      <c r="D14" s="31" t="s">
        <v>178</v>
      </c>
      <c r="E14" s="31" t="s">
        <v>146</v>
      </c>
      <c r="F14" s="31" t="s">
        <v>362</v>
      </c>
      <c r="G14" s="31" t="s">
        <v>52</v>
      </c>
      <c r="H14" s="32"/>
      <c r="I14" s="32"/>
      <c r="J14" s="32">
        <v>46258</v>
      </c>
      <c r="K14" s="31"/>
      <c r="L14" s="31"/>
      <c r="M14" s="3" t="str">
        <f t="shared" ca="1" si="0"/>
        <v>Fixed</v>
      </c>
      <c r="N14" t="s">
        <v>49</v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 t="s">
        <v>159</v>
      </c>
      <c r="B15" s="32">
        <v>46258</v>
      </c>
      <c r="C15" s="31" t="s">
        <v>140</v>
      </c>
      <c r="D15" s="31" t="s">
        <v>178</v>
      </c>
      <c r="E15" s="31" t="s">
        <v>146</v>
      </c>
      <c r="F15" s="31" t="s">
        <v>363</v>
      </c>
      <c r="G15" s="31" t="s">
        <v>49</v>
      </c>
      <c r="H15" s="32"/>
      <c r="I15" s="32"/>
      <c r="J15" s="32">
        <v>46258</v>
      </c>
      <c r="K15" s="31"/>
      <c r="L15" s="31"/>
      <c r="M15" s="3" t="str">
        <f t="shared" ca="1" si="0"/>
        <v>Fixed</v>
      </c>
      <c r="N15" t="s">
        <v>360</v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 t="s">
        <v>152</v>
      </c>
      <c r="B16" s="32">
        <v>46258</v>
      </c>
      <c r="C16" s="31" t="s">
        <v>140</v>
      </c>
      <c r="D16" s="31" t="s">
        <v>185</v>
      </c>
      <c r="E16" s="31" t="s">
        <v>146</v>
      </c>
      <c r="F16" s="31" t="s">
        <v>364</v>
      </c>
      <c r="G16" s="31" t="s">
        <v>52</v>
      </c>
      <c r="H16" s="32"/>
      <c r="I16" s="32"/>
      <c r="J16" s="32">
        <v>46258</v>
      </c>
      <c r="K16" s="31"/>
      <c r="L16" s="31"/>
      <c r="M16" s="3" t="str">
        <f t="shared" ca="1" si="0"/>
        <v>Fixed</v>
      </c>
      <c r="N16" t="s">
        <v>360</v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 t="s">
        <v>148</v>
      </c>
      <c r="B17" s="32">
        <v>46260</v>
      </c>
      <c r="C17" s="31" t="s">
        <v>140</v>
      </c>
      <c r="D17" s="31" t="s">
        <v>178</v>
      </c>
      <c r="E17" s="31" t="s">
        <v>146</v>
      </c>
      <c r="F17" s="31" t="s">
        <v>365</v>
      </c>
      <c r="G17" s="31" t="s">
        <v>52</v>
      </c>
      <c r="H17" s="32"/>
      <c r="I17" s="32"/>
      <c r="J17" s="32"/>
      <c r="K17" s="31"/>
      <c r="L17" s="31"/>
      <c r="M17" s="3"/>
      <c r="S17" s="28"/>
    </row>
    <row r="18" spans="1:20" ht="15">
      <c r="A18" s="33" t="s">
        <v>184</v>
      </c>
      <c r="B18" s="32">
        <v>46261</v>
      </c>
      <c r="C18" s="31" t="s">
        <v>140</v>
      </c>
      <c r="D18" s="31" t="s">
        <v>185</v>
      </c>
      <c r="E18" s="31" t="s">
        <v>129</v>
      </c>
      <c r="F18" s="31" t="s">
        <v>366</v>
      </c>
      <c r="G18" s="31" t="s">
        <v>52</v>
      </c>
      <c r="H18" s="32"/>
      <c r="I18" s="32"/>
      <c r="J18" s="32"/>
      <c r="K18" s="31"/>
      <c r="L18" s="31"/>
      <c r="M18" s="3" t="str">
        <f t="shared" ca="1" si="0"/>
        <v>UNCLAIMED 1 d</v>
      </c>
      <c r="N18" t="s">
        <v>360</v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140</v>
      </c>
      <c r="D19" s="31"/>
      <c r="E19" s="31"/>
      <c r="F19" s="31"/>
      <c r="G19" s="31" t="s">
        <v>52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140</v>
      </c>
      <c r="D20" s="31"/>
      <c r="E20" s="31"/>
      <c r="F20" s="31"/>
      <c r="G20" s="31" t="s">
        <v>52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140</v>
      </c>
      <c r="D21" s="31"/>
      <c r="E21" s="31"/>
      <c r="F21" s="31"/>
      <c r="G21" s="31" t="s">
        <v>52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140</v>
      </c>
      <c r="D22" s="31"/>
      <c r="E22" s="31"/>
      <c r="F22" s="31"/>
      <c r="G22" s="31" t="s">
        <v>52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140</v>
      </c>
      <c r="D23" s="31"/>
      <c r="E23" s="31"/>
      <c r="F23" s="31"/>
      <c r="G23" s="31" t="s">
        <v>52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140</v>
      </c>
      <c r="D24" s="31"/>
      <c r="E24" s="31"/>
      <c r="F24" s="31"/>
      <c r="G24" s="31" t="s">
        <v>52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140</v>
      </c>
      <c r="D25" s="31"/>
      <c r="E25" s="31"/>
      <c r="F25" s="31"/>
      <c r="G25" s="31" t="s">
        <v>52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140</v>
      </c>
      <c r="D26" s="31"/>
      <c r="E26" s="31"/>
      <c r="F26" s="31"/>
      <c r="G26" s="31" t="s">
        <v>52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140</v>
      </c>
      <c r="D27" s="31"/>
      <c r="E27" s="31"/>
      <c r="F27" s="31"/>
      <c r="G27" s="31" t="s">
        <v>52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140</v>
      </c>
      <c r="D28" s="31"/>
      <c r="E28" s="31"/>
      <c r="F28" s="31"/>
      <c r="G28" s="31" t="s">
        <v>52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140</v>
      </c>
      <c r="D29" s="31"/>
      <c r="E29" s="31"/>
      <c r="F29" s="31"/>
      <c r="G29" s="31" t="s">
        <v>52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140</v>
      </c>
      <c r="D30" s="31"/>
      <c r="E30" s="31"/>
      <c r="F30" s="31"/>
      <c r="G30" s="31" t="s">
        <v>52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140</v>
      </c>
      <c r="D31" s="31"/>
      <c r="E31" s="31"/>
      <c r="F31" s="31"/>
      <c r="G31" s="31" t="s">
        <v>52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0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140</v>
      </c>
      <c r="D32" s="31"/>
      <c r="E32" s="31"/>
      <c r="F32" s="31"/>
      <c r="G32" s="31" t="s">
        <v>52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3</v>
      </c>
      <c r="R32">
        <f>IF($P32="","",SUMPRODUCT(($A$3:$A$500=$P32)*($G$3:$G$500&lt;&gt;"Yes")*($G$3:$G$500&lt;&gt;"Did not pass re-test")))</f>
        <v>0</v>
      </c>
      <c r="S32" s="28">
        <f>IF($P32="","",IF(SUMPRODUCT(MAX(($A$3:$A$500=$P32)*ROW($A$3:$A$500)))=0,"",INDEX($B:$B,SUMPRODUCT(MAX(($A$3:$A$500=$P32)*ROW($A$3:$A$500))))))</f>
        <v>46254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140</v>
      </c>
      <c r="D33" s="31"/>
      <c r="E33" s="31"/>
      <c r="F33" s="31"/>
      <c r="G33" s="31" t="s">
        <v>52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140</v>
      </c>
      <c r="D34" s="31"/>
      <c r="E34" s="31"/>
      <c r="F34" s="31"/>
      <c r="G34" s="31" t="s">
        <v>52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1</v>
      </c>
      <c r="R34">
        <f>IF($P34="","",SUMPRODUCT(($A$3:$A$500=$P34)*($G$3:$G$500&lt;&gt;"Yes")*($G$3:$G$500&lt;&gt;"Did not pass re-test")))</f>
        <v>1</v>
      </c>
      <c r="S34" s="28">
        <f>IF($P34="","",IF(SUMPRODUCT(MAX(($A$3:$A$500=$P34)*ROW($A$3:$A$500)))=0,"",INDEX($B:$B,SUMPRODUCT(MAX(($A$3:$A$500=$P34)*ROW($A$3:$A$500))))))</f>
        <v>46258</v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>QA -&gt; DB Dev</v>
      </c>
    </row>
    <row r="35" spans="1:20">
      <c r="A35" s="31"/>
      <c r="B35" s="32"/>
      <c r="C35" s="31" t="s">
        <v>140</v>
      </c>
      <c r="D35" s="31"/>
      <c r="E35" s="31"/>
      <c r="F35" s="31"/>
      <c r="G35" s="31" t="s">
        <v>52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0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140</v>
      </c>
      <c r="D36" s="31"/>
      <c r="E36" s="31"/>
      <c r="F36" s="31"/>
      <c r="G36" s="31" t="s">
        <v>52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2</v>
      </c>
      <c r="R36">
        <f>IF($P36="","",SUMPRODUCT(($A$3:$A$500=$P36)*($G$3:$G$500&lt;&gt;"Yes")*($G$3:$G$500&lt;&gt;"Did not pass re-test")))</f>
        <v>0</v>
      </c>
      <c r="S36" s="28">
        <f>IF($P36="","",IF(SUMPRODUCT(MAX(($A$3:$A$500=$P36)*ROW($A$3:$A$500)))=0,"",INDEX($B:$B,SUMPRODUCT(MAX(($A$3:$A$500=$P36)*ROW($A$3:$A$500))))))</f>
        <v>46237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140</v>
      </c>
      <c r="D37" s="31"/>
      <c r="E37" s="31"/>
      <c r="F37" s="31"/>
      <c r="G37" s="31" t="s">
        <v>52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2</v>
      </c>
      <c r="R37">
        <f>IF($P37="","",SUMPRODUCT(($A$3:$A$500=$P37)*($G$3:$G$500&lt;&gt;"Yes")*($G$3:$G$500&lt;&gt;"Did not pass re-test")))</f>
        <v>2</v>
      </c>
      <c r="S37" s="28">
        <f>IF($P37="","",IF(SUMPRODUCT(MAX(($A$3:$A$500=$P37)*ROW($A$3:$A$500)))=0,"",INDEX($B:$B,SUMPRODUCT(MAX(($A$3:$A$500=$P37)*ROW($A$3:$A$500))))))</f>
        <v>46260</v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>QA -&gt; PBI Dev</v>
      </c>
    </row>
    <row r="38" spans="1:20">
      <c r="A38" s="31"/>
      <c r="B38" s="32"/>
      <c r="C38" s="31" t="s">
        <v>140</v>
      </c>
      <c r="D38" s="31"/>
      <c r="E38" s="31"/>
      <c r="F38" s="31"/>
      <c r="G38" s="31" t="s">
        <v>52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1</v>
      </c>
      <c r="R38">
        <f>IF($P38="","",SUMPRODUCT(($A$3:$A$500=$P38)*($G$3:$G$500&lt;&gt;"Yes")*($G$3:$G$500&lt;&gt;"Did not pass re-test")))</f>
        <v>1</v>
      </c>
      <c r="S38" s="28">
        <f>IF($P38="","",IF(SUMPRODUCT(MAX(($A$3:$A$500=$P38)*ROW($A$3:$A$500)))=0,"",INDEX($B:$B,SUMPRODUCT(MAX(($A$3:$A$500=$P38)*ROW($A$3:$A$500))))))</f>
        <v>46258</v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>QA -&gt; DB Dev</v>
      </c>
    </row>
    <row r="39" spans="1:20">
      <c r="A39" s="31"/>
      <c r="B39" s="32"/>
      <c r="C39" s="31" t="s">
        <v>140</v>
      </c>
      <c r="D39" s="31"/>
      <c r="E39" s="31"/>
      <c r="F39" s="31"/>
      <c r="G39" s="31" t="s">
        <v>52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1</v>
      </c>
      <c r="R39">
        <f>IF($P39="","",SUMPRODUCT(($A$3:$A$500=$P39)*($G$3:$G$500&lt;&gt;"Yes")*($G$3:$G$500&lt;&gt;"Did not pass re-test")))</f>
        <v>0</v>
      </c>
      <c r="S39" s="28">
        <f>IF($P39="","",IF(SUMPRODUCT(MAX(($A$3:$A$500=$P39)*ROW($A$3:$A$500)))=0,"",INDEX($B:$B,SUMPRODUCT(MAX(($A$3:$A$500=$P39)*ROW($A$3:$A$500))))))</f>
        <v>46254</v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>QA -&gt; DB Dev</v>
      </c>
    </row>
    <row r="40" spans="1:20">
      <c r="A40" s="31"/>
      <c r="B40" s="32"/>
      <c r="C40" s="31" t="s">
        <v>140</v>
      </c>
      <c r="D40" s="31"/>
      <c r="E40" s="31"/>
      <c r="F40" s="31"/>
      <c r="G40" s="31" t="s">
        <v>52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2</v>
      </c>
      <c r="R40">
        <f>IF($P40="","",SUMPRODUCT(($A$3:$A$500=$P40)*($G$3:$G$500&lt;&gt;"Yes")*($G$3:$G$500&lt;&gt;"Did not pass re-test")))</f>
        <v>0</v>
      </c>
      <c r="S40" s="28">
        <f>IF($P40="","",IF(SUMPRODUCT(MAX(($A$3:$A$500=$P40)*ROW($A$3:$A$500)))=0,"",INDEX($B:$B,SUMPRODUCT(MAX(($A$3:$A$500=$P40)*ROW($A$3:$A$500))))))</f>
        <v>46251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140</v>
      </c>
      <c r="D41" s="31"/>
      <c r="E41" s="31"/>
      <c r="F41" s="31"/>
      <c r="G41" s="31" t="s">
        <v>52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1</v>
      </c>
      <c r="R41">
        <f>IF($P41="","",SUMPRODUCT(($A$3:$A$500=$P41)*($G$3:$G$500&lt;&gt;"Yes")*($G$3:$G$500&lt;&gt;"Did not pass re-test")))</f>
        <v>0</v>
      </c>
      <c r="S41" s="28">
        <f>IF($P41="","",IF(SUMPRODUCT(MAX(($A$3:$A$500=$P41)*ROW($A$3:$A$500)))=0,"",INDEX($B:$B,SUMPRODUCT(MAX(($A$3:$A$500=$P41)*ROW($A$3:$A$500))))))</f>
        <v>46258</v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>QA -&gt; PBI Dev</v>
      </c>
    </row>
    <row r="42" spans="1:20">
      <c r="A42" s="31"/>
      <c r="B42" s="32"/>
      <c r="C42" s="31" t="s">
        <v>140</v>
      </c>
      <c r="D42" s="31"/>
      <c r="E42" s="31"/>
      <c r="F42" s="31"/>
      <c r="G42" s="31" t="s">
        <v>52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140</v>
      </c>
      <c r="D43" s="31"/>
      <c r="E43" s="31"/>
      <c r="F43" s="31"/>
      <c r="G43" s="31" t="s">
        <v>52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140</v>
      </c>
      <c r="D44" s="31"/>
      <c r="E44" s="31"/>
      <c r="F44" s="31"/>
      <c r="G44" s="31" t="s">
        <v>52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140</v>
      </c>
      <c r="D45" s="31"/>
      <c r="E45" s="31"/>
      <c r="F45" s="31"/>
      <c r="G45" s="31" t="s">
        <v>52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140</v>
      </c>
      <c r="D46" s="31"/>
      <c r="E46" s="31"/>
      <c r="F46" s="31"/>
      <c r="G46" s="31" t="s">
        <v>52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140</v>
      </c>
      <c r="D47" s="31"/>
      <c r="E47" s="31"/>
      <c r="F47" s="31"/>
      <c r="G47" s="31" t="s">
        <v>52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140</v>
      </c>
      <c r="D48" s="31"/>
      <c r="E48" s="31"/>
      <c r="F48" s="31"/>
      <c r="G48" s="31" t="s">
        <v>52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140</v>
      </c>
      <c r="D49" s="31"/>
      <c r="E49" s="31"/>
      <c r="F49" s="31"/>
      <c r="G49" s="31" t="s">
        <v>52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140</v>
      </c>
      <c r="D50" s="31"/>
      <c r="E50" s="31"/>
      <c r="F50" s="31"/>
      <c r="G50" s="31" t="s">
        <v>52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140</v>
      </c>
      <c r="D51" s="31"/>
      <c r="E51" s="31"/>
      <c r="F51" s="31"/>
      <c r="G51" s="31" t="s">
        <v>52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1</v>
      </c>
      <c r="R51">
        <f>IF($P51="","",SUMPRODUCT(($A$3:$A$500=$P51)*($G$3:$G$500&lt;&gt;"Yes")*($G$3:$G$500&lt;&gt;"Did not pass re-test")))</f>
        <v>1</v>
      </c>
      <c r="S51" s="28">
        <f>IF($P51="","",IF(SUMPRODUCT(MAX(($A$3:$A$500=$P51)*ROW($A$3:$A$500)))=0,"",INDEX($B:$B,SUMPRODUCT(MAX(($A$3:$A$500=$P51)*ROW($A$3:$A$500))))))</f>
        <v>46261</v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>QA -&gt; DB Dev</v>
      </c>
    </row>
    <row r="52" spans="1:20">
      <c r="A52" s="31"/>
      <c r="B52" s="32"/>
      <c r="C52" s="31" t="s">
        <v>140</v>
      </c>
      <c r="D52" s="31"/>
      <c r="E52" s="31"/>
      <c r="F52" s="31"/>
      <c r="G52" s="31" t="s">
        <v>52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140</v>
      </c>
      <c r="D53" s="31"/>
      <c r="E53" s="31"/>
      <c r="F53" s="31"/>
      <c r="G53" s="31" t="s">
        <v>52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140</v>
      </c>
      <c r="D54" s="31"/>
      <c r="E54" s="31"/>
      <c r="F54" s="31"/>
      <c r="G54" s="31" t="s">
        <v>52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140</v>
      </c>
      <c r="D55" s="31"/>
      <c r="E55" s="31"/>
      <c r="F55" s="31"/>
      <c r="G55" s="31" t="s">
        <v>52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140</v>
      </c>
      <c r="D56" s="31"/>
      <c r="E56" s="31"/>
      <c r="F56" s="31"/>
      <c r="G56" s="31" t="s">
        <v>52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140</v>
      </c>
      <c r="D57" s="31"/>
      <c r="E57" s="31"/>
      <c r="F57" s="31"/>
      <c r="G57" s="31" t="s">
        <v>52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140</v>
      </c>
      <c r="D58" s="31"/>
      <c r="E58" s="31"/>
      <c r="F58" s="31"/>
      <c r="G58" s="31" t="s">
        <v>52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140</v>
      </c>
      <c r="D59" s="31"/>
      <c r="E59" s="31"/>
      <c r="F59" s="31"/>
      <c r="G59" s="31" t="s">
        <v>52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140</v>
      </c>
      <c r="D60" s="31"/>
      <c r="E60" s="31"/>
      <c r="F60" s="31"/>
      <c r="G60" s="31" t="s">
        <v>52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140</v>
      </c>
      <c r="D61" s="31"/>
      <c r="E61" s="31"/>
      <c r="F61" s="31"/>
      <c r="G61" s="31" t="s">
        <v>52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140</v>
      </c>
      <c r="D62" s="31"/>
      <c r="E62" s="31"/>
      <c r="F62" s="31"/>
      <c r="G62" s="31" t="s">
        <v>52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140</v>
      </c>
      <c r="D63" s="31"/>
      <c r="E63" s="31"/>
      <c r="F63" s="31"/>
      <c r="G63" s="31" t="s">
        <v>52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140</v>
      </c>
      <c r="D64" s="31"/>
      <c r="E64" s="31"/>
      <c r="F64" s="31"/>
      <c r="G64" s="31" t="s">
        <v>52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140</v>
      </c>
      <c r="D65" s="31"/>
      <c r="E65" s="31"/>
      <c r="F65" s="31"/>
      <c r="G65" s="31" t="s">
        <v>52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140</v>
      </c>
      <c r="D66" s="31"/>
      <c r="E66" s="31"/>
      <c r="F66" s="31"/>
      <c r="G66" s="31" t="s">
        <v>52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140</v>
      </c>
      <c r="D67" s="31"/>
      <c r="E67" s="31"/>
      <c r="F67" s="31"/>
      <c r="G67" s="31" t="s">
        <v>52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140</v>
      </c>
      <c r="D68" s="31"/>
      <c r="E68" s="31"/>
      <c r="F68" s="31"/>
      <c r="G68" s="31" t="s">
        <v>52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140</v>
      </c>
      <c r="D69" s="31"/>
      <c r="E69" s="31"/>
      <c r="F69" s="31"/>
      <c r="G69" s="31" t="s">
        <v>52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140</v>
      </c>
      <c r="D70" s="31"/>
      <c r="E70" s="31"/>
      <c r="F70" s="31"/>
      <c r="G70" s="31" t="s">
        <v>52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140</v>
      </c>
      <c r="D71" s="31"/>
      <c r="E71" s="31"/>
      <c r="F71" s="31"/>
      <c r="G71" s="31" t="s">
        <v>52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140</v>
      </c>
      <c r="D72" s="31"/>
      <c r="E72" s="31"/>
      <c r="F72" s="31"/>
      <c r="G72" s="31" t="s">
        <v>52</v>
      </c>
      <c r="H72" s="32"/>
      <c r="I72" s="32"/>
      <c r="J72" s="32"/>
      <c r="K72" s="31"/>
      <c r="L72" s="31"/>
      <c r="M72" s="3" t="str">
        <f t="shared" ref="M72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140</v>
      </c>
      <c r="D73" s="31"/>
      <c r="E73" s="31"/>
      <c r="F73" s="31"/>
      <c r="G73" s="31" t="s">
        <v>52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140</v>
      </c>
      <c r="D74" s="31"/>
      <c r="E74" s="31"/>
      <c r="F74" s="31"/>
      <c r="G74" s="31" t="s">
        <v>52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140</v>
      </c>
      <c r="D75" s="31"/>
      <c r="E75" s="31"/>
      <c r="F75" s="31"/>
      <c r="G75" s="31" t="s">
        <v>52</v>
      </c>
      <c r="H75" s="32"/>
      <c r="I75" s="32"/>
      <c r="J75" s="32"/>
      <c r="K75" s="31"/>
      <c r="L75" s="31"/>
      <c r="M75" s="3" t="str">
        <f t="shared" ca="1" si="2"/>
        <v/>
      </c>
      <c r="P75" t="str">
        <f>'Combined Delivery Data'!B73</f>
        <v>RPT_02_Service Resource Activity</v>
      </c>
      <c r="Q75">
        <f>IF($P75="","",COUNTIF($A$3:$A$500,$P75))</f>
        <v>0</v>
      </c>
      <c r="R75">
        <f>IF($P75="","",SUMPRODUCT(($A$3:$A$500=$P75)*($G$3:$G$500&lt;&gt;"Yes")*($G$3:$G$500&lt;&gt;"Did not pass re-test")))</f>
        <v>0</v>
      </c>
      <c r="S75" s="28" t="str">
        <f>IF($P75="","",IF(SUMPRODUCT(MAX(($A$3:$A$500=$P75)*ROW($A$3:$A$500)))=0,"",INDEX($B:$B,SUMPRODUCT(MAX(($A$3:$A$500=$P75)*ROW($A$3:$A$500))))))</f>
        <v/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/>
      </c>
    </row>
    <row r="76" spans="1:20">
      <c r="A76" s="31"/>
      <c r="B76" s="32"/>
      <c r="C76" s="31" t="s">
        <v>140</v>
      </c>
      <c r="D76" s="31"/>
      <c r="E76" s="31"/>
      <c r="F76" s="31"/>
      <c r="G76" s="31" t="s">
        <v>52</v>
      </c>
      <c r="H76" s="32"/>
      <c r="I76" s="32"/>
      <c r="J76" s="32"/>
      <c r="K76" s="31"/>
      <c r="L76" s="31"/>
      <c r="M76" s="3" t="str">
        <f t="shared" ca="1" si="2"/>
        <v/>
      </c>
      <c r="P76" t="str">
        <f>'Combined Delivery Data'!B101</f>
        <v>RPT_05_Department of Transportation</v>
      </c>
      <c r="Q76">
        <f>IF($P76="","",COUNTIF($A$3:$A$500,$P76))</f>
        <v>0</v>
      </c>
      <c r="R76">
        <f>IF($P76="","",SUMPRODUCT(($A$3:$A$500=$P76)*($G$3:$G$500&lt;&gt;"Yes")*($G$3:$G$500&lt;&gt;"Did not pass re-test")))</f>
        <v>0</v>
      </c>
      <c r="S76" s="28" t="str">
        <f>IF($P76="","",IF(SUMPRODUCT(MAX(($A$3:$A$500=$P76)*ROW($A$3:$A$500)))=0,"",INDEX($B:$B,SUMPRODUCT(MAX(($A$3:$A$500=$P76)*ROW($A$3:$A$500))))))</f>
        <v/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/>
      </c>
    </row>
    <row r="77" spans="1:20">
      <c r="A77" s="31"/>
      <c r="B77" s="32"/>
      <c r="C77" s="31" t="s">
        <v>140</v>
      </c>
      <c r="D77" s="31"/>
      <c r="E77" s="31"/>
      <c r="F77" s="31"/>
      <c r="G77" s="31" t="s">
        <v>52</v>
      </c>
      <c r="H77" s="32"/>
      <c r="I77" s="32"/>
      <c r="J77" s="32"/>
      <c r="K77" s="31"/>
      <c r="L77" s="31"/>
      <c r="M77" s="3" t="str">
        <f t="shared" ca="1" si="2"/>
        <v/>
      </c>
      <c r="P77" t="str">
        <f>'Combined Delivery Data'!B102</f>
        <v>RPT_05_ Inside Meter Relocation</v>
      </c>
      <c r="Q77">
        <f>IF($P77="","",COUNTIF($A$3:$A$500,$P77))</f>
        <v>0</v>
      </c>
      <c r="R77">
        <f>IF($P77="","",SUMPRODUCT(($A$3:$A$500=$P77)*($G$3:$G$500&lt;&gt;"Yes")*($G$3:$G$500&lt;&gt;"Did not pass re-test")))</f>
        <v>0</v>
      </c>
      <c r="S77" s="28" t="str">
        <f>IF($P77="","",IF(SUMPRODUCT(MAX(($A$3:$A$500=$P77)*ROW($A$3:$A$500)))=0,"",INDEX($B:$B,SUMPRODUCT(MAX(($A$3:$A$500=$P77)*ROW($A$3:$A$500))))))</f>
        <v/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/>
      </c>
    </row>
    <row r="78" spans="1:20">
      <c r="A78" s="31"/>
      <c r="B78" s="32"/>
      <c r="C78" s="31" t="s">
        <v>140</v>
      </c>
      <c r="D78" s="31"/>
      <c r="E78" s="31"/>
      <c r="F78" s="31"/>
      <c r="G78" s="31" t="s">
        <v>52</v>
      </c>
      <c r="H78" s="32"/>
      <c r="I78" s="32"/>
      <c r="J78" s="32"/>
      <c r="K78" s="31"/>
      <c r="L78" s="31"/>
      <c r="M78" s="3" t="str">
        <f t="shared" ca="1" si="2"/>
        <v/>
      </c>
      <c r="P78" t="str">
        <f>'Combined Delivery Data'!B103</f>
        <v>RPT_05_Mapped Work Order Information</v>
      </c>
      <c r="Q78">
        <f>IF($P78="","",COUNTIF($A$3:$A$500,$P78))</f>
        <v>0</v>
      </c>
      <c r="R78">
        <f>IF($P78="","",SUMPRODUCT(($A$3:$A$500=$P78)*($G$3:$G$500&lt;&gt;"Yes")*($G$3:$G$500&lt;&gt;"Did not pass re-test")))</f>
        <v>0</v>
      </c>
      <c r="S78" s="28" t="str">
        <f>IF($P78="","",IF(SUMPRODUCT(MAX(($A$3:$A$500=$P78)*ROW($A$3:$A$500)))=0,"",INDEX($B:$B,SUMPRODUCT(MAX(($A$3:$A$500=$P78)*ROW($A$3:$A$500))))))</f>
        <v/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/>
      </c>
    </row>
    <row r="79" spans="1:20">
      <c r="A79" s="31"/>
      <c r="B79" s="32"/>
      <c r="C79" s="31" t="s">
        <v>140</v>
      </c>
      <c r="D79" s="31"/>
      <c r="E79" s="31"/>
      <c r="F79" s="31"/>
      <c r="G79" s="31" t="s">
        <v>52</v>
      </c>
      <c r="H79" s="32"/>
      <c r="I79" s="32"/>
      <c r="J79" s="32"/>
      <c r="K79" s="31"/>
      <c r="L79" s="31"/>
      <c r="M79" s="3" t="str">
        <f t="shared" ca="1" si="2"/>
        <v/>
      </c>
      <c r="P79" t="str">
        <f>'Combined Delivery Data'!B104</f>
        <v>RPT_06_Retired Meters</v>
      </c>
      <c r="Q79">
        <f>IF($P79="","",COUNTIF($A$3:$A$500,$P79))</f>
        <v>0</v>
      </c>
      <c r="R79">
        <f>IF($P79="","",SUMPRODUCT(($A$3:$A$500=$P79)*($G$3:$G$500&lt;&gt;"Yes")*($G$3:$G$500&lt;&gt;"Did not pass re-test")))</f>
        <v>0</v>
      </c>
      <c r="S79" s="28" t="str">
        <f>IF($P79="","",IF(SUMPRODUCT(MAX(($A$3:$A$500=$P79)*ROW($A$3:$A$500)))=0,"",INDEX($B:$B,SUMPRODUCT(MAX(($A$3:$A$500=$P79)*ROW($A$3:$A$500))))))</f>
        <v/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/>
      </c>
    </row>
    <row r="80" spans="1:20">
      <c r="A80" s="31"/>
      <c r="B80" s="32"/>
      <c r="C80" s="31" t="s">
        <v>140</v>
      </c>
      <c r="D80" s="31"/>
      <c r="E80" s="31"/>
      <c r="F80" s="31"/>
      <c r="G80" s="31" t="s">
        <v>52</v>
      </c>
      <c r="H80" s="32"/>
      <c r="I80" s="32"/>
      <c r="J80" s="32"/>
      <c r="K80" s="31"/>
      <c r="L80" s="31"/>
      <c r="M80" s="3" t="str">
        <f t="shared" ca="1" si="2"/>
        <v/>
      </c>
      <c r="P80" t="str">
        <f>'Combined Delivery Data'!B105</f>
        <v>RPT_13_Survey Book</v>
      </c>
      <c r="Q80">
        <f>IF($P80="","",COUNTIF($A$3:$A$500,$P80))</f>
        <v>0</v>
      </c>
      <c r="R80">
        <f>IF($P80="","",SUMPRODUCT(($A$3:$A$500=$P80)*($G$3:$G$500&lt;&gt;"Yes")*($G$3:$G$500&lt;&gt;"Did not pass re-test")))</f>
        <v>0</v>
      </c>
      <c r="S80" s="28" t="str">
        <f>IF($P80="","",IF(SUMPRODUCT(MAX(($A$3:$A$500=$P80)*ROW($A$3:$A$500)))=0,"",INDEX($B:$B,SUMPRODUCT(MAX(($A$3:$A$500=$P80)*ROW($A$3:$A$500))))))</f>
        <v/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/>
      </c>
    </row>
    <row r="81" spans="1:20">
      <c r="A81" s="31"/>
      <c r="B81" s="32"/>
      <c r="C81" s="31" t="s">
        <v>140</v>
      </c>
      <c r="D81" s="31"/>
      <c r="E81" s="31"/>
      <c r="F81" s="31"/>
      <c r="G81" s="31" t="s">
        <v>52</v>
      </c>
      <c r="H81" s="32"/>
      <c r="I81" s="32"/>
      <c r="J81" s="32"/>
      <c r="K81" s="31"/>
      <c r="L81" s="31"/>
      <c r="M81" s="3" t="str">
        <f t="shared" ca="1" si="2"/>
        <v/>
      </c>
      <c r="P81" t="str">
        <f>'Combined Delivery Data'!B106</f>
        <v>RPT_05_Leak Survey Mains Summary</v>
      </c>
      <c r="Q81">
        <f>IF($P81="","",COUNTIF($A$3:$A$500,$P81))</f>
        <v>0</v>
      </c>
      <c r="R81">
        <f>IF($P81="","",SUMPRODUCT(($A$3:$A$500=$P81)*($G$3:$G$500&lt;&gt;"Yes")*($G$3:$G$500&lt;&gt;"Did not pass re-test")))</f>
        <v>0</v>
      </c>
      <c r="S81" s="28" t="str">
        <f>IF($P81="","",IF(SUMPRODUCT(MAX(($A$3:$A$500=$P81)*ROW($A$3:$A$500)))=0,"",INDEX($B:$B,SUMPRODUCT(MAX(($A$3:$A$500=$P81)*ROW($A$3:$A$500))))))</f>
        <v/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/>
      </c>
    </row>
    <row r="82" spans="1:20">
      <c r="A82" s="31"/>
      <c r="B82" s="32"/>
      <c r="C82" s="31" t="s">
        <v>140</v>
      </c>
      <c r="D82" s="31"/>
      <c r="E82" s="31"/>
      <c r="F82" s="31"/>
      <c r="G82" s="31" t="s">
        <v>52</v>
      </c>
      <c r="H82" s="32"/>
      <c r="I82" s="32"/>
      <c r="J82" s="32"/>
      <c r="K82" s="31"/>
      <c r="L82" s="31"/>
      <c r="M82" s="3" t="str">
        <f t="shared" ca="1" si="2"/>
        <v/>
      </c>
      <c r="P82" t="str">
        <f>'Combined Delivery Data'!B107</f>
        <v>RPT_13_Customer Service Point</v>
      </c>
      <c r="Q82">
        <f>IF($P82="","",COUNTIF($A$3:$A$500,$P82))</f>
        <v>0</v>
      </c>
      <c r="R82">
        <f>IF($P82="","",SUMPRODUCT(($A$3:$A$500=$P82)*($G$3:$G$500&lt;&gt;"Yes")*($G$3:$G$500&lt;&gt;"Did not pass re-test")))</f>
        <v>0</v>
      </c>
      <c r="S82" s="28" t="str">
        <f>IF($P82="","",IF(SUMPRODUCT(MAX(($A$3:$A$500=$P82)*ROW($A$3:$A$500)))=0,"",INDEX($B:$B,SUMPRODUCT(MAX(($A$3:$A$500=$P82)*ROW($A$3:$A$500))))))</f>
        <v/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/>
      </c>
    </row>
    <row r="83" spans="1:20">
      <c r="A83" s="31"/>
      <c r="B83" s="32"/>
      <c r="C83" s="31" t="s">
        <v>140</v>
      </c>
      <c r="D83" s="31"/>
      <c r="E83" s="31"/>
      <c r="F83" s="31"/>
      <c r="G83" s="31" t="s">
        <v>52</v>
      </c>
      <c r="H83" s="32"/>
      <c r="I83" s="32"/>
      <c r="J83" s="32"/>
      <c r="K83" s="31"/>
      <c r="L83" s="31"/>
      <c r="M83" s="3" t="str">
        <f t="shared" ca="1" si="2"/>
        <v/>
      </c>
      <c r="P83" t="str">
        <f>'Combined Delivery Data'!B108</f>
        <v>RPT_02_Emergency Operation Checklist</v>
      </c>
      <c r="Q83">
        <f>IF($P83="","",COUNTIF($A$3:$A$500,$P83))</f>
        <v>0</v>
      </c>
      <c r="R83">
        <f>IF($P83="","",SUMPRODUCT(($A$3:$A$500=$P83)*($G$3:$G$500&lt;&gt;"Yes")*($G$3:$G$500&lt;&gt;"Did not pass re-test")))</f>
        <v>0</v>
      </c>
      <c r="S83" s="28" t="str">
        <f>IF($P83="","",IF(SUMPRODUCT(MAX(($A$3:$A$500=$P83)*ROW($A$3:$A$500)))=0,"",INDEX($B:$B,SUMPRODUCT(MAX(($A$3:$A$500=$P83)*ROW($A$3:$A$500))))))</f>
        <v/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/>
      </c>
    </row>
    <row r="84" spans="1:20">
      <c r="A84" s="31"/>
      <c r="B84" s="32"/>
      <c r="C84" s="31" t="s">
        <v>140</v>
      </c>
      <c r="D84" s="31"/>
      <c r="E84" s="31"/>
      <c r="F84" s="31"/>
      <c r="G84" s="31" t="s">
        <v>52</v>
      </c>
      <c r="H84" s="32"/>
      <c r="I84" s="32"/>
      <c r="J84" s="32"/>
      <c r="K84" s="31"/>
      <c r="L84" s="31"/>
      <c r="M84" s="3" t="str">
        <f t="shared" ca="1" si="2"/>
        <v/>
      </c>
      <c r="P84" t="str">
        <f>'Combined Delivery Data'!B109</f>
        <v>RPT_06_ERT List</v>
      </c>
      <c r="Q84">
        <f>IF($P84="","",COUNTIF($A$3:$A$500,$P84))</f>
        <v>0</v>
      </c>
      <c r="R84">
        <f>IF($P84="","",SUMPRODUCT(($A$3:$A$500=$P84)*($G$3:$G$500&lt;&gt;"Yes")*($G$3:$G$500&lt;&gt;"Did not pass re-test")))</f>
        <v>0</v>
      </c>
      <c r="S84" s="28" t="str">
        <f>IF($P84="","",IF(SUMPRODUCT(MAX(($A$3:$A$500=$P84)*ROW($A$3:$A$500)))=0,"",INDEX($B:$B,SUMPRODUCT(MAX(($A$3:$A$500=$P84)*ROW($A$3:$A$500))))))</f>
        <v/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/>
      </c>
    </row>
    <row r="85" spans="1:20">
      <c r="A85" s="31"/>
      <c r="B85" s="32"/>
      <c r="C85" s="31" t="s">
        <v>140</v>
      </c>
      <c r="D85" s="31"/>
      <c r="E85" s="31"/>
      <c r="F85" s="31"/>
      <c r="G85" s="31" t="s">
        <v>52</v>
      </c>
      <c r="H85" s="32"/>
      <c r="I85" s="32"/>
      <c r="J85" s="32"/>
      <c r="K85" s="31"/>
      <c r="L85" s="31"/>
      <c r="M85" s="3" t="str">
        <f t="shared" ca="1" si="2"/>
        <v/>
      </c>
      <c r="P85" t="str">
        <f>'Combined Delivery Data'!B110</f>
        <v>RPT_13_Blue Card</v>
      </c>
      <c r="Q85">
        <f>IF($P85="","",COUNTIF($A$3:$A$500,$P85))</f>
        <v>0</v>
      </c>
      <c r="R85">
        <f>IF($P85="","",SUMPRODUCT(($A$3:$A$500=$P85)*($G$3:$G$500&lt;&gt;"Yes")*($G$3:$G$500&lt;&gt;"Did not pass re-test")))</f>
        <v>0</v>
      </c>
      <c r="S85" s="28" t="str">
        <f>IF($P85="","",IF(SUMPRODUCT(MAX(($A$3:$A$500=$P85)*ROW($A$3:$A$500)))=0,"",INDEX($B:$B,SUMPRODUCT(MAX(($A$3:$A$500=$P85)*ROW($A$3:$A$500))))))</f>
        <v/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/>
      </c>
    </row>
    <row r="86" spans="1:20">
      <c r="A86" s="31"/>
      <c r="B86" s="32"/>
      <c r="C86" s="31" t="s">
        <v>140</v>
      </c>
      <c r="D86" s="31"/>
      <c r="E86" s="31"/>
      <c r="F86" s="31"/>
      <c r="G86" s="31" t="s">
        <v>52</v>
      </c>
      <c r="H86" s="32"/>
      <c r="I86" s="32"/>
      <c r="J86" s="32"/>
      <c r="K86" s="31"/>
      <c r="L86" s="31"/>
      <c r="M86" s="3" t="str">
        <f t="shared" ca="1" si="2"/>
        <v/>
      </c>
      <c r="P86" t="str">
        <f>'Combined Delivery Data'!B111</f>
        <v>RPT_06_Out of Route Meters Gas</v>
      </c>
      <c r="Q86">
        <f>IF($P86="","",COUNTIF($A$3:$A$500,$P86))</f>
        <v>0</v>
      </c>
      <c r="R86">
        <f>IF($P86="","",SUMPRODUCT(($A$3:$A$500=$P86)*($G$3:$G$500&lt;&gt;"Yes")*($G$3:$G$500&lt;&gt;"Did not pass re-test")))</f>
        <v>0</v>
      </c>
      <c r="S86" s="28" t="str">
        <f>IF($P86="","",IF(SUMPRODUCT(MAX(($A$3:$A$500=$P86)*ROW($A$3:$A$500)))=0,"",INDEX($B:$B,SUMPRODUCT(MAX(($A$3:$A$500=$P86)*ROW($A$3:$A$500))))))</f>
        <v/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/>
      </c>
    </row>
    <row r="87" spans="1:20">
      <c r="A87" s="31"/>
      <c r="B87" s="32"/>
      <c r="C87" s="31" t="s">
        <v>140</v>
      </c>
      <c r="D87" s="31"/>
      <c r="E87" s="31"/>
      <c r="F87" s="31"/>
      <c r="G87" s="31" t="s">
        <v>52</v>
      </c>
      <c r="H87" s="32"/>
      <c r="I87" s="32"/>
      <c r="J87" s="32"/>
      <c r="K87" s="31"/>
      <c r="L87" s="31"/>
      <c r="M87" s="3" t="str">
        <f t="shared" ca="1" si="2"/>
        <v/>
      </c>
      <c r="P87" t="str">
        <f>'Combined Delivery Data'!B112</f>
        <v>RPT_06_Yard Meter Inventory</v>
      </c>
      <c r="Q87">
        <f>IF($P87="","",COUNTIF($A$3:$A$500,$P87))</f>
        <v>0</v>
      </c>
      <c r="R87">
        <f>IF($P87="","",SUMPRODUCT(($A$3:$A$500=$P87)*($G$3:$G$500&lt;&gt;"Yes")*($G$3:$G$500&lt;&gt;"Did not pass re-test")))</f>
        <v>0</v>
      </c>
      <c r="S87" s="28" t="str">
        <f>IF($P87="","",IF(SUMPRODUCT(MAX(($A$3:$A$500=$P87)*ROW($A$3:$A$500)))=0,"",INDEX($B:$B,SUMPRODUCT(MAX(($A$3:$A$500=$P87)*ROW($A$3:$A$500))))))</f>
        <v/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/>
      </c>
    </row>
    <row r="88" spans="1:20">
      <c r="A88" s="31"/>
      <c r="B88" s="32"/>
      <c r="C88" s="31" t="s">
        <v>140</v>
      </c>
      <c r="D88" s="31"/>
      <c r="E88" s="31"/>
      <c r="F88" s="31"/>
      <c r="G88" s="31" t="s">
        <v>52</v>
      </c>
      <c r="H88" s="32"/>
      <c r="I88" s="32"/>
      <c r="J88" s="32"/>
      <c r="K88" s="31"/>
      <c r="L88" s="31"/>
      <c r="M88" s="3" t="str">
        <f t="shared" ca="1" si="2"/>
        <v/>
      </c>
      <c r="P88" t="str">
        <f>'Combined Delivery Data'!B113</f>
        <v>RPT_06_ERTtoEPSLoadReportbyReceiptNumber</v>
      </c>
      <c r="Q88">
        <f>IF($P88="","",COUNTIF($A$3:$A$500,$P88))</f>
        <v>0</v>
      </c>
      <c r="R88">
        <f>IF($P88="","",SUMPRODUCT(($A$3:$A$500=$P88)*($G$3:$G$500&lt;&gt;"Yes")*($G$3:$G$500&lt;&gt;"Did not pass re-test")))</f>
        <v>0</v>
      </c>
      <c r="S88" s="28" t="str">
        <f>IF($P88="","",IF(SUMPRODUCT(MAX(($A$3:$A$500=$P88)*ROW($A$3:$A$500)))=0,"",INDEX($B:$B,SUMPRODUCT(MAX(($A$3:$A$500=$P88)*ROW($A$3:$A$500))))))</f>
        <v/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/>
      </c>
    </row>
    <row r="89" spans="1:20">
      <c r="A89" s="31"/>
      <c r="B89" s="32"/>
      <c r="C89" s="31" t="s">
        <v>140</v>
      </c>
      <c r="D89" s="31"/>
      <c r="E89" s="31"/>
      <c r="F89" s="31"/>
      <c r="G89" s="31" t="s">
        <v>52</v>
      </c>
      <c r="H89" s="32"/>
      <c r="I89" s="32"/>
      <c r="J89" s="32"/>
      <c r="K89" s="31"/>
      <c r="L89" s="31"/>
      <c r="M89" s="3" t="str">
        <f t="shared" ca="1" si="2"/>
        <v/>
      </c>
      <c r="P89" t="str">
        <f>'Combined Delivery Data'!B114</f>
        <v>RPT_06_Out of Route Meters Electric</v>
      </c>
      <c r="Q89">
        <f>IF($P89="","",COUNTIF($A$3:$A$500,$P89))</f>
        <v>0</v>
      </c>
      <c r="R89">
        <f>IF($P89="","",SUMPRODUCT(($A$3:$A$500=$P89)*($G$3:$G$500&lt;&gt;"Yes")*($G$3:$G$500&lt;&gt;"Did not pass re-test")))</f>
        <v>0</v>
      </c>
      <c r="S89" s="28" t="str">
        <f>IF($P89="","",IF(SUMPRODUCT(MAX(($A$3:$A$500=$P89)*ROW($A$3:$A$500)))=0,"",INDEX($B:$B,SUMPRODUCT(MAX(($A$3:$A$500=$P89)*ROW($A$3:$A$500))))))</f>
        <v/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/>
      </c>
    </row>
    <row r="90" spans="1:20">
      <c r="A90" s="31"/>
      <c r="B90" s="32"/>
      <c r="C90" s="31" t="s">
        <v>140</v>
      </c>
      <c r="D90" s="31"/>
      <c r="E90" s="31"/>
      <c r="F90" s="31"/>
      <c r="G90" s="31" t="s">
        <v>52</v>
      </c>
      <c r="H90" s="32"/>
      <c r="I90" s="32"/>
      <c r="J90" s="32"/>
      <c r="K90" s="31"/>
      <c r="L90" s="31"/>
      <c r="M90" s="3" t="str">
        <f t="shared" ca="1" si="2"/>
        <v/>
      </c>
      <c r="P90" t="str">
        <f>'Combined Delivery Data'!B115</f>
        <v>RPT_06_Random Meter Sampling Testing Results</v>
      </c>
      <c r="Q90">
        <f>IF($P90="","",COUNTIF($A$3:$A$500,$P90))</f>
        <v>0</v>
      </c>
      <c r="R90">
        <f>IF($P90="","",SUMPRODUCT(($A$3:$A$500=$P90)*($G$3:$G$500&lt;&gt;"Yes")*($G$3:$G$500&lt;&gt;"Did not pass re-test")))</f>
        <v>0</v>
      </c>
      <c r="S90" s="28" t="str">
        <f>IF($P90="","",IF(SUMPRODUCT(MAX(($A$3:$A$500=$P90)*ROW($A$3:$A$500)))=0,"",INDEX($B:$B,SUMPRODUCT(MAX(($A$3:$A$500=$P90)*ROW($A$3:$A$500))))))</f>
        <v/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/>
      </c>
    </row>
    <row r="91" spans="1:20">
      <c r="A91" s="31"/>
      <c r="B91" s="32"/>
      <c r="C91" s="31" t="s">
        <v>140</v>
      </c>
      <c r="D91" s="31"/>
      <c r="E91" s="31"/>
      <c r="F91" s="31"/>
      <c r="G91" s="31" t="s">
        <v>52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Data'!B116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482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140</v>
      </c>
      <c r="D92" s="31"/>
      <c r="E92" s="31"/>
      <c r="F92" s="31"/>
      <c r="G92" s="31" t="s">
        <v>52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Data'!B117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482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140</v>
      </c>
      <c r="D93" s="31"/>
      <c r="E93" s="31"/>
      <c r="F93" s="31"/>
      <c r="G93" s="31" t="s">
        <v>52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Data'!B118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482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140</v>
      </c>
      <c r="D94" s="31"/>
      <c r="E94" s="31"/>
      <c r="F94" s="31"/>
      <c r="G94" s="31" t="s">
        <v>52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Data'!B119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482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140</v>
      </c>
      <c r="D95" s="31"/>
      <c r="E95" s="31"/>
      <c r="F95" s="31"/>
      <c r="G95" s="31" t="s">
        <v>52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Data'!B120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482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140</v>
      </c>
      <c r="D96" s="31"/>
      <c r="E96" s="31"/>
      <c r="F96" s="31"/>
      <c r="G96" s="31" t="s">
        <v>52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Data'!B121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482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140</v>
      </c>
      <c r="D97" s="31"/>
      <c r="E97" s="31"/>
      <c r="F97" s="31"/>
      <c r="G97" s="31" t="s">
        <v>52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Data'!B122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482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140</v>
      </c>
      <c r="D98" s="31"/>
      <c r="E98" s="31"/>
      <c r="F98" s="31"/>
      <c r="G98" s="31" t="s">
        <v>52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Data'!B123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482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140</v>
      </c>
      <c r="D99" s="31"/>
      <c r="E99" s="31"/>
      <c r="F99" s="31"/>
      <c r="G99" s="31" t="s">
        <v>52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Data'!B124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482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140</v>
      </c>
      <c r="D100" s="31"/>
      <c r="E100" s="31"/>
      <c r="F100" s="31"/>
      <c r="G100" s="31" t="s">
        <v>52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Data'!B125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482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140</v>
      </c>
      <c r="D101" s="31"/>
      <c r="E101" s="31"/>
      <c r="F101" s="31"/>
      <c r="G101" s="31" t="s">
        <v>52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Data'!B126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482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140</v>
      </c>
      <c r="D102" s="31"/>
      <c r="E102" s="31"/>
      <c r="F102" s="31"/>
      <c r="G102" s="31" t="s">
        <v>52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Data'!B127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482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140</v>
      </c>
      <c r="D103" s="31"/>
      <c r="E103" s="31"/>
      <c r="F103" s="31"/>
      <c r="G103" s="31" t="s">
        <v>52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Data'!B128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482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140</v>
      </c>
      <c r="D104" s="31"/>
      <c r="E104" s="31"/>
      <c r="F104" s="31"/>
      <c r="G104" s="31" t="s">
        <v>52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Data'!B129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482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140</v>
      </c>
      <c r="D105" s="31"/>
      <c r="E105" s="31"/>
      <c r="F105" s="31"/>
      <c r="G105" s="31" t="s">
        <v>52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Data'!B130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482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140</v>
      </c>
      <c r="D106" s="31"/>
      <c r="E106" s="31"/>
      <c r="F106" s="31"/>
      <c r="G106" s="31" t="s">
        <v>52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Data'!B131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482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140</v>
      </c>
      <c r="D107" s="31"/>
      <c r="E107" s="31"/>
      <c r="F107" s="31"/>
      <c r="G107" s="31" t="s">
        <v>52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Data'!B132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482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140</v>
      </c>
      <c r="D108" s="31"/>
      <c r="E108" s="31"/>
      <c r="F108" s="31"/>
      <c r="G108" s="31" t="s">
        <v>52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Data'!B133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482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140</v>
      </c>
      <c r="D109" s="31"/>
      <c r="E109" s="31"/>
      <c r="F109" s="31"/>
      <c r="G109" s="31" t="s">
        <v>52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Data'!B134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482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140</v>
      </c>
      <c r="D110" s="31"/>
      <c r="E110" s="31"/>
      <c r="F110" s="31"/>
      <c r="G110" s="31" t="s">
        <v>52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Data'!B135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482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140</v>
      </c>
      <c r="D111" s="31"/>
      <c r="E111" s="31"/>
      <c r="F111" s="31"/>
      <c r="G111" s="31" t="s">
        <v>52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Data'!B136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482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140</v>
      </c>
      <c r="D112" s="31"/>
      <c r="E112" s="31"/>
      <c r="F112" s="31"/>
      <c r="G112" s="31" t="s">
        <v>52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Data'!B137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482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140</v>
      </c>
      <c r="D113" s="31"/>
      <c r="E113" s="31"/>
      <c r="F113" s="31"/>
      <c r="G113" s="31" t="s">
        <v>52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Data'!B138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482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140</v>
      </c>
      <c r="D114" s="31"/>
      <c r="E114" s="31"/>
      <c r="F114" s="31"/>
      <c r="G114" s="31" t="s">
        <v>52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Data'!B139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482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140</v>
      </c>
      <c r="D115" s="31"/>
      <c r="E115" s="31"/>
      <c r="F115" s="31"/>
      <c r="G115" s="31" t="s">
        <v>52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Data'!B140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482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140</v>
      </c>
      <c r="D116" s="31"/>
      <c r="E116" s="31"/>
      <c r="F116" s="31"/>
      <c r="G116" s="31" t="s">
        <v>52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Data'!B141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482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140</v>
      </c>
      <c r="D117" s="31"/>
      <c r="E117" s="31"/>
      <c r="F117" s="31"/>
      <c r="G117" s="31" t="s">
        <v>52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Data'!B142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482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140</v>
      </c>
      <c r="D118" s="31"/>
      <c r="E118" s="31"/>
      <c r="F118" s="31"/>
      <c r="G118" s="31" t="s">
        <v>52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Data'!B143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482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140</v>
      </c>
      <c r="D119" s="31"/>
      <c r="E119" s="31"/>
      <c r="F119" s="31"/>
      <c r="G119" s="31" t="s">
        <v>52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Data'!B144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482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140</v>
      </c>
      <c r="D120" s="31"/>
      <c r="E120" s="31"/>
      <c r="F120" s="31"/>
      <c r="G120" s="31" t="s">
        <v>52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Data'!B145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482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140</v>
      </c>
      <c r="D121" s="31"/>
      <c r="E121" s="31"/>
      <c r="F121" s="31"/>
      <c r="G121" s="31" t="s">
        <v>52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Data'!B146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482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140</v>
      </c>
      <c r="D122" s="31"/>
      <c r="E122" s="31"/>
      <c r="F122" s="31"/>
      <c r="G122" s="31" t="s">
        <v>52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Data'!B147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482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140</v>
      </c>
      <c r="D123" s="31"/>
      <c r="E123" s="31"/>
      <c r="F123" s="31"/>
      <c r="G123" s="31" t="s">
        <v>52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Data'!B148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482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140</v>
      </c>
      <c r="D124" s="31"/>
      <c r="E124" s="31"/>
      <c r="F124" s="31"/>
      <c r="G124" s="31" t="s">
        <v>52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Data'!B149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482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140</v>
      </c>
      <c r="D125" s="31"/>
      <c r="E125" s="31"/>
      <c r="F125" s="31"/>
      <c r="G125" s="31" t="s">
        <v>52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Data'!B150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482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140</v>
      </c>
      <c r="D126" s="31"/>
      <c r="E126" s="31"/>
      <c r="F126" s="31"/>
      <c r="G126" s="31" t="s">
        <v>52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Data'!B151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482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140</v>
      </c>
      <c r="D127" s="31"/>
      <c r="E127" s="31"/>
      <c r="F127" s="31"/>
      <c r="G127" s="31" t="s">
        <v>52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Data'!B152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482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140</v>
      </c>
      <c r="D128" s="31"/>
      <c r="E128" s="31"/>
      <c r="F128" s="31"/>
      <c r="G128" s="31" t="s">
        <v>52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Data'!B153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482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140</v>
      </c>
      <c r="D129" s="31"/>
      <c r="E129" s="31"/>
      <c r="F129" s="31"/>
      <c r="G129" s="31" t="s">
        <v>52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Data'!B154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482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140</v>
      </c>
      <c r="D130" s="31"/>
      <c r="E130" s="31"/>
      <c r="F130" s="31"/>
      <c r="G130" s="31" t="s">
        <v>52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Data'!B155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482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140</v>
      </c>
      <c r="D131" s="31"/>
      <c r="E131" s="31"/>
      <c r="F131" s="31"/>
      <c r="G131" s="31" t="s">
        <v>52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482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140</v>
      </c>
      <c r="D132" s="31"/>
      <c r="E132" s="31"/>
      <c r="F132" s="31"/>
      <c r="G132" s="31" t="s">
        <v>52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Data'!B157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482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140</v>
      </c>
      <c r="D133" s="31"/>
      <c r="E133" s="31"/>
      <c r="F133" s="31"/>
      <c r="G133" s="31" t="s">
        <v>52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Data'!B158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482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140</v>
      </c>
      <c r="D134" s="31"/>
      <c r="E134" s="31"/>
      <c r="F134" s="31"/>
      <c r="G134" s="31" t="s">
        <v>52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Data'!B159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482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140</v>
      </c>
      <c r="D135" s="31"/>
      <c r="E135" s="31"/>
      <c r="F135" s="31"/>
      <c r="G135" s="31" t="s">
        <v>52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Data'!B160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482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140</v>
      </c>
      <c r="D136" s="31"/>
      <c r="E136" s="31"/>
      <c r="F136" s="31"/>
      <c r="G136" s="31" t="s">
        <v>52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Data'!B161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482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140</v>
      </c>
      <c r="D137" s="31"/>
      <c r="E137" s="31"/>
      <c r="F137" s="31"/>
      <c r="G137" s="31" t="s">
        <v>52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Data'!B162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482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140</v>
      </c>
      <c r="D138" s="31"/>
      <c r="E138" s="31"/>
      <c r="F138" s="31"/>
      <c r="G138" s="31" t="s">
        <v>52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Data'!B163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482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140</v>
      </c>
      <c r="D139" s="31"/>
      <c r="E139" s="31"/>
      <c r="F139" s="31"/>
      <c r="G139" s="31" t="s">
        <v>52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Data'!B164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482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140</v>
      </c>
      <c r="D140" s="31"/>
      <c r="E140" s="31"/>
      <c r="F140" s="31"/>
      <c r="G140" s="31" t="s">
        <v>52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Data'!B165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482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140</v>
      </c>
      <c r="D141" s="31"/>
      <c r="E141" s="31"/>
      <c r="F141" s="31"/>
      <c r="G141" s="31" t="s">
        <v>52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Data'!B166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482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140</v>
      </c>
      <c r="D142" s="31"/>
      <c r="E142" s="31"/>
      <c r="F142" s="31"/>
      <c r="G142" s="31" t="s">
        <v>52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Data'!B167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482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140</v>
      </c>
      <c r="D143" s="31"/>
      <c r="E143" s="31"/>
      <c r="F143" s="31"/>
      <c r="G143" s="31" t="s">
        <v>52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Data'!B168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482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140</v>
      </c>
      <c r="D144" s="31"/>
      <c r="E144" s="31"/>
      <c r="F144" s="31"/>
      <c r="G144" s="31" t="s">
        <v>52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Data'!B169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482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140</v>
      </c>
      <c r="D145" s="31"/>
      <c r="E145" s="31"/>
      <c r="F145" s="31"/>
      <c r="G145" s="31" t="s">
        <v>52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Data'!B170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482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140</v>
      </c>
      <c r="D146" s="31"/>
      <c r="E146" s="31"/>
      <c r="F146" s="31"/>
      <c r="G146" s="31" t="s">
        <v>52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Data'!B171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482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140</v>
      </c>
      <c r="D147" s="31"/>
      <c r="E147" s="31"/>
      <c r="F147" s="31"/>
      <c r="G147" s="31" t="s">
        <v>52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Data'!B172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482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140</v>
      </c>
      <c r="D148" s="31"/>
      <c r="E148" s="31"/>
      <c r="F148" s="31"/>
      <c r="G148" s="31" t="s">
        <v>52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Data'!B173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482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140</v>
      </c>
      <c r="D149" s="31"/>
      <c r="E149" s="31"/>
      <c r="F149" s="31"/>
      <c r="G149" s="31" t="s">
        <v>52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Data'!B174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482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140</v>
      </c>
      <c r="D150" s="31"/>
      <c r="E150" s="31"/>
      <c r="F150" s="31"/>
      <c r="G150" s="31" t="s">
        <v>52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Data'!B175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482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140</v>
      </c>
      <c r="D151" s="31"/>
      <c r="E151" s="31"/>
      <c r="F151" s="31"/>
      <c r="G151" s="31" t="s">
        <v>52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Data'!B176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482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140</v>
      </c>
      <c r="D152" s="31"/>
      <c r="E152" s="31"/>
      <c r="F152" s="31"/>
      <c r="G152" s="31" t="s">
        <v>52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Data'!B177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482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140</v>
      </c>
      <c r="D153" s="31"/>
      <c r="E153" s="31"/>
      <c r="F153" s="31"/>
      <c r="G153" s="31" t="s">
        <v>52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Data'!B178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482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140</v>
      </c>
      <c r="D154" s="31"/>
      <c r="E154" s="31"/>
      <c r="F154" s="31"/>
      <c r="G154" s="31" t="s">
        <v>52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Data'!B179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482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140</v>
      </c>
      <c r="D155" s="31"/>
      <c r="E155" s="31"/>
      <c r="F155" s="31"/>
      <c r="G155" s="31" t="s">
        <v>52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Data'!B180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482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140</v>
      </c>
      <c r="D156" s="31"/>
      <c r="E156" s="31"/>
      <c r="F156" s="31"/>
      <c r="G156" s="31" t="s">
        <v>52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Data'!B181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482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140</v>
      </c>
      <c r="D157" s="31"/>
      <c r="E157" s="31"/>
      <c r="F157" s="31"/>
      <c r="G157" s="31" t="s">
        <v>52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Data'!B182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482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140</v>
      </c>
      <c r="D158" s="31"/>
      <c r="E158" s="31"/>
      <c r="F158" s="31"/>
      <c r="G158" s="31" t="s">
        <v>52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Data'!B183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482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140</v>
      </c>
      <c r="D159" s="31"/>
      <c r="E159" s="31"/>
      <c r="F159" s="31"/>
      <c r="G159" s="31" t="s">
        <v>52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Data'!B184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482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140</v>
      </c>
      <c r="D160" s="31"/>
      <c r="E160" s="31"/>
      <c r="F160" s="31"/>
      <c r="G160" s="31" t="s">
        <v>52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Data'!B185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482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140</v>
      </c>
      <c r="D161" s="31"/>
      <c r="E161" s="31"/>
      <c r="F161" s="31"/>
      <c r="G161" s="31" t="s">
        <v>52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Data'!B186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482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140</v>
      </c>
      <c r="D162" s="31"/>
      <c r="E162" s="31"/>
      <c r="F162" s="31"/>
      <c r="G162" s="31" t="s">
        <v>52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Data'!B187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482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140</v>
      </c>
      <c r="D163" s="31"/>
      <c r="E163" s="31"/>
      <c r="F163" s="31"/>
      <c r="G163" s="31" t="s">
        <v>52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Data'!B188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482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140</v>
      </c>
      <c r="D164" s="31"/>
      <c r="E164" s="31"/>
      <c r="F164" s="31"/>
      <c r="G164" s="31" t="s">
        <v>52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Data'!B189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482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140</v>
      </c>
      <c r="D165" s="31"/>
      <c r="E165" s="31"/>
      <c r="F165" s="31"/>
      <c r="G165" s="31" t="s">
        <v>52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Data'!B190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482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140</v>
      </c>
      <c r="D166" s="31"/>
      <c r="E166" s="31"/>
      <c r="F166" s="31"/>
      <c r="G166" s="31" t="s">
        <v>52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Data'!B191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482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140</v>
      </c>
      <c r="D167" s="31"/>
      <c r="E167" s="31"/>
      <c r="F167" s="31"/>
      <c r="G167" s="31" t="s">
        <v>52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Data'!B192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482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140</v>
      </c>
      <c r="D168" s="31"/>
      <c r="E168" s="31"/>
      <c r="F168" s="31"/>
      <c r="G168" s="31" t="s">
        <v>52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Data'!B193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482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140</v>
      </c>
      <c r="D169" s="31"/>
      <c r="E169" s="31"/>
      <c r="F169" s="31"/>
      <c r="G169" s="31" t="s">
        <v>52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Data'!B194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482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140</v>
      </c>
      <c r="D170" s="31"/>
      <c r="E170" s="31"/>
      <c r="F170" s="31"/>
      <c r="G170" s="31" t="s">
        <v>52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Data'!B195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482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140</v>
      </c>
      <c r="D171" s="31"/>
      <c r="E171" s="31"/>
      <c r="F171" s="31"/>
      <c r="G171" s="31" t="s">
        <v>52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Data'!B196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482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140</v>
      </c>
      <c r="D172" s="31"/>
      <c r="E172" s="31"/>
      <c r="F172" s="31"/>
      <c r="G172" s="31" t="s">
        <v>52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Data'!B197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482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140</v>
      </c>
      <c r="D173" s="31"/>
      <c r="E173" s="31"/>
      <c r="F173" s="31"/>
      <c r="G173" s="31" t="s">
        <v>52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Data'!B198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482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140</v>
      </c>
      <c r="D174" s="31"/>
      <c r="E174" s="31"/>
      <c r="F174" s="31"/>
      <c r="G174" s="31" t="s">
        <v>52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Data'!B199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482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140</v>
      </c>
      <c r="D175" s="31"/>
      <c r="E175" s="31"/>
      <c r="F175" s="31"/>
      <c r="G175" s="31" t="s">
        <v>52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Data'!B200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482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140</v>
      </c>
      <c r="D176" s="31"/>
      <c r="E176" s="31"/>
      <c r="F176" s="31"/>
      <c r="G176" s="31" t="s">
        <v>52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Data'!B201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482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140</v>
      </c>
      <c r="D177" s="31"/>
      <c r="E177" s="31"/>
      <c r="F177" s="31"/>
      <c r="G177" s="31" t="s">
        <v>52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Data'!B202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482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140</v>
      </c>
      <c r="D178" s="31"/>
      <c r="E178" s="31"/>
      <c r="F178" s="31"/>
      <c r="G178" s="31" t="s">
        <v>52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Data'!B203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482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140</v>
      </c>
      <c r="D179" s="31"/>
      <c r="E179" s="31"/>
      <c r="F179" s="31"/>
      <c r="G179" s="31" t="s">
        <v>52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Data'!B204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482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140</v>
      </c>
      <c r="D180" s="31"/>
      <c r="E180" s="31"/>
      <c r="F180" s="31"/>
      <c r="G180" s="31" t="s">
        <v>52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Data'!B205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482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140</v>
      </c>
      <c r="D181" s="31"/>
      <c r="E181" s="31"/>
      <c r="F181" s="31"/>
      <c r="G181" s="31" t="s">
        <v>52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Data'!B206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482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140</v>
      </c>
      <c r="D182" s="31"/>
      <c r="E182" s="31"/>
      <c r="F182" s="31"/>
      <c r="G182" s="31" t="s">
        <v>52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Data'!B207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482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140</v>
      </c>
      <c r="D183" s="31"/>
      <c r="E183" s="31"/>
      <c r="F183" s="31"/>
      <c r="G183" s="31" t="s">
        <v>52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Data'!B208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482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140</v>
      </c>
      <c r="D184" s="31"/>
      <c r="E184" s="31"/>
      <c r="F184" s="31"/>
      <c r="G184" s="31" t="s">
        <v>52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Data'!B209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482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140</v>
      </c>
      <c r="D185" s="31"/>
      <c r="E185" s="31"/>
      <c r="F185" s="31"/>
      <c r="G185" s="31" t="s">
        <v>52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Data'!B210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482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140</v>
      </c>
      <c r="D186" s="31"/>
      <c r="E186" s="31"/>
      <c r="F186" s="31"/>
      <c r="G186" s="31" t="s">
        <v>52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Data'!B211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482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140</v>
      </c>
      <c r="D187" s="31"/>
      <c r="E187" s="31"/>
      <c r="F187" s="31"/>
      <c r="G187" s="31" t="s">
        <v>52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Data'!B212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482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140</v>
      </c>
      <c r="D188" s="31"/>
      <c r="E188" s="31"/>
      <c r="F188" s="31"/>
      <c r="G188" s="31" t="s">
        <v>52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Data'!B213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482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140</v>
      </c>
      <c r="D189" s="31"/>
      <c r="E189" s="31"/>
      <c r="F189" s="31"/>
      <c r="G189" s="31" t="s">
        <v>52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Data'!B214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482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140</v>
      </c>
      <c r="D190" s="31"/>
      <c r="E190" s="31"/>
      <c r="F190" s="31"/>
      <c r="G190" s="31" t="s">
        <v>52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Data'!B215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482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140</v>
      </c>
      <c r="D191" s="31"/>
      <c r="E191" s="31"/>
      <c r="F191" s="31"/>
      <c r="G191" s="31" t="s">
        <v>52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Data'!B216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482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140</v>
      </c>
      <c r="D192" s="31"/>
      <c r="E192" s="31"/>
      <c r="F192" s="31"/>
      <c r="G192" s="31" t="s">
        <v>52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Data'!B217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482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140</v>
      </c>
      <c r="D193" s="31"/>
      <c r="E193" s="31"/>
      <c r="F193" s="31"/>
      <c r="G193" s="31" t="s">
        <v>52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Data'!B218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482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140</v>
      </c>
      <c r="D194" s="31"/>
      <c r="E194" s="31"/>
      <c r="F194" s="31"/>
      <c r="G194" s="31" t="s">
        <v>52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Data'!B219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482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140</v>
      </c>
      <c r="D195" s="31"/>
      <c r="E195" s="31"/>
      <c r="F195" s="31"/>
      <c r="G195" s="31" t="s">
        <v>52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482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140</v>
      </c>
      <c r="D196" s="31"/>
      <c r="E196" s="31"/>
      <c r="F196" s="31"/>
      <c r="G196" s="31" t="s">
        <v>52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Data'!B221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482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140</v>
      </c>
      <c r="D197" s="31"/>
      <c r="E197" s="31"/>
      <c r="F197" s="31"/>
      <c r="G197" s="31" t="s">
        <v>52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Data'!B222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482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140</v>
      </c>
      <c r="D198" s="31"/>
      <c r="E198" s="31"/>
      <c r="F198" s="31"/>
      <c r="G198" s="31" t="s">
        <v>52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Data'!B223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482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140</v>
      </c>
      <c r="D199" s="31"/>
      <c r="E199" s="31"/>
      <c r="F199" s="31"/>
      <c r="G199" s="31" t="s">
        <v>52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Data'!B224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482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140</v>
      </c>
      <c r="D200" s="31"/>
      <c r="E200" s="31"/>
      <c r="F200" s="31"/>
      <c r="G200" s="31" t="s">
        <v>52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Data'!B225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482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Data'!B226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482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Data'!B227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482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Data'!B228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482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Data'!B229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482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Data'!B230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482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Data'!B231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482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Data'!B232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482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Data'!B233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482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Data'!B234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482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Data'!B235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482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Data'!B236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482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Data'!B237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482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Data'!B238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482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Data'!B239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482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Data'!B240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482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Data'!B241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482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Data'!B242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482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Data'!B243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482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Data'!B244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482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Data'!B245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482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Data'!B246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482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Data'!B247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482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Data'!B248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482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Data'!B249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482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Data'!B250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482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Data'!B251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482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Data'!B252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482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Data'!B253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482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Data'!B254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482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Data'!B255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482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Data'!B256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482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Data'!B257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482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Data'!B258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482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Data'!B259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482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Data'!B260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482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Data'!B261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482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Data'!B262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482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Data'!B263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482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Data'!B264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482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Data'!B265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482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Data'!B266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482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Data'!B267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482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Data'!B268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482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Data'!B269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482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Data'!B270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482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Data'!B271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482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Data'!B272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482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Data'!B273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482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Data'!B274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482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Data'!B275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482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Data'!B276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482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Data'!B277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482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Data'!B278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482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Data'!B279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482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Data'!B280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482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Data'!B281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482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Data'!B282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482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Data'!B283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482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482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Data'!B285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482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Data'!B286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482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Data'!B287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482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Data'!B288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482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Data'!B289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482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Data'!B290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482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Data'!B291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482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Data'!B292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482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Data'!B293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482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Data'!B294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482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Data'!B295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482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Data'!B296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482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Data'!B297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482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Data'!B298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482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Data'!B299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482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Data'!B300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482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Data'!B301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482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Data'!B302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482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Data'!B303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482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Data'!B304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482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Data'!B305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482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Data'!B306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482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Data'!B307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482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Data'!B308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482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Data'!B309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482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Data'!B310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482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Data'!B311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482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Data'!B312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482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Data'!B313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482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Data'!B314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482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Data'!B315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482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Data'!B316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482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Data'!B317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482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Data'!B318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482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Data'!B319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482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Data'!B320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482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Data'!B321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482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Data'!B322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482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Data'!B323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482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Data'!B324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482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Data'!B325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482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Data'!B326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482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Data'!B327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482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Data'!B328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482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Data'!B329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482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Data'!B330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482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Data'!B331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482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Data'!B332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482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Data'!B333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482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Data'!B334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482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Data'!B335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482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Data'!B336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482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Data'!B337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482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Data'!B338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482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Data'!B339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482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Data'!B340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482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Data'!B341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482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Data'!B342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482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Data'!B343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482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Data'!B344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482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Data'!B345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482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Data'!B346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482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Data'!B347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482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482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Data'!B349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482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Data'!B350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482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Data'!B351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482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Data'!B352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482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Data'!B353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482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Data'!B354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482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Data'!B355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482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Data'!B356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482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Data'!B357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482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Data'!B358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482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Data'!B359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482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Data'!B360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482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Data'!B361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482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Data'!B362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482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Data'!B363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482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Data'!B364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482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Data'!B365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482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Data'!B366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482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Data'!B367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482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Data'!B368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482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Data'!B369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482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Data'!B370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482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Data'!B371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482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Data'!B372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482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Data'!B373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482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Data'!B374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482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Data'!B375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482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Data'!B376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482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Data'!B377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482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Data'!B378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482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Data'!B379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482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Data'!B380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482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Data'!B381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482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Data'!B382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482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Data'!B383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482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Data'!B384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482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Data'!B385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482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Data'!B386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482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Data'!B387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482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Data'!B388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482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Data'!B389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482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Data'!B390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482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Data'!B391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482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Data'!B392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482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Data'!B393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482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Data'!B394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482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Data'!B395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482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Data'!B396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482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Data'!B397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482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Data'!B398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482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Data'!B399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482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Data'!B400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482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Data'!B401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482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Data'!B402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482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Data'!B403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482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Data'!B404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482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Data'!B405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482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Data'!B406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482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Data'!B407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482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Data'!B408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482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Data'!B409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482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Data'!B410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482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Data'!B411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482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482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Data'!B413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482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Data'!B414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482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Data'!B415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482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Data'!B416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482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Data'!B417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482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Data'!B418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482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Data'!B419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482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Data'!B420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482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Data'!B421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482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Data'!B422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482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Data'!B423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482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Data'!B424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482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Data'!B425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482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Data'!B426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482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Data'!B427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482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Data'!B428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482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Data'!B429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482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Data'!B430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482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Data'!B431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482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Data'!B432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482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Data'!B433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482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Data'!B434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482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Data'!B435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482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Data'!B436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482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Data'!B437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482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Data'!B438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482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Data'!B439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482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Data'!B440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482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Data'!B441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482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Data'!B442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482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Data'!B443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482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Data'!B444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482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Data'!B445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482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Data'!B446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482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Data'!B447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482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Data'!B448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482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Data'!B449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482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Data'!B450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482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Data'!B451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482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Data'!B452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482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Data'!B453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482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Data'!B454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482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Data'!B455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482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Data'!B456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482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Data'!B457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482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Data'!B458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482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Data'!B459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482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Data'!B460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482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Data'!B461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482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Data'!B462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482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Data'!B463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482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Data'!B464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482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Data'!B465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482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Data'!B466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482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Data'!B467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482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Data'!B468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482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Data'!B469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482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Data'!B470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482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Data'!B471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482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Data'!B472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482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Data'!B473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482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Data'!B474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482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Data'!B475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482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482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Data'!B477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482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Data'!B478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482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Data'!B479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482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Data'!B480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482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Data'!B481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482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Data'!B482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482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Data'!B483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482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Data'!B484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482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Data'!B485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482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Data'!B486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482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Data'!B487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482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Data'!B488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482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Data'!B489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482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Data'!B490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482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Data'!B491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482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Data'!B492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482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Data'!B493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482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Data'!B494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482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Data'!B495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482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Data'!B496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482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Data'!B497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482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Data'!B498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482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Data'!B499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482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Data'!B500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482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Data'!B501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482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Data'!B502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482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Data'!B503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482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Data'!B504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482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Data'!B505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482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Data'!B506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482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Data'!B507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482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Data'!B508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482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Data'!B509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482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Data'!B510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482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Data'!B511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482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Data'!B512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482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Data'!B513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482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Data'!B514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482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Data'!B515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482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Data'!B516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482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Data'!B517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482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Data'!B518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482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Data'!B519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482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Data'!B520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482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Data'!B521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482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Data'!B522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482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Data'!B523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482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Data'!B524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482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Data'!B525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482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4" priority="5">
      <formula>AND($B5&lt;&gt;"",MOD(ROW(),2)=0)</formula>
    </cfRule>
  </conditionalFormatting>
  <conditionalFormatting sqref="A11:A13">
    <cfRule type="expression" dxfId="13" priority="2">
      <formula>AND($B11&lt;&gt;"",MOD(ROW(),2)=0)</formula>
    </cfRule>
  </conditionalFormatting>
  <conditionalFormatting sqref="A3:H3 K3:M3 A4:M4 M4:M11 B5:M8 A9:M10 B11:M13 A14:M17 A19:M500 B18:M18">
    <cfRule type="expression" dxfId="12" priority="15">
      <formula>AND($A3&lt;&gt;"",$G3="Yes")</formula>
    </cfRule>
    <cfRule type="expression" dxfId="11" priority="16">
      <formula>AND($A3&lt;&gt;"",$J3&lt;&gt;"")</formula>
    </cfRule>
    <cfRule type="expression" dxfId="10" priority="17">
      <formula>$A3&lt;&gt;""</formula>
    </cfRule>
  </conditionalFormatting>
  <conditionalFormatting sqref="C3:C200">
    <cfRule type="expression" dxfId="9" priority="18">
      <formula>$A3=""</formula>
    </cfRule>
  </conditionalFormatting>
  <conditionalFormatting sqref="G3:G200">
    <cfRule type="expression" dxfId="8" priority="19">
      <formula>$A3=""</formula>
    </cfRule>
  </conditionalFormatting>
  <conditionalFormatting sqref="K3:M3 A4:M4 M4:M11 B5:M8 A9:M10 B11:M13 A14:M17 A3:H3 A19:M500 B18:M18">
    <cfRule type="expression" dxfId="7" priority="14">
      <formula>AND($A3&lt;&gt;"",$G3="Did not pass re-test")</formula>
    </cfRule>
  </conditionalFormatting>
  <conditionalFormatting sqref="M3:M500">
    <cfRule type="expression" dxfId="6" priority="8">
      <formula>ISNUMBER(SEARCH("Sent back again",$M3))</formula>
    </cfRule>
    <cfRule type="expression" dxfId="5" priority="9">
      <formula>ISNUMBER(SEARCH("LATE",$M3))</formula>
    </cfRule>
    <cfRule type="expression" dxfId="4" priority="10">
      <formula>ISNUMBER(SEARCH("UNCLAIMED",$M3))</formula>
    </cfRule>
    <cfRule type="expression" dxfId="3" priority="11">
      <formula>ISNUMBER(SEARCH("Missing",$M3))</formula>
    </cfRule>
    <cfRule type="expression" dxfId="2" priority="12">
      <formula>ISNUMBER(SEARCH("Fixed in",$M3))</formula>
    </cfRule>
    <cfRule type="expression" dxfId="1" priority="13">
      <formula>ISNUMBER(SEARCH("Open",$M3))</formula>
    </cfRule>
  </conditionalFormatting>
  <conditionalFormatting sqref="A18">
    <cfRule type="expression" dxfId="0" priority="1">
      <formula>AND($B18&lt;&gt;"",MOD(ROW(),2)=0)</formula>
    </cfRule>
  </conditionalFormatting>
  <dataValidations count="5"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A9:A10 A12 A14:A17 A19:A500</xm:sqref>
        </x14:dataValidation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91" t="s">
        <v>367</v>
      </c>
      <c r="B1" s="86"/>
      <c r="C1" s="86"/>
      <c r="D1" s="86"/>
      <c r="E1" s="86"/>
      <c r="F1" s="86"/>
      <c r="G1" s="86"/>
      <c r="H1" s="86"/>
      <c r="I1" s="86"/>
      <c r="J1" s="86"/>
    </row>
    <row r="2" spans="1:10" ht="27" customHeight="1">
      <c r="A2" s="8" t="s">
        <v>0</v>
      </c>
      <c r="B2" s="8" t="s">
        <v>368</v>
      </c>
      <c r="C2" s="8" t="s">
        <v>1</v>
      </c>
      <c r="D2" s="8" t="s">
        <v>369</v>
      </c>
      <c r="E2" s="8" t="s">
        <v>370</v>
      </c>
      <c r="F2" s="8" t="s">
        <v>6</v>
      </c>
      <c r="G2" s="8" t="s">
        <v>5</v>
      </c>
      <c r="H2" s="8" t="s">
        <v>371</v>
      </c>
      <c r="I2" s="8" t="s">
        <v>372</v>
      </c>
      <c r="J2" s="8" t="s">
        <v>373</v>
      </c>
    </row>
    <row r="3" spans="1:10" ht="14.25" customHeight="1">
      <c r="A3" s="9" t="s">
        <v>39</v>
      </c>
      <c r="B3" s="9" t="s">
        <v>185</v>
      </c>
      <c r="C3" s="9" t="s">
        <v>40</v>
      </c>
      <c r="D3" s="9" t="s">
        <v>43</v>
      </c>
      <c r="E3" s="9" t="s">
        <v>45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39</v>
      </c>
      <c r="B4" s="9" t="s">
        <v>178</v>
      </c>
      <c r="C4" s="9" t="s">
        <v>40</v>
      </c>
      <c r="D4" s="9" t="s">
        <v>43</v>
      </c>
      <c r="E4" s="9" t="s">
        <v>45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39</v>
      </c>
      <c r="B5" s="9" t="s">
        <v>140</v>
      </c>
      <c r="C5" s="9" t="s">
        <v>40</v>
      </c>
      <c r="D5" s="9" t="s">
        <v>43</v>
      </c>
      <c r="E5" s="9" t="s">
        <v>45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39</v>
      </c>
      <c r="B6" s="9" t="s">
        <v>128</v>
      </c>
      <c r="C6" s="9" t="s">
        <v>40</v>
      </c>
      <c r="D6" s="9" t="s">
        <v>43</v>
      </c>
      <c r="E6" s="9" t="s">
        <v>45</v>
      </c>
      <c r="F6" s="9"/>
      <c r="G6" s="9"/>
      <c r="H6" s="10">
        <v>46122</v>
      </c>
      <c r="I6" s="10"/>
      <c r="J6" s="10"/>
    </row>
    <row r="7" spans="1:10" ht="14.25" customHeight="1">
      <c r="A7" s="9" t="s">
        <v>39</v>
      </c>
      <c r="B7" s="9" t="s">
        <v>41</v>
      </c>
      <c r="C7" s="9" t="s">
        <v>40</v>
      </c>
      <c r="D7" s="9" t="s">
        <v>43</v>
      </c>
      <c r="E7" s="9" t="s">
        <v>45</v>
      </c>
      <c r="F7" s="9"/>
      <c r="G7" s="9"/>
      <c r="H7" s="9"/>
      <c r="I7" s="10"/>
      <c r="J7" s="10"/>
    </row>
    <row r="8" spans="1:10" ht="14.25" customHeight="1">
      <c r="A8" s="9" t="s">
        <v>39</v>
      </c>
      <c r="B8" s="9" t="s">
        <v>185</v>
      </c>
      <c r="C8" s="9" t="s">
        <v>54</v>
      </c>
      <c r="D8" s="9" t="s">
        <v>43</v>
      </c>
      <c r="E8" s="9" t="s">
        <v>45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39</v>
      </c>
      <c r="B9" s="9" t="s">
        <v>178</v>
      </c>
      <c r="C9" s="9" t="s">
        <v>54</v>
      </c>
      <c r="D9" s="9" t="s">
        <v>43</v>
      </c>
      <c r="E9" s="9" t="s">
        <v>45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39</v>
      </c>
      <c r="B10" s="9" t="s">
        <v>140</v>
      </c>
      <c r="C10" s="9" t="s">
        <v>54</v>
      </c>
      <c r="D10" s="9" t="s">
        <v>43</v>
      </c>
      <c r="E10" s="9" t="s">
        <v>45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39</v>
      </c>
      <c r="B11" s="9" t="s">
        <v>128</v>
      </c>
      <c r="C11" s="9" t="s">
        <v>54</v>
      </c>
      <c r="D11" s="9" t="s">
        <v>43</v>
      </c>
      <c r="E11" s="9" t="s">
        <v>45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39</v>
      </c>
      <c r="B12" s="9" t="s">
        <v>41</v>
      </c>
      <c r="C12" s="9" t="s">
        <v>54</v>
      </c>
      <c r="D12" s="9" t="s">
        <v>43</v>
      </c>
      <c r="E12" s="9" t="s">
        <v>45</v>
      </c>
      <c r="F12" s="9"/>
      <c r="G12" s="9"/>
      <c r="H12" s="10"/>
      <c r="I12" s="10"/>
      <c r="J12" s="10"/>
    </row>
    <row r="13" spans="1:10" ht="14.25" customHeight="1">
      <c r="A13" s="9" t="s">
        <v>39</v>
      </c>
      <c r="B13" s="9" t="s">
        <v>185</v>
      </c>
      <c r="C13" s="9" t="s">
        <v>374</v>
      </c>
      <c r="D13" s="9" t="s">
        <v>64</v>
      </c>
      <c r="E13" s="9" t="s">
        <v>45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39</v>
      </c>
      <c r="B14" s="9" t="s">
        <v>178</v>
      </c>
      <c r="C14" s="9" t="s">
        <v>374</v>
      </c>
      <c r="D14" s="9" t="s">
        <v>64</v>
      </c>
      <c r="E14" s="9" t="s">
        <v>45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39</v>
      </c>
      <c r="B15" s="9" t="s">
        <v>140</v>
      </c>
      <c r="C15" s="9" t="s">
        <v>374</v>
      </c>
      <c r="D15" s="9" t="s">
        <v>64</v>
      </c>
      <c r="E15" s="9" t="s">
        <v>45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39</v>
      </c>
      <c r="B16" s="9" t="s">
        <v>128</v>
      </c>
      <c r="C16" s="9" t="s">
        <v>374</v>
      </c>
      <c r="D16" s="9" t="s">
        <v>64</v>
      </c>
      <c r="E16" s="9" t="s">
        <v>45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39</v>
      </c>
      <c r="B17" s="9" t="s">
        <v>41</v>
      </c>
      <c r="C17" s="9" t="s">
        <v>374</v>
      </c>
      <c r="D17" s="9" t="s">
        <v>64</v>
      </c>
      <c r="E17" s="9" t="s">
        <v>45</v>
      </c>
      <c r="F17" s="9"/>
      <c r="G17" s="9"/>
      <c r="H17" s="10"/>
      <c r="I17" s="10"/>
      <c r="J17" s="10"/>
    </row>
    <row r="18" spans="1:10" ht="14.25" customHeight="1">
      <c r="A18" s="9" t="s">
        <v>39</v>
      </c>
      <c r="B18" s="9" t="s">
        <v>185</v>
      </c>
      <c r="C18" s="9" t="s">
        <v>57</v>
      </c>
      <c r="D18" s="9" t="s">
        <v>58</v>
      </c>
      <c r="E18" s="9" t="s">
        <v>59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39</v>
      </c>
      <c r="B19" s="9" t="s">
        <v>178</v>
      </c>
      <c r="C19" s="9" t="s">
        <v>57</v>
      </c>
      <c r="D19" s="9" t="s">
        <v>58</v>
      </c>
      <c r="E19" s="9" t="s">
        <v>59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39</v>
      </c>
      <c r="B20" s="9" t="s">
        <v>140</v>
      </c>
      <c r="C20" s="9" t="s">
        <v>57</v>
      </c>
      <c r="D20" s="9" t="s">
        <v>58</v>
      </c>
      <c r="E20" s="9" t="s">
        <v>59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39</v>
      </c>
      <c r="B21" s="9" t="s">
        <v>128</v>
      </c>
      <c r="C21" s="9" t="s">
        <v>57</v>
      </c>
      <c r="D21" s="9" t="s">
        <v>58</v>
      </c>
      <c r="E21" s="9" t="s">
        <v>59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39</v>
      </c>
      <c r="B22" s="9" t="s">
        <v>41</v>
      </c>
      <c r="C22" s="9" t="s">
        <v>57</v>
      </c>
      <c r="D22" s="9" t="s">
        <v>58</v>
      </c>
      <c r="E22" s="9" t="s">
        <v>59</v>
      </c>
      <c r="F22" s="9"/>
      <c r="G22" s="9"/>
      <c r="H22" s="9"/>
      <c r="I22" s="10"/>
      <c r="J22" s="10"/>
    </row>
    <row r="23" spans="1:10" ht="14.25" customHeight="1">
      <c r="A23" s="9" t="s">
        <v>39</v>
      </c>
      <c r="B23" s="9" t="s">
        <v>185</v>
      </c>
      <c r="C23" s="9" t="s">
        <v>63</v>
      </c>
      <c r="D23" s="9" t="s">
        <v>64</v>
      </c>
      <c r="E23" s="9" t="s">
        <v>45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39</v>
      </c>
      <c r="B24" s="9" t="s">
        <v>178</v>
      </c>
      <c r="C24" s="9" t="s">
        <v>63</v>
      </c>
      <c r="D24" s="9" t="s">
        <v>64</v>
      </c>
      <c r="E24" s="9" t="s">
        <v>45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39</v>
      </c>
      <c r="B25" s="9" t="s">
        <v>140</v>
      </c>
      <c r="C25" s="9" t="s">
        <v>63</v>
      </c>
      <c r="D25" s="9" t="s">
        <v>64</v>
      </c>
      <c r="E25" s="9" t="s">
        <v>45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39</v>
      </c>
      <c r="B26" s="9" t="s">
        <v>128</v>
      </c>
      <c r="C26" s="9" t="s">
        <v>63</v>
      </c>
      <c r="D26" s="9" t="s">
        <v>64</v>
      </c>
      <c r="E26" s="9" t="s">
        <v>45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39</v>
      </c>
      <c r="B27" s="9" t="s">
        <v>41</v>
      </c>
      <c r="C27" s="9" t="s">
        <v>63</v>
      </c>
      <c r="D27" s="9" t="s">
        <v>64</v>
      </c>
      <c r="E27" s="9" t="s">
        <v>45</v>
      </c>
      <c r="F27" s="9"/>
      <c r="G27" s="9"/>
      <c r="H27" s="10"/>
      <c r="I27" s="10"/>
      <c r="J27" s="10"/>
    </row>
    <row r="28" spans="1:10" ht="14.25" customHeight="1">
      <c r="A28" s="9" t="s">
        <v>39</v>
      </c>
      <c r="B28" s="9" t="s">
        <v>185</v>
      </c>
      <c r="C28" s="9" t="s">
        <v>68</v>
      </c>
      <c r="D28" s="9" t="s">
        <v>75</v>
      </c>
      <c r="E28" s="9" t="s">
        <v>59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39</v>
      </c>
      <c r="B29" s="9" t="s">
        <v>178</v>
      </c>
      <c r="C29" s="9" t="s">
        <v>68</v>
      </c>
      <c r="D29" s="9" t="s">
        <v>75</v>
      </c>
      <c r="E29" s="9" t="s">
        <v>59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39</v>
      </c>
      <c r="B30" s="9" t="s">
        <v>140</v>
      </c>
      <c r="C30" s="9" t="s">
        <v>68</v>
      </c>
      <c r="D30" s="9" t="s">
        <v>75</v>
      </c>
      <c r="E30" s="9" t="s">
        <v>59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39</v>
      </c>
      <c r="B31" s="9" t="s">
        <v>128</v>
      </c>
      <c r="C31" s="9" t="s">
        <v>68</v>
      </c>
      <c r="D31" s="9" t="s">
        <v>75</v>
      </c>
      <c r="E31" s="9" t="s">
        <v>59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39</v>
      </c>
      <c r="B32" s="9" t="s">
        <v>41</v>
      </c>
      <c r="C32" s="9" t="s">
        <v>68</v>
      </c>
      <c r="D32" s="9" t="s">
        <v>75</v>
      </c>
      <c r="E32" s="9" t="s">
        <v>59</v>
      </c>
      <c r="F32" s="9"/>
      <c r="G32" s="9"/>
      <c r="H32" s="10"/>
      <c r="I32" s="10"/>
      <c r="J32" s="10"/>
    </row>
    <row r="33" spans="1:10" ht="14.25" customHeight="1">
      <c r="A33" s="9" t="s">
        <v>39</v>
      </c>
      <c r="B33" s="9" t="s">
        <v>185</v>
      </c>
      <c r="C33" s="9" t="s">
        <v>69</v>
      </c>
      <c r="D33" s="9" t="s">
        <v>64</v>
      </c>
      <c r="E33" s="9" t="s">
        <v>59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39</v>
      </c>
      <c r="B34" s="9" t="s">
        <v>178</v>
      </c>
      <c r="C34" s="9" t="s">
        <v>69</v>
      </c>
      <c r="D34" s="9" t="s">
        <v>64</v>
      </c>
      <c r="E34" s="9" t="s">
        <v>59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39</v>
      </c>
      <c r="B35" s="9" t="s">
        <v>140</v>
      </c>
      <c r="C35" s="9" t="s">
        <v>69</v>
      </c>
      <c r="D35" s="9" t="s">
        <v>64</v>
      </c>
      <c r="E35" s="9" t="s">
        <v>59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39</v>
      </c>
      <c r="B36" s="9" t="s">
        <v>128</v>
      </c>
      <c r="C36" s="9" t="s">
        <v>69</v>
      </c>
      <c r="D36" s="9" t="s">
        <v>64</v>
      </c>
      <c r="E36" s="9" t="s">
        <v>59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39</v>
      </c>
      <c r="B37" s="9" t="s">
        <v>41</v>
      </c>
      <c r="C37" s="9" t="s">
        <v>69</v>
      </c>
      <c r="D37" s="9" t="s">
        <v>64</v>
      </c>
      <c r="E37" s="9" t="s">
        <v>59</v>
      </c>
      <c r="F37" s="9"/>
      <c r="G37" s="9"/>
      <c r="H37" s="10"/>
      <c r="I37" s="10"/>
      <c r="J37" s="10"/>
    </row>
    <row r="38" spans="1:10" ht="14.25" customHeight="1">
      <c r="A38" s="9" t="s">
        <v>39</v>
      </c>
      <c r="B38" s="9" t="s">
        <v>185</v>
      </c>
      <c r="C38" s="9" t="s">
        <v>70</v>
      </c>
      <c r="D38" s="9" t="s">
        <v>83</v>
      </c>
      <c r="E38" s="9" t="s">
        <v>59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39</v>
      </c>
      <c r="B39" s="9" t="s">
        <v>178</v>
      </c>
      <c r="C39" s="9" t="s">
        <v>70</v>
      </c>
      <c r="D39" s="9" t="s">
        <v>83</v>
      </c>
      <c r="E39" s="9" t="s">
        <v>59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39</v>
      </c>
      <c r="B40" s="9" t="s">
        <v>140</v>
      </c>
      <c r="C40" s="9" t="s">
        <v>70</v>
      </c>
      <c r="D40" s="9" t="s">
        <v>83</v>
      </c>
      <c r="E40" s="9" t="s">
        <v>59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39</v>
      </c>
      <c r="B41" s="9" t="s">
        <v>128</v>
      </c>
      <c r="C41" s="9" t="s">
        <v>70</v>
      </c>
      <c r="D41" s="9" t="s">
        <v>83</v>
      </c>
      <c r="E41" s="9" t="s">
        <v>59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39</v>
      </c>
      <c r="B42" s="9" t="s">
        <v>41</v>
      </c>
      <c r="C42" s="9" t="s">
        <v>70</v>
      </c>
      <c r="D42" s="9" t="s">
        <v>83</v>
      </c>
      <c r="E42" s="9" t="s">
        <v>59</v>
      </c>
      <c r="F42" s="9"/>
      <c r="G42" s="9"/>
      <c r="H42" s="9"/>
      <c r="I42" s="10"/>
      <c r="J42" s="10"/>
    </row>
    <row r="43" spans="1:10" ht="14.25" customHeight="1">
      <c r="A43" s="9" t="s">
        <v>39</v>
      </c>
      <c r="B43" s="9" t="s">
        <v>185</v>
      </c>
      <c r="C43" s="9" t="s">
        <v>72</v>
      </c>
      <c r="D43" s="9" t="s">
        <v>58</v>
      </c>
      <c r="E43" s="9" t="s">
        <v>59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39</v>
      </c>
      <c r="B44" s="9" t="s">
        <v>178</v>
      </c>
      <c r="C44" s="9" t="s">
        <v>72</v>
      </c>
      <c r="D44" s="9" t="s">
        <v>58</v>
      </c>
      <c r="E44" s="9" t="s">
        <v>59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39</v>
      </c>
      <c r="B45" s="9" t="s">
        <v>140</v>
      </c>
      <c r="C45" s="9" t="s">
        <v>72</v>
      </c>
      <c r="D45" s="9" t="s">
        <v>58</v>
      </c>
      <c r="E45" s="9" t="s">
        <v>59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39</v>
      </c>
      <c r="B46" s="9" t="s">
        <v>128</v>
      </c>
      <c r="C46" s="9" t="s">
        <v>72</v>
      </c>
      <c r="D46" s="9" t="s">
        <v>58</v>
      </c>
      <c r="E46" s="9" t="s">
        <v>59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39</v>
      </c>
      <c r="B47" s="9" t="s">
        <v>41</v>
      </c>
      <c r="C47" s="9" t="s">
        <v>72</v>
      </c>
      <c r="D47" s="9" t="s">
        <v>58</v>
      </c>
      <c r="E47" s="9" t="s">
        <v>59</v>
      </c>
      <c r="F47" s="9"/>
      <c r="G47" s="9"/>
      <c r="H47" s="10"/>
      <c r="I47" s="10"/>
      <c r="J47" s="10"/>
    </row>
    <row r="48" spans="1:10" ht="14.25" customHeight="1">
      <c r="A48" s="9" t="s">
        <v>39</v>
      </c>
      <c r="B48" s="9" t="s">
        <v>185</v>
      </c>
      <c r="C48" s="9" t="s">
        <v>96</v>
      </c>
      <c r="D48" s="9" t="s">
        <v>64</v>
      </c>
      <c r="E48" s="9" t="s">
        <v>59</v>
      </c>
      <c r="F48" s="9"/>
      <c r="G48" s="9"/>
      <c r="H48" s="10"/>
      <c r="I48" s="10"/>
      <c r="J48" s="10"/>
    </row>
    <row r="49" spans="1:10" ht="14.25" customHeight="1">
      <c r="A49" s="9" t="s">
        <v>39</v>
      </c>
      <c r="B49" s="9" t="s">
        <v>178</v>
      </c>
      <c r="C49" s="9" t="s">
        <v>96</v>
      </c>
      <c r="D49" s="9" t="s">
        <v>64</v>
      </c>
      <c r="E49" s="9" t="s">
        <v>59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39</v>
      </c>
      <c r="B50" s="9" t="s">
        <v>140</v>
      </c>
      <c r="C50" s="9" t="s">
        <v>96</v>
      </c>
      <c r="D50" s="9" t="s">
        <v>64</v>
      </c>
      <c r="E50" s="9" t="s">
        <v>59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39</v>
      </c>
      <c r="B51" s="9" t="s">
        <v>128</v>
      </c>
      <c r="C51" s="9" t="s">
        <v>96</v>
      </c>
      <c r="D51" s="9" t="s">
        <v>64</v>
      </c>
      <c r="E51" s="9" t="s">
        <v>59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39</v>
      </c>
      <c r="B52" s="9" t="s">
        <v>41</v>
      </c>
      <c r="C52" s="9" t="s">
        <v>96</v>
      </c>
      <c r="D52" s="9" t="s">
        <v>64</v>
      </c>
      <c r="E52" s="9" t="s">
        <v>59</v>
      </c>
      <c r="F52" s="9"/>
      <c r="G52" s="9"/>
      <c r="H52" s="10"/>
      <c r="I52" s="10"/>
      <c r="J52" s="10"/>
    </row>
    <row r="53" spans="1:10" ht="14.25" customHeight="1">
      <c r="A53" s="9" t="s">
        <v>39</v>
      </c>
      <c r="B53" s="9" t="s">
        <v>185</v>
      </c>
      <c r="C53" s="9" t="s">
        <v>97</v>
      </c>
      <c r="D53" s="9" t="s">
        <v>64</v>
      </c>
      <c r="E53" s="9" t="s">
        <v>59</v>
      </c>
      <c r="F53" s="9"/>
      <c r="G53" s="9"/>
      <c r="H53" s="10"/>
      <c r="I53" s="10"/>
      <c r="J53" s="10"/>
    </row>
    <row r="54" spans="1:10" ht="14.25" customHeight="1">
      <c r="A54" s="9" t="s">
        <v>39</v>
      </c>
      <c r="B54" s="9" t="s">
        <v>178</v>
      </c>
      <c r="C54" s="9" t="s">
        <v>97</v>
      </c>
      <c r="D54" s="9" t="s">
        <v>64</v>
      </c>
      <c r="E54" s="9" t="s">
        <v>59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39</v>
      </c>
      <c r="B55" s="9" t="s">
        <v>140</v>
      </c>
      <c r="C55" s="9" t="s">
        <v>97</v>
      </c>
      <c r="D55" s="9" t="s">
        <v>64</v>
      </c>
      <c r="E55" s="9" t="s">
        <v>59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39</v>
      </c>
      <c r="B56" s="9" t="s">
        <v>128</v>
      </c>
      <c r="C56" s="9" t="s">
        <v>97</v>
      </c>
      <c r="D56" s="9" t="s">
        <v>64</v>
      </c>
      <c r="E56" s="9" t="s">
        <v>59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39</v>
      </c>
      <c r="B57" s="9" t="s">
        <v>41</v>
      </c>
      <c r="C57" s="9" t="s">
        <v>97</v>
      </c>
      <c r="D57" s="9" t="s">
        <v>64</v>
      </c>
      <c r="E57" s="9" t="s">
        <v>59</v>
      </c>
      <c r="F57" s="9"/>
      <c r="G57" s="9"/>
      <c r="H57" s="10"/>
      <c r="I57" s="10"/>
      <c r="J57" s="10"/>
    </row>
    <row r="58" spans="1:10" ht="14.25" customHeight="1">
      <c r="A58" s="9" t="s">
        <v>39</v>
      </c>
      <c r="B58" s="9" t="s">
        <v>185</v>
      </c>
      <c r="C58" s="9" t="s">
        <v>98</v>
      </c>
      <c r="D58" s="9" t="s">
        <v>64</v>
      </c>
      <c r="E58" s="9" t="s">
        <v>45</v>
      </c>
      <c r="F58" s="9"/>
      <c r="G58" s="9"/>
      <c r="H58" s="9"/>
      <c r="I58" s="10"/>
      <c r="J58" s="10"/>
    </row>
    <row r="59" spans="1:10" ht="14.25" customHeight="1">
      <c r="A59" s="9" t="s">
        <v>39</v>
      </c>
      <c r="B59" s="9" t="s">
        <v>178</v>
      </c>
      <c r="C59" s="9" t="s">
        <v>98</v>
      </c>
      <c r="D59" s="9" t="s">
        <v>64</v>
      </c>
      <c r="E59" s="9" t="s">
        <v>45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39</v>
      </c>
      <c r="B60" s="9" t="s">
        <v>140</v>
      </c>
      <c r="C60" s="9" t="s">
        <v>98</v>
      </c>
      <c r="D60" s="9" t="s">
        <v>64</v>
      </c>
      <c r="E60" s="9" t="s">
        <v>45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39</v>
      </c>
      <c r="B61" s="9" t="s">
        <v>128</v>
      </c>
      <c r="C61" s="9" t="s">
        <v>98</v>
      </c>
      <c r="D61" s="9" t="s">
        <v>64</v>
      </c>
      <c r="E61" s="9" t="s">
        <v>45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39</v>
      </c>
      <c r="B62" s="9" t="s">
        <v>41</v>
      </c>
      <c r="C62" s="9" t="s">
        <v>98</v>
      </c>
      <c r="D62" s="9" t="s">
        <v>64</v>
      </c>
      <c r="E62" s="9" t="s">
        <v>45</v>
      </c>
      <c r="F62" s="9"/>
      <c r="G62" s="9"/>
      <c r="H62" s="9"/>
      <c r="I62" s="10"/>
      <c r="J62" s="10"/>
    </row>
    <row r="63" spans="1:10" ht="14.25" customHeight="1">
      <c r="A63" s="9" t="s">
        <v>39</v>
      </c>
      <c r="B63" s="9" t="s">
        <v>185</v>
      </c>
      <c r="C63" s="9" t="s">
        <v>99</v>
      </c>
      <c r="D63" s="9" t="s">
        <v>102</v>
      </c>
      <c r="E63" s="9" t="s">
        <v>45</v>
      </c>
      <c r="F63" s="9"/>
      <c r="G63" s="9"/>
      <c r="H63" s="10"/>
      <c r="I63" s="10"/>
      <c r="J63" s="10"/>
    </row>
    <row r="64" spans="1:10" ht="14.25" customHeight="1">
      <c r="A64" s="9" t="s">
        <v>39</v>
      </c>
      <c r="B64" s="9" t="s">
        <v>178</v>
      </c>
      <c r="C64" s="9" t="s">
        <v>99</v>
      </c>
      <c r="D64" s="9" t="s">
        <v>102</v>
      </c>
      <c r="E64" s="9" t="s">
        <v>45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39</v>
      </c>
      <c r="B65" s="9" t="s">
        <v>140</v>
      </c>
      <c r="C65" s="9" t="s">
        <v>99</v>
      </c>
      <c r="D65" s="9" t="s">
        <v>102</v>
      </c>
      <c r="E65" s="9" t="s">
        <v>45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39</v>
      </c>
      <c r="B66" s="9" t="s">
        <v>128</v>
      </c>
      <c r="C66" s="9" t="s">
        <v>99</v>
      </c>
      <c r="D66" s="9" t="s">
        <v>102</v>
      </c>
      <c r="E66" s="9" t="s">
        <v>45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39</v>
      </c>
      <c r="B67" s="9" t="s">
        <v>41</v>
      </c>
      <c r="C67" s="9" t="s">
        <v>99</v>
      </c>
      <c r="D67" s="9" t="s">
        <v>102</v>
      </c>
      <c r="E67" s="9" t="s">
        <v>45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39</v>
      </c>
      <c r="B68" s="9" t="s">
        <v>185</v>
      </c>
      <c r="C68" s="9" t="s">
        <v>73</v>
      </c>
      <c r="D68" s="9" t="s">
        <v>75</v>
      </c>
      <c r="E68" s="9" t="s">
        <v>76</v>
      </c>
      <c r="F68" s="9"/>
      <c r="G68" s="9"/>
      <c r="H68" s="10"/>
      <c r="I68" s="10"/>
      <c r="J68" s="9"/>
    </row>
    <row r="69" spans="1:10" ht="14.25" customHeight="1">
      <c r="A69" s="9" t="s">
        <v>39</v>
      </c>
      <c r="B69" s="9" t="s">
        <v>178</v>
      </c>
      <c r="C69" s="9" t="s">
        <v>73</v>
      </c>
      <c r="D69" s="9" t="s">
        <v>75</v>
      </c>
      <c r="E69" s="9" t="s">
        <v>76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39</v>
      </c>
      <c r="B70" s="9" t="s">
        <v>140</v>
      </c>
      <c r="C70" s="9" t="s">
        <v>73</v>
      </c>
      <c r="D70" s="9" t="s">
        <v>75</v>
      </c>
      <c r="E70" s="9" t="s">
        <v>76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39</v>
      </c>
      <c r="B71" s="9" t="s">
        <v>128</v>
      </c>
      <c r="C71" s="9" t="s">
        <v>73</v>
      </c>
      <c r="D71" s="9" t="s">
        <v>75</v>
      </c>
      <c r="E71" s="9" t="s">
        <v>76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39</v>
      </c>
      <c r="B72" s="9" t="s">
        <v>41</v>
      </c>
      <c r="C72" s="9" t="s">
        <v>73</v>
      </c>
      <c r="D72" s="9" t="s">
        <v>75</v>
      </c>
      <c r="E72" s="9" t="s">
        <v>76</v>
      </c>
      <c r="F72" s="9"/>
      <c r="G72" s="9"/>
      <c r="H72" s="10"/>
      <c r="I72" s="10"/>
      <c r="J72" s="10"/>
    </row>
    <row r="73" spans="1:10" ht="14.25" customHeight="1">
      <c r="A73" s="9" t="s">
        <v>39</v>
      </c>
      <c r="B73" s="9" t="s">
        <v>185</v>
      </c>
      <c r="C73" s="9" t="s">
        <v>79</v>
      </c>
      <c r="D73" s="9" t="s">
        <v>58</v>
      </c>
      <c r="E73" s="9" t="s">
        <v>76</v>
      </c>
      <c r="F73" s="9"/>
      <c r="G73" s="9"/>
      <c r="H73" s="9"/>
      <c r="I73" s="10"/>
      <c r="J73" s="10"/>
    </row>
    <row r="74" spans="1:10" ht="14.25" customHeight="1">
      <c r="A74" s="9" t="s">
        <v>39</v>
      </c>
      <c r="B74" s="9" t="s">
        <v>178</v>
      </c>
      <c r="C74" s="9" t="s">
        <v>79</v>
      </c>
      <c r="D74" s="9" t="s">
        <v>58</v>
      </c>
      <c r="E74" s="9" t="s">
        <v>76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39</v>
      </c>
      <c r="B75" s="9" t="s">
        <v>140</v>
      </c>
      <c r="C75" s="9" t="s">
        <v>79</v>
      </c>
      <c r="D75" s="9" t="s">
        <v>58</v>
      </c>
      <c r="E75" s="9" t="s">
        <v>76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39</v>
      </c>
      <c r="B76" s="9" t="s">
        <v>128</v>
      </c>
      <c r="C76" s="9" t="s">
        <v>79</v>
      </c>
      <c r="D76" s="9" t="s">
        <v>58</v>
      </c>
      <c r="E76" s="9" t="s">
        <v>76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39</v>
      </c>
      <c r="B77" s="9" t="s">
        <v>41</v>
      </c>
      <c r="C77" s="9" t="s">
        <v>79</v>
      </c>
      <c r="D77" s="9" t="s">
        <v>58</v>
      </c>
      <c r="E77" s="9" t="s">
        <v>76</v>
      </c>
      <c r="F77" s="9"/>
      <c r="G77" s="9"/>
      <c r="H77" s="9"/>
      <c r="I77" s="10"/>
      <c r="J77" s="10"/>
    </row>
    <row r="78" spans="1:10" ht="14.25" customHeight="1">
      <c r="A78" s="9" t="s">
        <v>39</v>
      </c>
      <c r="B78" s="9" t="s">
        <v>185</v>
      </c>
      <c r="C78" s="9" t="s">
        <v>82</v>
      </c>
      <c r="D78" s="9" t="s">
        <v>83</v>
      </c>
      <c r="E78" s="9" t="s">
        <v>59</v>
      </c>
      <c r="F78" s="9"/>
      <c r="G78" s="9"/>
      <c r="H78" s="10"/>
      <c r="I78" s="10"/>
      <c r="J78" s="9"/>
    </row>
    <row r="79" spans="1:10" ht="14.25" customHeight="1">
      <c r="A79" s="9" t="s">
        <v>39</v>
      </c>
      <c r="B79" s="9" t="s">
        <v>178</v>
      </c>
      <c r="C79" s="9" t="s">
        <v>82</v>
      </c>
      <c r="D79" s="9" t="s">
        <v>83</v>
      </c>
      <c r="E79" s="9" t="s">
        <v>59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39</v>
      </c>
      <c r="B80" s="9" t="s">
        <v>140</v>
      </c>
      <c r="C80" s="9" t="s">
        <v>82</v>
      </c>
      <c r="D80" s="9" t="s">
        <v>83</v>
      </c>
      <c r="E80" s="9" t="s">
        <v>59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39</v>
      </c>
      <c r="B81" s="9" t="s">
        <v>128</v>
      </c>
      <c r="C81" s="9" t="s">
        <v>82</v>
      </c>
      <c r="D81" s="9" t="s">
        <v>83</v>
      </c>
      <c r="E81" s="9" t="s">
        <v>59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39</v>
      </c>
      <c r="B82" s="9" t="s">
        <v>41</v>
      </c>
      <c r="C82" s="9" t="s">
        <v>82</v>
      </c>
      <c r="D82" s="9" t="s">
        <v>83</v>
      </c>
      <c r="E82" s="9" t="s">
        <v>59</v>
      </c>
      <c r="F82" s="9"/>
      <c r="G82" s="9"/>
      <c r="H82" s="10"/>
      <c r="I82" s="10"/>
      <c r="J82" s="9"/>
    </row>
    <row r="83" spans="1:10" ht="14.25" customHeight="1">
      <c r="A83" s="9" t="s">
        <v>39</v>
      </c>
      <c r="B83" s="9" t="s">
        <v>185</v>
      </c>
      <c r="C83" s="9" t="s">
        <v>86</v>
      </c>
      <c r="D83" s="9" t="s">
        <v>83</v>
      </c>
      <c r="E83" s="9" t="s">
        <v>45</v>
      </c>
      <c r="F83" s="9"/>
      <c r="G83" s="9"/>
      <c r="H83" s="9"/>
      <c r="I83" s="10"/>
      <c r="J83" s="10"/>
    </row>
    <row r="84" spans="1:10" ht="14.25" customHeight="1">
      <c r="A84" s="9" t="s">
        <v>39</v>
      </c>
      <c r="B84" s="9" t="s">
        <v>178</v>
      </c>
      <c r="C84" s="9" t="s">
        <v>86</v>
      </c>
      <c r="D84" s="9" t="s">
        <v>83</v>
      </c>
      <c r="E84" s="9" t="s">
        <v>45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39</v>
      </c>
      <c r="B85" s="9" t="s">
        <v>140</v>
      </c>
      <c r="C85" s="9" t="s">
        <v>86</v>
      </c>
      <c r="D85" s="9" t="s">
        <v>83</v>
      </c>
      <c r="E85" s="9" t="s">
        <v>45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39</v>
      </c>
      <c r="B86" s="9" t="s">
        <v>128</v>
      </c>
      <c r="C86" s="9" t="s">
        <v>86</v>
      </c>
      <c r="D86" s="9" t="s">
        <v>83</v>
      </c>
      <c r="E86" s="9" t="s">
        <v>45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39</v>
      </c>
      <c r="B87" s="9" t="s">
        <v>41</v>
      </c>
      <c r="C87" s="9" t="s">
        <v>86</v>
      </c>
      <c r="D87" s="9" t="s">
        <v>83</v>
      </c>
      <c r="E87" s="9" t="s">
        <v>45</v>
      </c>
      <c r="F87" s="9"/>
      <c r="G87" s="9"/>
      <c r="H87" s="9"/>
      <c r="I87" s="10"/>
      <c r="J87" s="10"/>
    </row>
    <row r="88" spans="1:10" ht="14.25" customHeight="1">
      <c r="A88" s="9" t="s">
        <v>39</v>
      </c>
      <c r="B88" s="9" t="s">
        <v>185</v>
      </c>
      <c r="C88" s="9" t="s">
        <v>89</v>
      </c>
      <c r="D88" s="9" t="s">
        <v>43</v>
      </c>
      <c r="E88" s="9" t="s">
        <v>59</v>
      </c>
      <c r="F88" s="9"/>
      <c r="G88" s="9"/>
      <c r="H88" s="10"/>
      <c r="I88" s="10"/>
      <c r="J88" s="9"/>
    </row>
    <row r="89" spans="1:10" ht="14.25" customHeight="1">
      <c r="A89" s="9" t="s">
        <v>39</v>
      </c>
      <c r="B89" s="9" t="s">
        <v>178</v>
      </c>
      <c r="C89" s="9" t="s">
        <v>89</v>
      </c>
      <c r="D89" s="9" t="s">
        <v>43</v>
      </c>
      <c r="E89" s="9" t="s">
        <v>59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39</v>
      </c>
      <c r="B90" s="9" t="s">
        <v>140</v>
      </c>
      <c r="C90" s="9" t="s">
        <v>89</v>
      </c>
      <c r="D90" s="9" t="s">
        <v>43</v>
      </c>
      <c r="E90" s="9" t="s">
        <v>59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39</v>
      </c>
      <c r="B91" s="9" t="s">
        <v>128</v>
      </c>
      <c r="C91" s="9" t="s">
        <v>89</v>
      </c>
      <c r="D91" s="9" t="s">
        <v>43</v>
      </c>
      <c r="E91" s="9" t="s">
        <v>59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39</v>
      </c>
      <c r="B92" s="9" t="s">
        <v>41</v>
      </c>
      <c r="C92" s="9" t="s">
        <v>89</v>
      </c>
      <c r="D92" s="9" t="s">
        <v>43</v>
      </c>
      <c r="E92" s="9" t="s">
        <v>59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39</v>
      </c>
      <c r="B93" s="9" t="s">
        <v>185</v>
      </c>
      <c r="C93" s="9" t="s">
        <v>92</v>
      </c>
      <c r="D93" s="9" t="s">
        <v>43</v>
      </c>
      <c r="E93" s="9" t="s">
        <v>76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39</v>
      </c>
      <c r="B94" s="9" t="s">
        <v>178</v>
      </c>
      <c r="C94" s="9" t="s">
        <v>92</v>
      </c>
      <c r="D94" s="9" t="s">
        <v>43</v>
      </c>
      <c r="E94" s="9" t="s">
        <v>76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39</v>
      </c>
      <c r="B95" s="9" t="s">
        <v>140</v>
      </c>
      <c r="C95" s="9" t="s">
        <v>92</v>
      </c>
      <c r="D95" s="9" t="s">
        <v>43</v>
      </c>
      <c r="E95" s="9" t="s">
        <v>76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39</v>
      </c>
      <c r="B96" s="9" t="s">
        <v>128</v>
      </c>
      <c r="C96" s="9" t="s">
        <v>92</v>
      </c>
      <c r="D96" s="9" t="s">
        <v>43</v>
      </c>
      <c r="E96" s="9" t="s">
        <v>76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39</v>
      </c>
      <c r="B97" s="9" t="s">
        <v>41</v>
      </c>
      <c r="C97" s="9" t="s">
        <v>92</v>
      </c>
      <c r="D97" s="9" t="s">
        <v>43</v>
      </c>
      <c r="E97" s="9" t="s">
        <v>76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39</v>
      </c>
      <c r="B98" s="9" t="s">
        <v>185</v>
      </c>
      <c r="C98" s="9" t="s">
        <v>100</v>
      </c>
      <c r="D98" s="9" t="s">
        <v>102</v>
      </c>
      <c r="E98" s="9" t="s">
        <v>59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39</v>
      </c>
      <c r="B99" s="9" t="s">
        <v>178</v>
      </c>
      <c r="C99" s="9" t="s">
        <v>100</v>
      </c>
      <c r="D99" s="9" t="s">
        <v>102</v>
      </c>
      <c r="E99" s="9" t="s">
        <v>59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39</v>
      </c>
      <c r="B100" s="9" t="s">
        <v>140</v>
      </c>
      <c r="C100" s="9" t="s">
        <v>100</v>
      </c>
      <c r="D100" s="9" t="s">
        <v>102</v>
      </c>
      <c r="E100" s="9" t="s">
        <v>59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39</v>
      </c>
      <c r="B101" s="9" t="s">
        <v>128</v>
      </c>
      <c r="C101" s="9" t="s">
        <v>100</v>
      </c>
      <c r="D101" s="9" t="s">
        <v>102</v>
      </c>
      <c r="E101" s="9" t="s">
        <v>59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39</v>
      </c>
      <c r="B102" s="9" t="s">
        <v>41</v>
      </c>
      <c r="C102" s="9" t="s">
        <v>100</v>
      </c>
      <c r="D102" s="9" t="s">
        <v>102</v>
      </c>
      <c r="E102" s="9" t="s">
        <v>59</v>
      </c>
      <c r="F102" s="9"/>
      <c r="G102" s="9"/>
      <c r="H102" s="10"/>
      <c r="I102" s="10"/>
      <c r="J102" s="9"/>
    </row>
    <row r="103" spans="1:10" ht="14.25" customHeight="1">
      <c r="A103" s="9" t="s">
        <v>39</v>
      </c>
      <c r="B103" s="9" t="s">
        <v>185</v>
      </c>
      <c r="C103" s="9" t="s">
        <v>104</v>
      </c>
      <c r="D103" s="9" t="s">
        <v>102</v>
      </c>
      <c r="E103" s="9" t="s">
        <v>76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39</v>
      </c>
      <c r="B104" s="9" t="s">
        <v>178</v>
      </c>
      <c r="C104" s="9" t="s">
        <v>104</v>
      </c>
      <c r="D104" s="9" t="s">
        <v>102</v>
      </c>
      <c r="E104" s="9" t="s">
        <v>76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39</v>
      </c>
      <c r="B105" s="9" t="s">
        <v>140</v>
      </c>
      <c r="C105" s="9" t="s">
        <v>104</v>
      </c>
      <c r="D105" s="9" t="s">
        <v>102</v>
      </c>
      <c r="E105" s="9" t="s">
        <v>76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39</v>
      </c>
      <c r="B106" s="9" t="s">
        <v>128</v>
      </c>
      <c r="C106" s="9" t="s">
        <v>104</v>
      </c>
      <c r="D106" s="9" t="s">
        <v>102</v>
      </c>
      <c r="E106" s="9" t="s">
        <v>76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39</v>
      </c>
      <c r="B107" s="9" t="s">
        <v>41</v>
      </c>
      <c r="C107" s="9" t="s">
        <v>104</v>
      </c>
      <c r="D107" s="9" t="s">
        <v>102</v>
      </c>
      <c r="E107" s="9" t="s">
        <v>76</v>
      </c>
      <c r="F107" s="9"/>
      <c r="G107" s="9"/>
      <c r="H107" s="9"/>
      <c r="I107" s="10"/>
      <c r="J107" s="10"/>
    </row>
    <row r="108" spans="1:10" ht="14.25" customHeight="1">
      <c r="A108" s="9" t="s">
        <v>39</v>
      </c>
      <c r="B108" s="9" t="s">
        <v>185</v>
      </c>
      <c r="C108" s="9" t="s">
        <v>107</v>
      </c>
      <c r="D108" s="9" t="s">
        <v>43</v>
      </c>
      <c r="E108" s="9" t="s">
        <v>59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39</v>
      </c>
      <c r="B109" s="9" t="s">
        <v>178</v>
      </c>
      <c r="C109" s="9" t="s">
        <v>107</v>
      </c>
      <c r="D109" s="9" t="s">
        <v>43</v>
      </c>
      <c r="E109" s="9" t="s">
        <v>59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39</v>
      </c>
      <c r="B110" s="9" t="s">
        <v>140</v>
      </c>
      <c r="C110" s="9" t="s">
        <v>107</v>
      </c>
      <c r="D110" s="9" t="s">
        <v>43</v>
      </c>
      <c r="E110" s="9" t="s">
        <v>59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39</v>
      </c>
      <c r="B111" s="9" t="s">
        <v>128</v>
      </c>
      <c r="C111" s="9" t="s">
        <v>107</v>
      </c>
      <c r="D111" s="9" t="s">
        <v>43</v>
      </c>
      <c r="E111" s="9" t="s">
        <v>59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39</v>
      </c>
      <c r="B112" s="9" t="s">
        <v>41</v>
      </c>
      <c r="C112" s="9" t="s">
        <v>107</v>
      </c>
      <c r="D112" s="9" t="s">
        <v>43</v>
      </c>
      <c r="E112" s="9" t="s">
        <v>59</v>
      </c>
      <c r="F112" s="9"/>
      <c r="G112" s="9"/>
      <c r="H112" s="10"/>
      <c r="I112" s="10"/>
      <c r="J112" s="9"/>
    </row>
    <row r="113" spans="1:10" ht="14.25" customHeight="1">
      <c r="A113" s="9" t="s">
        <v>39</v>
      </c>
      <c r="B113" s="9" t="s">
        <v>185</v>
      </c>
      <c r="C113" s="9" t="s">
        <v>108</v>
      </c>
      <c r="D113" s="9" t="s">
        <v>43</v>
      </c>
      <c r="E113" s="9" t="s">
        <v>59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39</v>
      </c>
      <c r="B114" s="9" t="s">
        <v>178</v>
      </c>
      <c r="C114" s="9" t="s">
        <v>108</v>
      </c>
      <c r="D114" s="9" t="s">
        <v>43</v>
      </c>
      <c r="E114" s="9" t="s">
        <v>59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39</v>
      </c>
      <c r="B115" s="9" t="s">
        <v>140</v>
      </c>
      <c r="C115" s="9" t="s">
        <v>108</v>
      </c>
      <c r="D115" s="9" t="s">
        <v>43</v>
      </c>
      <c r="E115" s="9" t="s">
        <v>59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39</v>
      </c>
      <c r="B116" s="9" t="s">
        <v>128</v>
      </c>
      <c r="C116" s="9" t="s">
        <v>108</v>
      </c>
      <c r="D116" s="9" t="s">
        <v>43</v>
      </c>
      <c r="E116" s="9" t="s">
        <v>59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39</v>
      </c>
      <c r="B117" s="9" t="s">
        <v>41</v>
      </c>
      <c r="C117" s="9" t="s">
        <v>108</v>
      </c>
      <c r="D117" s="9" t="s">
        <v>43</v>
      </c>
      <c r="E117" s="9" t="s">
        <v>59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39</v>
      </c>
      <c r="B118" s="9" t="s">
        <v>185</v>
      </c>
      <c r="C118" s="9" t="s">
        <v>112</v>
      </c>
      <c r="D118" s="9" t="s">
        <v>58</v>
      </c>
      <c r="E118" s="9" t="s">
        <v>45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39</v>
      </c>
      <c r="B119" s="9" t="s">
        <v>178</v>
      </c>
      <c r="C119" s="9" t="s">
        <v>112</v>
      </c>
      <c r="D119" s="9" t="s">
        <v>58</v>
      </c>
      <c r="E119" s="9" t="s">
        <v>45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39</v>
      </c>
      <c r="B120" s="9" t="s">
        <v>140</v>
      </c>
      <c r="C120" s="9" t="s">
        <v>112</v>
      </c>
      <c r="D120" s="9" t="s">
        <v>58</v>
      </c>
      <c r="E120" s="9" t="s">
        <v>45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39</v>
      </c>
      <c r="B121" s="9" t="s">
        <v>185</v>
      </c>
      <c r="C121" s="9" t="s">
        <v>115</v>
      </c>
      <c r="D121" s="9" t="s">
        <v>58</v>
      </c>
      <c r="E121" s="9" t="s">
        <v>76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39</v>
      </c>
      <c r="B122" s="9" t="s">
        <v>178</v>
      </c>
      <c r="C122" s="9" t="s">
        <v>115</v>
      </c>
      <c r="D122" s="9" t="s">
        <v>58</v>
      </c>
      <c r="E122" s="9" t="s">
        <v>76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39</v>
      </c>
      <c r="B123" s="9" t="s">
        <v>140</v>
      </c>
      <c r="C123" s="9" t="s">
        <v>115</v>
      </c>
      <c r="D123" s="9" t="s">
        <v>58</v>
      </c>
      <c r="E123" s="9" t="s">
        <v>76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39</v>
      </c>
      <c r="B124" s="9" t="s">
        <v>128</v>
      </c>
      <c r="C124" s="9" t="s">
        <v>115</v>
      </c>
      <c r="D124" s="9" t="s">
        <v>58</v>
      </c>
      <c r="E124" s="9" t="s">
        <v>76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39</v>
      </c>
      <c r="B125" s="9" t="s">
        <v>41</v>
      </c>
      <c r="C125" s="9" t="s">
        <v>115</v>
      </c>
      <c r="D125" s="9" t="s">
        <v>58</v>
      </c>
      <c r="E125" s="9" t="s">
        <v>76</v>
      </c>
      <c r="F125" s="9"/>
      <c r="G125" s="9"/>
      <c r="H125" s="9"/>
      <c r="I125" s="10"/>
      <c r="J125" s="10"/>
    </row>
    <row r="126" spans="1:10" ht="14.25" customHeight="1">
      <c r="A126" s="9" t="s">
        <v>39</v>
      </c>
      <c r="B126" s="9" t="s">
        <v>185</v>
      </c>
      <c r="C126" s="9" t="s">
        <v>116</v>
      </c>
      <c r="D126" s="9" t="s">
        <v>117</v>
      </c>
      <c r="E126" s="9" t="s">
        <v>59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39</v>
      </c>
      <c r="B127" s="9" t="s">
        <v>178</v>
      </c>
      <c r="C127" s="9" t="s">
        <v>116</v>
      </c>
      <c r="D127" s="9" t="s">
        <v>117</v>
      </c>
      <c r="E127" s="9" t="s">
        <v>59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39</v>
      </c>
      <c r="B128" s="9" t="s">
        <v>140</v>
      </c>
      <c r="C128" s="9" t="s">
        <v>116</v>
      </c>
      <c r="D128" s="9" t="s">
        <v>117</v>
      </c>
      <c r="E128" s="9" t="s">
        <v>59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39</v>
      </c>
      <c r="B129" s="9" t="s">
        <v>128</v>
      </c>
      <c r="C129" s="9" t="s">
        <v>116</v>
      </c>
      <c r="D129" s="9" t="s">
        <v>117</v>
      </c>
      <c r="E129" s="9" t="s">
        <v>59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39</v>
      </c>
      <c r="B130" s="9" t="s">
        <v>41</v>
      </c>
      <c r="C130" s="9" t="s">
        <v>116</v>
      </c>
      <c r="D130" s="9" t="s">
        <v>117</v>
      </c>
      <c r="E130" s="9" t="s">
        <v>59</v>
      </c>
      <c r="F130" s="9"/>
      <c r="G130" s="9"/>
      <c r="H130" s="9"/>
      <c r="I130" s="10"/>
      <c r="J130" s="9"/>
    </row>
    <row r="131" spans="1:10" ht="14.25" customHeight="1">
      <c r="A131" s="9" t="s">
        <v>39</v>
      </c>
      <c r="B131" s="9" t="s">
        <v>185</v>
      </c>
      <c r="C131" s="9" t="s">
        <v>121</v>
      </c>
      <c r="D131" s="9" t="s">
        <v>102</v>
      </c>
      <c r="E131" s="9" t="s">
        <v>76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39</v>
      </c>
      <c r="B132" s="9" t="s">
        <v>178</v>
      </c>
      <c r="C132" s="9" t="s">
        <v>121</v>
      </c>
      <c r="D132" s="9" t="s">
        <v>102</v>
      </c>
      <c r="E132" s="9" t="s">
        <v>76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39</v>
      </c>
      <c r="B133" s="9" t="s">
        <v>140</v>
      </c>
      <c r="C133" s="9" t="s">
        <v>121</v>
      </c>
      <c r="D133" s="9" t="s">
        <v>102</v>
      </c>
      <c r="E133" s="9" t="s">
        <v>76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39</v>
      </c>
      <c r="B134" s="9" t="s">
        <v>128</v>
      </c>
      <c r="C134" s="9" t="s">
        <v>121</v>
      </c>
      <c r="D134" s="9" t="s">
        <v>102</v>
      </c>
      <c r="E134" s="9" t="s">
        <v>76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39</v>
      </c>
      <c r="B135" s="9" t="s">
        <v>41</v>
      </c>
      <c r="C135" s="9" t="s">
        <v>121</v>
      </c>
      <c r="D135" s="9" t="s">
        <v>102</v>
      </c>
      <c r="E135" s="9" t="s">
        <v>76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39</v>
      </c>
      <c r="B136" s="9" t="s">
        <v>185</v>
      </c>
      <c r="C136" s="9" t="s">
        <v>123</v>
      </c>
      <c r="D136" s="9" t="s">
        <v>83</v>
      </c>
      <c r="E136" s="9" t="s">
        <v>76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39</v>
      </c>
      <c r="B137" s="9" t="s">
        <v>178</v>
      </c>
      <c r="C137" s="9" t="s">
        <v>123</v>
      </c>
      <c r="D137" s="9" t="s">
        <v>83</v>
      </c>
      <c r="E137" s="9" t="s">
        <v>76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39</v>
      </c>
      <c r="B138" s="9" t="s">
        <v>140</v>
      </c>
      <c r="C138" s="9" t="s">
        <v>123</v>
      </c>
      <c r="D138" s="9" t="s">
        <v>83</v>
      </c>
      <c r="E138" s="9" t="s">
        <v>76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39</v>
      </c>
      <c r="B139" s="9" t="s">
        <v>128</v>
      </c>
      <c r="C139" s="9" t="s">
        <v>123</v>
      </c>
      <c r="D139" s="9" t="s">
        <v>83</v>
      </c>
      <c r="E139" s="9" t="s">
        <v>76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39</v>
      </c>
      <c r="B140" s="9" t="s">
        <v>41</v>
      </c>
      <c r="C140" s="9" t="s">
        <v>123</v>
      </c>
      <c r="D140" s="9" t="s">
        <v>83</v>
      </c>
      <c r="E140" s="9" t="s">
        <v>76</v>
      </c>
      <c r="F140" s="9"/>
      <c r="G140" s="9"/>
      <c r="H140" s="9"/>
      <c r="I140" s="9"/>
      <c r="J140" s="9"/>
    </row>
    <row r="141" spans="1:10" ht="14.25" customHeight="1">
      <c r="A141" s="9" t="s">
        <v>126</v>
      </c>
      <c r="B141" s="9" t="s">
        <v>185</v>
      </c>
      <c r="C141" s="9" t="s">
        <v>127</v>
      </c>
      <c r="D141" s="9" t="s">
        <v>75</v>
      </c>
      <c r="E141" s="9" t="s">
        <v>59</v>
      </c>
      <c r="F141" s="9"/>
      <c r="G141" s="9" t="s">
        <v>129</v>
      </c>
      <c r="H141" s="9"/>
      <c r="I141" s="9"/>
      <c r="J141" s="9"/>
    </row>
    <row r="142" spans="1:10" ht="14.25" customHeight="1">
      <c r="A142" s="9" t="s">
        <v>126</v>
      </c>
      <c r="B142" s="9" t="s">
        <v>178</v>
      </c>
      <c r="C142" s="9" t="s">
        <v>127</v>
      </c>
      <c r="D142" s="9" t="s">
        <v>75</v>
      </c>
      <c r="E142" s="9" t="s">
        <v>59</v>
      </c>
      <c r="F142" s="9"/>
      <c r="G142" s="9" t="s">
        <v>129</v>
      </c>
      <c r="H142" s="9"/>
      <c r="I142" s="10">
        <v>46213</v>
      </c>
      <c r="J142" s="10">
        <v>46213</v>
      </c>
    </row>
    <row r="143" spans="1:10" ht="14.25" customHeight="1">
      <c r="A143" s="9" t="s">
        <v>126</v>
      </c>
      <c r="B143" s="9" t="s">
        <v>140</v>
      </c>
      <c r="C143" s="9" t="s">
        <v>127</v>
      </c>
      <c r="D143" s="9" t="s">
        <v>75</v>
      </c>
      <c r="E143" s="9" t="s">
        <v>59</v>
      </c>
      <c r="F143" s="9"/>
      <c r="G143" s="9" t="s">
        <v>129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126</v>
      </c>
      <c r="B144" s="9" t="s">
        <v>185</v>
      </c>
      <c r="C144" s="9" t="s">
        <v>134</v>
      </c>
      <c r="D144" s="9" t="s">
        <v>117</v>
      </c>
      <c r="E144" s="9" t="s">
        <v>76</v>
      </c>
      <c r="F144" s="9"/>
      <c r="G144" s="9" t="s">
        <v>129</v>
      </c>
      <c r="H144" s="9"/>
      <c r="I144" s="9"/>
      <c r="J144" s="9"/>
    </row>
    <row r="145" spans="1:10" ht="14.25" customHeight="1">
      <c r="A145" s="9" t="s">
        <v>126</v>
      </c>
      <c r="B145" s="9" t="s">
        <v>178</v>
      </c>
      <c r="C145" s="9" t="s">
        <v>134</v>
      </c>
      <c r="D145" s="9" t="s">
        <v>117</v>
      </c>
      <c r="E145" s="9" t="s">
        <v>76</v>
      </c>
      <c r="F145" s="9"/>
      <c r="G145" s="9" t="s">
        <v>129</v>
      </c>
      <c r="H145" s="9"/>
      <c r="I145" s="10">
        <v>46218</v>
      </c>
      <c r="J145" s="10">
        <v>46218</v>
      </c>
    </row>
    <row r="146" spans="1:10" ht="14.25" customHeight="1">
      <c r="A146" s="9" t="s">
        <v>126</v>
      </c>
      <c r="B146" s="9" t="s">
        <v>140</v>
      </c>
      <c r="C146" s="9" t="s">
        <v>134</v>
      </c>
      <c r="D146" s="9" t="s">
        <v>117</v>
      </c>
      <c r="E146" s="9" t="s">
        <v>76</v>
      </c>
      <c r="F146" s="9"/>
      <c r="G146" s="9" t="s">
        <v>129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126</v>
      </c>
      <c r="B147" s="9" t="s">
        <v>185</v>
      </c>
      <c r="C147" s="9" t="s">
        <v>137</v>
      </c>
      <c r="D147" s="9" t="s">
        <v>117</v>
      </c>
      <c r="E147" s="9" t="s">
        <v>76</v>
      </c>
      <c r="F147" s="9"/>
      <c r="G147" s="9" t="s">
        <v>129</v>
      </c>
      <c r="H147" s="9"/>
      <c r="I147" s="9"/>
      <c r="J147" s="9"/>
    </row>
    <row r="148" spans="1:10" ht="14.25" customHeight="1">
      <c r="A148" s="9" t="s">
        <v>126</v>
      </c>
      <c r="B148" s="9" t="s">
        <v>178</v>
      </c>
      <c r="C148" s="9" t="s">
        <v>137</v>
      </c>
      <c r="D148" s="9" t="s">
        <v>117</v>
      </c>
      <c r="E148" s="9" t="s">
        <v>76</v>
      </c>
      <c r="F148" s="9"/>
      <c r="G148" s="9" t="s">
        <v>129</v>
      </c>
      <c r="H148" s="9"/>
      <c r="I148" s="10">
        <v>46225</v>
      </c>
      <c r="J148" s="10">
        <v>46225</v>
      </c>
    </row>
    <row r="149" spans="1:10" ht="14.25" customHeight="1">
      <c r="A149" s="9" t="s">
        <v>126</v>
      </c>
      <c r="B149" s="9" t="s">
        <v>140</v>
      </c>
      <c r="C149" s="9" t="s">
        <v>137</v>
      </c>
      <c r="D149" s="9" t="s">
        <v>117</v>
      </c>
      <c r="E149" s="9" t="s">
        <v>76</v>
      </c>
      <c r="F149" s="9"/>
      <c r="G149" s="9" t="s">
        <v>129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126</v>
      </c>
      <c r="B150" s="9" t="s">
        <v>185</v>
      </c>
      <c r="C150" s="9" t="s">
        <v>139</v>
      </c>
      <c r="D150" s="9" t="s">
        <v>58</v>
      </c>
      <c r="E150" s="9" t="s">
        <v>45</v>
      </c>
      <c r="F150" s="9"/>
      <c r="G150" s="9" t="s">
        <v>129</v>
      </c>
      <c r="H150" s="9"/>
      <c r="I150" s="9"/>
      <c r="J150" s="9"/>
    </row>
    <row r="151" spans="1:10" ht="14.25" customHeight="1">
      <c r="A151" s="9" t="s">
        <v>126</v>
      </c>
      <c r="B151" s="9" t="s">
        <v>178</v>
      </c>
      <c r="C151" s="9" t="s">
        <v>139</v>
      </c>
      <c r="D151" s="9" t="s">
        <v>58</v>
      </c>
      <c r="E151" s="9" t="s">
        <v>45</v>
      </c>
      <c r="F151" s="9"/>
      <c r="G151" s="9" t="s">
        <v>129</v>
      </c>
      <c r="H151" s="9"/>
      <c r="I151" s="10">
        <v>46227</v>
      </c>
      <c r="J151" s="10">
        <v>46227</v>
      </c>
    </row>
    <row r="152" spans="1:10" ht="14.25" customHeight="1">
      <c r="A152" s="9" t="s">
        <v>126</v>
      </c>
      <c r="B152" s="9" t="s">
        <v>140</v>
      </c>
      <c r="C152" s="9" t="s">
        <v>139</v>
      </c>
      <c r="D152" s="9" t="s">
        <v>58</v>
      </c>
      <c r="E152" s="9" t="s">
        <v>45</v>
      </c>
      <c r="F152" s="9"/>
      <c r="G152" s="9" t="s">
        <v>129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126</v>
      </c>
      <c r="B153" s="9" t="s">
        <v>185</v>
      </c>
      <c r="C153" s="9" t="s">
        <v>143</v>
      </c>
      <c r="D153" s="9" t="s">
        <v>102</v>
      </c>
      <c r="E153" s="9" t="s">
        <v>76</v>
      </c>
      <c r="F153" s="9"/>
      <c r="G153" s="9" t="s">
        <v>129</v>
      </c>
      <c r="H153" s="9"/>
      <c r="I153" s="9"/>
      <c r="J153" s="9"/>
    </row>
    <row r="154" spans="1:10" ht="14.25" customHeight="1">
      <c r="A154" s="9" t="s">
        <v>126</v>
      </c>
      <c r="B154" s="9" t="s">
        <v>178</v>
      </c>
      <c r="C154" s="9" t="s">
        <v>143</v>
      </c>
      <c r="D154" s="9" t="s">
        <v>102</v>
      </c>
      <c r="E154" s="9" t="s">
        <v>76</v>
      </c>
      <c r="F154" s="9"/>
      <c r="G154" s="9" t="s">
        <v>129</v>
      </c>
      <c r="H154" s="9"/>
      <c r="I154" s="10">
        <v>46216</v>
      </c>
      <c r="J154" s="10">
        <v>46216</v>
      </c>
    </row>
    <row r="155" spans="1:10" ht="14.25" customHeight="1">
      <c r="A155" s="9" t="s">
        <v>126</v>
      </c>
      <c r="B155" s="9" t="s">
        <v>140</v>
      </c>
      <c r="C155" s="9" t="s">
        <v>143</v>
      </c>
      <c r="D155" s="9" t="s">
        <v>102</v>
      </c>
      <c r="E155" s="9" t="s">
        <v>76</v>
      </c>
      <c r="F155" s="9"/>
      <c r="G155" s="9" t="s">
        <v>129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126</v>
      </c>
      <c r="B156" s="9" t="s">
        <v>185</v>
      </c>
      <c r="C156" s="9" t="s">
        <v>145</v>
      </c>
      <c r="D156" s="9" t="s">
        <v>83</v>
      </c>
      <c r="E156" s="9" t="s">
        <v>59</v>
      </c>
      <c r="F156" s="9"/>
      <c r="G156" s="9" t="s">
        <v>146</v>
      </c>
      <c r="H156" s="9"/>
      <c r="I156" s="9"/>
      <c r="J156" s="9"/>
    </row>
    <row r="157" spans="1:10">
      <c r="A157" s="3" t="s">
        <v>126</v>
      </c>
      <c r="B157" s="3" t="s">
        <v>185</v>
      </c>
      <c r="C157" s="3" t="s">
        <v>148</v>
      </c>
      <c r="D157" s="3" t="s">
        <v>117</v>
      </c>
      <c r="E157" s="3" t="s">
        <v>45</v>
      </c>
      <c r="F157" s="3"/>
      <c r="G157" s="3" t="s">
        <v>146</v>
      </c>
      <c r="H157" s="3"/>
      <c r="I157" s="3"/>
      <c r="J157" s="3"/>
    </row>
    <row r="158" spans="1:10">
      <c r="A158" s="3" t="s">
        <v>126</v>
      </c>
      <c r="B158" s="3" t="s">
        <v>185</v>
      </c>
      <c r="C158" s="3" t="s">
        <v>152</v>
      </c>
      <c r="D158" s="3" t="s">
        <v>117</v>
      </c>
      <c r="E158" s="3" t="s">
        <v>45</v>
      </c>
      <c r="F158" s="3"/>
      <c r="G158" s="3" t="s">
        <v>146</v>
      </c>
      <c r="H158" s="3"/>
      <c r="I158" s="3"/>
      <c r="J158" s="3"/>
    </row>
    <row r="159" spans="1:10">
      <c r="A159" s="3" t="s">
        <v>126</v>
      </c>
      <c r="B159" s="3" t="s">
        <v>178</v>
      </c>
      <c r="C159" s="3" t="s">
        <v>152</v>
      </c>
      <c r="D159" s="3" t="s">
        <v>117</v>
      </c>
      <c r="E159" s="3" t="s">
        <v>45</v>
      </c>
      <c r="F159" s="3"/>
      <c r="G159" s="3" t="s">
        <v>146</v>
      </c>
      <c r="H159" s="3"/>
      <c r="I159" s="4">
        <v>46221</v>
      </c>
      <c r="J159" s="4">
        <v>46221</v>
      </c>
    </row>
    <row r="160" spans="1:10">
      <c r="A160" s="3" t="s">
        <v>126</v>
      </c>
      <c r="B160" s="3" t="s">
        <v>140</v>
      </c>
      <c r="C160" s="3" t="s">
        <v>152</v>
      </c>
      <c r="D160" s="3" t="s">
        <v>117</v>
      </c>
      <c r="E160" s="3" t="s">
        <v>45</v>
      </c>
      <c r="F160" s="3"/>
      <c r="G160" s="3" t="s">
        <v>146</v>
      </c>
      <c r="H160" s="4">
        <v>46221</v>
      </c>
      <c r="I160" s="4">
        <v>46223</v>
      </c>
      <c r="J160" s="4">
        <v>46223</v>
      </c>
    </row>
    <row r="161" spans="1:10">
      <c r="A161" s="3" t="s">
        <v>126</v>
      </c>
      <c r="B161" s="3" t="s">
        <v>185</v>
      </c>
      <c r="C161" s="3" t="s">
        <v>153</v>
      </c>
      <c r="D161" s="3" t="s">
        <v>83</v>
      </c>
      <c r="E161" s="3" t="s">
        <v>59</v>
      </c>
      <c r="F161" s="3"/>
      <c r="G161" s="3" t="s">
        <v>146</v>
      </c>
      <c r="H161" s="3"/>
      <c r="I161" s="3"/>
      <c r="J161" s="3"/>
    </row>
    <row r="162" spans="1:10">
      <c r="A162" s="3" t="s">
        <v>126</v>
      </c>
      <c r="B162" s="3" t="s">
        <v>178</v>
      </c>
      <c r="C162" s="3" t="s">
        <v>153</v>
      </c>
      <c r="D162" s="3" t="s">
        <v>83</v>
      </c>
      <c r="E162" s="3" t="s">
        <v>59</v>
      </c>
      <c r="F162" s="3"/>
      <c r="G162" s="3" t="s">
        <v>146</v>
      </c>
      <c r="H162" s="3"/>
      <c r="I162" s="4">
        <v>46220</v>
      </c>
      <c r="J162" s="4">
        <v>46220</v>
      </c>
    </row>
    <row r="163" spans="1:10">
      <c r="A163" s="3" t="s">
        <v>126</v>
      </c>
      <c r="B163" s="3" t="s">
        <v>140</v>
      </c>
      <c r="C163" s="3" t="s">
        <v>153</v>
      </c>
      <c r="D163" s="3" t="s">
        <v>83</v>
      </c>
      <c r="E163" s="3" t="s">
        <v>59</v>
      </c>
      <c r="F163" s="3"/>
      <c r="G163" s="3" t="s">
        <v>146</v>
      </c>
      <c r="H163" s="4">
        <v>46220</v>
      </c>
      <c r="I163" s="4">
        <v>46223</v>
      </c>
      <c r="J163" s="4">
        <v>46223</v>
      </c>
    </row>
    <row r="164" spans="1:10">
      <c r="A164" s="3" t="s">
        <v>126</v>
      </c>
      <c r="B164" s="3" t="s">
        <v>185</v>
      </c>
      <c r="C164" s="3" t="s">
        <v>156</v>
      </c>
      <c r="D164" s="3" t="s">
        <v>158</v>
      </c>
      <c r="E164" s="3" t="s">
        <v>59</v>
      </c>
      <c r="F164" s="3"/>
      <c r="G164" s="3" t="s">
        <v>146</v>
      </c>
      <c r="H164" s="3"/>
      <c r="I164" s="3"/>
      <c r="J164" s="3"/>
    </row>
    <row r="165" spans="1:10">
      <c r="A165" s="3" t="s">
        <v>126</v>
      </c>
      <c r="B165" s="3" t="s">
        <v>178</v>
      </c>
      <c r="C165" s="3" t="s">
        <v>156</v>
      </c>
      <c r="D165" s="3" t="s">
        <v>158</v>
      </c>
      <c r="E165" s="3" t="s">
        <v>59</v>
      </c>
      <c r="F165" s="3"/>
      <c r="G165" s="3" t="s">
        <v>146</v>
      </c>
      <c r="H165" s="3"/>
      <c r="I165" s="4">
        <v>46224</v>
      </c>
      <c r="J165" s="4">
        <v>46224</v>
      </c>
    </row>
    <row r="166" spans="1:10">
      <c r="A166" s="3" t="s">
        <v>126</v>
      </c>
      <c r="B166" s="3" t="s">
        <v>140</v>
      </c>
      <c r="C166" s="3" t="s">
        <v>156</v>
      </c>
      <c r="D166" s="3" t="s">
        <v>158</v>
      </c>
      <c r="E166" s="3" t="s">
        <v>59</v>
      </c>
      <c r="F166" s="3"/>
      <c r="G166" s="3" t="s">
        <v>146</v>
      </c>
      <c r="H166" s="4">
        <v>46224</v>
      </c>
      <c r="I166" s="4">
        <v>46223</v>
      </c>
      <c r="J166" s="4">
        <v>46223</v>
      </c>
    </row>
    <row r="167" spans="1:10">
      <c r="A167" s="3" t="s">
        <v>126</v>
      </c>
      <c r="B167" s="3" t="s">
        <v>185</v>
      </c>
      <c r="C167" s="3" t="s">
        <v>159</v>
      </c>
      <c r="D167" s="3" t="s">
        <v>158</v>
      </c>
      <c r="E167" s="3" t="s">
        <v>76</v>
      </c>
      <c r="F167" s="3"/>
      <c r="G167" s="3" t="s">
        <v>146</v>
      </c>
      <c r="H167" s="3"/>
      <c r="I167" s="3"/>
      <c r="J167" s="3"/>
    </row>
    <row r="168" spans="1:10">
      <c r="A168" s="3" t="s">
        <v>126</v>
      </c>
      <c r="B168" s="3" t="s">
        <v>178</v>
      </c>
      <c r="C168" s="3" t="s">
        <v>159</v>
      </c>
      <c r="D168" s="3" t="s">
        <v>158</v>
      </c>
      <c r="E168" s="3" t="s">
        <v>76</v>
      </c>
      <c r="F168" s="3"/>
      <c r="G168" s="3" t="s">
        <v>146</v>
      </c>
      <c r="H168" s="3"/>
      <c r="I168" s="4">
        <v>46225</v>
      </c>
      <c r="J168" s="4">
        <v>46225</v>
      </c>
    </row>
    <row r="169" spans="1:10">
      <c r="A169" s="3" t="s">
        <v>126</v>
      </c>
      <c r="B169" s="3" t="s">
        <v>140</v>
      </c>
      <c r="C169" s="3" t="s">
        <v>159</v>
      </c>
      <c r="D169" s="3" t="s">
        <v>158</v>
      </c>
      <c r="E169" s="3" t="s">
        <v>76</v>
      </c>
      <c r="F169" s="3"/>
      <c r="G169" s="3" t="s">
        <v>146</v>
      </c>
      <c r="H169" s="4">
        <v>46225</v>
      </c>
      <c r="I169" s="4">
        <v>46223</v>
      </c>
      <c r="J169" s="4">
        <v>46223</v>
      </c>
    </row>
    <row r="170" spans="1:10">
      <c r="A170" s="3" t="s">
        <v>126</v>
      </c>
      <c r="B170" s="3" t="s">
        <v>185</v>
      </c>
      <c r="C170" s="3" t="s">
        <v>160</v>
      </c>
      <c r="D170" s="3" t="s">
        <v>75</v>
      </c>
      <c r="E170" s="3" t="s">
        <v>45</v>
      </c>
      <c r="F170" s="3"/>
      <c r="G170" s="3" t="s">
        <v>129</v>
      </c>
      <c r="H170" s="3"/>
      <c r="I170" s="3"/>
      <c r="J170" s="3"/>
    </row>
    <row r="171" spans="1:10">
      <c r="A171" s="3" t="s">
        <v>126</v>
      </c>
      <c r="B171" s="3" t="s">
        <v>178</v>
      </c>
      <c r="C171" s="3" t="s">
        <v>160</v>
      </c>
      <c r="D171" s="3" t="s">
        <v>75</v>
      </c>
      <c r="E171" s="3" t="s">
        <v>45</v>
      </c>
      <c r="F171" s="3"/>
      <c r="G171" s="3" t="s">
        <v>129</v>
      </c>
      <c r="H171" s="3"/>
      <c r="I171" s="4">
        <v>46226</v>
      </c>
      <c r="J171" s="4">
        <v>46226</v>
      </c>
    </row>
    <row r="172" spans="1:10">
      <c r="A172" s="3" t="s">
        <v>126</v>
      </c>
      <c r="B172" s="3" t="s">
        <v>140</v>
      </c>
      <c r="C172" s="3" t="s">
        <v>160</v>
      </c>
      <c r="D172" s="3" t="s">
        <v>75</v>
      </c>
      <c r="E172" s="3" t="s">
        <v>45</v>
      </c>
      <c r="F172" s="3"/>
      <c r="G172" s="3" t="s">
        <v>129</v>
      </c>
      <c r="H172" s="4">
        <v>46226</v>
      </c>
      <c r="I172" s="4">
        <v>46223</v>
      </c>
      <c r="J172" s="4">
        <v>46223</v>
      </c>
    </row>
    <row r="173" spans="1:10">
      <c r="A173" s="3" t="s">
        <v>126</v>
      </c>
      <c r="B173" s="3" t="s">
        <v>185</v>
      </c>
      <c r="C173" s="3" t="s">
        <v>162</v>
      </c>
      <c r="D173" s="3" t="s">
        <v>58</v>
      </c>
      <c r="E173" s="3" t="s">
        <v>59</v>
      </c>
      <c r="F173" s="3"/>
      <c r="G173" s="3" t="s">
        <v>129</v>
      </c>
      <c r="H173" s="3"/>
      <c r="I173" s="3"/>
      <c r="J173" s="3"/>
    </row>
    <row r="174" spans="1:10">
      <c r="A174" s="3" t="s">
        <v>126</v>
      </c>
      <c r="B174" s="3" t="s">
        <v>178</v>
      </c>
      <c r="C174" s="3" t="s">
        <v>162</v>
      </c>
      <c r="D174" s="3" t="s">
        <v>58</v>
      </c>
      <c r="E174" s="3" t="s">
        <v>59</v>
      </c>
      <c r="F174" s="3"/>
      <c r="G174" s="3" t="s">
        <v>129</v>
      </c>
      <c r="H174" s="3"/>
      <c r="I174" s="4">
        <v>46225</v>
      </c>
      <c r="J174" s="4">
        <v>46225</v>
      </c>
    </row>
    <row r="175" spans="1:10">
      <c r="A175" s="3" t="s">
        <v>126</v>
      </c>
      <c r="B175" s="3" t="s">
        <v>140</v>
      </c>
      <c r="C175" s="3" t="s">
        <v>162</v>
      </c>
      <c r="D175" s="3" t="s">
        <v>58</v>
      </c>
      <c r="E175" s="3" t="s">
        <v>59</v>
      </c>
      <c r="F175" s="3"/>
      <c r="G175" s="3" t="s">
        <v>129</v>
      </c>
      <c r="H175" s="4">
        <v>46225</v>
      </c>
      <c r="I175" s="4">
        <v>46223</v>
      </c>
      <c r="J175" s="4">
        <v>46223</v>
      </c>
    </row>
    <row r="176" spans="1:10">
      <c r="A176" s="3" t="s">
        <v>126</v>
      </c>
      <c r="B176" s="3" t="s">
        <v>185</v>
      </c>
      <c r="C176" s="3" t="s">
        <v>164</v>
      </c>
      <c r="D176" s="3" t="s">
        <v>75</v>
      </c>
      <c r="E176" s="3" t="s">
        <v>76</v>
      </c>
      <c r="F176" s="3"/>
      <c r="G176" s="3" t="s">
        <v>146</v>
      </c>
      <c r="H176" s="3"/>
      <c r="I176" s="3"/>
      <c r="J176" s="3"/>
    </row>
    <row r="177" spans="1:10">
      <c r="A177" s="3" t="s">
        <v>126</v>
      </c>
      <c r="B177" s="3" t="s">
        <v>178</v>
      </c>
      <c r="C177" s="3" t="s">
        <v>164</v>
      </c>
      <c r="D177" s="3" t="s">
        <v>75</v>
      </c>
      <c r="E177" s="3" t="s">
        <v>76</v>
      </c>
      <c r="F177" s="3"/>
      <c r="G177" s="3" t="s">
        <v>146</v>
      </c>
      <c r="H177" s="3"/>
      <c r="I177" s="4">
        <v>46225</v>
      </c>
      <c r="J177" s="4">
        <v>46225</v>
      </c>
    </row>
    <row r="178" spans="1:10">
      <c r="A178" s="3" t="s">
        <v>126</v>
      </c>
      <c r="B178" s="3" t="s">
        <v>140</v>
      </c>
      <c r="C178" s="3" t="s">
        <v>164</v>
      </c>
      <c r="D178" s="3" t="s">
        <v>75</v>
      </c>
      <c r="E178" s="3" t="s">
        <v>76</v>
      </c>
      <c r="F178" s="3"/>
      <c r="G178" s="3" t="s">
        <v>146</v>
      </c>
      <c r="H178" s="4">
        <v>46225</v>
      </c>
      <c r="I178" s="4">
        <v>46230</v>
      </c>
      <c r="J178" s="4">
        <v>46230</v>
      </c>
    </row>
    <row r="179" spans="1:10">
      <c r="A179" s="3" t="s">
        <v>126</v>
      </c>
      <c r="B179" s="3" t="s">
        <v>185</v>
      </c>
      <c r="C179" s="3" t="s">
        <v>167</v>
      </c>
      <c r="D179" s="3" t="s">
        <v>102</v>
      </c>
      <c r="E179" s="3"/>
      <c r="F179" s="3"/>
      <c r="G179" s="3"/>
      <c r="H179" s="3"/>
      <c r="I179" s="3"/>
      <c r="J179" s="3"/>
    </row>
    <row r="180" spans="1:10">
      <c r="A180" s="3" t="s">
        <v>126</v>
      </c>
      <c r="B180" s="3" t="s">
        <v>178</v>
      </c>
      <c r="C180" s="3" t="s">
        <v>167</v>
      </c>
      <c r="D180" s="3" t="s">
        <v>102</v>
      </c>
      <c r="E180" s="3"/>
      <c r="F180" s="3"/>
      <c r="G180" s="3"/>
      <c r="H180" s="3"/>
      <c r="I180" s="3"/>
      <c r="J180" s="3"/>
    </row>
    <row r="181" spans="1:10">
      <c r="A181" s="3" t="s">
        <v>126</v>
      </c>
      <c r="B181" s="3" t="s">
        <v>140</v>
      </c>
      <c r="C181" s="3" t="s">
        <v>167</v>
      </c>
      <c r="D181" s="3" t="s">
        <v>102</v>
      </c>
      <c r="E181" s="3"/>
      <c r="F181" s="3"/>
      <c r="G181" s="3"/>
      <c r="H181" s="3"/>
      <c r="I181" s="3"/>
      <c r="J181" s="3"/>
    </row>
    <row r="182" spans="1:10">
      <c r="A182" s="3" t="s">
        <v>126</v>
      </c>
      <c r="B182" s="3" t="s">
        <v>185</v>
      </c>
      <c r="C182" s="3" t="s">
        <v>177</v>
      </c>
      <c r="D182" s="3" t="s">
        <v>83</v>
      </c>
      <c r="E182" s="3"/>
      <c r="F182" s="3"/>
      <c r="G182" s="3"/>
      <c r="H182" s="3"/>
      <c r="I182" s="3"/>
      <c r="J182" s="3"/>
    </row>
    <row r="183" spans="1:10">
      <c r="A183" s="3" t="s">
        <v>126</v>
      </c>
      <c r="B183" s="3" t="s">
        <v>178</v>
      </c>
      <c r="C183" s="3" t="s">
        <v>177</v>
      </c>
      <c r="D183" s="3" t="s">
        <v>83</v>
      </c>
      <c r="E183" s="3"/>
      <c r="F183" s="3"/>
      <c r="G183" s="3"/>
      <c r="H183" s="3"/>
      <c r="I183" s="3"/>
      <c r="J183" s="3"/>
    </row>
    <row r="184" spans="1:10">
      <c r="A184" s="3" t="s">
        <v>126</v>
      </c>
      <c r="B184" s="3" t="s">
        <v>140</v>
      </c>
      <c r="C184" s="3" t="s">
        <v>177</v>
      </c>
      <c r="D184" s="3" t="s">
        <v>83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6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92" t="s">
        <v>375</v>
      </c>
      <c r="B1" s="86"/>
      <c r="C1" s="86"/>
    </row>
    <row r="2" spans="1:3" ht="14.25" customHeight="1">
      <c r="A2" s="8" t="s">
        <v>0</v>
      </c>
      <c r="B2" s="8" t="s">
        <v>376</v>
      </c>
      <c r="C2" s="8" t="s">
        <v>372</v>
      </c>
    </row>
    <row r="3" spans="1:3" ht="14.25" customHeight="1">
      <c r="A3" s="11" t="s">
        <v>39</v>
      </c>
      <c r="B3" s="11">
        <v>8</v>
      </c>
      <c r="C3" s="12">
        <v>46142</v>
      </c>
    </row>
    <row r="4" spans="1:3" ht="14.25" customHeight="1">
      <c r="A4" s="11" t="s">
        <v>39</v>
      </c>
      <c r="B4" s="11">
        <v>10</v>
      </c>
      <c r="C4" s="12">
        <v>46172</v>
      </c>
    </row>
    <row r="5" spans="1:3" ht="14.25" customHeight="1">
      <c r="A5" s="11" t="s">
        <v>39</v>
      </c>
      <c r="B5" s="11">
        <v>9</v>
      </c>
      <c r="C5" s="12">
        <v>46203</v>
      </c>
    </row>
    <row r="6" spans="1:3" ht="14.25" customHeight="1">
      <c r="A6" s="11" t="s">
        <v>126</v>
      </c>
      <c r="B6" s="11">
        <v>15</v>
      </c>
      <c r="C6" s="12">
        <v>46233</v>
      </c>
    </row>
    <row r="7" spans="1:3" ht="14.25" customHeight="1">
      <c r="A7" s="11" t="s">
        <v>126</v>
      </c>
      <c r="B7" s="11">
        <v>15</v>
      </c>
      <c r="C7" s="12">
        <v>46264</v>
      </c>
    </row>
    <row r="8" spans="1:3" ht="14.25" customHeight="1">
      <c r="A8" s="11" t="s">
        <v>126</v>
      </c>
      <c r="B8" s="11">
        <v>17</v>
      </c>
      <c r="C8" s="12">
        <v>46295</v>
      </c>
    </row>
    <row r="9" spans="1:3" ht="14.25" customHeight="1">
      <c r="A9" s="11" t="s">
        <v>126</v>
      </c>
      <c r="B9" s="11">
        <v>20</v>
      </c>
      <c r="C9" s="12">
        <v>46325</v>
      </c>
    </row>
    <row r="10" spans="1:3" ht="14.25" customHeight="1">
      <c r="A10" s="11" t="s">
        <v>126</v>
      </c>
      <c r="B10" s="11">
        <v>20</v>
      </c>
      <c r="C10" s="12">
        <v>46356</v>
      </c>
    </row>
    <row r="11" spans="1:3" ht="14.25" customHeight="1">
      <c r="A11" s="11" t="s">
        <v>377</v>
      </c>
      <c r="B11" s="11">
        <v>18</v>
      </c>
      <c r="C11" s="12">
        <v>46386</v>
      </c>
    </row>
    <row r="12" spans="1:3" ht="14.25" customHeight="1">
      <c r="A12" s="11" t="s">
        <v>377</v>
      </c>
      <c r="B12" s="11">
        <v>18</v>
      </c>
      <c r="C12" s="12">
        <v>46417</v>
      </c>
    </row>
    <row r="13" spans="1:3" ht="14.25" customHeight="1">
      <c r="A13" s="11" t="s">
        <v>377</v>
      </c>
      <c r="B13" s="11">
        <v>19</v>
      </c>
      <c r="C13" s="12">
        <v>46446</v>
      </c>
    </row>
    <row r="14" spans="1:3" ht="14.25" customHeight="1">
      <c r="A14" s="11" t="s">
        <v>296</v>
      </c>
      <c r="B14" s="11">
        <v>9</v>
      </c>
      <c r="C14" s="12">
        <v>46476</v>
      </c>
    </row>
    <row r="15" spans="1:3" ht="14.25" customHeight="1">
      <c r="A15" s="11" t="s">
        <v>286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T18"/>
  <sheetViews>
    <sheetView zoomScaleNormal="100" workbookViewId="0">
      <selection activeCell="T2" sqref="T2:T4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20" ht="15" customHeight="1">
      <c r="A1" s="1" t="s">
        <v>0</v>
      </c>
      <c r="B1" s="1" t="s">
        <v>9</v>
      </c>
      <c r="C1" s="1" t="s">
        <v>15</v>
      </c>
      <c r="D1" s="1" t="s">
        <v>5</v>
      </c>
      <c r="E1" s="1" t="s">
        <v>378</v>
      </c>
      <c r="F1" s="1" t="s">
        <v>323</v>
      </c>
      <c r="G1" s="5" t="s">
        <v>379</v>
      </c>
      <c r="H1" s="5" t="s">
        <v>20</v>
      </c>
      <c r="I1" t="s">
        <v>34</v>
      </c>
      <c r="J1" s="5" t="s">
        <v>380</v>
      </c>
      <c r="K1" s="5" t="s">
        <v>128</v>
      </c>
      <c r="L1" s="5" t="s">
        <v>342</v>
      </c>
      <c r="M1" s="1" t="s">
        <v>381</v>
      </c>
      <c r="N1" s="1" t="s">
        <v>382</v>
      </c>
      <c r="R1" t="s">
        <v>13</v>
      </c>
      <c r="T1" t="s">
        <v>383</v>
      </c>
    </row>
    <row r="2" spans="1:20" ht="13.5" customHeight="1">
      <c r="A2" s="2" t="s">
        <v>384</v>
      </c>
      <c r="B2" s="2" t="s">
        <v>385</v>
      </c>
      <c r="C2" s="2" t="s">
        <v>386</v>
      </c>
      <c r="D2" s="2" t="s">
        <v>387</v>
      </c>
      <c r="E2" s="2" t="s">
        <v>388</v>
      </c>
      <c r="F2" s="2" t="s">
        <v>389</v>
      </c>
      <c r="G2" t="s">
        <v>390</v>
      </c>
      <c r="H2" t="s">
        <v>391</v>
      </c>
      <c r="I2" t="s">
        <v>392</v>
      </c>
      <c r="J2" s="29" t="s">
        <v>393</v>
      </c>
      <c r="K2" s="29" t="s">
        <v>394</v>
      </c>
      <c r="L2" s="29" t="s">
        <v>395</v>
      </c>
      <c r="M2" t="s">
        <v>146</v>
      </c>
      <c r="N2" s="45" t="s">
        <v>396</v>
      </c>
      <c r="R2" t="s">
        <v>397</v>
      </c>
      <c r="T2" t="s">
        <v>48</v>
      </c>
    </row>
    <row r="3" spans="1:20" ht="15" customHeight="1">
      <c r="A3" t="s">
        <v>39</v>
      </c>
      <c r="B3" t="s">
        <v>43</v>
      </c>
      <c r="C3" t="s">
        <v>59</v>
      </c>
      <c r="D3" t="s">
        <v>129</v>
      </c>
      <c r="E3" t="s">
        <v>49</v>
      </c>
      <c r="F3" t="s">
        <v>205</v>
      </c>
      <c r="G3" t="s">
        <v>43</v>
      </c>
      <c r="H3" t="s">
        <v>46</v>
      </c>
      <c r="I3" t="s">
        <v>52</v>
      </c>
      <c r="J3" t="s">
        <v>185</v>
      </c>
      <c r="K3" t="s">
        <v>47</v>
      </c>
      <c r="L3" t="s">
        <v>52</v>
      </c>
      <c r="M3" t="s">
        <v>43</v>
      </c>
      <c r="N3" s="45" t="s">
        <v>398</v>
      </c>
      <c r="R3" t="s">
        <v>44</v>
      </c>
      <c r="T3" t="s">
        <v>93</v>
      </c>
    </row>
    <row r="4" spans="1:20" ht="15" customHeight="1">
      <c r="A4" t="s">
        <v>126</v>
      </c>
      <c r="B4" t="s">
        <v>58</v>
      </c>
      <c r="C4" t="s">
        <v>45</v>
      </c>
      <c r="D4" t="s">
        <v>146</v>
      </c>
      <c r="E4" t="s">
        <v>52</v>
      </c>
      <c r="F4" t="s">
        <v>185</v>
      </c>
      <c r="G4" t="s">
        <v>58</v>
      </c>
      <c r="H4" t="s">
        <v>87</v>
      </c>
      <c r="I4" t="s">
        <v>399</v>
      </c>
      <c r="J4" t="s">
        <v>178</v>
      </c>
      <c r="L4" t="s">
        <v>49</v>
      </c>
      <c r="M4" t="s">
        <v>102</v>
      </c>
      <c r="N4" s="45" t="s">
        <v>398</v>
      </c>
      <c r="R4" t="s">
        <v>193</v>
      </c>
      <c r="T4" t="s">
        <v>71</v>
      </c>
    </row>
    <row r="5" spans="1:20" ht="15" customHeight="1">
      <c r="A5" t="s">
        <v>377</v>
      </c>
      <c r="B5" t="s">
        <v>64</v>
      </c>
      <c r="C5" t="s">
        <v>76</v>
      </c>
      <c r="F5" t="s">
        <v>178</v>
      </c>
      <c r="G5" t="s">
        <v>64</v>
      </c>
      <c r="H5" t="s">
        <v>129</v>
      </c>
      <c r="I5" t="s">
        <v>400</v>
      </c>
      <c r="J5" t="s">
        <v>140</v>
      </c>
      <c r="L5" t="s">
        <v>401</v>
      </c>
      <c r="M5" t="s">
        <v>87</v>
      </c>
      <c r="N5" s="45" t="s">
        <v>398</v>
      </c>
    </row>
    <row r="6" spans="1:20" ht="15" customHeight="1">
      <c r="A6" t="s">
        <v>296</v>
      </c>
      <c r="B6" t="s">
        <v>83</v>
      </c>
      <c r="F6" t="s">
        <v>140</v>
      </c>
      <c r="G6" t="s">
        <v>83</v>
      </c>
      <c r="H6" t="s">
        <v>146</v>
      </c>
      <c r="I6" t="s">
        <v>150</v>
      </c>
      <c r="J6" t="s">
        <v>128</v>
      </c>
      <c r="M6" t="s">
        <v>47</v>
      </c>
      <c r="N6" s="45" t="s">
        <v>398</v>
      </c>
    </row>
    <row r="7" spans="1:20" ht="15" customHeight="1">
      <c r="A7" t="s">
        <v>286</v>
      </c>
      <c r="B7" t="s">
        <v>117</v>
      </c>
      <c r="F7" t="s">
        <v>128</v>
      </c>
      <c r="G7" t="s">
        <v>117</v>
      </c>
      <c r="I7" t="s">
        <v>402</v>
      </c>
      <c r="M7" t="s">
        <v>129</v>
      </c>
      <c r="N7" s="45" t="s">
        <v>398</v>
      </c>
    </row>
    <row r="8" spans="1:20" ht="15" customHeight="1">
      <c r="B8" t="s">
        <v>75</v>
      </c>
      <c r="F8" t="s">
        <v>41</v>
      </c>
      <c r="G8" t="s">
        <v>75</v>
      </c>
      <c r="I8" t="s">
        <v>403</v>
      </c>
      <c r="M8" t="s">
        <v>59</v>
      </c>
      <c r="N8" s="45" t="s">
        <v>398</v>
      </c>
    </row>
    <row r="9" spans="1:20" ht="15" customHeight="1">
      <c r="B9" t="s">
        <v>102</v>
      </c>
      <c r="G9" t="s">
        <v>102</v>
      </c>
      <c r="I9" t="s">
        <v>404</v>
      </c>
      <c r="M9" t="s">
        <v>158</v>
      </c>
      <c r="N9" s="45" t="s">
        <v>398</v>
      </c>
    </row>
    <row r="10" spans="1:20" ht="15" customHeight="1">
      <c r="B10" t="s">
        <v>158</v>
      </c>
      <c r="G10" t="s">
        <v>158</v>
      </c>
      <c r="M10" t="s">
        <v>46</v>
      </c>
      <c r="N10" s="45" t="s">
        <v>398</v>
      </c>
    </row>
    <row r="11" spans="1:20">
      <c r="B11" t="s">
        <v>405</v>
      </c>
      <c r="G11" t="s">
        <v>59</v>
      </c>
      <c r="M11" t="s">
        <v>75</v>
      </c>
      <c r="N11" s="45" t="s">
        <v>398</v>
      </c>
    </row>
    <row r="12" spans="1:20">
      <c r="B12" t="s">
        <v>406</v>
      </c>
      <c r="G12" t="s">
        <v>45</v>
      </c>
      <c r="M12" t="s">
        <v>45</v>
      </c>
      <c r="N12" s="45" t="s">
        <v>398</v>
      </c>
    </row>
    <row r="13" spans="1:20">
      <c r="G13" t="s">
        <v>76</v>
      </c>
      <c r="M13" t="s">
        <v>76</v>
      </c>
      <c r="N13" s="45" t="s">
        <v>398</v>
      </c>
    </row>
    <row r="14" spans="1:20">
      <c r="M14" t="s">
        <v>83</v>
      </c>
      <c r="N14" s="45" t="s">
        <v>407</v>
      </c>
    </row>
    <row r="15" spans="1:20">
      <c r="M15" t="s">
        <v>58</v>
      </c>
      <c r="N15" s="45" t="s">
        <v>398</v>
      </c>
    </row>
    <row r="16" spans="1:20">
      <c r="M16" t="s">
        <v>117</v>
      </c>
      <c r="N16" s="45" t="s">
        <v>398</v>
      </c>
    </row>
    <row r="17" spans="13:14">
      <c r="M17" t="s">
        <v>64</v>
      </c>
      <c r="N17" s="45" t="s">
        <v>398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2026-08-28T12:27:22Z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