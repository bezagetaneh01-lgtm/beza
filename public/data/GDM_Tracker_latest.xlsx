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56" documentId="13_ncr:1_{52745E9B-3AA1-4770-AAD3-E6166BFC13AE}" xr6:coauthVersionLast="47" xr6:coauthVersionMax="47" xr10:uidLastSave="{0466C148-0E36-4685-975D-D9DDABDD80FB}"/>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<sst xmlns="http://schemas.openxmlformats.org/spreadsheetml/2006/main" count="3093" uniqueCount="437">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</sst>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R1" activePane="topRight" state="frozen"/>
      <selection pane="topRight" activeCell="X1" sqref="X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3" t="str">
        <f>IF($B$4="","",IFERROR(INDEX('Combined Delivery Data'!$A:$A,MATCH($B$4,'Combined Delivery Data'!$B:$B,0)),""))</f>
        <v/>
      </c>
      <c r="C6" s="176"/>
      <c r="D6" s="176"/>
      <c r="E6" s="177"/>
    </row>
    <row r="7" spans="1:5" ht="15">
      <c r="A7" s="42" t="s">
        <v>331</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332</v>
      </c>
      <c r="B14" s="172" t="str">
        <f>IF($B$4="","",IFERROR(INDEX('Combined Delivery Data'!$K:$K,MATCH($B$4,'Combined Delivery Data'!$B:$B,0)),""))</f>
        <v/>
      </c>
      <c r="C14" s="176"/>
      <c r="D14" s="176"/>
      <c r="E14" s="177"/>
    </row>
    <row r="15" spans="1:5" ht="15">
      <c r="A15" s="42" t="s">
        <v>333</v>
      </c>
      <c r="B15" s="172" t="str">
        <f>IF($B$4="","",IFERROR(INDEX('Combined Delivery Data'!$L:$L,MATCH($B$4,'Combined Delivery Data'!$B:$B,0)),""))</f>
        <v/>
      </c>
      <c r="C15" s="176"/>
      <c r="D15" s="176"/>
      <c r="E15" s="177"/>
    </row>
    <row r="16" spans="1:5" ht="15">
      <c r="A16" s="42" t="s">
        <v>334</v>
      </c>
      <c r="B16" s="172" t="str">
        <f>IF($B$4="","",IFERROR(INDEX('Combined Delivery Data'!$M:$M,MATCH($B$4,'Combined Delivery Data'!$B:$B,0)),""))</f>
        <v/>
      </c>
      <c r="C16" s="176"/>
      <c r="D16" s="176"/>
      <c r="E16" s="177"/>
    </row>
    <row r="17" spans="1:5" ht="15">
      <c r="A17" s="42" t="s">
        <v>335</v>
      </c>
      <c r="B17" s="172" t="str">
        <f>IF($B$4="","",IFERROR(INDEX('Combined Delivery Data'!$O:$O,MATCH($B$4,'Combined Delivery Data'!$B:$B,0)),""))</f>
        <v/>
      </c>
      <c r="C17" s="176"/>
      <c r="D17" s="176"/>
      <c r="E17" s="177"/>
    </row>
    <row r="18" spans="1:5" ht="15">
      <c r="A18" s="42" t="s">
        <v>336</v>
      </c>
      <c r="B18" s="172" t="str">
        <f>IF($B$4="","",IFERROR(INDEX('Combined Delivery Data'!$Q:$Q,MATCH($B$4,'Combined Delivery Data'!$B:$B,0)),""))</f>
        <v/>
      </c>
      <c r="C18" s="176"/>
      <c r="D18" s="176"/>
      <c r="E18" s="177"/>
    </row>
    <row r="19" spans="1:5" ht="15">
      <c r="A19" s="42" t="s">
        <v>337</v>
      </c>
      <c r="B19" s="172" t="str">
        <f>IF($B$4="","",IFERROR(INDEX('Combined Delivery Data'!$R:$R,MATCH($B$4,'Combined Delivery Data'!$B:$B,0)),""))</f>
        <v/>
      </c>
      <c r="C19" s="176"/>
      <c r="D19" s="176"/>
      <c r="E19" s="177"/>
    </row>
    <row r="20" spans="1:5" ht="15">
      <c r="A20" s="42" t="s">
        <v>338</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339</v>
      </c>
      <c r="B26" s="173" t="str">
        <f>IF($B$4="","",IFERROR(INDEX('Rework Log'!$Q:$Q,MATCH($B$4,'Rework Log'!$P:$P,0)),""))</f>
        <v/>
      </c>
      <c r="C26" s="176"/>
      <c r="D26" s="176"/>
      <c r="E26" s="177"/>
    </row>
    <row r="27" spans="1:5">
      <c r="A27" s="42" t="s">
        <v>340</v>
      </c>
      <c r="B27" s="173" t="str">
        <f>IF($B$4="","",IFERROR(INDEX('Rework Log'!$R:$R,MATCH($B$4,'Rework Log'!$P:$P,0)),""))</f>
        <v/>
      </c>
      <c r="C27" s="176"/>
      <c r="D27" s="176"/>
      <c r="E27" s="177"/>
    </row>
    <row r="28" spans="1:5">
      <c r="A28" s="42" t="s">
        <v>341</v>
      </c>
      <c r="B28" s="173" t="str">
        <f>IF($B$4="","",IFERROR(INDEX('Rework Log'!$S:$S,MATCH($B$4,'Rework Log'!$P:$P,0)),""))</f>
        <v/>
      </c>
      <c r="C28" s="176"/>
      <c r="D28" s="176"/>
      <c r="E28" s="177"/>
    </row>
    <row r="29" spans="1:5">
      <c r="A29" s="42" t="s">
        <v>342</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0" activePane="bottomLeft" state="frozen"/>
      <selection pane="bottomLeft" activeCell="A18" sqref="A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343</v>
      </c>
      <c r="B1" s="171"/>
      <c r="C1" s="171"/>
      <c r="D1" s="171"/>
      <c r="E1" s="171"/>
      <c r="F1" s="171"/>
      <c r="G1" s="171"/>
      <c r="H1" s="171"/>
      <c r="I1" s="171"/>
      <c r="J1" s="171"/>
      <c r="K1" s="171"/>
      <c r="L1" s="171"/>
      <c r="M1" s="171"/>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207</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207</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207</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207</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207</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207</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331</v>
      </c>
      <c r="G1" s="5" t="s">
        <v>410</v>
      </c>
      <c r="H1" s="5" t="s">
        <v>20</v>
      </c>
      <c r="I1" t="s">
        <v>35</v>
      </c>
      <c r="J1" s="5" t="s">
        <v>411</v>
      </c>
      <c r="K1" s="5" t="s">
        <v>172</v>
      </c>
      <c r="L1" s="5" t="s">
        <v>350</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428</v>
      </c>
      <c r="R4" t="s">
        <v>186</v>
      </c>
      <c r="T4" t="s">
        <v>72</v>
      </c>
    </row>
    <row r="5" spans="1:20" ht="15" customHeight="1">
      <c r="A5" t="s">
        <v>400</v>
      </c>
      <c r="B5" t="s">
        <v>408</v>
      </c>
      <c r="C5" t="s">
        <v>77</v>
      </c>
      <c r="F5" t="s">
        <v>207</v>
      </c>
      <c r="G5" t="s">
        <v>408</v>
      </c>
      <c r="H5" t="s">
        <v>129</v>
      </c>
      <c r="I5" t="s">
        <v>237</v>
      </c>
      <c r="J5" t="s">
        <v>166</v>
      </c>
      <c r="L5" t="s">
        <v>429</v>
      </c>
      <c r="M5" t="s">
        <v>88</v>
      </c>
      <c r="N5" s="45" t="s">
        <v>428</v>
      </c>
    </row>
    <row r="6" spans="1:20" ht="15" customHeight="1">
      <c r="A6" t="s">
        <v>304</v>
      </c>
      <c r="B6" t="s">
        <v>84</v>
      </c>
      <c r="F6" t="s">
        <v>166</v>
      </c>
      <c r="G6" t="s">
        <v>84</v>
      </c>
      <c r="H6" t="s">
        <v>145</v>
      </c>
      <c r="I6" t="s">
        <v>430</v>
      </c>
      <c r="J6" t="s">
        <v>172</v>
      </c>
      <c r="M6" t="s">
        <v>48</v>
      </c>
      <c r="N6" s="45" t="s">
        <v>428</v>
      </c>
    </row>
    <row r="7" spans="1:20" ht="15" customHeight="1">
      <c r="A7" t="s">
        <v>294</v>
      </c>
      <c r="B7" t="s">
        <v>65</v>
      </c>
      <c r="F7" t="s">
        <v>172</v>
      </c>
      <c r="G7" t="s">
        <v>65</v>
      </c>
      <c r="H7" t="s">
        <v>389</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2026-09-14T15:35:33Z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