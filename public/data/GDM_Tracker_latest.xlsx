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71" documentId="13_ncr:1_{52745E9B-3AA1-4770-AAD3-E6166BFC13AE}" xr6:coauthVersionLast="47" xr6:coauthVersionMax="47" xr10:uidLastSave="{31F13CD0-E39E-4BCA-B8C4-8520B627FD61}"/>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<sst xmlns="http://schemas.openxmlformats.org/spreadsheetml/2006/main" count="3643" uniqueCount="523">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</sst>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2">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2</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August"/>
        <filter val="November"/>
        <filter val="October"/>
        <filter val="September"/>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78" activePane="bottomLeft" state="frozen"/>
      <selection pane="bottomLeft" activeCell="N110" sqref="N110"/>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idden="1">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idden="1">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idden="1">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idden="1">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idden="1">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idden="1">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idden="1">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idden="1">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idden="1">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idden="1">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idden="1">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Move status to QA</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206</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273</v>
      </c>
      <c r="J93" s="53" t="s">
        <v>155</v>
      </c>
      <c r="K93" s="49">
        <v>46332</v>
      </c>
      <c r="L93" s="43">
        <v>46303</v>
      </c>
      <c r="M93" s="43">
        <v>46308</v>
      </c>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idden="1">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idden="1">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idden="1">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idden="1">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idden="1">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idden="1">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idden="1">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idden="1">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idden="1">
      <c r="A109" s="31" t="s">
        <v>312</v>
      </c>
      <c r="B109" s="31" t="s">
        <v>324</v>
      </c>
      <c r="C109" s="31" t="s">
        <v>264</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idden="1">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32">
        <v>46310</v>
      </c>
      <c r="M110" s="32">
        <v>46308</v>
      </c>
      <c r="N110" s="44" t="s">
        <v>258</v>
      </c>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idden="1">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idden="1">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idden="1">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idden="1">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hidden="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A116:AE116 A2:F87 G2:V40 W2:Y54 N3:N44 L41:V42 G43:V64 G65:Q65 T65:V65 G66:V73 G41:J42 Z2:AL2 Z3 Z4:AL41 Z42:AK42 Z43:AL44 Z45:AK47 Z48:AL72 W55:X55 W56:Y58 W59:X59 W60:Y70 W71 Z73:AH100 Z101:AE115 AB3:AL3 AJ30:AJ42 AJ44:AJ48 AJ116 W72:Y116 A74:V115">
    <cfRule type="expression" dxfId="161" priority="64">
      <formula>AND($B2&lt;&gt;"",MOD(ROW(),2)=0)</formula>
    </cfRule>
  </conditionalFormatting>
  <conditionalFormatting sqref="C2:C116">
    <cfRule type="expression" dxfId="160" priority="625">
      <formula>LEFT($AK2,4)="Move"</formula>
    </cfRule>
  </conditionalFormatting>
  <conditionalFormatting sqref="D2:D528">
    <cfRule type="expression" dxfId="159" priority="48">
      <formula>ISNUMBER(SEARCH("Blocked",$D2))</formula>
    </cfRule>
    <cfRule type="expression" dxfId="158" priority="49">
      <formula>ISNUMBER(SEARCH("overdue",$D2))</formula>
    </cfRule>
    <cfRule type="expression" dxfId="157" priority="50">
      <formula>ISNUMBER(SEARCH("no target",$D2))</formula>
    </cfRule>
    <cfRule type="expression" dxfId="156" priority="51">
      <formula>ISNUMBER(SEARCH("Review",$D2))</formula>
    </cfRule>
    <cfRule type="expression" dxfId="155" priority="52">
      <formula>OR($D2="On track",$D2="Delivered")</formula>
    </cfRule>
  </conditionalFormatting>
  <conditionalFormatting sqref="D88">
    <cfRule type="expression" dxfId="154" priority="624">
      <formula>AND($B50&lt;&gt;"",MOD(ROW(),2)=0)</formula>
    </cfRule>
  </conditionalFormatting>
  <conditionalFormatting sqref="J2:O116">
    <cfRule type="expression" dxfId="153" priority="26">
      <formula>$AJ2="Yes – needs DB Dev to fix"</formula>
    </cfRule>
  </conditionalFormatting>
  <conditionalFormatting sqref="J117:O193">
    <cfRule type="expression" dxfId="152" priority="31">
      <formula>$AH117="Yes – needs DB Dev to fix"</formula>
    </cfRule>
  </conditionalFormatting>
  <conditionalFormatting sqref="K41">
    <cfRule type="expression" dxfId="151" priority="607">
      <formula>AND($B41&lt;&gt;"",MOD(ROW(),2)=0)</formula>
    </cfRule>
    <cfRule type="expression" dxfId="150" priority="608">
      <formula>$AJ41="Yes – needs DB Dev to fix"</formula>
    </cfRule>
  </conditionalFormatting>
  <conditionalFormatting sqref="K42">
    <cfRule type="expression" dxfId="149" priority="610">
      <formula>$AJ41="Yes – needs DB Dev to fix"</formula>
    </cfRule>
    <cfRule type="expression" dxfId="148" priority="609">
      <formula>AND($B41&lt;&gt;"",MOD(ROW(),2)=0)</formula>
    </cfRule>
  </conditionalFormatting>
  <conditionalFormatting sqref="K73:L100">
    <cfRule type="expression" dxfId="147" priority="123">
      <formula>$AF73="Yes – needs DB Dev to fix"</formula>
    </cfRule>
  </conditionalFormatting>
  <conditionalFormatting sqref="K101:L116">
    <cfRule type="expression" dxfId="146" priority="353">
      <formula>$AA101="Yes – needs DB Dev to fix"</formula>
    </cfRule>
  </conditionalFormatting>
  <conditionalFormatting sqref="K117:L528">
    <cfRule type="expression" dxfId="145" priority="580">
      <formula>$X117="Yes – needs DB Dev to fix"</formula>
    </cfRule>
  </conditionalFormatting>
  <conditionalFormatting sqref="M73">
    <cfRule type="expression" dxfId="144" priority="30">
      <formula>$AF73="Yes – needs DB Dev to fix"</formula>
    </cfRule>
  </conditionalFormatting>
  <conditionalFormatting sqref="M79:M81">
    <cfRule type="expression" dxfId="143" priority="4">
      <formula>$AF79="Yes – needs DB Dev to fix"</formula>
    </cfRule>
  </conditionalFormatting>
  <conditionalFormatting sqref="M83:M84">
    <cfRule type="expression" dxfId="142" priority="6">
      <formula>$AF83="Yes – needs DB Dev to fix"</formula>
    </cfRule>
  </conditionalFormatting>
  <conditionalFormatting sqref="M91">
    <cfRule type="expression" dxfId="141" priority="10">
      <formula>$AF91="Yes – needs DB Dev to fix"</formula>
    </cfRule>
  </conditionalFormatting>
  <conditionalFormatting sqref="M93:M94">
    <cfRule type="expression" dxfId="140" priority="3">
      <formula>$AF93="Yes – needs DB Dev to fix"</formula>
    </cfRule>
  </conditionalFormatting>
  <conditionalFormatting sqref="M73:P100">
    <cfRule type="expression" dxfId="139" priority="308">
      <formula>$AD73="Yes – needs PBI Dev to fix"</formula>
    </cfRule>
  </conditionalFormatting>
  <conditionalFormatting sqref="M101:P116">
    <cfRule type="expression" dxfId="138" priority="355">
      <formula>$AA101="Yes – needs PBI Dev to fix"</formula>
    </cfRule>
  </conditionalFormatting>
  <conditionalFormatting sqref="M117:P528">
    <cfRule type="expression" dxfId="137" priority="581">
      <formula>$X117="Yes – needs PBI Dev to fix"</formula>
    </cfRule>
  </conditionalFormatting>
  <conditionalFormatting sqref="N58">
    <cfRule type="expression" dxfId="136" priority="11">
      <formula>$AD58="Yes – needs PBI Dev to fix"</formula>
    </cfRule>
  </conditionalFormatting>
  <conditionalFormatting sqref="N70">
    <cfRule type="expression" dxfId="135" priority="12">
      <formula>$AD70="Yes – needs PBI Dev to fix"</formula>
    </cfRule>
  </conditionalFormatting>
  <conditionalFormatting sqref="N82">
    <cfRule type="expression" dxfId="134" priority="8">
      <formula>$AD82="Yes – needs PBI Dev to fix"</formula>
    </cfRule>
  </conditionalFormatting>
  <conditionalFormatting sqref="O101:O113">
    <cfRule type="expression" dxfId="133" priority="5">
      <formula>$AD101="Yes – needs PBI Dev to fix"</formula>
    </cfRule>
  </conditionalFormatting>
  <conditionalFormatting sqref="Q73:Q100">
    <cfRule type="expression" dxfId="132" priority="24">
      <formula>$AJ73="Yes – needs DB Dev to fix"</formula>
    </cfRule>
    <cfRule type="expression" dxfId="131" priority="25">
      <formula>$AF73="Yes – needs DB Dev to fix"</formula>
    </cfRule>
    <cfRule type="expression" dxfId="130" priority="127">
      <formula>$AF73="Yes – needs PBI Dev to fix"</formula>
    </cfRule>
  </conditionalFormatting>
  <conditionalFormatting sqref="Q101:R116 V101:V116 X101:X116">
    <cfRule type="expression" dxfId="129" priority="23">
      <formula>$AA101="Yes – needs QA to fix"</formula>
    </cfRule>
  </conditionalFormatting>
  <conditionalFormatting sqref="Q117:R528">
    <cfRule type="expression" dxfId="128" priority="582">
      <formula>$X117="Yes – needs QA to fix"</formula>
    </cfRule>
  </conditionalFormatting>
  <conditionalFormatting sqref="Q2:U64 U10:V19 X10:X19 J29 M29:P29 J32:J33 M32:P33 K40:K41 M40:P41 Q65 T65:U65 Q66:U115 V101:V115 X101:X116 Q116:V116">
    <cfRule type="expression" dxfId="127" priority="38">
      <formula>$AJ2="Yes – needs PBI Dev to fix"</formula>
    </cfRule>
  </conditionalFormatting>
  <conditionalFormatting sqref="R58">
    <cfRule type="expression" dxfId="126" priority="325">
      <formula>$AJ65="Yes – needs PBI Dev to fix"</formula>
    </cfRule>
    <cfRule type="expression" dxfId="125" priority="323">
      <formula>AND($B65&lt;&gt;"",MOD(ROW(),2)=0)</formula>
    </cfRule>
  </conditionalFormatting>
  <conditionalFormatting sqref="R60">
    <cfRule type="expression" dxfId="124" priority="16">
      <formula>$AJ67="Yes – needs PBI Dev to fix"</formula>
    </cfRule>
    <cfRule type="expression" dxfId="123" priority="15">
      <formula>AND($B67&lt;&gt;"",MOD(ROW(),2)=0)</formula>
    </cfRule>
  </conditionalFormatting>
  <conditionalFormatting sqref="R60:S60">
    <cfRule type="expression" dxfId="122" priority="13">
      <formula>AND($B67&lt;&gt;"",MOD(ROW(),2)=0)</formula>
    </cfRule>
    <cfRule type="expression" dxfId="121" priority="14">
      <formula>$AJ67="Yes – needs PBI Dev to fix"</formula>
    </cfRule>
  </conditionalFormatting>
  <conditionalFormatting sqref="R73:U100 T96:T101">
    <cfRule type="expression" dxfId="120" priority="129">
      <formula>$AF73="Yes – needs QA to fix"</formula>
    </cfRule>
  </conditionalFormatting>
  <conditionalFormatting sqref="S101:U116">
    <cfRule type="expression" dxfId="119" priority="369">
      <formula>$AA101="Yes – needs DPO Approval to fix"</formula>
    </cfRule>
  </conditionalFormatting>
  <conditionalFormatting sqref="S117:U528">
    <cfRule type="expression" dxfId="118" priority="583">
      <formula>$X117="Yes – needs DPO Approval to fix"</formula>
    </cfRule>
  </conditionalFormatting>
  <conditionalFormatting sqref="U101:V528 X101:X528">
    <cfRule type="expression" dxfId="117" priority="56">
      <formula>$V101="Yes"</formula>
    </cfRule>
  </conditionalFormatting>
  <conditionalFormatting sqref="U73:Y100">
    <cfRule type="expression" dxfId="116" priority="131">
      <formula>$AF73="Yes – needs DPO Approval to fix"</formula>
    </cfRule>
  </conditionalFormatting>
  <conditionalFormatting sqref="X117:X528">
    <cfRule type="expression" dxfId="115" priority="584">
      <formula>LEFT($X117,3)="Yes"</formula>
    </cfRule>
  </conditionalFormatting>
  <conditionalFormatting sqref="X73:Z100">
    <cfRule type="expression" dxfId="114" priority="483">
      <formula>$Y73="Yes"</formula>
    </cfRule>
  </conditionalFormatting>
  <conditionalFormatting sqref="Z117:AA528">
    <cfRule type="expression" dxfId="113" priority="61">
      <formula>ISNUMBER(SEARCH("log it",$Z117))</formula>
    </cfRule>
    <cfRule type="expression" dxfId="112" priority="61">
      <formula>ISNUMBER(SEARCH("Open rework",$Z117))</formula>
    </cfRule>
    <cfRule type="expression" dxfId="111" priority="63">
      <formula>$Z117&lt;&gt;""</formula>
    </cfRule>
    <cfRule type="expression" dxfId="110" priority="62">
      <formula>ISNUMBER(SEARCH("Duplicate",$Z117))</formula>
    </cfRule>
    <cfRule type="expression" dxfId="109" priority="61">
      <formula>ISNUMBER(SEARCH("Move old",$Z117))</formula>
    </cfRule>
  </conditionalFormatting>
  <conditionalFormatting sqref="AA3">
    <cfRule type="expression" dxfId="108" priority="612">
      <formula>$AJ3="Yes – needs DPO Approval to fix"</formula>
    </cfRule>
    <cfRule type="expression" dxfId="107" priority="611">
      <formula>AND($B3&lt;&gt;"",MOD(ROW(),2)=0)</formula>
    </cfRule>
  </conditionalFormatting>
  <conditionalFormatting sqref="AA101:AA115 U116:AA116 U2:Z54 U55:X55 Z55 U56:Z58 U59:X59 Z59 U60:Z70 U71:W71 Z71 U72:Z116">
    <cfRule type="expression" dxfId="106" priority="21">
      <formula>$AJ2="Yes – needs QA to fix"</formula>
    </cfRule>
  </conditionalFormatting>
  <conditionalFormatting sqref="AA101:AA116">
    <cfRule type="expression" dxfId="105" priority="18">
      <formula>$AJ101="Yes – needs PBI Dev to fix"</formula>
    </cfRule>
    <cfRule type="expression" dxfId="104" priority="19">
      <formula>$AA101="Yes – needs QA to fix"</formula>
    </cfRule>
    <cfRule type="expression" dxfId="103" priority="20">
      <formula>$V101="Yes"</formula>
    </cfRule>
    <cfRule type="expression" dxfId="102" priority="377">
      <formula>LEFT($AA101,3)="Yes"</formula>
    </cfRule>
  </conditionalFormatting>
  <conditionalFormatting sqref="AA2:AE2 AB3:AE3 AA4:AE100">
    <cfRule type="expression" dxfId="101" priority="105">
      <formula>$AJ2="Yes – needs DPO Approval to fix"</formula>
    </cfRule>
  </conditionalFormatting>
  <conditionalFormatting sqref="AB101:AC116">
    <cfRule type="expression" dxfId="100" priority="385">
      <formula>ISNUMBER(SEARCH("Open rework",$AB101))</formula>
    </cfRule>
    <cfRule type="expression" dxfId="99" priority="386">
      <formula>ISNUMBER(SEARCH("Move old",$AB101))</formula>
    </cfRule>
    <cfRule type="expression" dxfId="98" priority="387">
      <formula>ISNUMBER(SEARCH("log it",$AB101))</formula>
    </cfRule>
    <cfRule type="expression" dxfId="97" priority="388">
      <formula>ISNUMBER(SEARCH("Duplicate",$AB101))</formula>
    </cfRule>
    <cfRule type="expression" dxfId="96" priority="389">
      <formula>$AB101&lt;&gt;""</formula>
    </cfRule>
  </conditionalFormatting>
  <conditionalFormatting sqref="AF2:AF116">
    <cfRule type="expression" dxfId="95" priority="77">
      <formula>$AF2="Yes"</formula>
    </cfRule>
  </conditionalFormatting>
  <conditionalFormatting sqref="AF73:AF100">
    <cfRule type="expression" dxfId="94" priority="135">
      <formula>LEFT($AF73,3)="Yes"</formula>
    </cfRule>
  </conditionalFormatting>
  <conditionalFormatting sqref="AG73:AG100">
    <cfRule type="expression" dxfId="93" priority="145">
      <formula>$AG73&lt;&gt;""</formula>
    </cfRule>
    <cfRule type="expression" dxfId="92" priority="142">
      <formula>ISNUMBER(SEARCH("Move old",$AG73))</formula>
    </cfRule>
    <cfRule type="expression" dxfId="91" priority="144">
      <formula>ISNUMBER(SEARCH("Duplicate",$AG73))</formula>
    </cfRule>
    <cfRule type="expression" dxfId="90" priority="143">
      <formula>ISNUMBER(SEARCH("log it",$AG73))</formula>
    </cfRule>
    <cfRule type="expression" dxfId="89" priority="141">
      <formula>ISNUMBER(SEARCH("Open rework",$AG73))</formula>
    </cfRule>
  </conditionalFormatting>
  <conditionalFormatting sqref="AJ2:AJ116">
    <cfRule type="expression" dxfId="88" priority="79">
      <formula>LEFT($AJ2,3)="Yes"</formula>
    </cfRule>
  </conditionalFormatting>
  <conditionalFormatting sqref="AK2:AK116">
    <cfRule type="expression" dxfId="87" priority="87">
      <formula>ISNUMBER(SEARCH("Move old",$AK2))</formula>
    </cfRule>
    <cfRule type="expression" dxfId="86" priority="85">
      <formula>ISNUMBER(SEARCH("log it",$AK2))</formula>
    </cfRule>
    <cfRule type="expression" dxfId="85" priority="86">
      <formula>ISNUMBER(SEARCH("Open rework",$AK2))</formula>
    </cfRule>
    <cfRule type="expression" dxfId="84" priority="89">
      <formula>$AK2&lt;&gt;""</formula>
    </cfRule>
    <cfRule type="expression" dxfId="83" priority="88">
      <formula>ISNUMBER(SEARCH("Duplicate",$AK2))</formula>
    </cfRule>
  </conditionalFormatting>
  <conditionalFormatting sqref="AL45:AL47">
    <cfRule type="expression" dxfId="82" priority="28">
      <formula>AND($B49&lt;&gt;"",MOD(ROW(),2)=0)</formula>
    </cfRule>
  </conditionalFormatting>
  <conditionalFormatting sqref="L110">
    <cfRule type="expression" dxfId="81" priority="2">
      <formula>$AA110="Yes – needs PBI Dev to fix"</formula>
    </cfRule>
  </conditionalFormatting>
  <conditionalFormatting sqref="N110">
    <cfRule type="expression" dxfId="80" priority="1">
      <formula>$AD110="Yes – needs PBI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M93:M94 K2:K116 L2:L109 L111: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10 M95:M116 M85:M92"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0"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41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27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21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13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47" t="str">
        <f ca="1">"As of "&amp;TEXT(TODAY(),"d mmm yyyy")&amp;". Live from Combined Delivery Data."</f>
        <v>As of 13 Oct 2026. Live from Combined Delivery Data.</v>
      </c>
      <c r="N2" s="247"/>
      <c r="O2" s="247"/>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48" t="str">
        <f>IF(C7+E7=0,"No CMS reports are blocked.","reports are blocked. "&amp;C7&amp;" are approved and waiting for a production release, "&amp;E7&amp;" are blocked in build or QA.")</f>
        <v>reports are blocked. 28 are approved and waiting for a production release, 5 are blocked in build or QA.</v>
      </c>
      <c r="D5" s="248"/>
      <c r="E5" s="248"/>
      <c r="F5" s="248"/>
      <c r="G5" s="248"/>
      <c r="H5" s="248"/>
      <c r="I5" s="248"/>
      <c r="J5" s="248"/>
      <c r="K5" s="248"/>
      <c r="L5" s="248"/>
      <c r="M5" s="248"/>
      <c r="N5" s="248"/>
      <c r="O5" s="248"/>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49" cm="1">
        <f t="array" ref="C7">COUNTIFS(cmsDom,"CMS",cmsStatus,"Ready for Release in Prod")</f>
        <v>28</v>
      </c>
      <c r="D7" s="250"/>
      <c r="E7" s="253" cm="1">
        <f t="array" ref="E7">COUNTIFS(cmsDom,"CMS",cmsBlocked,"Yes*",cmsStatus,"&lt;&gt;Ready for Release in Prod",cmsStatus,"&lt;&gt;RELEASED IN PROD")</f>
        <v>5</v>
      </c>
      <c r="F7" s="254"/>
      <c r="G7" s="255" cm="1">
        <f t="array" ref="G7">SUM(COUNTIFS(cmsDom,"CMS",cmsBlocked,"&lt;&gt;Yes*",cmsStatus,{"DB Dev","PBI Dev","QA","DPO Approval"}))</f>
        <v>24</v>
      </c>
      <c r="H7" s="256"/>
      <c r="I7" s="257" cm="1">
        <f t="array" ref="I7">COUNTIFS(cmsDom,"CMS",cmsBlocked,"&lt;&gt;Yes*",cmsStatus,"NOT STARTED")</f>
        <v>14</v>
      </c>
      <c r="J7" s="258"/>
      <c r="K7" s="259" cm="1">
        <f t="array" ref="K7">COUNTIFS(cmsDom,"CMS",cmsStatus,"RELEASED IN PROD")</f>
        <v>1</v>
      </c>
      <c r="L7" s="260"/>
      <c r="M7" s="261" t="s">
        <v>484</v>
      </c>
      <c r="N7" s="262"/>
      <c r="O7" s="263"/>
      <c r="P7" s="142"/>
      <c r="Q7" s="142"/>
      <c r="R7" s="142"/>
      <c r="S7" s="142"/>
      <c r="T7" s="142"/>
      <c r="U7" s="142"/>
      <c r="V7" s="142"/>
      <c r="W7" s="142"/>
      <c r="X7" s="142"/>
      <c r="Y7" s="142"/>
      <c r="Z7" s="142"/>
    </row>
    <row r="8" spans="1:26" ht="30" customHeight="1">
      <c r="A8" s="142"/>
      <c r="B8" s="142"/>
      <c r="C8" s="251" t="s">
        <v>485</v>
      </c>
      <c r="D8" s="252"/>
      <c r="E8" s="251" t="s">
        <v>486</v>
      </c>
      <c r="F8" s="252"/>
      <c r="G8" s="251" t="s">
        <v>487</v>
      </c>
      <c r="H8" s="252"/>
      <c r="I8" s="251" t="s">
        <v>488</v>
      </c>
      <c r="J8" s="252"/>
      <c r="K8" s="251" t="s">
        <v>489</v>
      </c>
      <c r="L8" s="252"/>
      <c r="M8" s="251"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52"/>
      <c r="O8" s="264"/>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25" t="s">
        <v>491</v>
      </c>
      <c r="D10" s="225"/>
      <c r="E10" s="225"/>
      <c r="F10" s="225"/>
      <c r="G10" s="225"/>
      <c r="H10" s="225"/>
      <c r="I10" s="225"/>
      <c r="J10" s="225"/>
      <c r="K10" s="225"/>
      <c r="L10" s="225"/>
      <c r="M10" s="225"/>
      <c r="N10" s="225"/>
      <c r="O10" s="225"/>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1" t="s">
        <v>498</v>
      </c>
      <c r="N11" s="242"/>
      <c r="O11" s="243"/>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4" t="str">
        <f ca="1">IF($K12=0,"",IF($J12=$K12,"Delivered",IF($L12="","No milestone in Dim Table",IF(TODAY()&gt;$L12,TEXT(TODAY()-$L12,"0")&amp;" days past milestone, "&amp;($K12-$J12)&amp;" of "&amp;$K12&amp;" not released",TEXT($L12-TODAY(),"0")&amp;" days to milestone"&amp;IF($D12&gt;0,", "&amp;$D12&amp;" blocked","")))))</f>
        <v>34 days past milestone, 14 of 14 not released</v>
      </c>
      <c r="N12" s="245"/>
      <c r="O12" s="246"/>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5" t="str">
        <f ca="1">IF($K13=0,"",IF($J13=$K13,"Delivered",IF($L13="","No milestone in Dim Table",IF(TODAY()&gt;$L13,TEXT(TODAY()-$L13,"0")&amp;" days past milestone, "&amp;($K13-$J13)&amp;" of "&amp;$K13&amp;" not released",TEXT($L13-TODAY(),"0")&amp;" days to milestone"&amp;IF($D13&gt;0,", "&amp;$D13&amp;" blocked","")))))</f>
        <v>13 days past milestone, 12 of 12 not released</v>
      </c>
      <c r="N13" s="236"/>
      <c r="O13" s="237"/>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35" t="str">
        <f ca="1">IF($K14=0,"",IF($J14=$K14,"Delivered",IF($L14="","No milestone in Dim Table",IF(TODAY()&gt;$L14,TEXT(TODAY()-$L14,"0")&amp;" days past milestone, "&amp;($K14-$J14)&amp;" of "&amp;$K14&amp;" not released",TEXT($L14-TODAY(),"0")&amp;" days to milestone"&amp;IF($D14&gt;0,", "&amp;$D14&amp;" blocked","")))))</f>
        <v>17 days to milestone, 3 blocked</v>
      </c>
      <c r="N14" s="236"/>
      <c r="O14" s="237"/>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5" t="str">
        <f ca="1">IF($K15=0,"",IF($J15=$K15,"Delivered",IF($L15="","No milestone in Dim Table",IF(TODAY()&gt;$L15,TEXT(TODAY()-$L15,"0")&amp;" days past milestone, "&amp;($K15-$J15)&amp;" of "&amp;$K15&amp;" not released",TEXT($L15-TODAY(),"0")&amp;" days to milestone"&amp;IF($D15&gt;0,", "&amp;$D15&amp;" blocked","")))))</f>
        <v>48 days to milestone, 2 blocked</v>
      </c>
      <c r="N15" s="236"/>
      <c r="O15" s="237"/>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2</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38" t="str">
        <f ca="1">IF($K16=0,"",IF($J16=$K16,"Delivered",IF($L16="","No milestone in Dim Table",IF(TODAY()&gt;$L16,TEXT(TODAY()-$L16,"0")&amp;" days past milestone, "&amp;($K16-$J16)&amp;" of "&amp;$K16&amp;" not released",TEXT($L16-TODAY(),"0")&amp;" days to milestone"&amp;IF($D16&gt;0,", "&amp;$D16&amp;" blocked","")))))</f>
        <v>79 days to milestone</v>
      </c>
      <c r="N16" s="239"/>
      <c r="O16" s="240"/>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9</v>
      </c>
      <c r="H17" s="169">
        <f t="shared" si="0"/>
        <v>3</v>
      </c>
      <c r="I17" s="169">
        <f t="shared" si="0"/>
        <v>14</v>
      </c>
      <c r="J17" s="169">
        <f t="shared" si="0"/>
        <v>1</v>
      </c>
      <c r="K17" s="169">
        <f t="shared" si="0"/>
        <v>72</v>
      </c>
      <c r="L17" s="158"/>
      <c r="M17" s="222" t="str">
        <f>IF(SUM(C17:J17)=K17,"","Counts do not add up to the report total")</f>
        <v/>
      </c>
      <c r="N17" s="223"/>
      <c r="O17" s="224"/>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25" t="s">
        <v>501</v>
      </c>
      <c r="D19" s="225"/>
      <c r="E19" s="225"/>
      <c r="F19" s="225"/>
      <c r="G19" s="225"/>
      <c r="H19" s="225"/>
      <c r="I19" s="225"/>
      <c r="J19" s="225"/>
      <c r="K19" s="225"/>
      <c r="L19" s="225"/>
      <c r="M19" s="225"/>
      <c r="N19" s="225"/>
      <c r="O19" s="225"/>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25" t="s">
        <v>502</v>
      </c>
      <c r="D35" s="225"/>
      <c r="E35" s="225"/>
      <c r="F35" s="225"/>
      <c r="G35" s="225"/>
      <c r="H35" s="225"/>
      <c r="I35" s="225"/>
      <c r="J35" s="225"/>
      <c r="K35" s="225"/>
      <c r="L35" s="225"/>
      <c r="M35" s="225"/>
      <c r="N35" s="225"/>
      <c r="O35" s="225"/>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25"/>
      <c r="D48" s="225"/>
      <c r="E48" s="225"/>
      <c r="F48" s="225"/>
      <c r="G48" s="225"/>
      <c r="H48" s="225"/>
      <c r="I48" s="225"/>
      <c r="J48" s="225"/>
      <c r="K48" s="225"/>
      <c r="L48" s="225"/>
      <c r="M48" s="225"/>
      <c r="N48" s="225"/>
      <c r="O48" s="225"/>
      <c r="P48" s="142"/>
      <c r="Q48" s="142"/>
      <c r="R48" s="142"/>
      <c r="S48" s="142"/>
      <c r="T48" s="142"/>
      <c r="U48" s="142"/>
      <c r="V48" s="142"/>
      <c r="W48" s="142"/>
      <c r="X48" s="142"/>
      <c r="Y48" s="142"/>
      <c r="Z48" s="142"/>
    </row>
    <row r="49" spans="1:26" ht="15.75" customHeight="1">
      <c r="A49" s="142"/>
      <c r="B49" s="226"/>
      <c r="C49" s="228" t="s">
        <v>492</v>
      </c>
      <c r="D49" s="228"/>
      <c r="E49" s="228" t="s">
        <v>435</v>
      </c>
      <c r="F49" s="228"/>
      <c r="G49" s="228" t="s">
        <v>445</v>
      </c>
      <c r="H49" s="22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7"/>
      <c r="C50" s="229" t="s">
        <v>506</v>
      </c>
      <c r="D50" s="230"/>
      <c r="E50" s="229" t="s">
        <v>506</v>
      </c>
      <c r="F50" s="230"/>
      <c r="G50" s="229" t="s">
        <v>506</v>
      </c>
      <c r="H50" s="231"/>
      <c r="I50" s="232" t="str">
        <f>IF(ISTEXT(B53),"No reports match",IF(ROWS(_xlfn.ANCHORARRAY(B53))=1,"1 report","" &amp; ROWS(_xlfn.ANCHORARRAY(B53)) &amp; " reports"))</f>
        <v>No reports match</v>
      </c>
      <c r="J50" s="233"/>
      <c r="K50" s="233"/>
      <c r="L50" s="233"/>
      <c r="M50" s="233"/>
      <c r="N50" s="233"/>
      <c r="O50" s="23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v>46303</v>
      </c>
      <c r="L98" s="184" t="str">
        <v/>
      </c>
      <c r="M98" s="184" t="str">
        <v/>
      </c>
      <c r="N98" s="185">
        <v>0</v>
      </c>
      <c r="O98" s="173" t="str">
        <v>Move status to QA</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Yuhua Niu</cp:lastModifiedBy>
  <cp:revision>0</cp:revision>
  <dcterms:created xsi:type="dcterms:W3CDTF">2026-07-21T14:32:59Z</dcterms:created>
  <dcterms:modified xsi:type="dcterms:W3CDTF">2026-10-13T16:34:21Z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