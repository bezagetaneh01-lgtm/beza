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985" documentId="13_ncr:1_{52745E9B-3AA1-4770-AAD3-E6166BFC13AE}" xr6:coauthVersionLast="47" xr6:coauthVersionMax="47" xr10:uidLastSave="{48D9194A-360B-456C-8AAA-BAF8F7A87193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<sst xmlns="http://schemas.openxmlformats.org/spreadsheetml/2006/main" count="2241" uniqueCount="268">
  <si>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</si>
  <si>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</si>
  <si>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</si>
  <si>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</si>
  <si>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</si>
  <si>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</si>
  <si>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</si>
  <si>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</si>
  <si>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</si>
  <si>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</si>
  <si>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</si>
  <si>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</si>
  <si>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</si>
  <si>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</si>
  <si>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</si>
  <si>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</si>
  <si>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</si>
  <si>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</si>
  <si>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</si>
  <si>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</si>
  <si>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</si>
  <si>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</si>
  <si>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</si>
  <si>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</si>
  <si>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</si>
  <si>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</si>
  <si>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</si>
  <si>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</si>
  <si>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</si>
  <si>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</si>
  <si>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</si>
  <si>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</si>
  <si>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</si>
  <si>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</si>
  <si>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</si>
  <si>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</si>
  <si>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</si>
  <si>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</si>
  <si>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</si>
  <si>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</si>
  <si>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</si>
  <si>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</si>
  <si>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</si>
  <si>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</si>
  <si>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</si>
  <si>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</si>
  <si>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</si>
  <si>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</si>
  <si>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</si>
  <si>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</si>
  <si>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</si>
  <si>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</si>
  <si>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</si>
  <si>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</si>
  <si>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</si>
  <si>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</si>
  <si>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</si>
  <si>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</si>
  <si>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</si>
  <si>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</si>
  <si>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</si>
  <si>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</si>
  <si>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</si>
  <si>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</si>
  <si>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</si>
  <si>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</si>
  <si>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</si>
  <si>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</si>
  <si>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</si>
  <si>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</si>
  <si>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</si>
  <si>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</si>
  <si>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</si>
  <si>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</si>
  <si>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</si>
  <si>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</si>
  <si>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</si>
  <si>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</si>
  <si>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</si>
  <si>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</si>
  <si>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</si>
  <si>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</si>
  <si>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</si>
  <si>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</si>
  <si>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</si>
  <si>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</si>
  <si>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</si>
  <si>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</si>
  <si>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</si>
  <si>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</si>
  <si>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</si>
  <si>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</si>
  <si>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</si>
  <si>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</si>
  <si>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</si>
  <si>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</si>
  <si>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</si>
  <si>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</si>
  <si>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</si>
  <si>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</si>
  <si>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</si>
  <si>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</si>
  <si>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</si>
  <si>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</si>
  <si>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</si>
  <si>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</si>
  <si>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</si>
  <si>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</si>
  <si>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</si>
  <si>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</si>
  <si>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</si>
  <si>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</si>
  <si>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</si>
  <si>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</si>
  <si>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</si>
  <si>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</si>
  <si>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</si>
  <si>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</si>
  <si>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</si>
  <si>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</si>
  <si>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</si>
  <si>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</si>
  <si>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</si>
  <si>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</si>
  <si>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</si>
  <si>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</si>
  <si>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</si>
  <si>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</si>
  <si>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</si>
  <si>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</si>
  <si>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</si>
  <si>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</si>
  <si>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</si>
  <si>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</si>
  <si>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</si>
  <si>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</si>
  <si>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</si>
  <si>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</si>
  <si>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</si>
  <si>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</si>
  <si>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</si>
  <si>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</si>
  <si>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</si>
  <si>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</si>
  <si>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</si>
  <si>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</si>
  <si>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</si>
  <si>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</si>
  <si>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</si>
  <si>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</si>
  <si>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</si>
  <si>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</si>
  <si>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</si>
  <si>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</si>
  <si>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</si>
  <si>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</si>
  <si>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</si>
  <si>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</si>
  <si>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</si>
  <si>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</si>
  <si>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</si>
  <si>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</si>
  <si>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</si>
  <si>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</si>
  <si>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</si>
  <si>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</si>
  <si>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</si>
  <si>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</si>
  <si>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</si>
  <si>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</si>
  <si>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</si>
  <si>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</si>
  <si>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</si>
  <si>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</si>
  <si>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</si>
  <si>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</si>
  <si>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</si>
  <si>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</si>
  <si>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</si>
  <si>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</si>
  <si>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</si>
  <si>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</si>
  <si>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</si>
  <si>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</si>
  <si>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</si>
  <si>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</si>
  <si>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</si>
  <si>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</si>
  <si>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</si>
  <si>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</si>
  <si>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</si>
  <si>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</si>
  <si>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</si>
  <si>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</si>
  <si>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</si>
  <si>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</si>
  <si>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</si>
  <si>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</si>
  <si>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</si>
  <si>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</si>
  <si>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</si>
  <si>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</si>
  <si>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</si>
  <si>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</si>
  <si>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</si>
  <si>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</si>
  <si>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</si>
  <si>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</si>
  <si>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</si>
  <si>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</si>
  <si>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</si>
  <si>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</si>
  <si>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</si>
  <si>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</si>
  <si>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</si>
  <si>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</si>
  <si>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</si>
  <si>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</si>
  <si>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</si>
  <si>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</si>
  <si>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</si>
  <si>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</si>
  <si>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</si>
  <si>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</si>
  <si>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</si>
  <si>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</si>
  <si>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</si>
  <si>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</si>
  <si>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</si>
  <si>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</si>
  <si>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</si>
  <si>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</si>
  <si>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</si>
  <si>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</si>
  <si>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</si>
  <si>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</si>
  <si>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</si>
  <si>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</si>
  <si>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</si>
  <si>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</si>
  <si>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</si>
  <si>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</si>
  <si>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</si>
  <si>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</si>
  <si>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</si>
  <si>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</si>
  <si>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</si>
  <si>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</si>
  <si>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</si>
  <si>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</si>
  <si>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</si>
  <si>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</si>
  <si>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</si>
  <si>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</si>
  <si>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</si>
  <si>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</si>
  <si>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</si>
  <si>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</si>
  <si>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</si>
  <si>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</si>
  <si>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</si>
  <si>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</si>
  <si>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</si>
  <si>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</si>
  <si>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</si>
  <si>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</si>
  <si>
    <t>Mejo George</t>
  </si>
  <si>
    <t>Michael Ayedun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</si>
</sst>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95">
  <autoFilter ref="A1:AH73" xr:uid="{00000000-0009-0000-0100-000001000000}"/>
  <tableColumns count="34">
    <tableColumn id="1" xr3:uid="{00000000-0010-0000-0000-000001000000}" name="Domain" dataDxfId="94"/>
    <tableColumn id="2" xr3:uid="{00000000-0010-0000-0000-000002000000}" name="Report Name" dataDxfId="93"/>
    <tableColumn id="3" xr3:uid="{00000000-0010-0000-0000-000003000000}" name="Current Status" dataDxfId="92"/>
    <tableColumn id="4" xr3:uid="{00000000-0010-0000-0000-000004000000}" name="Status Flag" dataDxfId="91"/>
    <tableColumn id="5" xr3:uid="{00000000-0010-0000-0000-000005000000}" name="Business Value Rank" dataDxfId="90"/>
    <tableColumn id="6" xr3:uid="{00000000-0010-0000-0000-000006000000}" name="PO" dataDxfId="89"/>
    <tableColumn id="10" xr3:uid="{00000000-0010-0000-0000-00000A000000}" name="Schema" dataDxfId="88"/>
    <tableColumn id="11" xr3:uid="{00000000-0010-0000-0000-00000B000000}" name="Plan Delivery Date" dataDxfId="87"/>
    <tableColumn id="12" xr3:uid="{00000000-0010-0000-0000-00000C000000}" name="Plan Delivery Month" dataDxfId="86"/>
    <tableColumn id="7" xr3:uid="{00000000-0010-0000-0000-000007000000}" name="DB Developer" dataDxfId="85"/>
    <tableColumn id="13" xr3:uid="{00000000-0010-0000-0000-00000D000000}" name="DB Dev Baseline Completion Date" dataDxfId="84"/>
    <tableColumn id="30" xr3:uid="{00000000-0010-0000-0000-00001E000000}" name="DB Dev Reforecast Completion Date" dataDxfId="83"/>
    <tableColumn id="14" xr3:uid="{00000000-0010-0000-0000-00000E000000}" name="DB Dev Actual Completion Date" dataDxfId="82"/>
    <tableColumn id="28" xr3:uid="{EFCDFAEE-1B00-42CE-9649-7541F5DDC136}" name="Sprint DB" dataDxfId="81"/>
    <tableColumn id="8" xr3:uid="{00000000-0010-0000-0000-000008000000}" name="PBI Developer" dataDxfId="80"/>
    <tableColumn id="15" xr3:uid="{00000000-0010-0000-0000-00000F000000}" name="PBI Dev Baseline Completion Date" dataDxfId="79"/>
    <tableColumn id="31" xr3:uid="{00000000-0010-0000-0000-00001F000000}" name="PBI Dev Reforecast Completion Date" dataDxfId="78"/>
    <tableColumn id="16" xr3:uid="{00000000-0010-0000-0000-000010000000}" name="PBI Dev Actual Completion Date" dataDxfId="77"/>
    <tableColumn id="29" xr3:uid="{4630D178-9B47-4360-A40B-22C7384DB9C9}" name="Sprint PBI" dataDxfId="76"/>
    <tableColumn id="9" xr3:uid="{00000000-0010-0000-0000-000009000000}" name="QA Tester" dataDxfId="75"/>
    <tableColumn id="17" xr3:uid="{00000000-0010-0000-0000-000011000000}" name="QA Baseline Completion Date" dataDxfId="74"/>
    <tableColumn id="32" xr3:uid="{00000000-0010-0000-0000-000020000000}" name="QA Reforecast Completion Date" dataDxfId="73"/>
    <tableColumn id="18" xr3:uid="{00000000-0010-0000-0000-000012000000}" name="QA Actual Completion Date" dataDxfId="72"/>
    <tableColumn id="34" xr3:uid="{70C5E8CB-08B0-4A84-9B68-89630FC3C5C7}" name="Sprint QA" dataDxfId="71"/>
    <tableColumn id="19" xr3:uid="{00000000-0010-0000-0000-000013000000}" name="DPO Approval Baseline Completion Date" dataDxfId="70"/>
    <tableColumn id="33" xr3:uid="{00000000-0010-0000-0000-000021000000}" name="DPO Approval Reforecast Completion Date" dataDxfId="69"/>
    <tableColumn id="20" xr3:uid="{00000000-0010-0000-0000-000014000000}" name="DPO Approval Reviewer" dataDxfId="68"/>
    <tableColumn id="21" xr3:uid="{00000000-0010-0000-0000-000015000000}" name="Confirmed Deployed?" dataDxfId="67"/>
    <tableColumn id="22" xr3:uid="{00000000-0010-0000-0000-000016000000}" name="Confirmed Deployed Date" dataDxfId="66"/>
    <tableColumn id="23" xr3:uid="{00000000-0010-0000-0000-000017000000}" name="UAT Report URL" dataDxfId="65"/>
    <tableColumn id="24" xr3:uid="{00000000-0010-0000-0000-000018000000}" name="Production URL" dataDxfId="64"/>
    <tableColumn id="25" xr3:uid="{00000000-0010-0000-0000-000019000000}" name="Blocked?" dataDxfId="63"/>
    <tableColumn id="26" xr3:uid="{00000000-0010-0000-0000-00001A000000}" name="Data Check" dataDxfId="62"/>
    <tableColumn id="27" xr3:uid="{00000000-0010-0000-0000-00001B000000}" name="Comments" dataDxfId="61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ySplit="28" topLeftCell="C29" activePane="bottomRight" state="frozen"/>
      <selection pane="topRight" activeCell="C1" sqref="C1"/>
      <selection pane="bottomLeft" activeCell="A29" sqref="A29"/>
      <selection pane="bottomRight" activeCell="B11" sqref="B11"/>
    </sheetView>
  </sheetViews>
  <sheetFormatPr defaultRowHeight="15" customHeight="1" x14ac:dyDescent="0.3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164062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6953125" customWidth="1"/>
  </cols>
  <sheetData>
    <row r="1" spans="1:34" ht="32.15" customHeigh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5" x14ac:dyDescent="0.35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5" x14ac:dyDescent="0.35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5" x14ac:dyDescent="0.35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5" x14ac:dyDescent="0.35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5" x14ac:dyDescent="0.3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5" x14ac:dyDescent="0.3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5" x14ac:dyDescent="0.3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5" x14ac:dyDescent="0.3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5" x14ac:dyDescent="0.35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5" x14ac:dyDescent="0.35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5" x14ac:dyDescent="0.35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5" x14ac:dyDescent="0.35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5" x14ac:dyDescent="0.35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5" x14ac:dyDescent="0.35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5" x14ac:dyDescent="0.3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5" x14ac:dyDescent="0.3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5" x14ac:dyDescent="0.3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5" x14ac:dyDescent="0.3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5" x14ac:dyDescent="0.35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5" x14ac:dyDescent="0.35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5" x14ac:dyDescent="0.35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5" x14ac:dyDescent="0.35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5" x14ac:dyDescent="0.35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5" x14ac:dyDescent="0.35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5" x14ac:dyDescent="0.35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5" x14ac:dyDescent="0.35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5" x14ac:dyDescent="0.35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5" x14ac:dyDescent="0.3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5" x14ac:dyDescent="0.3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5" x14ac:dyDescent="0.3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5" x14ac:dyDescent="0.3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5" x14ac:dyDescent="0.3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5" x14ac:dyDescent="0.3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5" x14ac:dyDescent="0.3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5" x14ac:dyDescent="0.3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5" x14ac:dyDescent="0.3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5" x14ac:dyDescent="0.3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5" x14ac:dyDescent="0.3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5" x14ac:dyDescent="0.3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5" x14ac:dyDescent="0.3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5" x14ac:dyDescent="0.3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5" x14ac:dyDescent="0.3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5" x14ac:dyDescent="0.3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5" x14ac:dyDescent="0.3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5" x14ac:dyDescent="0.3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5" x14ac:dyDescent="0.3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5" x14ac:dyDescent="0.3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5" x14ac:dyDescent="0.3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5" x14ac:dyDescent="0.3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5" x14ac:dyDescent="0.3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5" x14ac:dyDescent="0.3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5" x14ac:dyDescent="0.3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5" x14ac:dyDescent="0.3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5" x14ac:dyDescent="0.3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5" x14ac:dyDescent="0.3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5" x14ac:dyDescent="0.3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5" x14ac:dyDescent="0.3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5" x14ac:dyDescent="0.3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5" x14ac:dyDescent="0.3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5" x14ac:dyDescent="0.3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5" x14ac:dyDescent="0.3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5" x14ac:dyDescent="0.3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5" x14ac:dyDescent="0.3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5" x14ac:dyDescent="0.35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5" x14ac:dyDescent="0.35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5" x14ac:dyDescent="0.35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5" x14ac:dyDescent="0.35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5" x14ac:dyDescent="0.35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5" x14ac:dyDescent="0.35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5" x14ac:dyDescent="0.35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5" x14ac:dyDescent="0.35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5" x14ac:dyDescent="0.3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5" x14ac:dyDescent="0.3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5" x14ac:dyDescent="0.3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5" x14ac:dyDescent="0.3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5" x14ac:dyDescent="0.3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5" x14ac:dyDescent="0.3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5" x14ac:dyDescent="0.3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5" x14ac:dyDescent="0.3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5" x14ac:dyDescent="0.3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5" x14ac:dyDescent="0.3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5" x14ac:dyDescent="0.3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5" x14ac:dyDescent="0.3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5" x14ac:dyDescent="0.3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5" x14ac:dyDescent="0.3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5" x14ac:dyDescent="0.3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5" x14ac:dyDescent="0.3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5" x14ac:dyDescent="0.3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5" x14ac:dyDescent="0.3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5" x14ac:dyDescent="0.3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5" x14ac:dyDescent="0.3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5" x14ac:dyDescent="0.3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5" x14ac:dyDescent="0.3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5" x14ac:dyDescent="0.3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5" x14ac:dyDescent="0.3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5" x14ac:dyDescent="0.3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5" x14ac:dyDescent="0.3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5" x14ac:dyDescent="0.3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5" x14ac:dyDescent="0.3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5" x14ac:dyDescent="0.3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5" x14ac:dyDescent="0.3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5" x14ac:dyDescent="0.3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5" x14ac:dyDescent="0.3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5" x14ac:dyDescent="0.3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5" x14ac:dyDescent="0.3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5" x14ac:dyDescent="0.3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5" x14ac:dyDescent="0.3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5" x14ac:dyDescent="0.3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5" x14ac:dyDescent="0.3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5" x14ac:dyDescent="0.3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5" x14ac:dyDescent="0.3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5" x14ac:dyDescent="0.3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5" x14ac:dyDescent="0.3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5" x14ac:dyDescent="0.3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5" x14ac:dyDescent="0.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5" x14ac:dyDescent="0.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5" x14ac:dyDescent="0.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5" x14ac:dyDescent="0.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5" x14ac:dyDescent="0.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5" x14ac:dyDescent="0.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5" x14ac:dyDescent="0.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5" x14ac:dyDescent="0.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5" x14ac:dyDescent="0.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5" x14ac:dyDescent="0.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5" x14ac:dyDescent="0.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5" x14ac:dyDescent="0.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5" x14ac:dyDescent="0.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5" x14ac:dyDescent="0.3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5" x14ac:dyDescent="0.3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5" x14ac:dyDescent="0.3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5" x14ac:dyDescent="0.3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5" x14ac:dyDescent="0.3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5" x14ac:dyDescent="0.3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5" x14ac:dyDescent="0.3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5" x14ac:dyDescent="0.3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5" x14ac:dyDescent="0.3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5" x14ac:dyDescent="0.3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5" x14ac:dyDescent="0.3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5" x14ac:dyDescent="0.3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5" x14ac:dyDescent="0.3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5" x14ac:dyDescent="0.3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5" x14ac:dyDescent="0.3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5" x14ac:dyDescent="0.3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5" x14ac:dyDescent="0.3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5" x14ac:dyDescent="0.3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5" x14ac:dyDescent="0.3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5" x14ac:dyDescent="0.3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5" x14ac:dyDescent="0.3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5" x14ac:dyDescent="0.3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5" x14ac:dyDescent="0.3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5" x14ac:dyDescent="0.3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5" x14ac:dyDescent="0.3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5" x14ac:dyDescent="0.3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5" x14ac:dyDescent="0.3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5" x14ac:dyDescent="0.3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5" x14ac:dyDescent="0.3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5" x14ac:dyDescent="0.3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5" x14ac:dyDescent="0.3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5" x14ac:dyDescent="0.3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5" x14ac:dyDescent="0.3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5" x14ac:dyDescent="0.3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5" x14ac:dyDescent="0.3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5" x14ac:dyDescent="0.3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5" x14ac:dyDescent="0.3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5" x14ac:dyDescent="0.3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5" x14ac:dyDescent="0.3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5" x14ac:dyDescent="0.3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5" x14ac:dyDescent="0.3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5" x14ac:dyDescent="0.3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5" x14ac:dyDescent="0.3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5" x14ac:dyDescent="0.3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5" x14ac:dyDescent="0.3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5" x14ac:dyDescent="0.3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5" x14ac:dyDescent="0.3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5" x14ac:dyDescent="0.3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5" x14ac:dyDescent="0.3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5" x14ac:dyDescent="0.3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5" x14ac:dyDescent="0.3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5" x14ac:dyDescent="0.3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5" x14ac:dyDescent="0.3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5" x14ac:dyDescent="0.3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5" x14ac:dyDescent="0.3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5" x14ac:dyDescent="0.3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5" x14ac:dyDescent="0.3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5" x14ac:dyDescent="0.3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5" x14ac:dyDescent="0.3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5" x14ac:dyDescent="0.3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5" x14ac:dyDescent="0.3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5" x14ac:dyDescent="0.3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5" x14ac:dyDescent="0.3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5" x14ac:dyDescent="0.3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5" x14ac:dyDescent="0.3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5" x14ac:dyDescent="0.3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5" x14ac:dyDescent="0.3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5" x14ac:dyDescent="0.3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5" x14ac:dyDescent="0.3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5" x14ac:dyDescent="0.3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5" x14ac:dyDescent="0.3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5" x14ac:dyDescent="0.3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5" x14ac:dyDescent="0.3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5" x14ac:dyDescent="0.3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5" x14ac:dyDescent="0.3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5" x14ac:dyDescent="0.3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5" x14ac:dyDescent="0.3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5" x14ac:dyDescent="0.3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5" x14ac:dyDescent="0.3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5" x14ac:dyDescent="0.3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5" x14ac:dyDescent="0.3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5" x14ac:dyDescent="0.3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5" x14ac:dyDescent="0.3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5" x14ac:dyDescent="0.3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5" x14ac:dyDescent="0.3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5" x14ac:dyDescent="0.3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5" x14ac:dyDescent="0.3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5" x14ac:dyDescent="0.3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5" x14ac:dyDescent="0.3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5" x14ac:dyDescent="0.3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5" x14ac:dyDescent="0.3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5" x14ac:dyDescent="0.3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5" x14ac:dyDescent="0.3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5" x14ac:dyDescent="0.3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5" x14ac:dyDescent="0.3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5" x14ac:dyDescent="0.3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5" x14ac:dyDescent="0.3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5" x14ac:dyDescent="0.3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5" x14ac:dyDescent="0.3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5" x14ac:dyDescent="0.3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5" x14ac:dyDescent="0.3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5" x14ac:dyDescent="0.3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5" x14ac:dyDescent="0.3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5" x14ac:dyDescent="0.3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5" x14ac:dyDescent="0.3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5" x14ac:dyDescent="0.3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5" x14ac:dyDescent="0.3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5" x14ac:dyDescent="0.3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5" x14ac:dyDescent="0.3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5" x14ac:dyDescent="0.3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5" x14ac:dyDescent="0.3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5" x14ac:dyDescent="0.3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5" x14ac:dyDescent="0.3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5" x14ac:dyDescent="0.3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5" x14ac:dyDescent="0.3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5" x14ac:dyDescent="0.3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5" x14ac:dyDescent="0.3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5" x14ac:dyDescent="0.3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5" x14ac:dyDescent="0.3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5" x14ac:dyDescent="0.3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5" x14ac:dyDescent="0.3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5" x14ac:dyDescent="0.3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5" x14ac:dyDescent="0.3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5" x14ac:dyDescent="0.3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5" x14ac:dyDescent="0.3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5" x14ac:dyDescent="0.3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5" x14ac:dyDescent="0.3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5" x14ac:dyDescent="0.3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5" x14ac:dyDescent="0.3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5" x14ac:dyDescent="0.3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5" x14ac:dyDescent="0.3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5" x14ac:dyDescent="0.3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5" x14ac:dyDescent="0.3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5" x14ac:dyDescent="0.3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5" x14ac:dyDescent="0.3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5" x14ac:dyDescent="0.3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5" x14ac:dyDescent="0.3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5" x14ac:dyDescent="0.3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5" x14ac:dyDescent="0.3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5" x14ac:dyDescent="0.3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5" x14ac:dyDescent="0.3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5" x14ac:dyDescent="0.3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5" x14ac:dyDescent="0.3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5" x14ac:dyDescent="0.3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5" x14ac:dyDescent="0.3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5" x14ac:dyDescent="0.3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5" x14ac:dyDescent="0.3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5" x14ac:dyDescent="0.3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5" x14ac:dyDescent="0.3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5" x14ac:dyDescent="0.3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5" x14ac:dyDescent="0.3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5" x14ac:dyDescent="0.3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5" x14ac:dyDescent="0.3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5" x14ac:dyDescent="0.3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5" x14ac:dyDescent="0.3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5" x14ac:dyDescent="0.3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5" x14ac:dyDescent="0.3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5" x14ac:dyDescent="0.3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5" x14ac:dyDescent="0.3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5" x14ac:dyDescent="0.3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5" x14ac:dyDescent="0.3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5" x14ac:dyDescent="0.3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5" x14ac:dyDescent="0.3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5" x14ac:dyDescent="0.3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5" x14ac:dyDescent="0.3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5" x14ac:dyDescent="0.3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5" x14ac:dyDescent="0.3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5" x14ac:dyDescent="0.3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5" x14ac:dyDescent="0.3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5" x14ac:dyDescent="0.3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5" x14ac:dyDescent="0.3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5" x14ac:dyDescent="0.3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5" x14ac:dyDescent="0.3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5" x14ac:dyDescent="0.3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5" x14ac:dyDescent="0.3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5" x14ac:dyDescent="0.3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5" x14ac:dyDescent="0.3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5" x14ac:dyDescent="0.3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5" x14ac:dyDescent="0.3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5" x14ac:dyDescent="0.3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5" x14ac:dyDescent="0.3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5" x14ac:dyDescent="0.3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5" x14ac:dyDescent="0.3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5" x14ac:dyDescent="0.3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5" x14ac:dyDescent="0.3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5" x14ac:dyDescent="0.3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5" x14ac:dyDescent="0.3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5" x14ac:dyDescent="0.3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5" x14ac:dyDescent="0.3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5" x14ac:dyDescent="0.3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5" x14ac:dyDescent="0.3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5" x14ac:dyDescent="0.3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5" x14ac:dyDescent="0.3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5" x14ac:dyDescent="0.3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5" x14ac:dyDescent="0.3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5" x14ac:dyDescent="0.3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5" x14ac:dyDescent="0.3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5" x14ac:dyDescent="0.3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5" x14ac:dyDescent="0.3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5" x14ac:dyDescent="0.3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5" x14ac:dyDescent="0.3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5" x14ac:dyDescent="0.3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5" x14ac:dyDescent="0.3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5" x14ac:dyDescent="0.3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5" x14ac:dyDescent="0.3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5" x14ac:dyDescent="0.3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5" x14ac:dyDescent="0.3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5" x14ac:dyDescent="0.3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5" x14ac:dyDescent="0.3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5" x14ac:dyDescent="0.3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5" x14ac:dyDescent="0.3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5" x14ac:dyDescent="0.3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5" x14ac:dyDescent="0.3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5" x14ac:dyDescent="0.3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5" x14ac:dyDescent="0.3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5" x14ac:dyDescent="0.3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5" x14ac:dyDescent="0.3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5" x14ac:dyDescent="0.3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5" x14ac:dyDescent="0.3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5" x14ac:dyDescent="0.3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5" x14ac:dyDescent="0.3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5" x14ac:dyDescent="0.3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5" x14ac:dyDescent="0.3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5" x14ac:dyDescent="0.3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5" x14ac:dyDescent="0.3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5" x14ac:dyDescent="0.3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5" x14ac:dyDescent="0.3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5" x14ac:dyDescent="0.3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5" x14ac:dyDescent="0.3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5" x14ac:dyDescent="0.3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5" x14ac:dyDescent="0.3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5" x14ac:dyDescent="0.3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5" x14ac:dyDescent="0.3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5" x14ac:dyDescent="0.3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5" x14ac:dyDescent="0.3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5" x14ac:dyDescent="0.3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5" x14ac:dyDescent="0.3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5" x14ac:dyDescent="0.3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5" x14ac:dyDescent="0.3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5" x14ac:dyDescent="0.3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5" x14ac:dyDescent="0.3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5" x14ac:dyDescent="0.3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5" x14ac:dyDescent="0.3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5" x14ac:dyDescent="0.3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5" x14ac:dyDescent="0.3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5" x14ac:dyDescent="0.3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5" x14ac:dyDescent="0.3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5" x14ac:dyDescent="0.3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5" x14ac:dyDescent="0.3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5" x14ac:dyDescent="0.3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5" x14ac:dyDescent="0.3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5" x14ac:dyDescent="0.3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5" x14ac:dyDescent="0.3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5" x14ac:dyDescent="0.3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5" x14ac:dyDescent="0.3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5" x14ac:dyDescent="0.3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5" x14ac:dyDescent="0.3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5" x14ac:dyDescent="0.3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5" x14ac:dyDescent="0.3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5" x14ac:dyDescent="0.3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5" x14ac:dyDescent="0.3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5" x14ac:dyDescent="0.3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5" x14ac:dyDescent="0.3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5" x14ac:dyDescent="0.3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5" x14ac:dyDescent="0.3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5" x14ac:dyDescent="0.3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5" x14ac:dyDescent="0.3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5" x14ac:dyDescent="0.3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5" x14ac:dyDescent="0.3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5" x14ac:dyDescent="0.3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5" x14ac:dyDescent="0.3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5" x14ac:dyDescent="0.3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5" x14ac:dyDescent="0.3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5" x14ac:dyDescent="0.3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5" x14ac:dyDescent="0.3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5" x14ac:dyDescent="0.3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5" x14ac:dyDescent="0.3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5" x14ac:dyDescent="0.3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5" x14ac:dyDescent="0.3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5" x14ac:dyDescent="0.3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5" x14ac:dyDescent="0.3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5" x14ac:dyDescent="0.3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5" x14ac:dyDescent="0.3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5" x14ac:dyDescent="0.3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5" x14ac:dyDescent="0.3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5" x14ac:dyDescent="0.3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5" x14ac:dyDescent="0.3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5" x14ac:dyDescent="0.3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5" x14ac:dyDescent="0.3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5" x14ac:dyDescent="0.3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5" x14ac:dyDescent="0.3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5" x14ac:dyDescent="0.3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5" x14ac:dyDescent="0.3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5" x14ac:dyDescent="0.3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5" x14ac:dyDescent="0.3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5" x14ac:dyDescent="0.3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5" x14ac:dyDescent="0.3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5" x14ac:dyDescent="0.3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5" x14ac:dyDescent="0.3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5" x14ac:dyDescent="0.3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5" x14ac:dyDescent="0.3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5" x14ac:dyDescent="0.3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5" x14ac:dyDescent="0.3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5" x14ac:dyDescent="0.3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5" x14ac:dyDescent="0.3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5" x14ac:dyDescent="0.3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5" x14ac:dyDescent="0.3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5" x14ac:dyDescent="0.3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5" x14ac:dyDescent="0.3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5" x14ac:dyDescent="0.3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5" x14ac:dyDescent="0.3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5" x14ac:dyDescent="0.3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5" x14ac:dyDescent="0.3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5" x14ac:dyDescent="0.3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5" x14ac:dyDescent="0.3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5" x14ac:dyDescent="0.3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5" x14ac:dyDescent="0.3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5" x14ac:dyDescent="0.3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5" x14ac:dyDescent="0.3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5" x14ac:dyDescent="0.3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5" x14ac:dyDescent="0.3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5" x14ac:dyDescent="0.3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5" x14ac:dyDescent="0.3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5" x14ac:dyDescent="0.3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5" x14ac:dyDescent="0.3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5" x14ac:dyDescent="0.3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5" x14ac:dyDescent="0.3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5" x14ac:dyDescent="0.3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5" x14ac:dyDescent="0.3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5" x14ac:dyDescent="0.3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5" x14ac:dyDescent="0.3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5" x14ac:dyDescent="0.3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5" x14ac:dyDescent="0.3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5" x14ac:dyDescent="0.3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5" x14ac:dyDescent="0.3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5" x14ac:dyDescent="0.3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5" x14ac:dyDescent="0.3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5" x14ac:dyDescent="0.3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5" x14ac:dyDescent="0.3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5" x14ac:dyDescent="0.3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5" x14ac:dyDescent="0.3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5" x14ac:dyDescent="0.3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5" x14ac:dyDescent="0.3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5" x14ac:dyDescent="0.3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5" x14ac:dyDescent="0.3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5" x14ac:dyDescent="0.3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5" x14ac:dyDescent="0.3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5" x14ac:dyDescent="0.3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5" x14ac:dyDescent="0.3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5" x14ac:dyDescent="0.3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5" x14ac:dyDescent="0.3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5" x14ac:dyDescent="0.3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5" x14ac:dyDescent="0.3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5" x14ac:dyDescent="0.3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5" x14ac:dyDescent="0.3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5" x14ac:dyDescent="0.3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5" x14ac:dyDescent="0.3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5" x14ac:dyDescent="0.3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5" x14ac:dyDescent="0.3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5" x14ac:dyDescent="0.3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5" x14ac:dyDescent="0.3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5" x14ac:dyDescent="0.3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5" x14ac:dyDescent="0.3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5" x14ac:dyDescent="0.3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5" x14ac:dyDescent="0.3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5" x14ac:dyDescent="0.3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5" x14ac:dyDescent="0.3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5" x14ac:dyDescent="0.3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5" x14ac:dyDescent="0.3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5" x14ac:dyDescent="0.3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5" x14ac:dyDescent="0.3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formatColumns="0" formatRows="0" sort="0" autoFilter="0"/>
  <phoneticPr fontId="19" type="noConversion"/>
  <conditionalFormatting sqref="D2:D499">
    <cfRule type="expression" dxfId="60" priority="20">
      <formula>ISNUMBER(SEARCH("no target",$D2))</formula>
    </cfRule>
    <cfRule type="expression" dxfId="59" priority="18">
      <formula>ISNUMBER(SEARCH("Blocked",$D2))</formula>
    </cfRule>
    <cfRule type="expression" dxfId="58" priority="19">
      <formula>ISNUMBER(SEARCH("overdue",$D2))</formula>
    </cfRule>
    <cfRule type="expression" dxfId="57" priority="21">
      <formula>ISNUMBER(SEARCH("Review",$D2))</formula>
    </cfRule>
    <cfRule type="expression" dxfId="56" priority="22">
      <formula>OR($D2="On track",$D2="Delivered")</formula>
    </cfRule>
  </conditionalFormatting>
  <conditionalFormatting sqref="J2:N164">
    <cfRule type="expression" dxfId="55" priority="1">
      <formula>$AF2="Yes – needs DB Dev to fix"</formula>
    </cfRule>
  </conditionalFormatting>
  <conditionalFormatting sqref="K40:K41">
    <cfRule type="expression" dxfId="54" priority="8">
      <formula>$AF40="Yes – needs PBI Dev to fix"</formula>
    </cfRule>
  </conditionalFormatting>
  <conditionalFormatting sqref="K41">
    <cfRule type="expression" dxfId="53" priority="285">
      <formula>$AF41="Yes – needs DB Dev to fix"</formula>
    </cfRule>
    <cfRule type="expression" dxfId="52" priority="284">
      <formula>AND($B41&lt;&gt;"",MOD(ROW(),2)=0)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K73:L73">
    <cfRule type="expression" dxfId="49" priority="93">
      <formula>$AB73="Yes – needs DB Dev to fix"</formula>
    </cfRule>
  </conditionalFormatting>
  <conditionalFormatting sqref="K74:L499">
    <cfRule type="expression" dxfId="48" priority="27">
      <formula>$Y74="Yes – needs DB Dev to fix"</formula>
    </cfRule>
  </conditionalFormatting>
  <conditionalFormatting sqref="M73:O73">
    <cfRule type="expression" dxfId="47" priority="278">
      <formula>$AA73="Yes – needs PBI Dev to fix"</formula>
    </cfRule>
  </conditionalFormatting>
  <conditionalFormatting sqref="M74:O499">
    <cfRule type="expression" dxfId="46" priority="280">
      <formula>$Y74="Yes – needs PBI Dev to fix"</formula>
    </cfRule>
  </conditionalFormatting>
  <conditionalFormatting sqref="P73">
    <cfRule type="expression" dxfId="45" priority="97">
      <formula>$AB73="Yes – needs PBI Dev to fix"</formula>
    </cfRule>
  </conditionalFormatting>
  <conditionalFormatting sqref="P74:Q499">
    <cfRule type="expression" dxfId="44" priority="29">
      <formula>$Y74="Yes – needs QA to fix"</formula>
    </cfRule>
  </conditionalFormatting>
  <conditionalFormatting sqref="P2:T73">
    <cfRule type="expression" dxfId="43" priority="15">
      <formula>$AF2="Yes – needs PBI Dev to fix"</formula>
    </cfRule>
  </conditionalFormatting>
  <conditionalFormatting sqref="Q73:T73">
    <cfRule type="expression" dxfId="42" priority="99">
      <formula>$AB73="Yes – needs QA to fix"</formula>
    </cfRule>
  </conditionalFormatting>
  <conditionalFormatting sqref="R74:T499">
    <cfRule type="expression" dxfId="41" priority="30">
      <formula>$Y74="Yes – needs DPO Approval to fix"</formula>
    </cfRule>
  </conditionalFormatting>
  <conditionalFormatting sqref="T10:U19 J29 M29:O29 J32:J33 M32:O33 M40:O41">
    <cfRule type="expression" dxfId="40" priority="17">
      <formula>$AF10="Yes – needs PBI Dev to fix"</formula>
    </cfRule>
  </conditionalFormatting>
  <conditionalFormatting sqref="T74:U499">
    <cfRule type="expression" dxfId="39" priority="26">
      <formula>$U74="Yes"</formula>
    </cfRule>
  </conditionalFormatting>
  <conditionalFormatting sqref="T73:V73">
    <cfRule type="expression" dxfId="38" priority="101">
      <formula>$AB73="Yes – needs DPO Approval to fix"</formula>
    </cfRule>
  </conditionalFormatting>
  <conditionalFormatting sqref="T2:X73">
    <cfRule type="expression" dxfId="37" priority="72">
      <formula>$AF2="Yes – needs QA to fix"</formula>
    </cfRule>
  </conditionalFormatting>
  <conditionalFormatting sqref="V74:AA499 G43:U499 A2:F499 G2:U40 L41:U42 G41:J42 V2:AH2 V3:X3 Z3:AH3 V4:AH72 V73:AD73">
    <cfRule type="expression" dxfId="36" priority="34">
      <formula>AND($B2&lt;&gt;"",MOD(ROW(),2)=0)</formula>
    </cfRule>
  </conditionalFormatting>
  <conditionalFormatting sqref="W73:X73">
    <cfRule type="expression" dxfId="35" priority="103">
      <formula>$W73="Yes"</formula>
    </cfRule>
  </conditionalFormatting>
  <conditionalFormatting sqref="Y3">
    <cfRule type="expression" dxfId="34" priority="289">
      <formula>$AF3="Yes – needs DPO Approval to fix"</formula>
    </cfRule>
    <cfRule type="expression" dxfId="33" priority="288">
      <formula>AND($B3&lt;&gt;"",MOD(ROW(),2)=0)</formula>
    </cfRule>
  </conditionalFormatting>
  <conditionalFormatting sqref="Y74:Y499">
    <cfRule type="expression" dxfId="32" priority="23">
      <formula>LEFT($Y74,3)="Yes"</formula>
    </cfRule>
  </conditionalFormatting>
  <conditionalFormatting sqref="Y2:AA2 Z3:AA3 Y4:AA73">
    <cfRule type="expression" dxfId="31" priority="75">
      <formula>$AF2="Yes – needs DPO Approval to fix"</formula>
    </cfRule>
  </conditionalFormatting>
  <conditionalFormatting sqref="Z74:Z499">
    <cfRule type="expression" dxfId="30" priority="32">
      <formula>ISNUMBER(SEARCH("Duplicate",$Z74))</formula>
    </cfRule>
    <cfRule type="expression" dxfId="29" priority="31">
      <formula>ISNUMBER(SEARCH("log it",$Z74))</formula>
    </cfRule>
    <cfRule type="expression" dxfId="28" priority="31">
      <formula>ISNUMBER(SEARCH("Open rework",$Z74))</formula>
    </cfRule>
    <cfRule type="expression" dxfId="27" priority="33">
      <formula>$Z74&lt;&gt;""</formula>
    </cfRule>
    <cfRule type="expression" dxfId="26" priority="31">
      <formula>ISNUMBER(SEARCH("Move old",$Z74))</formula>
    </cfRule>
  </conditionalFormatting>
  <conditionalFormatting sqref="AB2:AB73">
    <cfRule type="expression" dxfId="25" priority="47">
      <formula>$AB2="Yes"</formula>
    </cfRule>
  </conditionalFormatting>
  <conditionalFormatting sqref="AB73">
    <cfRule type="expression" dxfId="24" priority="105">
      <formula>LEFT($AB73,3)="Yes"</formula>
    </cfRule>
  </conditionalFormatting>
  <conditionalFormatting sqref="AC73">
    <cfRule type="expression" dxfId="23" priority="112">
      <formula>ISNUMBER(SEARCH("Move old",$AC73))</formula>
    </cfRule>
    <cfRule type="expression" dxfId="22" priority="113">
      <formula>ISNUMBER(SEARCH("log it",$AC73))</formula>
    </cfRule>
    <cfRule type="expression" dxfId="21" priority="114">
      <formula>ISNUMBER(SEARCH("Duplicate",$AC73))</formula>
    </cfRule>
    <cfRule type="expression" dxfId="20" priority="115">
      <formula>$AC73&lt;&gt;""</formula>
    </cfRule>
    <cfRule type="expression" dxfId="19" priority="111">
      <formula>ISNUMBER(SEARCH("Open rework",$AC73))</formula>
    </cfRule>
  </conditionalFormatting>
  <conditionalFormatting sqref="AF2:AF73">
    <cfRule type="expression" dxfId="18" priority="49">
      <formula>LEFT($AF2,3)="Yes"</formula>
    </cfRule>
  </conditionalFormatting>
  <conditionalFormatting sqref="AG2:AG73">
    <cfRule type="expression" dxfId="17" priority="55">
      <formula>ISNUMBER(SEARCH("log it",$AG2))</formula>
    </cfRule>
    <cfRule type="expression" dxfId="16" priority="57">
      <formula>ISNUMBER(SEARCH("Move old",$AG2))</formula>
    </cfRule>
    <cfRule type="expression" dxfId="15" priority="58">
      <formula>ISNUMBER(SEARCH("Duplicate",$AG2))</formula>
    </cfRule>
    <cfRule type="expression" dxfId="14" priority="59">
      <formula>$AG2&lt;&gt;""</formula>
    </cfRule>
    <cfRule type="expression" dxfId="13" priority="56">
      <formula>ISNUMBER(SEARCH("Open rework",$AG2))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5" x14ac:dyDescent="0.35"/>
  <cols>
    <col min="1" max="1" width="24" customWidth="1"/>
    <col min="2" max="5" width="16" customWidth="1"/>
  </cols>
  <sheetData>
    <row r="1" spans="1:5" ht="21" customHeight="1" x14ac:dyDescent="0.5">
      <c r="A1" s="7" t="s">
        <v>188</v>
      </c>
    </row>
    <row r="2" spans="1:5" x14ac:dyDescent="0.35">
      <c r="A2" s="6" t="s">
        <v>189</v>
      </c>
    </row>
    <row r="4" spans="1:5" ht="22" customHeight="1" x14ac:dyDescent="0.35">
      <c r="A4" s="5" t="s">
        <v>190</v>
      </c>
      <c r="B4" s="76"/>
      <c r="C4" s="77"/>
      <c r="D4" s="77"/>
      <c r="E4" s="77"/>
    </row>
    <row r="6" spans="1:5" x14ac:dyDescent="0.35">
      <c r="A6" s="42" t="s">
        <v>0</v>
      </c>
      <c r="B6" s="81" t="str">
        <f>IF($B$4="","",IFERROR(INDEX('Combined Delivery Data'!$A:$A,MATCH($B$4,'Combined Delivery Data'!$B:$B,0)),""))</f>
        <v/>
      </c>
      <c r="C6" s="79"/>
      <c r="D6" s="79"/>
      <c r="E6" s="80"/>
    </row>
    <row r="7" spans="1:5" x14ac:dyDescent="0.35">
      <c r="A7" s="42" t="s">
        <v>2</v>
      </c>
      <c r="B7" s="81" t="str">
        <f>IF($B$4="","",IFERROR(INDEX('Combined Delivery Data'!$C:$C,MATCH($B$4,'Combined Delivery Data'!$B:$B,0)),""))</f>
        <v/>
      </c>
      <c r="C7" s="79"/>
      <c r="D7" s="79"/>
      <c r="E7" s="80"/>
    </row>
    <row r="8" spans="1:5" x14ac:dyDescent="0.35">
      <c r="A8" s="42" t="s">
        <v>3</v>
      </c>
      <c r="B8" s="81" t="str">
        <f>IF($B$4="","",IFERROR(INDEX('Combined Delivery Data'!$D:$D,MATCH($B$4,'Combined Delivery Data'!$B:$B,0)),""))</f>
        <v/>
      </c>
      <c r="C8" s="79"/>
      <c r="D8" s="79"/>
      <c r="E8" s="80"/>
    </row>
    <row r="9" spans="1:5" x14ac:dyDescent="0.35">
      <c r="A9" s="42" t="s">
        <v>4</v>
      </c>
      <c r="B9" s="81" t="str">
        <f>IF($B$4="","",IFERROR(INDEX('Combined Delivery Data'!$E:$E,MATCH($B$4,'Combined Delivery Data'!$B:$B,0)),""))</f>
        <v/>
      </c>
      <c r="C9" s="79"/>
      <c r="D9" s="79"/>
      <c r="E9" s="80"/>
    </row>
    <row r="10" spans="1:5" x14ac:dyDescent="0.35">
      <c r="A10" s="42" t="s">
        <v>5</v>
      </c>
      <c r="B10" s="81" t="str">
        <f>IF($B$4="","",IFERROR(INDEX('Combined Delivery Data'!$F:$F,MATCH($B$4,'Combined Delivery Data'!$B:$B,0)),""))</f>
        <v/>
      </c>
      <c r="C10" s="79"/>
      <c r="D10" s="79"/>
      <c r="E10" s="80"/>
    </row>
    <row r="11" spans="1:5" x14ac:dyDescent="0.35">
      <c r="A11" s="42" t="s">
        <v>9</v>
      </c>
      <c r="B11" s="81" t="str">
        <f>IF($B$4="","",IFERROR(INDEX('Combined Delivery Data'!$J:$J,MATCH($B$4,'Combined Delivery Data'!$B:$B,0)),""))</f>
        <v/>
      </c>
      <c r="C11" s="79"/>
      <c r="D11" s="79"/>
      <c r="E11" s="80"/>
    </row>
    <row r="12" spans="1:5" x14ac:dyDescent="0.35">
      <c r="A12" s="42" t="s">
        <v>14</v>
      </c>
      <c r="B12" s="81" t="str">
        <f>IF($B$4="","",IFERROR(INDEX('Combined Delivery Data'!$O:$O,MATCH($B$4,'Combined Delivery Data'!$B:$B,0)),""))</f>
        <v/>
      </c>
      <c r="C12" s="79"/>
      <c r="D12" s="79"/>
      <c r="E12" s="80"/>
    </row>
    <row r="13" spans="1:5" x14ac:dyDescent="0.35">
      <c r="A13" s="42" t="s">
        <v>19</v>
      </c>
      <c r="B13" s="81" t="str">
        <f>IF($B$4="","",IFERROR(INDEX('Combined Delivery Data'!$T:$T,MATCH($B$4,'Combined Delivery Data'!$B:$B,0)),""))</f>
        <v/>
      </c>
      <c r="C13" s="79"/>
      <c r="D13" s="79"/>
      <c r="E13" s="80"/>
    </row>
    <row r="14" spans="1:5" x14ac:dyDescent="0.35">
      <c r="A14" s="42" t="s">
        <v>191</v>
      </c>
      <c r="B14" s="78" t="str">
        <f>IF($B$4="","",IFERROR(INDEX('Combined Delivery Data'!$K:$K,MATCH($B$4,'Combined Delivery Data'!$B:$B,0)),""))</f>
        <v/>
      </c>
      <c r="C14" s="79"/>
      <c r="D14" s="79"/>
      <c r="E14" s="80"/>
    </row>
    <row r="15" spans="1:5" x14ac:dyDescent="0.35">
      <c r="A15" s="42" t="s">
        <v>192</v>
      </c>
      <c r="B15" s="78" t="str">
        <f>IF($B$4="","",IFERROR(INDEX('Combined Delivery Data'!$L:$L,MATCH($B$4,'Combined Delivery Data'!$B:$B,0)),""))</f>
        <v/>
      </c>
      <c r="C15" s="79"/>
      <c r="D15" s="79"/>
      <c r="E15" s="80"/>
    </row>
    <row r="16" spans="1:5" x14ac:dyDescent="0.35">
      <c r="A16" s="42" t="s">
        <v>193</v>
      </c>
      <c r="B16" s="78" t="str">
        <f>IF($B$4="","",IFERROR(INDEX('Combined Delivery Data'!$M:$M,MATCH($B$4,'Combined Delivery Data'!$B:$B,0)),""))</f>
        <v/>
      </c>
      <c r="C16" s="79"/>
      <c r="D16" s="79"/>
      <c r="E16" s="80"/>
    </row>
    <row r="17" spans="1:5" x14ac:dyDescent="0.35">
      <c r="A17" s="42" t="s">
        <v>194</v>
      </c>
      <c r="B17" s="78" t="str">
        <f>IF($B$4="","",IFERROR(INDEX('Combined Delivery Data'!$N:$N,MATCH($B$4,'Combined Delivery Data'!$B:$B,0)),""))</f>
        <v/>
      </c>
      <c r="C17" s="79"/>
      <c r="D17" s="79"/>
      <c r="E17" s="80"/>
    </row>
    <row r="18" spans="1:5" x14ac:dyDescent="0.35">
      <c r="A18" s="42" t="s">
        <v>195</v>
      </c>
      <c r="B18" s="78" t="str">
        <f>IF($B$4="","",IFERROR(INDEX('Combined Delivery Data'!$P:$P,MATCH($B$4,'Combined Delivery Data'!$B:$B,0)),""))</f>
        <v/>
      </c>
      <c r="C18" s="79"/>
      <c r="D18" s="79"/>
      <c r="E18" s="80"/>
    </row>
    <row r="19" spans="1:5" x14ac:dyDescent="0.35">
      <c r="A19" s="42" t="s">
        <v>196</v>
      </c>
      <c r="B19" s="78" t="str">
        <f>IF($B$4="","",IFERROR(INDEX('Combined Delivery Data'!$Q:$Q,MATCH($B$4,'Combined Delivery Data'!$B:$B,0)),""))</f>
        <v/>
      </c>
      <c r="C19" s="79"/>
      <c r="D19" s="79"/>
      <c r="E19" s="80"/>
    </row>
    <row r="20" spans="1:5" x14ac:dyDescent="0.35">
      <c r="A20" s="42" t="s">
        <v>197</v>
      </c>
      <c r="B20" s="78" t="str">
        <f>IF($B$4="","",IFERROR(INDEX('Combined Delivery Data'!$R:$R,MATCH($B$4,'Combined Delivery Data'!$B:$B,0)),""))</f>
        <v/>
      </c>
      <c r="C20" s="79"/>
      <c r="D20" s="79"/>
      <c r="E20" s="80"/>
    </row>
    <row r="21" spans="1:5" x14ac:dyDescent="0.35">
      <c r="A21" s="42" t="s">
        <v>26</v>
      </c>
      <c r="B21" s="81" t="str">
        <f>IF($B$4="","",IFERROR(INDEX('Combined Delivery Data'!$S:$S,MATCH($B$4,'Combined Delivery Data'!$B:$B,0)),""))</f>
        <v/>
      </c>
      <c r="C21" s="79"/>
      <c r="D21" s="79"/>
      <c r="E21" s="80"/>
    </row>
    <row r="22" spans="1:5" x14ac:dyDescent="0.35">
      <c r="A22" s="42" t="s">
        <v>27</v>
      </c>
      <c r="B22" s="81" t="str">
        <f>IF($B$4="","",IFERROR(INDEX('Combined Delivery Data'!$U:$U,MATCH($B$4,'Combined Delivery Data'!$B:$B,0)),""))</f>
        <v/>
      </c>
      <c r="C22" s="79"/>
      <c r="D22" s="79"/>
      <c r="E22" s="80"/>
    </row>
    <row r="23" spans="1:5" x14ac:dyDescent="0.35">
      <c r="A23" s="42" t="s">
        <v>28</v>
      </c>
      <c r="B23" s="78" t="str">
        <f>IF($B$4="","",IFERROR(INDEX('Combined Delivery Data'!$V:$V,MATCH($B$4,'Combined Delivery Data'!$B:$B,0)),""))</f>
        <v/>
      </c>
      <c r="C23" s="79"/>
      <c r="D23" s="79"/>
      <c r="E23" s="80"/>
    </row>
    <row r="24" spans="1:5" x14ac:dyDescent="0.35">
      <c r="A24" s="42" t="s">
        <v>31</v>
      </c>
      <c r="B24" s="81" t="str">
        <f>IF($B$4="","",IFERROR(INDEX('Combined Delivery Data'!$Y:$Y,MATCH($B$4,'Combined Delivery Data'!$B:$B,0)),""))</f>
        <v/>
      </c>
      <c r="C24" s="79"/>
      <c r="D24" s="79"/>
      <c r="E24" s="80"/>
    </row>
    <row r="25" spans="1:5" x14ac:dyDescent="0.35">
      <c r="A25" s="42" t="s">
        <v>32</v>
      </c>
      <c r="B25" s="81" t="str">
        <f>IF($B$4="","",IFERROR(INDEX('Combined Delivery Data'!$Z:$Z,MATCH($B$4,'Combined Delivery Data'!$B:$B,0)),""))</f>
        <v/>
      </c>
      <c r="C25" s="79"/>
      <c r="D25" s="79"/>
      <c r="E25" s="80"/>
    </row>
    <row r="26" spans="1:5" x14ac:dyDescent="0.35">
      <c r="A26" s="42" t="s">
        <v>198</v>
      </c>
      <c r="B26" s="81" t="str">
        <f>IF($B$4="","",IFERROR(INDEX('Rework Log'!$Q:$Q,MATCH($B$4,'Rework Log'!$P:$P,0)),""))</f>
        <v/>
      </c>
      <c r="C26" s="79"/>
      <c r="D26" s="79"/>
      <c r="E26" s="80"/>
    </row>
    <row r="27" spans="1:5" x14ac:dyDescent="0.35">
      <c r="A27" s="42" t="s">
        <v>199</v>
      </c>
      <c r="B27" s="81" t="str">
        <f>IF($B$4="","",IFERROR(INDEX('Rework Log'!$R:$R,MATCH($B$4,'Rework Log'!$P:$P,0)),""))</f>
        <v/>
      </c>
      <c r="C27" s="79"/>
      <c r="D27" s="79"/>
      <c r="E27" s="80"/>
    </row>
    <row r="28" spans="1:5" x14ac:dyDescent="0.35">
      <c r="A28" s="42" t="s">
        <v>200</v>
      </c>
      <c r="B28" s="81" t="str">
        <f>IF($B$4="","",IFERROR(INDEX('Rework Log'!$S:$S,MATCH($B$4,'Rework Log'!$P:$P,0)),""))</f>
        <v/>
      </c>
      <c r="C28" s="79"/>
      <c r="D28" s="79"/>
      <c r="E28" s="80"/>
    </row>
    <row r="29" spans="1:5" x14ac:dyDescent="0.35">
      <c r="A29" s="42" t="s">
        <v>201</v>
      </c>
      <c r="B29" s="81" t="str">
        <f>IF($B$4="","",IFERROR(INDEX('Rework Log'!$T:$T,MATCH($B$4,'Rework Log'!$P:$P,0)),""))</f>
        <v/>
      </c>
      <c r="C29" s="79"/>
      <c r="D29" s="79"/>
      <c r="E29" s="80"/>
    </row>
    <row r="30" spans="1:5" ht="15.65" customHeight="1" x14ac:dyDescent="0.35">
      <c r="A30" s="42"/>
      <c r="B30" s="81"/>
      <c r="C30" s="79"/>
      <c r="D30" s="79"/>
      <c r="E30" s="80"/>
    </row>
    <row r="31" spans="1:5" ht="15.65" customHeight="1" x14ac:dyDescent="0.35">
      <c r="A31" s="5" t="s">
        <v>33</v>
      </c>
      <c r="B31" s="82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12" sqref="F12"/>
    </sheetView>
  </sheetViews>
  <sheetFormatPr defaultRowHeight="14.5" x14ac:dyDescent="0.3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265625" customWidth="1"/>
    <col min="8" max="8" width="1.453125" customWidth="1"/>
    <col min="9" max="9" width="17.7265625" customWidth="1"/>
    <col min="10" max="11" width="12" customWidth="1"/>
    <col min="12" max="12" width="36" customWidth="1"/>
    <col min="13" max="13" width="18" customWidth="1"/>
    <col min="15" max="15" width="84.453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6" hidden="1" customHeight="1" x14ac:dyDescent="0.35">
      <c r="A1" s="83" t="s">
        <v>202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4" t="s">
        <v>203</v>
      </c>
      <c r="Q1" s="77"/>
      <c r="R1" s="77"/>
      <c r="S1" s="77"/>
      <c r="T1" s="77"/>
    </row>
    <row r="2" spans="1:20" ht="30" customHeight="1" x14ac:dyDescent="0.35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 x14ac:dyDescent="0.35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5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x14ac:dyDescent="0.35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x14ac:dyDescent="0.35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x14ac:dyDescent="0.35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x14ac:dyDescent="0.35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x14ac:dyDescent="0.35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x14ac:dyDescent="0.35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x14ac:dyDescent="0.35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x14ac:dyDescent="0.35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x14ac:dyDescent="0.35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 x14ac:dyDescent="0.35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x14ac:dyDescent="0.35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 x14ac:dyDescent="0.35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x14ac:dyDescent="0.35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 x14ac:dyDescent="0.35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 x14ac:dyDescent="0.35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 x14ac:dyDescent="0.35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 x14ac:dyDescent="0.35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 x14ac:dyDescent="0.35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 x14ac:dyDescent="0.35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 x14ac:dyDescent="0.35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 x14ac:dyDescent="0.35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 x14ac:dyDescent="0.35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 x14ac:dyDescent="0.35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 x14ac:dyDescent="0.35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 x14ac:dyDescent="0.35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 x14ac:dyDescent="0.35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 x14ac:dyDescent="0.35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 x14ac:dyDescent="0.35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 x14ac:dyDescent="0.35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 x14ac:dyDescent="0.35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 x14ac:dyDescent="0.35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 x14ac:dyDescent="0.35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 x14ac:dyDescent="0.35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 x14ac:dyDescent="0.35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 x14ac:dyDescent="0.35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 x14ac:dyDescent="0.35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 x14ac:dyDescent="0.35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 x14ac:dyDescent="0.35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 x14ac:dyDescent="0.35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 x14ac:dyDescent="0.35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 x14ac:dyDescent="0.35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 x14ac:dyDescent="0.35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 x14ac:dyDescent="0.35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 x14ac:dyDescent="0.35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 x14ac:dyDescent="0.35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 x14ac:dyDescent="0.35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 x14ac:dyDescent="0.35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 x14ac:dyDescent="0.35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 x14ac:dyDescent="0.35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 x14ac:dyDescent="0.35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 x14ac:dyDescent="0.35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 x14ac:dyDescent="0.35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 x14ac:dyDescent="0.35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 x14ac:dyDescent="0.35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 x14ac:dyDescent="0.35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 x14ac:dyDescent="0.35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 x14ac:dyDescent="0.35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 x14ac:dyDescent="0.35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 x14ac:dyDescent="0.35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 x14ac:dyDescent="0.35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 x14ac:dyDescent="0.35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 x14ac:dyDescent="0.35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 x14ac:dyDescent="0.35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5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 x14ac:dyDescent="0.35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 x14ac:dyDescent="0.35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 x14ac:dyDescent="0.35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 x14ac:dyDescent="0.35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 x14ac:dyDescent="0.35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 x14ac:dyDescent="0.35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 x14ac:dyDescent="0.35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 x14ac:dyDescent="0.35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 x14ac:dyDescent="0.35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 x14ac:dyDescent="0.35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 x14ac:dyDescent="0.35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 x14ac:dyDescent="0.35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 x14ac:dyDescent="0.35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 x14ac:dyDescent="0.35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 x14ac:dyDescent="0.35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 x14ac:dyDescent="0.35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 x14ac:dyDescent="0.35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 x14ac:dyDescent="0.35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 x14ac:dyDescent="0.35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 x14ac:dyDescent="0.35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 x14ac:dyDescent="0.35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 x14ac:dyDescent="0.35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 x14ac:dyDescent="0.35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 x14ac:dyDescent="0.35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 x14ac:dyDescent="0.35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 x14ac:dyDescent="0.35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 x14ac:dyDescent="0.35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 x14ac:dyDescent="0.35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 x14ac:dyDescent="0.35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 x14ac:dyDescent="0.35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 x14ac:dyDescent="0.35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 x14ac:dyDescent="0.35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 x14ac:dyDescent="0.35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 x14ac:dyDescent="0.35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 x14ac:dyDescent="0.35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 x14ac:dyDescent="0.35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 x14ac:dyDescent="0.35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 x14ac:dyDescent="0.35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 x14ac:dyDescent="0.35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 x14ac:dyDescent="0.35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 x14ac:dyDescent="0.35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 x14ac:dyDescent="0.35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 x14ac:dyDescent="0.35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 x14ac:dyDescent="0.35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 x14ac:dyDescent="0.35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 x14ac:dyDescent="0.35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 x14ac:dyDescent="0.35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 x14ac:dyDescent="0.35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 x14ac:dyDescent="0.35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 x14ac:dyDescent="0.35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 x14ac:dyDescent="0.35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 x14ac:dyDescent="0.35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 x14ac:dyDescent="0.35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 x14ac:dyDescent="0.35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 x14ac:dyDescent="0.35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 x14ac:dyDescent="0.35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 x14ac:dyDescent="0.35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 x14ac:dyDescent="0.35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 x14ac:dyDescent="0.35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 x14ac:dyDescent="0.35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 x14ac:dyDescent="0.35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 x14ac:dyDescent="0.35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 x14ac:dyDescent="0.35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5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 x14ac:dyDescent="0.35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 x14ac:dyDescent="0.35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 x14ac:dyDescent="0.35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 x14ac:dyDescent="0.35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 x14ac:dyDescent="0.35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 x14ac:dyDescent="0.35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 x14ac:dyDescent="0.35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 x14ac:dyDescent="0.35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 x14ac:dyDescent="0.35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 x14ac:dyDescent="0.35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 x14ac:dyDescent="0.35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 x14ac:dyDescent="0.35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 x14ac:dyDescent="0.35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 x14ac:dyDescent="0.35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 x14ac:dyDescent="0.35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 x14ac:dyDescent="0.35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 x14ac:dyDescent="0.35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 x14ac:dyDescent="0.35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 x14ac:dyDescent="0.35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 x14ac:dyDescent="0.35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 x14ac:dyDescent="0.35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 x14ac:dyDescent="0.35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 x14ac:dyDescent="0.35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 x14ac:dyDescent="0.35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 x14ac:dyDescent="0.35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 x14ac:dyDescent="0.35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 x14ac:dyDescent="0.35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 x14ac:dyDescent="0.35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 x14ac:dyDescent="0.35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 x14ac:dyDescent="0.35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 x14ac:dyDescent="0.35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 x14ac:dyDescent="0.35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 x14ac:dyDescent="0.35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 x14ac:dyDescent="0.35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 x14ac:dyDescent="0.35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 x14ac:dyDescent="0.35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 x14ac:dyDescent="0.35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 x14ac:dyDescent="0.35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 x14ac:dyDescent="0.35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 x14ac:dyDescent="0.35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 x14ac:dyDescent="0.35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 x14ac:dyDescent="0.35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 x14ac:dyDescent="0.35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 x14ac:dyDescent="0.35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 x14ac:dyDescent="0.35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 x14ac:dyDescent="0.35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 x14ac:dyDescent="0.35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 x14ac:dyDescent="0.35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 x14ac:dyDescent="0.35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 x14ac:dyDescent="0.35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 x14ac:dyDescent="0.35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 x14ac:dyDescent="0.35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 x14ac:dyDescent="0.35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 x14ac:dyDescent="0.35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 x14ac:dyDescent="0.35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 x14ac:dyDescent="0.35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 x14ac:dyDescent="0.35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 x14ac:dyDescent="0.35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 x14ac:dyDescent="0.35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 x14ac:dyDescent="0.35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 x14ac:dyDescent="0.35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 x14ac:dyDescent="0.35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 x14ac:dyDescent="0.35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5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 x14ac:dyDescent="0.35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 x14ac:dyDescent="0.35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 x14ac:dyDescent="0.35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 x14ac:dyDescent="0.35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 x14ac:dyDescent="0.3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 x14ac:dyDescent="0.3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 x14ac:dyDescent="0.3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 x14ac:dyDescent="0.3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 x14ac:dyDescent="0.3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 x14ac:dyDescent="0.3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 x14ac:dyDescent="0.3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 x14ac:dyDescent="0.3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 x14ac:dyDescent="0.3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 x14ac:dyDescent="0.3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 x14ac:dyDescent="0.3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 x14ac:dyDescent="0.3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 x14ac:dyDescent="0.3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 x14ac:dyDescent="0.3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 x14ac:dyDescent="0.3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 x14ac:dyDescent="0.3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 x14ac:dyDescent="0.3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 x14ac:dyDescent="0.3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 x14ac:dyDescent="0.3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 x14ac:dyDescent="0.3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 x14ac:dyDescent="0.3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 x14ac:dyDescent="0.3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 x14ac:dyDescent="0.3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 x14ac:dyDescent="0.3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 x14ac:dyDescent="0.3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 x14ac:dyDescent="0.3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 x14ac:dyDescent="0.3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 x14ac:dyDescent="0.3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 x14ac:dyDescent="0.3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 x14ac:dyDescent="0.3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 x14ac:dyDescent="0.3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 x14ac:dyDescent="0.3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 x14ac:dyDescent="0.3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 x14ac:dyDescent="0.3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 x14ac:dyDescent="0.3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 x14ac:dyDescent="0.3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 x14ac:dyDescent="0.3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 x14ac:dyDescent="0.3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 x14ac:dyDescent="0.3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 x14ac:dyDescent="0.3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 x14ac:dyDescent="0.3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 x14ac:dyDescent="0.3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 x14ac:dyDescent="0.3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 x14ac:dyDescent="0.3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 x14ac:dyDescent="0.3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 x14ac:dyDescent="0.3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 x14ac:dyDescent="0.3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 x14ac:dyDescent="0.3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 x14ac:dyDescent="0.3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 x14ac:dyDescent="0.3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 x14ac:dyDescent="0.3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 x14ac:dyDescent="0.3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 x14ac:dyDescent="0.3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 x14ac:dyDescent="0.3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 x14ac:dyDescent="0.3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 x14ac:dyDescent="0.3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 x14ac:dyDescent="0.3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 x14ac:dyDescent="0.3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 x14ac:dyDescent="0.3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 x14ac:dyDescent="0.3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 x14ac:dyDescent="0.3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 x14ac:dyDescent="0.3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 x14ac:dyDescent="0.3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 x14ac:dyDescent="0.3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 x14ac:dyDescent="0.3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 x14ac:dyDescent="0.3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 x14ac:dyDescent="0.3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 x14ac:dyDescent="0.3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 x14ac:dyDescent="0.3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 x14ac:dyDescent="0.3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 x14ac:dyDescent="0.3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 x14ac:dyDescent="0.3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 x14ac:dyDescent="0.3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 x14ac:dyDescent="0.3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 x14ac:dyDescent="0.3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 x14ac:dyDescent="0.3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 x14ac:dyDescent="0.3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 x14ac:dyDescent="0.3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 x14ac:dyDescent="0.3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 x14ac:dyDescent="0.3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 x14ac:dyDescent="0.3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 x14ac:dyDescent="0.3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 x14ac:dyDescent="0.3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 x14ac:dyDescent="0.3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 x14ac:dyDescent="0.3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 x14ac:dyDescent="0.3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 x14ac:dyDescent="0.3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 x14ac:dyDescent="0.3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 x14ac:dyDescent="0.3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 x14ac:dyDescent="0.3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 x14ac:dyDescent="0.3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 x14ac:dyDescent="0.3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 x14ac:dyDescent="0.3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 x14ac:dyDescent="0.3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 x14ac:dyDescent="0.3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 x14ac:dyDescent="0.3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 x14ac:dyDescent="0.3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 x14ac:dyDescent="0.3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 x14ac:dyDescent="0.3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 x14ac:dyDescent="0.3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 x14ac:dyDescent="0.3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 x14ac:dyDescent="0.3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 x14ac:dyDescent="0.3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 x14ac:dyDescent="0.3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 x14ac:dyDescent="0.3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 x14ac:dyDescent="0.3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 x14ac:dyDescent="0.3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 x14ac:dyDescent="0.3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 x14ac:dyDescent="0.3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 x14ac:dyDescent="0.3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 x14ac:dyDescent="0.3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 x14ac:dyDescent="0.3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 x14ac:dyDescent="0.3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 x14ac:dyDescent="0.3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 x14ac:dyDescent="0.3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 x14ac:dyDescent="0.3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 x14ac:dyDescent="0.3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 x14ac:dyDescent="0.3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 x14ac:dyDescent="0.3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 x14ac:dyDescent="0.3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 x14ac:dyDescent="0.3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 x14ac:dyDescent="0.3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 x14ac:dyDescent="0.3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 x14ac:dyDescent="0.3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 x14ac:dyDescent="0.3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 x14ac:dyDescent="0.3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 x14ac:dyDescent="0.3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 x14ac:dyDescent="0.3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 x14ac:dyDescent="0.3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 x14ac:dyDescent="0.3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 x14ac:dyDescent="0.3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 x14ac:dyDescent="0.3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 x14ac:dyDescent="0.3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 x14ac:dyDescent="0.3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 x14ac:dyDescent="0.3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 x14ac:dyDescent="0.3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 x14ac:dyDescent="0.3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 x14ac:dyDescent="0.3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 x14ac:dyDescent="0.3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 x14ac:dyDescent="0.3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 x14ac:dyDescent="0.3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 x14ac:dyDescent="0.3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 x14ac:dyDescent="0.3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 x14ac:dyDescent="0.3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 x14ac:dyDescent="0.3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 x14ac:dyDescent="0.3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 x14ac:dyDescent="0.3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 x14ac:dyDescent="0.3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 x14ac:dyDescent="0.3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 x14ac:dyDescent="0.3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 x14ac:dyDescent="0.3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 x14ac:dyDescent="0.3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 x14ac:dyDescent="0.3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 x14ac:dyDescent="0.3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 x14ac:dyDescent="0.3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 x14ac:dyDescent="0.3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 x14ac:dyDescent="0.3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 x14ac:dyDescent="0.3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 x14ac:dyDescent="0.3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 x14ac:dyDescent="0.3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 x14ac:dyDescent="0.3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 x14ac:dyDescent="0.3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 x14ac:dyDescent="0.3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 x14ac:dyDescent="0.3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 x14ac:dyDescent="0.3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 x14ac:dyDescent="0.3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 x14ac:dyDescent="0.3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 x14ac:dyDescent="0.3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 x14ac:dyDescent="0.3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 x14ac:dyDescent="0.3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 x14ac:dyDescent="0.3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 x14ac:dyDescent="0.3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 x14ac:dyDescent="0.3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 x14ac:dyDescent="0.3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 x14ac:dyDescent="0.3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 x14ac:dyDescent="0.3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 x14ac:dyDescent="0.3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 x14ac:dyDescent="0.3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 x14ac:dyDescent="0.3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 x14ac:dyDescent="0.3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 x14ac:dyDescent="0.3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 x14ac:dyDescent="0.3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 x14ac:dyDescent="0.3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 x14ac:dyDescent="0.3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 x14ac:dyDescent="0.3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 x14ac:dyDescent="0.3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 x14ac:dyDescent="0.3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 x14ac:dyDescent="0.3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 x14ac:dyDescent="0.3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 x14ac:dyDescent="0.3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 x14ac:dyDescent="0.3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 x14ac:dyDescent="0.3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 x14ac:dyDescent="0.3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 x14ac:dyDescent="0.3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 x14ac:dyDescent="0.3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 x14ac:dyDescent="0.3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 x14ac:dyDescent="0.3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 x14ac:dyDescent="0.3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 x14ac:dyDescent="0.3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 x14ac:dyDescent="0.3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 x14ac:dyDescent="0.3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 x14ac:dyDescent="0.3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 x14ac:dyDescent="0.3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 x14ac:dyDescent="0.3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 x14ac:dyDescent="0.3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 x14ac:dyDescent="0.3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 x14ac:dyDescent="0.3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 x14ac:dyDescent="0.3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 x14ac:dyDescent="0.3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 x14ac:dyDescent="0.3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 x14ac:dyDescent="0.3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 x14ac:dyDescent="0.3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 x14ac:dyDescent="0.3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 x14ac:dyDescent="0.3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 x14ac:dyDescent="0.3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 x14ac:dyDescent="0.3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 x14ac:dyDescent="0.3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 x14ac:dyDescent="0.3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 x14ac:dyDescent="0.3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 x14ac:dyDescent="0.3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 x14ac:dyDescent="0.3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 x14ac:dyDescent="0.3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 x14ac:dyDescent="0.3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 x14ac:dyDescent="0.3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 x14ac:dyDescent="0.3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 x14ac:dyDescent="0.3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 x14ac:dyDescent="0.3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 x14ac:dyDescent="0.3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 x14ac:dyDescent="0.3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 x14ac:dyDescent="0.3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 x14ac:dyDescent="0.3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 x14ac:dyDescent="0.3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 x14ac:dyDescent="0.3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 x14ac:dyDescent="0.3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 x14ac:dyDescent="0.3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 x14ac:dyDescent="0.3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 x14ac:dyDescent="0.3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 x14ac:dyDescent="0.3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 x14ac:dyDescent="0.3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 x14ac:dyDescent="0.3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 x14ac:dyDescent="0.3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 x14ac:dyDescent="0.3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 x14ac:dyDescent="0.3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 x14ac:dyDescent="0.3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 x14ac:dyDescent="0.3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 x14ac:dyDescent="0.3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 x14ac:dyDescent="0.3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 x14ac:dyDescent="0.3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 x14ac:dyDescent="0.3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 x14ac:dyDescent="0.3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 x14ac:dyDescent="0.3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 x14ac:dyDescent="0.3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 x14ac:dyDescent="0.3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 x14ac:dyDescent="0.3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 x14ac:dyDescent="0.3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 x14ac:dyDescent="0.3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 x14ac:dyDescent="0.3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 x14ac:dyDescent="0.3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 x14ac:dyDescent="0.3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 x14ac:dyDescent="0.3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 x14ac:dyDescent="0.3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 x14ac:dyDescent="0.3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 x14ac:dyDescent="0.3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 x14ac:dyDescent="0.3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 x14ac:dyDescent="0.3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 x14ac:dyDescent="0.3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 x14ac:dyDescent="0.3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 x14ac:dyDescent="0.3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 x14ac:dyDescent="0.3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 x14ac:dyDescent="0.3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 x14ac:dyDescent="0.3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 x14ac:dyDescent="0.3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 x14ac:dyDescent="0.3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 x14ac:dyDescent="0.3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 x14ac:dyDescent="0.3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 x14ac:dyDescent="0.3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 x14ac:dyDescent="0.3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 x14ac:dyDescent="0.3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 x14ac:dyDescent="0.3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 x14ac:dyDescent="0.3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 x14ac:dyDescent="0.3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 x14ac:dyDescent="0.3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 x14ac:dyDescent="0.3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 x14ac:dyDescent="0.3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 x14ac:dyDescent="0.3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 x14ac:dyDescent="0.3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 x14ac:dyDescent="0.3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 x14ac:dyDescent="0.3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 x14ac:dyDescent="0.3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 x14ac:dyDescent="0.3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 x14ac:dyDescent="0.3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 x14ac:dyDescent="0.3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 x14ac:dyDescent="0.3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 x14ac:dyDescent="0.3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 x14ac:dyDescent="0.3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 x14ac:dyDescent="0.3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265625" defaultRowHeight="14.5" x14ac:dyDescent="0.3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5">
      <c r="A1" s="85" t="s">
        <v>226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 x14ac:dyDescent="0.35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 x14ac:dyDescent="0.35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5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5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5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 x14ac:dyDescent="0.35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 x14ac:dyDescent="0.35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5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5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5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 x14ac:dyDescent="0.35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 x14ac:dyDescent="0.35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5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5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5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 x14ac:dyDescent="0.35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 x14ac:dyDescent="0.35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5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5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5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5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5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5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5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5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 x14ac:dyDescent="0.35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 x14ac:dyDescent="0.35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5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5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5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5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5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5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5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5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5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5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5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5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5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5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5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5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5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5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5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5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5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5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5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5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5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5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5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5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5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5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 x14ac:dyDescent="0.35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5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5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 x14ac:dyDescent="0.35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 x14ac:dyDescent="0.35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 x14ac:dyDescent="0.35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5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5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 x14ac:dyDescent="0.35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5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 x14ac:dyDescent="0.35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5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5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 x14ac:dyDescent="0.35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 x14ac:dyDescent="0.35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 x14ac:dyDescent="0.35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5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5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 x14ac:dyDescent="0.35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 x14ac:dyDescent="0.35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5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5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5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5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5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 x14ac:dyDescent="0.35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5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5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 x14ac:dyDescent="0.35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 x14ac:dyDescent="0.35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5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5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5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5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5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5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5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5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 x14ac:dyDescent="0.35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5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5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5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5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5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5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5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5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5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 x14ac:dyDescent="0.35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 x14ac:dyDescent="0.35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5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5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5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5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5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5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5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5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5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5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5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5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5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5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5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5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 x14ac:dyDescent="0.35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 x14ac:dyDescent="0.35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5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5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5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5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5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5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5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5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 x14ac:dyDescent="0.35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5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5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5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5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 x14ac:dyDescent="0.35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 x14ac:dyDescent="0.35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5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5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5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 x14ac:dyDescent="0.35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5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5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 x14ac:dyDescent="0.35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5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5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 x14ac:dyDescent="0.35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5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5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 x14ac:dyDescent="0.35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5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5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 x14ac:dyDescent="0.35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 x14ac:dyDescent="0.35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 x14ac:dyDescent="0.35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 x14ac:dyDescent="0.35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 x14ac:dyDescent="0.35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 x14ac:dyDescent="0.35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 x14ac:dyDescent="0.35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 x14ac:dyDescent="0.35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 x14ac:dyDescent="0.35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 x14ac:dyDescent="0.35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 x14ac:dyDescent="0.35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 x14ac:dyDescent="0.35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 x14ac:dyDescent="0.35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 x14ac:dyDescent="0.35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 x14ac:dyDescent="0.35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5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5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5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5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5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 x14ac:dyDescent="0.35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 x14ac:dyDescent="0.35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 x14ac:dyDescent="0.35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 x14ac:dyDescent="0.35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 x14ac:dyDescent="0.35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 x14ac:dyDescent="0.35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5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5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265625" defaultRowHeight="14.5" x14ac:dyDescent="0.35"/>
  <cols>
    <col min="1" max="3" width="22" customWidth="1"/>
  </cols>
  <sheetData>
    <row r="1" spans="1:3" ht="14.25" hidden="1" customHeight="1" x14ac:dyDescent="0.35">
      <c r="A1" s="86" t="s">
        <v>234</v>
      </c>
      <c r="B1" s="77"/>
      <c r="C1" s="77"/>
    </row>
    <row r="2" spans="1:3" ht="14.25" customHeight="1" x14ac:dyDescent="0.35">
      <c r="A2" s="8" t="s">
        <v>0</v>
      </c>
      <c r="B2" s="8" t="s">
        <v>235</v>
      </c>
      <c r="C2" s="8" t="s">
        <v>231</v>
      </c>
    </row>
    <row r="3" spans="1:3" ht="14.25" customHeight="1" x14ac:dyDescent="0.35">
      <c r="A3" s="11" t="s">
        <v>34</v>
      </c>
      <c r="B3" s="11">
        <v>8</v>
      </c>
      <c r="C3" s="12">
        <v>46142</v>
      </c>
    </row>
    <row r="4" spans="1:3" ht="14.25" customHeight="1" x14ac:dyDescent="0.35">
      <c r="A4" s="11" t="s">
        <v>34</v>
      </c>
      <c r="B4" s="11">
        <v>10</v>
      </c>
      <c r="C4" s="12">
        <v>46172</v>
      </c>
    </row>
    <row r="5" spans="1:3" ht="14.25" customHeight="1" x14ac:dyDescent="0.35">
      <c r="A5" s="11" t="s">
        <v>34</v>
      </c>
      <c r="B5" s="11">
        <v>9</v>
      </c>
      <c r="C5" s="12">
        <v>46203</v>
      </c>
    </row>
    <row r="6" spans="1:3" ht="14.25" customHeight="1" x14ac:dyDescent="0.35">
      <c r="A6" s="11" t="s">
        <v>112</v>
      </c>
      <c r="B6" s="11">
        <v>15</v>
      </c>
      <c r="C6" s="12">
        <v>46233</v>
      </c>
    </row>
    <row r="7" spans="1:3" ht="14.25" customHeight="1" x14ac:dyDescent="0.35">
      <c r="A7" s="11" t="s">
        <v>112</v>
      </c>
      <c r="B7" s="11">
        <v>15</v>
      </c>
      <c r="C7" s="12">
        <v>46264</v>
      </c>
    </row>
    <row r="8" spans="1:3" ht="14.25" customHeight="1" x14ac:dyDescent="0.35">
      <c r="A8" s="11" t="s">
        <v>112</v>
      </c>
      <c r="B8" s="11">
        <v>17</v>
      </c>
      <c r="C8" s="12">
        <v>46295</v>
      </c>
    </row>
    <row r="9" spans="1:3" ht="14.25" customHeight="1" x14ac:dyDescent="0.35">
      <c r="A9" s="11" t="s">
        <v>112</v>
      </c>
      <c r="B9" s="11">
        <v>20</v>
      </c>
      <c r="C9" s="12">
        <v>46325</v>
      </c>
    </row>
    <row r="10" spans="1:3" ht="14.25" customHeight="1" x14ac:dyDescent="0.35">
      <c r="A10" s="11" t="s">
        <v>112</v>
      </c>
      <c r="B10" s="11">
        <v>20</v>
      </c>
      <c r="C10" s="12">
        <v>46356</v>
      </c>
    </row>
    <row r="11" spans="1:3" ht="14.25" customHeight="1" x14ac:dyDescent="0.35">
      <c r="A11" s="11" t="s">
        <v>236</v>
      </c>
      <c r="B11" s="11">
        <v>18</v>
      </c>
      <c r="C11" s="12">
        <v>46386</v>
      </c>
    </row>
    <row r="12" spans="1:3" ht="14.25" customHeight="1" x14ac:dyDescent="0.35">
      <c r="A12" s="11" t="s">
        <v>236</v>
      </c>
      <c r="B12" s="11">
        <v>18</v>
      </c>
      <c r="C12" s="12">
        <v>46417</v>
      </c>
    </row>
    <row r="13" spans="1:3" ht="14.25" customHeight="1" x14ac:dyDescent="0.35">
      <c r="A13" s="11" t="s">
        <v>236</v>
      </c>
      <c r="B13" s="11">
        <v>19</v>
      </c>
      <c r="C13" s="12">
        <v>46446</v>
      </c>
    </row>
    <row r="14" spans="1:3" ht="14.25" customHeight="1" x14ac:dyDescent="0.35">
      <c r="A14" s="11" t="s">
        <v>237</v>
      </c>
      <c r="B14" s="11">
        <v>9</v>
      </c>
      <c r="C14" s="12">
        <v>46476</v>
      </c>
    </row>
    <row r="15" spans="1:3" ht="14.25" customHeight="1" x14ac:dyDescent="0.35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265625" defaultRowHeight="14.5" x14ac:dyDescent="0.3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5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 x14ac:dyDescent="0.35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 x14ac:dyDescent="0.35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 x14ac:dyDescent="0.35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 x14ac:dyDescent="0.35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 x14ac:dyDescent="0.35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 x14ac:dyDescent="0.35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 x14ac:dyDescent="0.35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 x14ac:dyDescent="0.35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 x14ac:dyDescent="0.35">
      <c r="B10" t="s">
        <v>139</v>
      </c>
      <c r="G10" t="s">
        <v>139</v>
      </c>
      <c r="M10" t="s">
        <v>40</v>
      </c>
      <c r="N10" s="45" t="s">
        <v>257</v>
      </c>
    </row>
    <row r="11" spans="1:14" x14ac:dyDescent="0.35">
      <c r="B11" t="s">
        <v>266</v>
      </c>
      <c r="G11" t="s">
        <v>52</v>
      </c>
      <c r="M11" t="s">
        <v>68</v>
      </c>
      <c r="N11" s="45" t="s">
        <v>257</v>
      </c>
    </row>
    <row r="12" spans="1:14" x14ac:dyDescent="0.35">
      <c r="B12" t="s">
        <v>267</v>
      </c>
      <c r="G12" t="s">
        <v>39</v>
      </c>
      <c r="M12" t="s">
        <v>39</v>
      </c>
      <c r="N12" s="45" t="s">
        <v>257</v>
      </c>
    </row>
    <row r="13" spans="1:14" x14ac:dyDescent="0.35">
      <c r="G13" t="s">
        <v>69</v>
      </c>
      <c r="M13" t="s">
        <v>69</v>
      </c>
      <c r="N13" s="45" t="s">
        <v>257</v>
      </c>
    </row>
    <row r="14" spans="1:14" x14ac:dyDescent="0.35">
      <c r="M14" t="s">
        <v>76</v>
      </c>
      <c r="N14" s="45" t="s">
        <v>265</v>
      </c>
    </row>
    <row r="15" spans="1:14" x14ac:dyDescent="0.35">
      <c r="M15" t="s">
        <v>51</v>
      </c>
      <c r="N15" s="45" t="s">
        <v>257</v>
      </c>
    </row>
    <row r="16" spans="1:14" x14ac:dyDescent="0.35">
      <c r="M16" t="s">
        <v>105</v>
      </c>
      <c r="N16" s="45" t="s">
        <v>257</v>
      </c>
    </row>
    <row r="17" spans="13:14" x14ac:dyDescent="0.35">
      <c r="M17" t="s">
        <v>57</v>
      </c>
      <c r="N17" s="45" t="s">
        <v>257</v>
      </c>
    </row>
    <row r="18" spans="13:14" x14ac:dyDescent="0.35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schemas.microsoft.com/office/infopath/2007/PartnerControls"/>
    <ds:schemaRef ds:uri="cadce026-d35b-4a62-a2ee-1436bb44fb55"/>
    <ds:schemaRef ds:uri="6d32ee4e-79d4-4fe0-ad34-1cbae873c51e"/>
    <ds:schemaRef ds:uri="5b9cbbf0-fbbf-4687-be4c-62cb1159071c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2026-08-19T12:45:41Z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