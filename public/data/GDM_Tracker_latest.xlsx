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31" documentId="13_ncr:1_{52745E9B-3AA1-4770-AAD3-E6166BFC13AE}" xr6:coauthVersionLast="47" xr6:coauthVersionMax="47" xr10:uidLastSave="{10B61DBB-93EE-4A6E-8C02-F311AEBFB93D}"/>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<sst xmlns="http://schemas.openxmlformats.org/spreadsheetml/2006/main" count="3119" uniqueCount="440">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</sst>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G120" sqref="G12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46273</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186</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189</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189</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189</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185</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189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197</v>
      </c>
      <c r="J60" s="33" t="s">
        <v>156</v>
      </c>
      <c r="K60" s="4">
        <v>46262</v>
      </c>
      <c r="L60" s="36">
        <v>46255</v>
      </c>
      <c r="M60" s="36">
        <v>46255</v>
      </c>
      <c r="N60" s="36" t="s">
        <v>185</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189</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189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185</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189</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230</v>
      </c>
      <c r="K68" s="86">
        <v>46276</v>
      </c>
      <c r="L68" s="87">
        <v>46258</v>
      </c>
      <c r="M68" s="87">
        <v>46258</v>
      </c>
      <c r="N68" s="87"/>
      <c r="O68" s="87" t="s">
        <v>198</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221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4" t="str">
        <f>IF($B$4="","",IFERROR(INDEX('Combined Delivery Data'!$A:$A,MATCH($B$4,'Combined Delivery Data'!$B:$B,0)),""))</f>
        <v/>
      </c>
      <c r="C6" s="177"/>
      <c r="D6" s="177"/>
      <c r="E6" s="178"/>
    </row>
    <row r="7" spans="1:5" ht="15">
      <c r="A7" s="42" t="s">
        <v>333</v>
      </c>
      <c r="B7" s="174" t="str">
        <f>IF($B$4="","",IFERROR(INDEX('Combined Delivery Data'!$C:$C,MATCH($B$4,'Combined Delivery Data'!$B:$B,0)),""))</f>
        <v/>
      </c>
      <c r="C7" s="177"/>
      <c r="D7" s="177"/>
      <c r="E7" s="178"/>
    </row>
    <row r="8" spans="1:5" ht="15">
      <c r="A8" s="42" t="s">
        <v>3</v>
      </c>
      <c r="B8" s="174" t="str">
        <f>IF($B$4="","",IFERROR(INDEX('Combined Delivery Data'!$D:$D,MATCH($B$4,'Combined Delivery Data'!$B:$B,0)),""))</f>
        <v/>
      </c>
      <c r="C8" s="177"/>
      <c r="D8" s="177"/>
      <c r="E8" s="178"/>
    </row>
    <row r="9" spans="1:5" ht="15">
      <c r="A9" s="42" t="s">
        <v>4</v>
      </c>
      <c r="B9" s="174" t="str">
        <f>IF($B$4="","",IFERROR(INDEX('Combined Delivery Data'!$E:$E,MATCH($B$4,'Combined Delivery Data'!$B:$B,0)),""))</f>
        <v/>
      </c>
      <c r="C9" s="177"/>
      <c r="D9" s="177"/>
      <c r="E9" s="178"/>
    </row>
    <row r="10" spans="1:5" ht="15">
      <c r="A10" s="42" t="s">
        <v>5</v>
      </c>
      <c r="B10" s="174" t="str">
        <f>IF($B$4="","",IFERROR(INDEX('Combined Delivery Data'!$F:$F,MATCH($B$4,'Combined Delivery Data'!$B:$B,0)),""))</f>
        <v/>
      </c>
      <c r="C10" s="177"/>
      <c r="D10" s="177"/>
      <c r="E10" s="178"/>
    </row>
    <row r="11" spans="1:5" ht="15">
      <c r="A11" s="42" t="s">
        <v>9</v>
      </c>
      <c r="B11" s="174" t="str">
        <f>IF($B$4="","",IFERROR(INDEX('Combined Delivery Data'!$J:$J,MATCH($B$4,'Combined Delivery Data'!$B:$B,0)),""))</f>
        <v/>
      </c>
      <c r="C11" s="177"/>
      <c r="D11" s="177"/>
      <c r="E11" s="178"/>
    </row>
    <row r="12" spans="1:5" ht="15">
      <c r="A12" s="42" t="s">
        <v>15</v>
      </c>
      <c r="B12" s="174" t="str">
        <f>IF($B$4="","",IFERROR(INDEX('Combined Delivery Data'!$P:$P,MATCH($B$4,'Combined Delivery Data'!$B:$B,0)),""))</f>
        <v/>
      </c>
      <c r="C12" s="177"/>
      <c r="D12" s="177"/>
      <c r="E12" s="178"/>
    </row>
    <row r="13" spans="1:5" ht="15">
      <c r="A13" s="42" t="s">
        <v>20</v>
      </c>
      <c r="B13" s="174" t="str">
        <f>IF($B$4="","",IFERROR(INDEX('Combined Delivery Data'!$U:$U,MATCH($B$4,'Combined Delivery Data'!$B:$B,0)),""))</f>
        <v/>
      </c>
      <c r="C13" s="177"/>
      <c r="D13" s="177"/>
      <c r="E13" s="178"/>
    </row>
    <row r="14" spans="1:5" ht="15">
      <c r="A14" s="42" t="s">
        <v>334</v>
      </c>
      <c r="B14" s="173" t="str">
        <f>IF($B$4="","",IFERROR(INDEX('Combined Delivery Data'!$K:$K,MATCH($B$4,'Combined Delivery Data'!$B:$B,0)),""))</f>
        <v/>
      </c>
      <c r="C14" s="177"/>
      <c r="D14" s="177"/>
      <c r="E14" s="178"/>
    </row>
    <row r="15" spans="1:5" ht="15">
      <c r="A15" s="42" t="s">
        <v>335</v>
      </c>
      <c r="B15" s="173" t="str">
        <f>IF($B$4="","",IFERROR(INDEX('Combined Delivery Data'!$L:$L,MATCH($B$4,'Combined Delivery Data'!$B:$B,0)),""))</f>
        <v/>
      </c>
      <c r="C15" s="177"/>
      <c r="D15" s="177"/>
      <c r="E15" s="178"/>
    </row>
    <row r="16" spans="1:5" ht="15">
      <c r="A16" s="42" t="s">
        <v>336</v>
      </c>
      <c r="B16" s="173" t="str">
        <f>IF($B$4="","",IFERROR(INDEX('Combined Delivery Data'!$M:$M,MATCH($B$4,'Combined Delivery Data'!$B:$B,0)),""))</f>
        <v/>
      </c>
      <c r="C16" s="177"/>
      <c r="D16" s="177"/>
      <c r="E16" s="178"/>
    </row>
    <row r="17" spans="1:5" ht="15">
      <c r="A17" s="42" t="s">
        <v>337</v>
      </c>
      <c r="B17" s="173" t="str">
        <f>IF($B$4="","",IFERROR(INDEX('Combined Delivery Data'!$O:$O,MATCH($B$4,'Combined Delivery Data'!$B:$B,0)),""))</f>
        <v/>
      </c>
      <c r="C17" s="177"/>
      <c r="D17" s="177"/>
      <c r="E17" s="178"/>
    </row>
    <row r="18" spans="1:5" ht="15">
      <c r="A18" s="42" t="s">
        <v>338</v>
      </c>
      <c r="B18" s="173" t="str">
        <f>IF($B$4="","",IFERROR(INDEX('Combined Delivery Data'!$Q:$Q,MATCH($B$4,'Combined Delivery Data'!$B:$B,0)),""))</f>
        <v/>
      </c>
      <c r="C18" s="177"/>
      <c r="D18" s="177"/>
      <c r="E18" s="178"/>
    </row>
    <row r="19" spans="1:5" ht="15">
      <c r="A19" s="42" t="s">
        <v>339</v>
      </c>
      <c r="B19" s="173" t="str">
        <f>IF($B$4="","",IFERROR(INDEX('Combined Delivery Data'!$R:$R,MATCH($B$4,'Combined Delivery Data'!$B:$B,0)),""))</f>
        <v/>
      </c>
      <c r="C19" s="177"/>
      <c r="D19" s="177"/>
      <c r="E19" s="178"/>
    </row>
    <row r="20" spans="1:5" ht="15">
      <c r="A20" s="42" t="s">
        <v>340</v>
      </c>
      <c r="B20" s="173" t="str">
        <f>IF($B$4="","",IFERROR(INDEX('Combined Delivery Data'!$S:$S,MATCH($B$4,'Combined Delivery Data'!$B:$B,0)),""))</f>
        <v/>
      </c>
      <c r="C20" s="177"/>
      <c r="D20" s="177"/>
      <c r="E20" s="178"/>
    </row>
    <row r="21" spans="1:5" ht="15">
      <c r="A21" s="42" t="s">
        <v>29</v>
      </c>
      <c r="B21" s="174" t="str">
        <f>IF($B$4="","",IFERROR(INDEX('Combined Delivery Data'!$T:$T,MATCH($B$4,'Combined Delivery Data'!$B:$B,0)),""))</f>
        <v/>
      </c>
      <c r="C21" s="177"/>
      <c r="D21" s="177"/>
      <c r="E21" s="178"/>
    </row>
    <row r="22" spans="1:5" ht="15">
      <c r="A22" s="42" t="s">
        <v>31</v>
      </c>
      <c r="B22" s="174" t="str">
        <f>IF($B$4="","",IFERROR(INDEX('Combined Delivery Data'!$V:$V,MATCH($B$4,'Combined Delivery Data'!$B:$B,0)),""))</f>
        <v/>
      </c>
      <c r="C22" s="177"/>
      <c r="D22" s="177"/>
      <c r="E22" s="178"/>
    </row>
    <row r="23" spans="1:5" ht="15">
      <c r="A23" s="42" t="s">
        <v>32</v>
      </c>
      <c r="B23" s="173" t="str">
        <f>IF($B$4="","",IFERROR(INDEX('Combined Delivery Data'!$W:$W,MATCH($B$4,'Combined Delivery Data'!$B:$B,0)),""))</f>
        <v/>
      </c>
      <c r="C23" s="177"/>
      <c r="D23" s="177"/>
      <c r="E23" s="178"/>
    </row>
    <row r="24" spans="1:5" ht="15">
      <c r="A24" s="42" t="s">
        <v>35</v>
      </c>
      <c r="B24" s="174" t="str">
        <f>IF($B$4="","",IFERROR(INDEX('Combined Delivery Data'!$X:$X,MATCH($B$4,'Combined Delivery Data'!$B:$B,0)),""))</f>
        <v/>
      </c>
      <c r="C24" s="177"/>
      <c r="D24" s="177"/>
      <c r="E24" s="178"/>
    </row>
    <row r="25" spans="1:5" ht="15">
      <c r="A25" s="42" t="s">
        <v>36</v>
      </c>
      <c r="B25" s="174" t="str">
        <f>IF($B$4="","",IFERROR(INDEX('Combined Delivery Data'!$Z:$Z,MATCH($B$4,'Combined Delivery Data'!$B:$B,0)),""))</f>
        <v/>
      </c>
      <c r="C25" s="177"/>
      <c r="D25" s="177"/>
      <c r="E25" s="178"/>
    </row>
    <row r="26" spans="1:5">
      <c r="A26" s="42" t="s">
        <v>341</v>
      </c>
      <c r="B26" s="174" t="str">
        <f>IF($B$4="","",IFERROR(INDEX('Rework Log'!$Q:$Q,MATCH($B$4,'Rework Log'!$P:$P,0)),""))</f>
        <v/>
      </c>
      <c r="C26" s="177"/>
      <c r="D26" s="177"/>
      <c r="E26" s="178"/>
    </row>
    <row r="27" spans="1:5">
      <c r="A27" s="42" t="s">
        <v>342</v>
      </c>
      <c r="B27" s="174" t="str">
        <f>IF($B$4="","",IFERROR(INDEX('Rework Log'!$R:$R,MATCH($B$4,'Rework Log'!$P:$P,0)),""))</f>
        <v/>
      </c>
      <c r="C27" s="177"/>
      <c r="D27" s="177"/>
      <c r="E27" s="178"/>
    </row>
    <row r="28" spans="1:5">
      <c r="A28" s="42" t="s">
        <v>343</v>
      </c>
      <c r="B28" s="174" t="str">
        <f>IF($B$4="","",IFERROR(INDEX('Rework Log'!$S:$S,MATCH($B$4,'Rework Log'!$P:$P,0)),""))</f>
        <v/>
      </c>
      <c r="C28" s="177"/>
      <c r="D28" s="177"/>
      <c r="E28" s="178"/>
    </row>
    <row r="29" spans="1:5">
      <c r="A29" s="42" t="s">
        <v>344</v>
      </c>
      <c r="B29" s="174" t="str">
        <f>IF($B$4="","",IFERROR(INDEX('Rework Log'!$T:$T,MATCH($B$4,'Rework Log'!$P:$P,0)),""))</f>
        <v/>
      </c>
      <c r="C29" s="177"/>
      <c r="D29" s="177"/>
      <c r="E29" s="178"/>
    </row>
    <row r="30" spans="1:5" ht="15.6" customHeight="1">
      <c r="A30" s="42"/>
      <c r="B30" s="174"/>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4" activePane="bottomLeft" state="frozen"/>
      <selection pane="bottomLeft" activeCell="A42" sqref="A42"/>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2" t="s">
        <v>345</v>
      </c>
      <c r="B1" s="172"/>
      <c r="C1" s="172"/>
      <c r="D1" s="172"/>
      <c r="E1" s="172"/>
      <c r="F1" s="172"/>
      <c r="G1" s="172"/>
      <c r="H1" s="172"/>
      <c r="I1" s="172"/>
      <c r="J1" s="172"/>
      <c r="K1" s="172"/>
      <c r="L1" s="172"/>
      <c r="M1" s="172"/>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189</v>
      </c>
      <c r="D3" s="33" t="s">
        <v>183</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189</v>
      </c>
      <c r="D4" s="31" t="s">
        <v>183</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189</v>
      </c>
      <c r="D5" s="31" t="s">
        <v>183</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189</v>
      </c>
      <c r="D6" s="31" t="s">
        <v>183</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189</v>
      </c>
      <c r="D7" s="31" t="s">
        <v>183</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189</v>
      </c>
      <c r="D8" s="31" t="s">
        <v>183</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189</v>
      </c>
      <c r="D9" s="31" t="s">
        <v>183</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189</v>
      </c>
      <c r="D10" s="31" t="s">
        <v>183</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189</v>
      </c>
      <c r="D11" s="31" t="s">
        <v>183</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189</v>
      </c>
      <c r="D12" s="31" t="s">
        <v>183</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189</v>
      </c>
      <c r="D13" s="31" t="s">
        <v>183</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189</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189</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189</v>
      </c>
      <c r="D16" s="31" t="s">
        <v>183</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189</v>
      </c>
      <c r="D17" s="31" t="s">
        <v>209</v>
      </c>
      <c r="E17" s="31" t="s">
        <v>145</v>
      </c>
      <c r="F17" s="31" t="s">
        <v>375</v>
      </c>
      <c r="G17" s="31" t="s">
        <v>50</v>
      </c>
      <c r="H17" s="32"/>
      <c r="I17" s="32"/>
      <c r="J17" s="32"/>
      <c r="K17" s="31"/>
      <c r="L17" s="31"/>
      <c r="M17" s="3"/>
      <c r="S17" s="28"/>
    </row>
    <row r="18" spans="1:20">
      <c r="A18" s="33" t="s">
        <v>182</v>
      </c>
      <c r="B18" s="32">
        <v>46261</v>
      </c>
      <c r="C18" s="31" t="s">
        <v>189</v>
      </c>
      <c r="D18" s="31" t="s">
        <v>183</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189</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189</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189</v>
      </c>
      <c r="D21" s="31" t="s">
        <v>183</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189</v>
      </c>
      <c r="D22" s="31" t="s">
        <v>183</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189</v>
      </c>
      <c r="D23" s="31" t="s">
        <v>209</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189</v>
      </c>
      <c r="D24" s="31" t="s">
        <v>209</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189</v>
      </c>
      <c r="D25" s="31" t="s">
        <v>209</v>
      </c>
      <c r="E25" s="31" t="s">
        <v>47</v>
      </c>
      <c r="F25" s="77" t="s">
        <v>386</v>
      </c>
      <c r="G25" s="31" t="s">
        <v>50</v>
      </c>
      <c r="H25" s="32"/>
      <c r="I25" s="32">
        <v>46267</v>
      </c>
      <c r="J25" s="32">
        <v>46268</v>
      </c>
      <c r="K25" s="31" t="s">
        <v>46</v>
      </c>
      <c r="L25" s="31" t="s">
        <v>382</v>
      </c>
      <c r="M25" s="3" t="str">
        <f t="shared" ca="1" si="0"/>
        <v>Fixed</v>
      </c>
      <c r="N25" t="s">
        <v>370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189</v>
      </c>
      <c r="D26" s="31" t="s">
        <v>209</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189</v>
      </c>
      <c r="D27" s="31" t="s">
        <v>183</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189</v>
      </c>
      <c r="D28" s="31" t="s">
        <v>209</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189</v>
      </c>
      <c r="D29" s="31" t="s">
        <v>209</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189</v>
      </c>
      <c r="D30" s="31" t="s">
        <v>209</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189</v>
      </c>
      <c r="D31" s="31" t="s">
        <v>183</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189</v>
      </c>
      <c r="D32" s="31" t="s">
        <v>183</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189</v>
      </c>
      <c r="D33" s="31" t="s">
        <v>183</v>
      </c>
      <c r="E33" s="31" t="s">
        <v>203</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189</v>
      </c>
      <c r="D34" s="31" t="s">
        <v>183</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189</v>
      </c>
      <c r="D35" s="31" t="s">
        <v>209</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189</v>
      </c>
      <c r="D36" s="31" t="s">
        <v>183</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189</v>
      </c>
      <c r="D37" s="31" t="s">
        <v>183</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189</v>
      </c>
      <c r="D38" s="31" t="s">
        <v>183</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189</v>
      </c>
      <c r="D39" s="31" t="s">
        <v>209</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212</v>
      </c>
      <c r="B40" s="32">
        <v>46280</v>
      </c>
      <c r="C40" s="31" t="s">
        <v>189</v>
      </c>
      <c r="D40" s="31" t="s">
        <v>183</v>
      </c>
      <c r="E40" s="31" t="s">
        <v>47</v>
      </c>
      <c r="F40" s="31" t="s">
        <v>400</v>
      </c>
      <c r="G40" s="31" t="s">
        <v>53</v>
      </c>
      <c r="H40" s="32"/>
      <c r="I40" s="32"/>
      <c r="J40" s="32"/>
      <c r="K40" s="31"/>
      <c r="L40" s="31"/>
      <c r="M40" s="3" t="str">
        <f t="shared" ca="1" si="0"/>
        <v>UNCLAIMED 0 d</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189</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189</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189</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189</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189</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189</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189</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189</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189</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189</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189</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189</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189</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189</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189</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189</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189</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189</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189</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189</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189</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189</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189</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189</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189</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189</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189</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189</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189</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189</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189</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189</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189</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189</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189</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189</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189</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189</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189</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189</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189</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189</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189</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189</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189</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189</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189</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189</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189</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189</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189</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189</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189</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189</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189</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189</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189</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189</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189</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189</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189</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189</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189</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189</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189</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189</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189</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189</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189</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189</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189</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189</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189</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189</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189</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189</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189</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189</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189</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189</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189</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189</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189</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189</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189</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189</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189</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189</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189</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189</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189</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189</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189</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189</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189</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189</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189</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189</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189</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189</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189</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189</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189</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189</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189</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189</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189</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189</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189</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189</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189</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189</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189</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189</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189</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189</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189</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189</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189</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189</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189</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189</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189</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189</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189</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189</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189</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189</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189</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189</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189</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189</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189</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189</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189</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189</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189</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189</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189</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189</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189</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189</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189</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189</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189</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189</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189</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189</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189</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189</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189</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189</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189</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189</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189</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189</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189</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189</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B18:M18 B22:M22 B26:M27 A28:M28 A29:K30 M29:M30 B31:M31 A39:M498 B36:M38 A19:M21 A23:M25 A32:M35">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B18:M18 B22:M22 B26:M27 A28:M28 A29:K30 M29:M30 B31:M31 A39:M498 B36:M38 A19:M21 A23:M25 A32:M35">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189</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189</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411</v>
      </c>
      <c r="D13" s="9" t="s">
        <v>412</v>
      </c>
      <c r="E13" s="9" t="s">
        <v>46</v>
      </c>
      <c r="F13" s="9"/>
      <c r="G13" s="9"/>
      <c r="H13" s="10"/>
      <c r="I13" s="10">
        <v>46115</v>
      </c>
      <c r="J13" s="10">
        <v>46115</v>
      </c>
    </row>
    <row r="14" spans="1:10" ht="14.25" customHeight="1">
      <c r="A14" s="9" t="s">
        <v>40</v>
      </c>
      <c r="B14" s="9" t="s">
        <v>209</v>
      </c>
      <c r="C14" s="9" t="s">
        <v>411</v>
      </c>
      <c r="D14" s="9" t="s">
        <v>412</v>
      </c>
      <c r="E14" s="9" t="s">
        <v>46</v>
      </c>
      <c r="F14" s="9"/>
      <c r="G14" s="9"/>
      <c r="H14" s="10">
        <v>46115</v>
      </c>
      <c r="I14" s="10">
        <v>46120</v>
      </c>
      <c r="J14" s="10">
        <v>46120</v>
      </c>
    </row>
    <row r="15" spans="1:10" ht="14.25" customHeight="1">
      <c r="A15" s="9" t="s">
        <v>40</v>
      </c>
      <c r="B15" s="9" t="s">
        <v>189</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189</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412</v>
      </c>
      <c r="E23" s="9" t="s">
        <v>46</v>
      </c>
      <c r="F23" s="9"/>
      <c r="G23" s="9"/>
      <c r="H23" s="10"/>
      <c r="I23" s="10">
        <v>46115</v>
      </c>
      <c r="J23" s="10">
        <v>46115</v>
      </c>
    </row>
    <row r="24" spans="1:10" ht="14.25" customHeight="1">
      <c r="A24" s="9" t="s">
        <v>40</v>
      </c>
      <c r="B24" s="9" t="s">
        <v>209</v>
      </c>
      <c r="C24" s="9" t="s">
        <v>64</v>
      </c>
      <c r="D24" s="9" t="s">
        <v>412</v>
      </c>
      <c r="E24" s="9" t="s">
        <v>46</v>
      </c>
      <c r="F24" s="9"/>
      <c r="G24" s="9"/>
      <c r="H24" s="10">
        <v>46115</v>
      </c>
      <c r="I24" s="10">
        <v>46120</v>
      </c>
      <c r="J24" s="10">
        <v>46120</v>
      </c>
    </row>
    <row r="25" spans="1:10" ht="14.25" customHeight="1">
      <c r="A25" s="9" t="s">
        <v>40</v>
      </c>
      <c r="B25" s="9" t="s">
        <v>189</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189</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412</v>
      </c>
      <c r="E33" s="9" t="s">
        <v>60</v>
      </c>
      <c r="F33" s="9"/>
      <c r="G33" s="9"/>
      <c r="H33" s="10"/>
      <c r="I33" s="10">
        <v>46122</v>
      </c>
      <c r="J33" s="10">
        <v>46122</v>
      </c>
    </row>
    <row r="34" spans="1:10" ht="14.25" customHeight="1">
      <c r="A34" s="9" t="s">
        <v>40</v>
      </c>
      <c r="B34" s="9" t="s">
        <v>209</v>
      </c>
      <c r="C34" s="9" t="s">
        <v>70</v>
      </c>
      <c r="D34" s="9" t="s">
        <v>412</v>
      </c>
      <c r="E34" s="9" t="s">
        <v>60</v>
      </c>
      <c r="F34" s="9"/>
      <c r="G34" s="9"/>
      <c r="H34" s="10">
        <v>46122</v>
      </c>
      <c r="I34" s="10">
        <v>46126</v>
      </c>
      <c r="J34" s="10">
        <v>46126</v>
      </c>
    </row>
    <row r="35" spans="1:10" ht="14.25" customHeight="1">
      <c r="A35" s="9" t="s">
        <v>40</v>
      </c>
      <c r="B35" s="9" t="s">
        <v>189</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189</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189</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412</v>
      </c>
      <c r="E48" s="9" t="s">
        <v>60</v>
      </c>
      <c r="F48" s="9"/>
      <c r="G48" s="9"/>
      <c r="H48" s="10"/>
      <c r="I48" s="10"/>
      <c r="J48" s="10"/>
    </row>
    <row r="49" spans="1:10" ht="14.25" customHeight="1">
      <c r="A49" s="9" t="s">
        <v>40</v>
      </c>
      <c r="B49" s="9" t="s">
        <v>209</v>
      </c>
      <c r="C49" s="9" t="s">
        <v>97</v>
      </c>
      <c r="D49" s="9" t="s">
        <v>412</v>
      </c>
      <c r="E49" s="9" t="s">
        <v>60</v>
      </c>
      <c r="F49" s="9"/>
      <c r="G49" s="9"/>
      <c r="H49" s="10"/>
      <c r="I49" s="10">
        <v>46139</v>
      </c>
      <c r="J49" s="10">
        <v>46139</v>
      </c>
    </row>
    <row r="50" spans="1:10" ht="14.25" customHeight="1">
      <c r="A50" s="9" t="s">
        <v>40</v>
      </c>
      <c r="B50" s="9" t="s">
        <v>189</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183</v>
      </c>
      <c r="C53" s="9" t="s">
        <v>98</v>
      </c>
      <c r="D53" s="9" t="s">
        <v>412</v>
      </c>
      <c r="E53" s="9" t="s">
        <v>60</v>
      </c>
      <c r="F53" s="9"/>
      <c r="G53" s="9"/>
      <c r="H53" s="10"/>
      <c r="I53" s="10"/>
      <c r="J53" s="10"/>
    </row>
    <row r="54" spans="1:10" ht="14.25" customHeight="1">
      <c r="A54" s="9" t="s">
        <v>40</v>
      </c>
      <c r="B54" s="9" t="s">
        <v>209</v>
      </c>
      <c r="C54" s="9" t="s">
        <v>98</v>
      </c>
      <c r="D54" s="9" t="s">
        <v>412</v>
      </c>
      <c r="E54" s="9" t="s">
        <v>60</v>
      </c>
      <c r="F54" s="9"/>
      <c r="G54" s="9"/>
      <c r="H54" s="9"/>
      <c r="I54" s="10">
        <v>46141</v>
      </c>
      <c r="J54" s="10">
        <v>46141</v>
      </c>
    </row>
    <row r="55" spans="1:10" ht="14.25" customHeight="1">
      <c r="A55" s="9" t="s">
        <v>40</v>
      </c>
      <c r="B55" s="9" t="s">
        <v>189</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183</v>
      </c>
      <c r="C58" s="9" t="s">
        <v>99</v>
      </c>
      <c r="D58" s="9" t="s">
        <v>412</v>
      </c>
      <c r="E58" s="9" t="s">
        <v>46</v>
      </c>
      <c r="F58" s="9"/>
      <c r="G58" s="9"/>
      <c r="H58" s="9"/>
      <c r="I58" s="10"/>
      <c r="J58" s="10"/>
    </row>
    <row r="59" spans="1:10" ht="14.25" customHeight="1">
      <c r="A59" s="9" t="s">
        <v>40</v>
      </c>
      <c r="B59" s="9" t="s">
        <v>209</v>
      </c>
      <c r="C59" s="9" t="s">
        <v>99</v>
      </c>
      <c r="D59" s="9" t="s">
        <v>412</v>
      </c>
      <c r="E59" s="9" t="s">
        <v>46</v>
      </c>
      <c r="F59" s="9"/>
      <c r="G59" s="9"/>
      <c r="H59" s="10"/>
      <c r="I59" s="10">
        <v>46161</v>
      </c>
      <c r="J59" s="10">
        <v>46161</v>
      </c>
    </row>
    <row r="60" spans="1:10" ht="14.25" customHeight="1">
      <c r="A60" s="9" t="s">
        <v>40</v>
      </c>
      <c r="B60" s="9" t="s">
        <v>189</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189</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189</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189</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189</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189</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189</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189</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189</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189</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189</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189</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189</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189</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189</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189</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189</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189</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189</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189</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189</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189</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189</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189</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189</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189</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189</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189</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189</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189</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209</v>
      </c>
      <c r="C183" s="3" t="s">
        <v>176</v>
      </c>
      <c r="D183" s="3" t="s">
        <v>84</v>
      </c>
      <c r="E183" s="3"/>
      <c r="F183" s="3"/>
      <c r="G183" s="3"/>
      <c r="H183" s="3"/>
      <c r="I183" s="3"/>
      <c r="J183" s="3"/>
    </row>
    <row r="184" spans="1:10">
      <c r="A184" s="3" t="s">
        <v>126</v>
      </c>
      <c r="B184" s="3" t="s">
        <v>189</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183</v>
      </c>
      <c r="K3" t="s">
        <v>48</v>
      </c>
      <c r="L3" t="s">
        <v>53</v>
      </c>
      <c r="M3" t="s">
        <v>44</v>
      </c>
      <c r="N3" s="45" t="s">
        <v>432</v>
      </c>
      <c r="R3" t="s">
        <v>45</v>
      </c>
      <c r="T3" t="s">
        <v>94</v>
      </c>
    </row>
    <row r="4" spans="1:20" ht="15" customHeight="1">
      <c r="A4" t="s">
        <v>126</v>
      </c>
      <c r="B4" t="s">
        <v>59</v>
      </c>
      <c r="C4" t="s">
        <v>46</v>
      </c>
      <c r="D4" t="s">
        <v>145</v>
      </c>
      <c r="E4" t="s">
        <v>53</v>
      </c>
      <c r="F4" t="s">
        <v>183</v>
      </c>
      <c r="G4" t="s">
        <v>59</v>
      </c>
      <c r="H4" t="s">
        <v>88</v>
      </c>
      <c r="I4" t="s">
        <v>210</v>
      </c>
      <c r="J4" t="s">
        <v>209</v>
      </c>
      <c r="L4" t="s">
        <v>50</v>
      </c>
      <c r="M4" t="s">
        <v>103</v>
      </c>
      <c r="N4" s="45" t="s">
        <v>432</v>
      </c>
      <c r="R4" t="s">
        <v>185</v>
      </c>
      <c r="T4" t="s">
        <v>72</v>
      </c>
    </row>
    <row r="5" spans="1:20" ht="15" customHeight="1">
      <c r="A5" t="s">
        <v>404</v>
      </c>
      <c r="B5" t="s">
        <v>412</v>
      </c>
      <c r="C5" t="s">
        <v>77</v>
      </c>
      <c r="F5" t="s">
        <v>209</v>
      </c>
      <c r="G5" t="s">
        <v>412</v>
      </c>
      <c r="H5" t="s">
        <v>129</v>
      </c>
      <c r="I5" t="s">
        <v>213</v>
      </c>
      <c r="J5" t="s">
        <v>189</v>
      </c>
      <c r="L5" t="s">
        <v>433</v>
      </c>
      <c r="M5" t="s">
        <v>88</v>
      </c>
      <c r="N5" s="45" t="s">
        <v>432</v>
      </c>
    </row>
    <row r="6" spans="1:20" ht="15" customHeight="1">
      <c r="A6" t="s">
        <v>306</v>
      </c>
      <c r="B6" t="s">
        <v>84</v>
      </c>
      <c r="F6" t="s">
        <v>189</v>
      </c>
      <c r="G6" t="s">
        <v>84</v>
      </c>
      <c r="H6" t="s">
        <v>145</v>
      </c>
      <c r="I6" t="s">
        <v>193</v>
      </c>
      <c r="J6" t="s">
        <v>166</v>
      </c>
      <c r="M6" t="s">
        <v>48</v>
      </c>
      <c r="N6" s="45" t="s">
        <v>432</v>
      </c>
    </row>
    <row r="7" spans="1:20" ht="15" customHeight="1">
      <c r="A7" t="s">
        <v>296</v>
      </c>
      <c r="B7" t="s">
        <v>65</v>
      </c>
      <c r="F7" t="s">
        <v>166</v>
      </c>
      <c r="G7" t="s">
        <v>65</v>
      </c>
      <c r="H7" t="s">
        <v>203</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2026-09-15T16:09:26Z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