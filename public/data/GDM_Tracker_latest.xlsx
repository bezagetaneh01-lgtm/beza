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36" documentId="13_ncr:1_{52745E9B-3AA1-4770-AAD3-E6166BFC13AE}" xr6:coauthVersionLast="47" xr6:coauthVersionMax="47" xr10:uidLastSave="{63F9D361-9FDA-4DFB-AE42-29B109EAF0C4}"/>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<sst xmlns="http://schemas.openxmlformats.org/spreadsheetml/2006/main" count="3235" uniqueCount="474">
  <si>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</si>
  <si>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</si>
  <si>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</si>
  <si>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</si>
  <si>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</si>
  <si>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</si>
  <si>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</si>
  <si>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</si>
  <si>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</si>
  <si>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</si>
  <si>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</si>
  <si>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</si>
  <si>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</si>
  <si>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</si>
  <si>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</si>
  <si>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</si>
  <si>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</si>
  <si>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</si>
  <si>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</si>
  <si>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</si>
  <si>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</si>
  <si>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</si>
  <si>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</si>
  <si>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</si>
  <si>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</si>
  <si>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</si>
  <si>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</si>
  <si>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</si>
  <si>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</si>
  <si>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</si>
  <si>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</si>
  <si>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</si>
  <si>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</si>
  <si>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</si>
  <si>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</si>
  <si>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</si>
  <si>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</si>
  <si>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</si>
  <si>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</si>
  <si>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</si>
  <si>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</si>
  <si>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</si>
  <si>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</si>
  <si>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</si>
  <si>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</si>
  <si>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</si>
  <si>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</si>
  <si>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</si>
  <si>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</si>
  <si>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</si>
  <si>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</si>
  <si>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</si>
  <si>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</si>
  <si>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</si>
  <si>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</si>
  <si>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</si>
  <si>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</si>
  <si>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</si>
  <si>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</si>
  <si>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</si>
  <si>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</si>
  <si>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</si>
  <si>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</si>
  <si>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</si>
  <si>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</si>
  <si>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</si>
  <si>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</si>
  <si>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</si>
  <si>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</si>
  <si>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</si>
  <si>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</si>
  <si>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</si>
  <si>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</si>
  <si>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</si>
  <si>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</si>
  <si>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</si>
  <si>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</si>
  <si>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</si>
  <si>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</si>
  <si>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</si>
  <si>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</si>
  <si>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</si>
  <si>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</si>
  <si>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</si>
  <si>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</si>
  <si>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</si>
  <si>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</si>
  <si>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</si>
  <si>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</si>
  <si>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</si>
  <si>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</si>
  <si>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</si>
  <si>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</si>
  <si>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</si>
  <si>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</si>
  <si>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</si>
  <si>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</si>
  <si>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</si>
  <si>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</si>
  <si>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</si>
  <si>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</si>
  <si>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</si>
  <si>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</si>
  <si>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</si>
  <si>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</si>
  <si>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</si>
  <si>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</si>
  <si>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</si>
  <si>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</si>
  <si>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</si>
  <si>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</si>
  <si>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</si>
  <si>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</si>
  <si>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</si>
  <si>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</si>
  <si>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</si>
  <si>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</si>
  <si>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</si>
  <si>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</si>
  <si>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</si>
  <si>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</si>
  <si>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</si>
  <si>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</si>
  <si>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</si>
  <si>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</si>
  <si>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</si>
  <si>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</si>
  <si>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</si>
  <si>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</si>
  <si>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</si>
  <si>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</si>
  <si>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</si>
  <si>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</si>
  <si>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</si>
  <si>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</si>
  <si>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</si>
  <si>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</si>
  <si>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</si>
  <si>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</si>
  <si>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</si>
  <si>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</si>
  <si>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</si>
  <si>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</si>
  <si>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</si>
  <si>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</si>
  <si>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</si>
  <si>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</si>
  <si>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</si>
  <si>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</si>
  <si>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</si>
  <si>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</si>
  <si>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</si>
  <si>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</si>
  <si>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</si>
  <si>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</si>
  <si>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</si>
  <si>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</si>
  <si>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</si>
  <si>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</si>
  <si>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</si>
  <si>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</si>
  <si>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</si>
  <si>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</si>
  <si>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</si>
  <si>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</si>
  <si>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</si>
  <si>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</si>
  <si>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</si>
  <si>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</si>
  <si>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</si>
  <si>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</si>
  <si>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</si>
  <si>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</si>
  <si>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</si>
  <si>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</si>
  <si>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</si>
  <si>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</si>
  <si>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</si>
  <si>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</si>
  <si>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</si>
  <si>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</si>
  <si>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</si>
  <si>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</si>
  <si>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</si>
  <si>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</si>
  <si>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</si>
  <si>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</si>
  <si>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</si>
  <si>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</si>
  <si>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</si>
  <si>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</si>
  <si>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</si>
  <si>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</si>
  <si>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</si>
  <si>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</si>
  <si>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</si>
  <si>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</si>
  <si>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</si>
  <si>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</si>
  <si>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</si>
  <si>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</si>
  <si>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</si>
  <si>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</si>
  <si>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</si>
  <si>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</si>
  <si>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</si>
  <si>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</si>
  <si>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</si>
  <si>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</si>
  <si>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</si>
  <si>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</si>
  <si>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</si>
  <si>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</si>
  <si>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</si>
  <si>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</si>
  <si>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</si>
  <si>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</si>
  <si>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</si>
  <si>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</si>
  <si>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</si>
  <si>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</si>
  <si>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</si>
  <si>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</si>
  <si>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</si>
  <si>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</si>
  <si>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</si>
  <si>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</si>
  <si>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</si>
  <si>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</si>
  <si>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</si>
  <si>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</si>
  <si>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</si>
  <si>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</si>
  <si>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</si>
  <si>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</si>
  <si>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</si>
  <si>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</si>
  <si>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</si>
  <si>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</si>
  <si>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</si>
  <si>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</si>
  <si>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</si>
  <si>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</si>
  <si>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</si>
  <si>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</si>
  <si>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</si>
  <si>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</si>
  <si>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</si>
  <si>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</si>
  <si>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</si>
  <si>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</si>
  <si>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</si>
  <si>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</si>
  <si>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</si>
  <si>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</si>
  <si>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</si>
  <si>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</si>
  <si>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</si>
  <si>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</si>
  <si>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</si>
  <si>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</si>
  <si>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</si>
  <si>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</si>
  <si>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</si>
  <si>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</si>
  <si>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</si>
  <si>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</si>
  <si>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</si>
  <si>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</si>
  <si>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</si>
  <si>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</si>
  <si>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</si>
  <si>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</si>
  <si>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</si>
  <si>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</si>
  <si>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</si>
  <si>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</si>
  <si>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</si>
  <si>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</si>
  <si>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</si>
  <si>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</si>
  <si>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</si>
  <si>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</si>
  <si>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</si>
  <si>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</si>
  <si>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</si>
  <si>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</si>
  <si>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</si>
  <si>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</si>
  <si>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</si>
  <si>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</si>
  <si>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</si>
  <si>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</si>
  <si>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</si>
  <si>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</si>
  <si>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</si>
  <si>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</si>
  <si>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</si>
  <si>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</si>
  <si>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</si>
  <si>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</si>
  <si>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</si>
  <si>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</si>
  <si>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</si>
  <si>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PI3, S3</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</si>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</sst>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I93" activePane="topRight" state="frozen"/>
      <selection pane="topRight" activeCell="O102" sqref="O10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c r="Y62" s="36"/>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304</v>
      </c>
      <c r="P103" s="74"/>
      <c r="Q103" s="28">
        <v>46370</v>
      </c>
      <c r="R103" s="43"/>
      <c r="S103" s="31"/>
      <c r="T103" s="68" t="s">
        <v>301</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304</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304</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304</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304</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R73:U100 T96:T101">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G66:V73 A2:F87 W2:Y527 A74:V527">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2">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3" t="str">
        <f>IF($B$4="","",IFERROR(INDEX('Combined Delivery Data'!$A:$A,MATCH($B$4,'Combined Delivery Data'!$B:$B,0)),""))</f>
        <v/>
      </c>
      <c r="C6" s="176"/>
      <c r="D6" s="176"/>
      <c r="E6" s="177"/>
    </row>
    <row r="7" spans="1:5">
      <c r="A7" s="42" t="s">
        <v>333</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334</v>
      </c>
      <c r="B14" s="172" t="str">
        <f>IF($B$4="","",IFERROR(INDEX('Combined Delivery Data'!$K:$K,MATCH($B$4,'Combined Delivery Data'!$B:$B,0)),""))</f>
        <v/>
      </c>
      <c r="C14" s="176"/>
      <c r="D14" s="176"/>
      <c r="E14" s="177"/>
    </row>
    <row r="15" spans="1:5">
      <c r="A15" s="42" t="s">
        <v>335</v>
      </c>
      <c r="B15" s="172" t="str">
        <f>IF($B$4="","",IFERROR(INDEX('Combined Delivery Data'!$L:$L,MATCH($B$4,'Combined Delivery Data'!$B:$B,0)),""))</f>
        <v/>
      </c>
      <c r="C15" s="176"/>
      <c r="D15" s="176"/>
      <c r="E15" s="177"/>
    </row>
    <row r="16" spans="1:5">
      <c r="A16" s="42" t="s">
        <v>336</v>
      </c>
      <c r="B16" s="172" t="str">
        <f>IF($B$4="","",IFERROR(INDEX('Combined Delivery Data'!$M:$M,MATCH($B$4,'Combined Delivery Data'!$B:$B,0)),""))</f>
        <v/>
      </c>
      <c r="C16" s="176"/>
      <c r="D16" s="176"/>
      <c r="E16" s="177"/>
    </row>
    <row r="17" spans="1:5">
      <c r="A17" s="42" t="s">
        <v>337</v>
      </c>
      <c r="B17" s="172" t="str">
        <f>IF($B$4="","",IFERROR(INDEX('Combined Delivery Data'!$O:$O,MATCH($B$4,'Combined Delivery Data'!$B:$B,0)),""))</f>
        <v/>
      </c>
      <c r="C17" s="176"/>
      <c r="D17" s="176"/>
      <c r="E17" s="177"/>
    </row>
    <row r="18" spans="1:5">
      <c r="A18" s="42" t="s">
        <v>338</v>
      </c>
      <c r="B18" s="172" t="str">
        <f>IF($B$4="","",IFERROR(INDEX('Combined Delivery Data'!$Q:$Q,MATCH($B$4,'Combined Delivery Data'!$B:$B,0)),""))</f>
        <v/>
      </c>
      <c r="C18" s="176"/>
      <c r="D18" s="176"/>
      <c r="E18" s="177"/>
    </row>
    <row r="19" spans="1:5">
      <c r="A19" s="42" t="s">
        <v>339</v>
      </c>
      <c r="B19" s="172" t="str">
        <f>IF($B$4="","",IFERROR(INDEX('Combined Delivery Data'!$R:$R,MATCH($B$4,'Combined Delivery Data'!$B:$B,0)),""))</f>
        <v/>
      </c>
      <c r="C19" s="176"/>
      <c r="D19" s="176"/>
      <c r="E19" s="177"/>
    </row>
    <row r="20" spans="1:5">
      <c r="A20" s="42" t="s">
        <v>340</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0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306</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2026-09-23T20:25:42Z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