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39" documentId="13_ncr:1_{52745E9B-3AA1-4770-AAD3-E6166BFC13AE}" xr6:coauthVersionLast="47" xr6:coauthVersionMax="47" xr10:uidLastSave="{E25E1D67-07BB-4B52-BD5F-10EE9C4B9C23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17" i="4"/>
  <c r="T17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<sst xmlns="http://schemas.openxmlformats.org/spreadsheetml/2006/main" count="2702" uniqueCount="355">
  <si>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</si>
  <si>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</si>
  <si>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</si>
  <si>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</si>
  <si>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</si>
  <si>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</si>
  <si>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</si>
  <si>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</si>
  <si>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</si>
  <si>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</si>
  <si>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</si>
  <si>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</si>
  <si>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</si>
  <si>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</si>
  <si>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</si>
  <si>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</si>
  <si>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</si>
  <si>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</si>
  <si>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</si>
  <si>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</si>
  <si>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</si>
  <si>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</si>
  <si>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</si>
  <si>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</si>
  <si>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</si>
  <si>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</si>
  <si>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</si>
  <si>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</si>
  <si>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</si>
  <si>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</si>
  <si>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</si>
  <si>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</si>
  <si>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</si>
  <si>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</si>
  <si>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</si>
  <si>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</si>
  <si>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</si>
  <si>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</si>
  <si>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</si>
  <si>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</si>
  <si>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</si>
  <si>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</si>
  <si>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</si>
  <si>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</si>
  <si>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</si>
  <si>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</si>
  <si>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</si>
  <si>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</si>
  <si>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</si>
  <si>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</si>
  <si>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</si>
  <si>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</si>
  <si>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</si>
  <si>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</si>
  <si>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</si>
  <si>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</si>
  <si>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</si>
  <si>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</si>
  <si>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</si>
  <si>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</si>
  <si>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</si>
  <si>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</si>
  <si>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</si>
  <si>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</si>
  <si>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</si>
  <si>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</si>
  <si>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</si>
  <si>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</si>
  <si>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</si>
  <si>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</si>
  <si>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</si>
  <si>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</si>
  <si>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</si>
  <si>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</si>
  <si>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</si>
  <si>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</si>
  <si>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</si>
  <si>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</si>
  <si>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</si>
  <si>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</si>
  <si>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</si>
  <si>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</si>
  <si>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</si>
  <si>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</si>
  <si>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</si>
  <si>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</si>
  <si>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</si>
  <si>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</si>
  <si>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</si>
  <si>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</si>
  <si>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</si>
  <si>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</si>
  <si>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</si>
  <si>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</si>
  <si>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</si>
  <si>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</si>
  <si>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</si>
  <si>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</si>
  <si>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</si>
  <si>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</si>
  <si>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</si>
  <si>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</si>
  <si>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</si>
  <si>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</si>
  <si>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</si>
  <si>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</si>
  <si>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</si>
  <si>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</si>
  <si>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</si>
  <si>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</si>
  <si>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</si>
  <si>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</si>
  <si>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</si>
  <si>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</si>
  <si>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</si>
  <si>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</si>
  <si>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</si>
  <si>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</si>
  <si>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</si>
  <si>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</si>
  <si>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</si>
  <si>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</si>
  <si>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</si>
  <si>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</si>
  <si>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</si>
  <si>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</si>
  <si>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</si>
  <si>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</si>
  <si>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</si>
  <si>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</si>
  <si>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</si>
  <si>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</si>
  <si>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</si>
  <si>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</si>
  <si>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</si>
  <si>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</si>
  <si>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</si>
  <si>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</si>
  <si>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</si>
  <si>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</si>
  <si>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</si>
  <si>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</si>
  <si>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</si>
  <si>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</si>
  <si>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</si>
  <si>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</si>
  <si>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</si>
  <si>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</si>
  <si>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</si>
  <si>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</si>
  <si>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</si>
  <si>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</si>
  <si>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</si>
  <si>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</si>
  <si>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</si>
  <si>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</si>
  <si>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</si>
  <si>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</si>
  <si>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</si>
  <si>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</si>
  <si>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</si>
  <si>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</si>
  <si>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</si>
  <si>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</si>
  <si>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</si>
  <si>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</si>
  <si>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</si>
  <si>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</si>
  <si>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</si>
  <si>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</si>
  <si>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</si>
  <si>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</si>
  <si>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</si>
  <si>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</si>
  <si>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</si>
  <si>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</si>
  <si>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</si>
  <si>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</si>
  <si>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</si>
  <si>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</si>
  <si>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</si>
  <si>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</si>
  <si>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</si>
  <si>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</si>
  <si>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</si>
  <si>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</si>
  <si>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</si>
  <si>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</si>
  <si>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</si>
  <si>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</si>
  <si>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</si>
  <si>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</si>
  <si>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</si>
  <si>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</si>
  <si>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</si>
  <si>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</si>
  <si>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</si>
  <si>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</si>
  <si>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</si>
  <si>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</si>
  <si>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</si>
  <si>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</si>
  <si>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</si>
  <si>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</si>
  <si>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</si>
  <si>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</si>
  <si>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</si>
  <si>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</si>
  <si>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</si>
  <si>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</si>
  <si>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</si>
  <si>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</si>
  <si>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</si>
  <si>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</si>
  <si>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</si>
  <si>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</si>
  <si>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</si>
  <si>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</si>
  <si>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</si>
  <si>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</si>
  <si>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</si>
  <si>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</si>
  <si>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</si>
  <si>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</si>
  <si>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</si>
  <si>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</si>
  <si>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</si>
  <si>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</si>
  <si>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</si>
  <si>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</si>
  <si>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</si>
  <si>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</si>
  <si>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</si>
  <si>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</si>
  <si>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</si>
  <si>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</si>
  <si>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</si>
  <si>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</si>
  <si>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</si>
  <si>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</si>
  <si>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</si>
  <si>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</si>
  <si>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</si>
  <si>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</si>
  <si>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</si>
  <si>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</si>
  <si>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</si>
  <si>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</si>
  <si>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</si>
  <si>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</si>
  <si>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</si>
  <si>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</si>
  <si>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</si>
  <si>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</si>
  <si>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</si>
  <si>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</si>
  <si>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</si>
  <si>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</si>
  <si>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</si>
  <si>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</si>
  <si>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</si>
  <si>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</si>
  <si>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</si>
  <si>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</si>
  <si>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</si>
  <si>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</si>
  <si>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</si>
  <si>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</si>
  <si>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</si>
  <si>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</si>
  <si>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</si>
  <si>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</si>
  <si>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</si>
  <si>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</si>
  <si>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</si>
  <si>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</si>
  <si>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</si>
  <si>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</si>
  <si>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</si>
  <si>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</si>
  <si>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</si>
  <si>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</si>
  <si>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</si>
  <si>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</si>
  <si>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</si>
  <si>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</si>
  <si>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</si>
  <si>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</si>
  <si>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</si>
  <si>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</si>
  <si>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</si>
  <si>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</si>
  <si>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</si>
  <si>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</si>
  <si>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</si>
  <si>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</si>
  <si>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</si>
  <si>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</si>
  <si>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</si>
  <si>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</si>
  <si>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</si>
  <si>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</si>
  <si>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</si>
  <si>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</si>
  <si>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</si>
  <si>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</si>
  <si>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</si>
  <si>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</si>
  <si>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</si>
  <si>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Test</t>
  </si>
  <si>
    <t xml:space="preserve">Test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</si>
  <si>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</si>
  <si>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</si>
  <si>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</si>
  <si>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</si>
  <si>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</si>
  <si>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</si>
  <si>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</si>
  <si>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</si>
  <si>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</si>
  <si>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</si>
  <si>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</si>
  <si>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</si>
  <si>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</si>
  <si>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</si>
  <si>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</si>
  <si>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</si>
  <si>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</si>
  <si>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</si>
  <si>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</si>
  <si>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</si>
  <si>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</si>
  <si>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</si>
  <si>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</si>
  <si>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</si>
  <si>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</si>
  <si>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</si>
  <si>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</si>
  <si>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</si>
  <si>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</si>
  <si>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</si>
  <si>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</si>
  <si>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compliance</t>
  </si>
  <si>
    <t>bezawit.getaneh1@nationalgrid.com</t>
  </si>
  <si>
    <t>Regulatory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</si>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</sst>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17" borderId="0" xfId="0" applyFont="1" applyFill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pane="topRight" activeCell="C120" sqref="C12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/>
      <c r="AE2" s="38" t="s">
        <v>48</v>
      </c>
      <c r="AF2" s="36">
        <v>46122</v>
      </c>
      <c r="AG2" s="39" t="s">
        <v>49</v>
      </c>
      <c r="AH2" s="33" t="s">
        <v>50</v>
      </c>
      <c r="AI2" s="40" t="s">
        <v>51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52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53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/>
      <c r="AE3" s="38" t="s">
        <v>48</v>
      </c>
      <c r="AF3" s="36">
        <v>46122</v>
      </c>
      <c r="AG3" s="39" t="s">
        <v>54</v>
      </c>
      <c r="AH3" s="33" t="s">
        <v>55</v>
      </c>
      <c r="AI3" s="40" t="s">
        <v>51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52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56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57</v>
      </c>
      <c r="K4" s="4">
        <v>46122</v>
      </c>
      <c r="L4" s="36"/>
      <c r="M4" s="36">
        <v>46115</v>
      </c>
      <c r="N4" s="36" t="s">
        <v>44</v>
      </c>
      <c r="O4" s="36"/>
      <c r="P4" s="64" t="s">
        <v>58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/>
      <c r="AE4" s="38" t="s">
        <v>48</v>
      </c>
      <c r="AF4" s="36">
        <v>46122</v>
      </c>
      <c r="AG4" s="39" t="s">
        <v>59</v>
      </c>
      <c r="AH4" s="33" t="s">
        <v>60</v>
      </c>
      <c r="AI4" s="40" t="s">
        <v>51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61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62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63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/>
      <c r="AE5" s="38" t="s">
        <v>48</v>
      </c>
      <c r="AF5" s="36">
        <v>46122</v>
      </c>
      <c r="AG5" s="39" t="s">
        <v>64</v>
      </c>
      <c r="AH5" s="33" t="s">
        <v>65</v>
      </c>
      <c r="AI5" s="40" t="s">
        <v>51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66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67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/>
      <c r="AE6" s="38" t="s">
        <v>48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68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/>
      <c r="AE7" s="38" t="s">
        <v>48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69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/>
      <c r="AE8" s="38" t="s">
        <v>48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70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/>
      <c r="AE9" s="38" t="s">
        <v>48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71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72</v>
      </c>
      <c r="J10" s="33" t="s">
        <v>73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74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/>
      <c r="AE10" s="38" t="s">
        <v>48</v>
      </c>
      <c r="AF10" s="36">
        <v>46134</v>
      </c>
      <c r="AG10" s="39" t="s">
        <v>75</v>
      </c>
      <c r="AH10" s="33" t="s">
        <v>76</v>
      </c>
      <c r="AI10" s="40" t="s">
        <v>51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77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72</v>
      </c>
      <c r="J11" s="33" t="s">
        <v>57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74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/>
      <c r="AE11" s="38" t="s">
        <v>48</v>
      </c>
      <c r="AF11" s="36">
        <v>46139</v>
      </c>
      <c r="AG11" s="39" t="s">
        <v>78</v>
      </c>
      <c r="AH11" s="33" t="s">
        <v>79</v>
      </c>
      <c r="AI11" s="40" t="s">
        <v>51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80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72</v>
      </c>
      <c r="J12" s="33" t="s">
        <v>81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58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/>
      <c r="AE12" s="38" t="s">
        <v>48</v>
      </c>
      <c r="AF12" s="36">
        <v>46147</v>
      </c>
      <c r="AG12" s="39" t="s">
        <v>82</v>
      </c>
      <c r="AH12" s="33" t="s">
        <v>83</v>
      </c>
      <c r="AI12" s="40" t="s">
        <v>51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84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72</v>
      </c>
      <c r="J13" s="33" t="s">
        <v>81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85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/>
      <c r="AE13" s="38" t="s">
        <v>48</v>
      </c>
      <c r="AF13" s="36">
        <v>46179</v>
      </c>
      <c r="AG13" s="39" t="s">
        <v>86</v>
      </c>
      <c r="AH13" s="33"/>
      <c r="AI13" s="40" t="s">
        <v>51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87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72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58</v>
      </c>
      <c r="Q14" s="4">
        <v>46157</v>
      </c>
      <c r="R14" s="36"/>
      <c r="S14" s="36">
        <v>46143</v>
      </c>
      <c r="T14" s="70"/>
      <c r="U14" s="33" t="s">
        <v>85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/>
      <c r="AE14" s="38" t="s">
        <v>48</v>
      </c>
      <c r="AF14" s="36">
        <v>46184</v>
      </c>
      <c r="AG14" s="39" t="s">
        <v>88</v>
      </c>
      <c r="AH14" s="33" t="s">
        <v>89</v>
      </c>
      <c r="AI14" s="40" t="s">
        <v>51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90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72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74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/>
      <c r="AE15" s="38" t="s">
        <v>48</v>
      </c>
      <c r="AF15" s="36">
        <v>46192</v>
      </c>
      <c r="AG15" s="39" t="s">
        <v>91</v>
      </c>
      <c r="AH15" s="33"/>
      <c r="AI15" s="40" t="s">
        <v>51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92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93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72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/>
      <c r="AE16" s="38" t="s">
        <v>48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94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72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/>
      <c r="AE17" s="38" t="s">
        <v>48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95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72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/>
      <c r="AE18" s="38" t="s">
        <v>48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96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72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/>
      <c r="AE19" s="38" t="s">
        <v>48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97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98</v>
      </c>
      <c r="J20" s="33" t="s">
        <v>99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58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/>
      <c r="AE20" s="38" t="s">
        <v>48</v>
      </c>
      <c r="AF20" s="36">
        <v>46195</v>
      </c>
      <c r="AG20" s="39"/>
      <c r="AH20" s="33"/>
      <c r="AI20" s="40" t="s">
        <v>51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100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98</v>
      </c>
      <c r="J21" s="33" t="s">
        <v>99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74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/>
      <c r="AE21" s="38" t="s">
        <v>48</v>
      </c>
      <c r="AF21" s="36">
        <v>46198</v>
      </c>
      <c r="AG21" s="39"/>
      <c r="AH21" s="33"/>
      <c r="AI21" s="40" t="s">
        <v>51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101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102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98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58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/>
      <c r="AE22" s="38" t="s">
        <v>48</v>
      </c>
      <c r="AF22" s="36">
        <v>46198</v>
      </c>
      <c r="AG22" s="39"/>
      <c r="AH22" s="33"/>
      <c r="AI22" s="40" t="s">
        <v>51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103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98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58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/>
      <c r="AE23" s="38" t="s">
        <v>48</v>
      </c>
      <c r="AF23" s="36">
        <v>46184</v>
      </c>
      <c r="AG23" s="39" t="s">
        <v>104</v>
      </c>
      <c r="AH23" s="33" t="s">
        <v>105</v>
      </c>
      <c r="AI23" s="40" t="s">
        <v>51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106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98</v>
      </c>
      <c r="J24" s="33" t="s">
        <v>57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85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/>
      <c r="AE24" s="38" t="s">
        <v>48</v>
      </c>
      <c r="AF24" s="36">
        <v>46227</v>
      </c>
      <c r="AG24" s="39"/>
      <c r="AH24" s="33"/>
      <c r="AI24" s="40" t="s">
        <v>51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107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108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98</v>
      </c>
      <c r="J25" s="33" t="s">
        <v>57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74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/>
      <c r="AE25" s="38" t="s">
        <v>48</v>
      </c>
      <c r="AF25" s="36">
        <v>46204</v>
      </c>
      <c r="AG25" s="39"/>
      <c r="AH25" s="33"/>
      <c r="AI25" s="40" t="s">
        <v>51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107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109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98</v>
      </c>
      <c r="J26" s="33" t="s">
        <v>110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58</v>
      </c>
      <c r="Q26" s="4">
        <v>46192</v>
      </c>
      <c r="R26" s="36"/>
      <c r="S26" s="36">
        <v>46191</v>
      </c>
      <c r="T26" s="70"/>
      <c r="U26" s="33" t="s">
        <v>85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/>
      <c r="AE26" s="38" t="s">
        <v>48</v>
      </c>
      <c r="AF26" s="36">
        <v>46196</v>
      </c>
      <c r="AG26" s="39" t="s">
        <v>111</v>
      </c>
      <c r="AH26" s="33" t="s">
        <v>112</v>
      </c>
      <c r="AI26" s="40" t="s">
        <v>51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113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98</v>
      </c>
      <c r="J27" s="33" t="s">
        <v>99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74</v>
      </c>
      <c r="Q27" s="4">
        <v>46192</v>
      </c>
      <c r="R27" s="36"/>
      <c r="S27" s="36">
        <v>46189</v>
      </c>
      <c r="T27" s="70"/>
      <c r="U27" s="55" t="s">
        <v>85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/>
      <c r="AE27" s="38" t="s">
        <v>48</v>
      </c>
      <c r="AF27" s="36">
        <v>46192</v>
      </c>
      <c r="AG27" s="39" t="s">
        <v>114</v>
      </c>
      <c r="AH27" s="33"/>
      <c r="AI27" s="40" t="s">
        <v>51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115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98</v>
      </c>
      <c r="J28" s="33" t="s">
        <v>81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74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/>
      <c r="AE28" s="38" t="s">
        <v>48</v>
      </c>
      <c r="AF28" s="36">
        <v>46197</v>
      </c>
      <c r="AG28" s="39"/>
      <c r="AH28" s="33"/>
      <c r="AI28" s="40" t="s">
        <v>51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116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117</v>
      </c>
      <c r="B29" s="33" t="s">
        <v>118</v>
      </c>
      <c r="C29" s="33" t="s">
        <v>119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120</v>
      </c>
      <c r="G29" s="33"/>
      <c r="H29" s="50">
        <v>46234</v>
      </c>
      <c r="I29" s="62" t="s">
        <v>121</v>
      </c>
      <c r="J29" s="33" t="s">
        <v>73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122</v>
      </c>
      <c r="P29" s="66" t="s">
        <v>58</v>
      </c>
      <c r="Q29" s="4">
        <v>46220</v>
      </c>
      <c r="R29" s="36">
        <v>46245</v>
      </c>
      <c r="S29" s="75">
        <v>46245</v>
      </c>
      <c r="T29" s="70"/>
      <c r="U29" s="55" t="s">
        <v>120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/>
      <c r="AE29" s="38"/>
      <c r="AF29" s="36"/>
      <c r="AG29" s="39"/>
      <c r="AH29" s="33"/>
      <c r="AI29" s="40" t="s">
        <v>51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117</v>
      </c>
      <c r="B30" s="33" t="s">
        <v>124</v>
      </c>
      <c r="C30" s="33" t="s">
        <v>119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120</v>
      </c>
      <c r="G30" s="33"/>
      <c r="H30" s="50">
        <v>46234</v>
      </c>
      <c r="I30" s="62" t="s">
        <v>121</v>
      </c>
      <c r="J30" s="33" t="s">
        <v>110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122</v>
      </c>
      <c r="P30" s="66" t="s">
        <v>74</v>
      </c>
      <c r="Q30" s="4">
        <v>46220</v>
      </c>
      <c r="R30" s="36">
        <v>46245</v>
      </c>
      <c r="S30" s="36">
        <v>46246</v>
      </c>
      <c r="T30" s="70"/>
      <c r="U30" s="55" t="s">
        <v>120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/>
      <c r="AE30" s="38"/>
      <c r="AF30" s="36"/>
      <c r="AG30" s="39"/>
      <c r="AH30" s="33"/>
      <c r="AI30" s="40" t="s">
        <v>51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125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117</v>
      </c>
      <c r="B31" s="33" t="s">
        <v>126</v>
      </c>
      <c r="C31" s="33" t="s">
        <v>119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120</v>
      </c>
      <c r="G31" s="33"/>
      <c r="H31" s="50">
        <v>46234</v>
      </c>
      <c r="I31" s="62" t="s">
        <v>121</v>
      </c>
      <c r="J31" s="33" t="s">
        <v>110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122</v>
      </c>
      <c r="P31" s="66" t="s">
        <v>74</v>
      </c>
      <c r="Q31" s="4">
        <v>46220</v>
      </c>
      <c r="R31" s="36">
        <v>46246</v>
      </c>
      <c r="S31" s="36">
        <v>46251</v>
      </c>
      <c r="T31" s="70"/>
      <c r="U31" s="55" t="s">
        <v>120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/>
      <c r="AE31" s="38"/>
      <c r="AF31" s="36"/>
      <c r="AG31" s="39"/>
      <c r="AH31" s="33"/>
      <c r="AI31" s="40" t="s">
        <v>51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127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117</v>
      </c>
      <c r="B32" s="33" t="s">
        <v>128</v>
      </c>
      <c r="C32" s="33" t="s">
        <v>129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120</v>
      </c>
      <c r="G32" s="33"/>
      <c r="H32" s="50">
        <v>46234</v>
      </c>
      <c r="I32" s="62" t="s">
        <v>121</v>
      </c>
      <c r="J32" s="33" t="s">
        <v>57</v>
      </c>
      <c r="K32" s="4">
        <v>46213</v>
      </c>
      <c r="L32" s="36"/>
      <c r="M32" s="37">
        <v>46258</v>
      </c>
      <c r="N32" s="47" t="s">
        <v>44</v>
      </c>
      <c r="O32" s="36" t="s">
        <v>122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/>
      <c r="AE32" s="38"/>
      <c r="AF32" s="36"/>
      <c r="AG32" s="39"/>
      <c r="AH32" s="33"/>
      <c r="AI32" s="40" t="s">
        <v>51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130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117</v>
      </c>
      <c r="B33" s="33" t="s">
        <v>131</v>
      </c>
      <c r="C33" s="33" t="s">
        <v>119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120</v>
      </c>
      <c r="G33" s="33"/>
      <c r="H33" s="50">
        <v>46234</v>
      </c>
      <c r="I33" s="62" t="s">
        <v>121</v>
      </c>
      <c r="J33" s="33" t="s">
        <v>99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122</v>
      </c>
      <c r="P33" s="66" t="s">
        <v>74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/>
      <c r="AE33" s="38"/>
      <c r="AF33" s="36"/>
      <c r="AG33" s="39"/>
      <c r="AH33" s="33"/>
      <c r="AI33" s="40" t="s">
        <v>51</v>
      </c>
      <c r="AJ33" s="74"/>
      <c r="AK33" s="41" t="s">
        <v>132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117</v>
      </c>
      <c r="B34" s="33" t="s">
        <v>133</v>
      </c>
      <c r="C34" s="33" t="s">
        <v>119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121</v>
      </c>
      <c r="J34" s="33" t="s">
        <v>81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122</v>
      </c>
      <c r="P34" s="66" t="s">
        <v>58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/>
      <c r="AE34" s="38"/>
      <c r="AF34" s="36"/>
      <c r="AG34" s="39"/>
      <c r="AH34" s="33"/>
      <c r="AI34" s="40" t="s">
        <v>51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135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117</v>
      </c>
      <c r="B35" s="33" t="s">
        <v>136</v>
      </c>
      <c r="C35" s="33" t="s">
        <v>129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134</v>
      </c>
      <c r="G35" s="33"/>
      <c r="H35" s="50">
        <v>46234</v>
      </c>
      <c r="I35" s="62" t="s">
        <v>121</v>
      </c>
      <c r="J35" s="33" t="s">
        <v>110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122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/>
      <c r="AE35" s="38"/>
      <c r="AF35" s="36"/>
      <c r="AG35" s="39"/>
      <c r="AH35" s="33"/>
      <c r="AI35" s="40" t="s">
        <v>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137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117</v>
      </c>
      <c r="B36" s="33" t="s">
        <v>138</v>
      </c>
      <c r="C36" s="33" t="s">
        <v>129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134</v>
      </c>
      <c r="G36" s="33"/>
      <c r="H36" s="50">
        <v>46234</v>
      </c>
      <c r="I36" s="62" t="s">
        <v>121</v>
      </c>
      <c r="J36" s="33" t="s">
        <v>110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122</v>
      </c>
      <c r="P36" s="66" t="s">
        <v>74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/>
      <c r="AE36" s="38"/>
      <c r="AF36" s="36"/>
      <c r="AG36" s="39"/>
      <c r="AH36" s="33"/>
      <c r="AI36" s="40" t="s">
        <v>51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137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117</v>
      </c>
      <c r="B37" s="33" t="s">
        <v>139</v>
      </c>
      <c r="C37" s="33" t="s">
        <v>119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121</v>
      </c>
      <c r="J37" s="33" t="s">
        <v>81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122</v>
      </c>
      <c r="P37" s="66" t="s">
        <v>58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/>
      <c r="AE37" s="38"/>
      <c r="AF37" s="36"/>
      <c r="AG37" s="39"/>
      <c r="AH37" s="33"/>
      <c r="AI37" s="40" t="s">
        <v>51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140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117</v>
      </c>
      <c r="B38" s="33" t="s">
        <v>141</v>
      </c>
      <c r="C38" s="33" t="s">
        <v>119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142</v>
      </c>
      <c r="F38" s="34" t="s">
        <v>134</v>
      </c>
      <c r="G38" s="33"/>
      <c r="H38" s="50">
        <v>46234</v>
      </c>
      <c r="I38" s="62" t="s">
        <v>121</v>
      </c>
      <c r="J38" s="33" t="s">
        <v>143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122</v>
      </c>
      <c r="P38" s="66" t="s">
        <v>58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/>
      <c r="AE38" s="38"/>
      <c r="AF38" s="36"/>
      <c r="AG38" s="39"/>
      <c r="AH38" s="33"/>
      <c r="AI38" s="40" t="s">
        <v>51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117</v>
      </c>
      <c r="B39" s="33" t="s">
        <v>144</v>
      </c>
      <c r="C39" s="33" t="s">
        <v>119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134</v>
      </c>
      <c r="G39" s="33"/>
      <c r="H39" s="50">
        <v>46234</v>
      </c>
      <c r="I39" s="62" t="s">
        <v>121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122</v>
      </c>
      <c r="P39" s="66" t="s">
        <v>74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/>
      <c r="AE39" s="38"/>
      <c r="AF39" s="36"/>
      <c r="AG39" s="39"/>
      <c r="AH39" s="33"/>
      <c r="AI39" s="40" t="s">
        <v>51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137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117</v>
      </c>
      <c r="B40" s="33" t="s">
        <v>145</v>
      </c>
      <c r="C40" s="33" t="s">
        <v>119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120</v>
      </c>
      <c r="G40" s="33"/>
      <c r="H40" s="50">
        <v>46234</v>
      </c>
      <c r="I40" s="62" t="s">
        <v>121</v>
      </c>
      <c r="J40" s="33" t="s">
        <v>73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122</v>
      </c>
      <c r="P40" s="66" t="s">
        <v>74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/>
      <c r="AE40" s="38"/>
      <c r="AF40" s="36"/>
      <c r="AG40" s="39"/>
      <c r="AH40" s="33"/>
      <c r="AI40" s="40" t="s">
        <v>51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146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117</v>
      </c>
      <c r="B41" s="33" t="s">
        <v>147</v>
      </c>
      <c r="C41" s="33" t="s">
        <v>119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120</v>
      </c>
      <c r="G41" s="33"/>
      <c r="H41" s="50">
        <v>46234</v>
      </c>
      <c r="I41" s="62" t="s">
        <v>121</v>
      </c>
      <c r="J41" s="33" t="s">
        <v>57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122</v>
      </c>
      <c r="P41" s="66" t="s">
        <v>58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/>
      <c r="AE41" s="38"/>
      <c r="AF41" s="36"/>
      <c r="AG41" s="39"/>
      <c r="AH41" s="33"/>
      <c r="AI41" s="40" t="s">
        <v>51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148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117</v>
      </c>
      <c r="B42" s="33" t="s">
        <v>149</v>
      </c>
      <c r="C42" s="33" t="s">
        <v>119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134</v>
      </c>
      <c r="G42" s="33"/>
      <c r="H42" s="50">
        <v>46234</v>
      </c>
      <c r="I42" s="62" t="s">
        <v>121</v>
      </c>
      <c r="J42" s="33" t="s">
        <v>73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150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/>
      <c r="AE42" s="38"/>
      <c r="AF42" s="36"/>
      <c r="AG42" s="39"/>
      <c r="AH42" s="33"/>
      <c r="AI42" s="40" t="s">
        <v>51</v>
      </c>
      <c r="AJ42" s="48"/>
      <c r="AK42" s="45" t="s">
        <v>151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117</v>
      </c>
      <c r="B43" s="33" t="s">
        <v>152</v>
      </c>
      <c r="C43" s="33" t="s">
        <v>129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153</v>
      </c>
      <c r="F43" s="34" t="s">
        <v>134</v>
      </c>
      <c r="G43" s="33"/>
      <c r="H43" s="50">
        <v>46265</v>
      </c>
      <c r="I43" s="62" t="s">
        <v>154</v>
      </c>
      <c r="J43" s="33" t="s">
        <v>99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155</v>
      </c>
      <c r="P43" s="66" t="s">
        <v>58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/>
      <c r="AE43" s="38"/>
      <c r="AF43" s="36"/>
      <c r="AG43" s="39"/>
      <c r="AH43" s="33"/>
      <c r="AI43" s="40" t="s">
        <v>51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156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117</v>
      </c>
      <c r="B44" s="33" t="s">
        <v>157</v>
      </c>
      <c r="C44" s="33" t="s">
        <v>129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154</v>
      </c>
      <c r="J44" s="33" t="s">
        <v>57</v>
      </c>
      <c r="K44" s="4">
        <v>46234</v>
      </c>
      <c r="L44" s="36">
        <v>46255</v>
      </c>
      <c r="M44" s="36"/>
      <c r="N44" s="36" t="s">
        <v>44</v>
      </c>
      <c r="O44" s="36" t="s">
        <v>155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/>
      <c r="AE44" s="38"/>
      <c r="AF44" s="36"/>
      <c r="AG44" s="39"/>
      <c r="AH44" s="33"/>
      <c r="AI44" s="40" t="s">
        <v>51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158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117</v>
      </c>
      <c r="B45" s="33" t="s">
        <v>159</v>
      </c>
      <c r="C45" s="33" t="s">
        <v>129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120</v>
      </c>
      <c r="G45" s="33"/>
      <c r="H45" s="50">
        <v>46265</v>
      </c>
      <c r="I45" s="62" t="s">
        <v>154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155</v>
      </c>
      <c r="P45" s="66" t="s">
        <v>74</v>
      </c>
      <c r="Q45" s="4">
        <v>46241</v>
      </c>
      <c r="R45" s="36">
        <v>46252</v>
      </c>
      <c r="S45" s="36">
        <v>46251</v>
      </c>
      <c r="T45" s="70"/>
      <c r="U45" s="55" t="s">
        <v>120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/>
      <c r="AE45" s="38"/>
      <c r="AF45" s="36"/>
      <c r="AG45" s="39"/>
      <c r="AH45" s="33"/>
      <c r="AI45" s="40" t="s">
        <v>51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117</v>
      </c>
      <c r="B46" s="33" t="s">
        <v>160</v>
      </c>
      <c r="C46" s="33" t="s">
        <v>161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120</v>
      </c>
      <c r="G46" s="33"/>
      <c r="H46" s="50">
        <v>46265</v>
      </c>
      <c r="I46" s="62" t="s">
        <v>154</v>
      </c>
      <c r="J46" s="33" t="s">
        <v>81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58</v>
      </c>
      <c r="Q46" s="4">
        <v>46241</v>
      </c>
      <c r="R46" s="36">
        <v>46259</v>
      </c>
      <c r="S46" s="36"/>
      <c r="T46" s="70"/>
      <c r="U46" s="55" t="s">
        <v>120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/>
      <c r="AE46" s="38"/>
      <c r="AF46" s="36"/>
      <c r="AG46" s="39"/>
      <c r="AH46" s="33"/>
      <c r="AI46" s="40" t="s">
        <v>51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117</v>
      </c>
      <c r="B47" s="33" t="s">
        <v>163</v>
      </c>
      <c r="C47" s="33" t="s">
        <v>161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120</v>
      </c>
      <c r="G47" s="33"/>
      <c r="H47" s="50">
        <v>46265</v>
      </c>
      <c r="I47" s="62" t="s">
        <v>154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74</v>
      </c>
      <c r="Q47" s="4">
        <v>46241</v>
      </c>
      <c r="R47" s="36">
        <v>46261</v>
      </c>
      <c r="S47" s="36"/>
      <c r="T47" s="70"/>
      <c r="U47" s="55" t="s">
        <v>120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/>
      <c r="AE47" s="38"/>
      <c r="AF47" s="36"/>
      <c r="AG47" s="39"/>
      <c r="AH47" s="33"/>
      <c r="AI47" s="40" t="s">
        <v>51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165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117</v>
      </c>
      <c r="B48" s="33" t="s">
        <v>166</v>
      </c>
      <c r="C48" s="33" t="s">
        <v>129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134</v>
      </c>
      <c r="G48" s="33"/>
      <c r="H48" s="50">
        <v>46265</v>
      </c>
      <c r="I48" s="62" t="s">
        <v>154</v>
      </c>
      <c r="J48" s="33" t="s">
        <v>99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/>
      <c r="AE48" s="38"/>
      <c r="AF48" s="36"/>
      <c r="AG48" s="39"/>
      <c r="AH48" s="33"/>
      <c r="AI48" s="40" t="s">
        <v>51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167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117</v>
      </c>
      <c r="B49" s="33" t="s">
        <v>168</v>
      </c>
      <c r="C49" s="33" t="s">
        <v>129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120</v>
      </c>
      <c r="G49" s="33"/>
      <c r="H49" s="50">
        <v>46265</v>
      </c>
      <c r="I49" s="62" t="s">
        <v>154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122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120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/>
      <c r="AE49" s="38"/>
      <c r="AF49" s="36"/>
      <c r="AG49" s="39"/>
      <c r="AH49" s="33"/>
      <c r="AI49" s="40" t="s">
        <v>51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117</v>
      </c>
      <c r="B50" s="33" t="s">
        <v>169</v>
      </c>
      <c r="C50" s="33" t="s">
        <v>129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154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58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/>
      <c r="AE50" s="38"/>
      <c r="AF50" s="36"/>
      <c r="AG50" s="39"/>
      <c r="AH50" s="33"/>
      <c r="AI50" s="40" t="s">
        <v>51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117</v>
      </c>
      <c r="B51" s="33" t="s">
        <v>170</v>
      </c>
      <c r="C51" s="33" t="s">
        <v>161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134</v>
      </c>
      <c r="G51" s="33"/>
      <c r="H51" s="50">
        <v>46265</v>
      </c>
      <c r="I51" s="62" t="s">
        <v>154</v>
      </c>
      <c r="J51" s="33" t="s">
        <v>73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164</v>
      </c>
      <c r="P51" s="66" t="s">
        <v>74</v>
      </c>
      <c r="Q51" s="4">
        <v>46241</v>
      </c>
      <c r="R51" s="36">
        <v>46255</v>
      </c>
      <c r="S51" s="36">
        <v>46260</v>
      </c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/>
      <c r="AE51" s="38"/>
      <c r="AF51" s="36"/>
      <c r="AG51" s="39"/>
      <c r="AH51" s="33"/>
      <c r="AI51" s="40" t="s">
        <v>51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117</v>
      </c>
      <c r="B52" s="33" t="s">
        <v>171</v>
      </c>
      <c r="C52" s="33" t="s">
        <v>161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120</v>
      </c>
      <c r="G52" s="33"/>
      <c r="H52" s="50">
        <v>46265</v>
      </c>
      <c r="I52" s="62" t="s">
        <v>154</v>
      </c>
      <c r="J52" s="33" t="s">
        <v>110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/>
      <c r="AE52" s="38"/>
      <c r="AF52" s="36"/>
      <c r="AG52" s="39"/>
      <c r="AH52" s="33"/>
      <c r="AI52" s="40" t="s">
        <v>51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117</v>
      </c>
      <c r="B53" s="33" t="s">
        <v>173</v>
      </c>
      <c r="C53" s="33" t="s">
        <v>161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154</v>
      </c>
      <c r="J53" s="33" t="s">
        <v>73</v>
      </c>
      <c r="K53" s="4">
        <v>46234</v>
      </c>
      <c r="L53" s="36">
        <v>46251</v>
      </c>
      <c r="M53" s="36">
        <v>46251</v>
      </c>
      <c r="N53" s="36" t="s">
        <v>174</v>
      </c>
      <c r="O53" s="36" t="s">
        <v>122</v>
      </c>
      <c r="P53" s="66" t="s">
        <v>74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/>
      <c r="AE53" s="38"/>
      <c r="AF53" s="36"/>
      <c r="AG53" s="39"/>
      <c r="AH53" s="33"/>
      <c r="AI53" s="40" t="s">
        <v>51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117</v>
      </c>
      <c r="B54" s="33" t="s">
        <v>175</v>
      </c>
      <c r="C54" s="33" t="s">
        <v>161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120</v>
      </c>
      <c r="G54" s="33"/>
      <c r="H54" s="50">
        <v>46265</v>
      </c>
      <c r="I54" s="62" t="s">
        <v>154</v>
      </c>
      <c r="J54" s="33" t="s">
        <v>81</v>
      </c>
      <c r="K54" s="4">
        <v>46234</v>
      </c>
      <c r="L54" s="36">
        <v>46255</v>
      </c>
      <c r="M54" s="36">
        <v>46253</v>
      </c>
      <c r="N54" s="36"/>
      <c r="O54" s="36" t="s">
        <v>122</v>
      </c>
      <c r="P54" s="66" t="s">
        <v>58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/>
      <c r="AE54" s="38"/>
      <c r="AF54" s="36"/>
      <c r="AG54" s="39"/>
      <c r="AH54" s="33"/>
      <c r="AI54" s="40" t="s">
        <v>51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117</v>
      </c>
      <c r="B55" s="33" t="s">
        <v>176</v>
      </c>
      <c r="C55" s="33" t="s">
        <v>161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73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74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/>
      <c r="AE55" s="38"/>
      <c r="AF55" s="36"/>
      <c r="AG55" s="39"/>
      <c r="AH55" s="33"/>
      <c r="AI55" s="40" t="s">
        <v>51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117</v>
      </c>
      <c r="B56" s="33" t="s">
        <v>180</v>
      </c>
      <c r="C56" s="33" t="s">
        <v>161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120</v>
      </c>
      <c r="G56" s="33"/>
      <c r="H56" s="50">
        <v>46295</v>
      </c>
      <c r="I56" s="56" t="s">
        <v>177</v>
      </c>
      <c r="J56" s="33" t="s">
        <v>73</v>
      </c>
      <c r="K56" s="4">
        <v>46262</v>
      </c>
      <c r="L56" s="36">
        <v>46253</v>
      </c>
      <c r="M56" s="36">
        <v>46253</v>
      </c>
      <c r="N56" s="36" t="s">
        <v>174</v>
      </c>
      <c r="O56" s="36" t="s">
        <v>178</v>
      </c>
      <c r="P56" s="64" t="s">
        <v>58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/>
      <c r="AE56" s="38"/>
      <c r="AF56" s="36"/>
      <c r="AG56" s="39"/>
      <c r="AH56" s="33"/>
      <c r="AI56" s="40" t="s">
        <v>51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172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117</v>
      </c>
      <c r="B57" s="33" t="s">
        <v>181</v>
      </c>
      <c r="C57" s="33" t="s">
        <v>182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110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45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/>
      <c r="AE57" s="38"/>
      <c r="AF57" s="36"/>
      <c r="AG57" s="39"/>
      <c r="AH57" s="33"/>
      <c r="AI57" s="40" t="s">
        <v>51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172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117</v>
      </c>
      <c r="B58" s="33" t="s">
        <v>183</v>
      </c>
      <c r="C58" s="33" t="s">
        <v>182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120</v>
      </c>
      <c r="G58" s="33"/>
      <c r="H58" s="50">
        <v>46295</v>
      </c>
      <c r="I58" s="56" t="s">
        <v>177</v>
      </c>
      <c r="J58" s="33" t="s">
        <v>110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74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/>
      <c r="AE58" s="38"/>
      <c r="AF58" s="36"/>
      <c r="AG58" s="39"/>
      <c r="AH58" s="33"/>
      <c r="AI58" s="40" t="s">
        <v>51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117</v>
      </c>
      <c r="B59" s="33" t="s">
        <v>184</v>
      </c>
      <c r="C59" s="33" t="s">
        <v>161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58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/>
      <c r="AE59" s="38"/>
      <c r="AF59" s="36"/>
      <c r="AG59" s="39"/>
      <c r="AH59" s="33"/>
      <c r="AI59" s="40" t="s">
        <v>51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117</v>
      </c>
      <c r="B60" s="33" t="s">
        <v>185</v>
      </c>
      <c r="C60" s="33" t="s">
        <v>161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45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/>
      <c r="AE60" s="38"/>
      <c r="AF60" s="36"/>
      <c r="AG60" s="39"/>
      <c r="AH60" s="33"/>
      <c r="AI60" s="40" t="s">
        <v>51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117</v>
      </c>
      <c r="B61" s="33" t="s">
        <v>186</v>
      </c>
      <c r="C61" s="33" t="s">
        <v>129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120</v>
      </c>
      <c r="G61" s="33"/>
      <c r="H61" s="50">
        <v>46295</v>
      </c>
      <c r="I61" s="56" t="s">
        <v>177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58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/>
      <c r="AE61" s="38"/>
      <c r="AF61" s="36"/>
      <c r="AG61" s="39"/>
      <c r="AH61" s="33"/>
      <c r="AI61" s="40" t="s">
        <v>51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117</v>
      </c>
      <c r="B62" s="33" t="s">
        <v>187</v>
      </c>
      <c r="C62" s="33" t="s">
        <v>182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81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74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/>
      <c r="AE62" s="38"/>
      <c r="AF62" s="36"/>
      <c r="AG62" s="39"/>
      <c r="AH62" s="33"/>
      <c r="AI62" s="40" t="s">
        <v>51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117</v>
      </c>
      <c r="B63" s="33" t="s">
        <v>188</v>
      </c>
      <c r="C63" s="33" t="s">
        <v>182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81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45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/>
      <c r="AE63" s="38"/>
      <c r="AF63" s="36"/>
      <c r="AG63" s="39"/>
      <c r="AH63" s="33"/>
      <c r="AI63" s="40" t="s">
        <v>51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117</v>
      </c>
      <c r="B64" s="33" t="s">
        <v>189</v>
      </c>
      <c r="C64" s="33" t="s">
        <v>182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120</v>
      </c>
      <c r="G64" s="33"/>
      <c r="H64" s="50">
        <v>46295</v>
      </c>
      <c r="I64" s="56" t="s">
        <v>177</v>
      </c>
      <c r="J64" s="33" t="s">
        <v>99</v>
      </c>
      <c r="K64" s="4">
        <v>46276</v>
      </c>
      <c r="L64" s="36">
        <v>46265</v>
      </c>
      <c r="M64" s="36"/>
      <c r="N64" s="36"/>
      <c r="O64" s="36" t="s">
        <v>178</v>
      </c>
      <c r="P64" s="64" t="s">
        <v>58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/>
      <c r="AE64" s="38"/>
      <c r="AF64" s="36"/>
      <c r="AG64" s="39"/>
      <c r="AH64" s="33"/>
      <c r="AI64" s="40" t="s">
        <v>51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117</v>
      </c>
      <c r="B65" s="33" t="s">
        <v>190</v>
      </c>
      <c r="C65" s="33" t="s">
        <v>191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120</v>
      </c>
      <c r="G65" s="33"/>
      <c r="H65" s="50">
        <v>46295</v>
      </c>
      <c r="I65" s="56" t="s">
        <v>177</v>
      </c>
      <c r="J65" s="33" t="s">
        <v>143</v>
      </c>
      <c r="K65" s="4">
        <v>46276</v>
      </c>
      <c r="L65" s="36"/>
      <c r="M65" s="36"/>
      <c r="N65" s="36"/>
      <c r="O65" s="36" t="s">
        <v>178</v>
      </c>
      <c r="P65" s="64" t="s">
        <v>74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/>
      <c r="AE65" s="38"/>
      <c r="AF65" s="36"/>
      <c r="AG65" s="39"/>
      <c r="AH65" s="33"/>
      <c r="AI65" s="40" t="s">
        <v>51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117</v>
      </c>
      <c r="B66" s="33" t="s">
        <v>192</v>
      </c>
      <c r="C66" s="33" t="s">
        <v>182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120</v>
      </c>
      <c r="G66" s="33"/>
      <c r="H66" s="50">
        <v>46295</v>
      </c>
      <c r="I66" s="56" t="s">
        <v>177</v>
      </c>
      <c r="J66" s="33" t="s">
        <v>43</v>
      </c>
      <c r="K66" s="4">
        <v>46276</v>
      </c>
      <c r="L66" s="36"/>
      <c r="M66" s="36"/>
      <c r="N66" s="36"/>
      <c r="O66" s="36" t="s">
        <v>178</v>
      </c>
      <c r="P66" s="64" t="s">
        <v>45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/>
      <c r="AE66" s="38"/>
      <c r="AF66" s="36"/>
      <c r="AG66" s="39"/>
      <c r="AH66" s="33"/>
      <c r="AI66" s="40" t="s">
        <v>51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117</v>
      </c>
      <c r="B67" s="33" t="s">
        <v>193</v>
      </c>
      <c r="C67" s="33" t="s">
        <v>182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120</v>
      </c>
      <c r="G67" s="33"/>
      <c r="H67" s="50">
        <v>46295</v>
      </c>
      <c r="I67" s="56" t="s">
        <v>177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58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/>
      <c r="AE67" s="38"/>
      <c r="AF67" s="36"/>
      <c r="AG67" s="39"/>
      <c r="AH67" s="33"/>
      <c r="AI67" s="40" t="s">
        <v>51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117</v>
      </c>
      <c r="B68" s="83" t="s">
        <v>194</v>
      </c>
      <c r="C68" s="33" t="s">
        <v>161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120</v>
      </c>
      <c r="G68" s="33"/>
      <c r="H68" s="50">
        <v>46295</v>
      </c>
      <c r="I68" s="56" t="s">
        <v>177</v>
      </c>
      <c r="J68" s="33" t="s">
        <v>195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74</v>
      </c>
      <c r="Q68" s="4">
        <v>46286</v>
      </c>
      <c r="R68" s="36"/>
      <c r="S68" s="36"/>
      <c r="T68" s="70" t="s">
        <v>196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/>
      <c r="AE68" s="38"/>
      <c r="AF68" s="36"/>
      <c r="AG68" s="39"/>
      <c r="AH68" s="33"/>
      <c r="AI68" s="40" t="s">
        <v>51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/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117</v>
      </c>
      <c r="B69" s="33" t="s">
        <v>197</v>
      </c>
      <c r="C69" s="33" t="s">
        <v>182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57</v>
      </c>
      <c r="K69" s="4">
        <v>46276</v>
      </c>
      <c r="L69" s="36"/>
      <c r="M69" s="36"/>
      <c r="N69" s="36"/>
      <c r="O69" s="36" t="s">
        <v>178</v>
      </c>
      <c r="P69" s="64" t="s">
        <v>45</v>
      </c>
      <c r="Q69" s="4">
        <v>46286</v>
      </c>
      <c r="R69" s="36"/>
      <c r="S69" s="36"/>
      <c r="T69" s="70" t="s">
        <v>196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/>
      <c r="AE69" s="38"/>
      <c r="AF69" s="36"/>
      <c r="AG69" s="39"/>
      <c r="AH69" s="33"/>
      <c r="AI69" s="40" t="s">
        <v>51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117</v>
      </c>
      <c r="B70" s="33" t="s">
        <v>198</v>
      </c>
      <c r="C70" s="33" t="s">
        <v>182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110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45</v>
      </c>
      <c r="Q70" s="4">
        <v>46286</v>
      </c>
      <c r="R70" s="36"/>
      <c r="S70" s="36"/>
      <c r="T70" s="70" t="s">
        <v>196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/>
      <c r="AE70" s="38"/>
      <c r="AF70" s="36"/>
      <c r="AG70" s="39"/>
      <c r="AH70" s="33"/>
      <c r="AI70" s="40" t="s">
        <v>51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117</v>
      </c>
      <c r="B71" s="33" t="s">
        <v>199</v>
      </c>
      <c r="C71" s="33" t="s">
        <v>182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58</v>
      </c>
      <c r="Q71" s="4">
        <v>46286</v>
      </c>
      <c r="R71" s="36"/>
      <c r="S71" s="36"/>
      <c r="T71" s="70" t="s">
        <v>196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/>
      <c r="AE71" s="38"/>
      <c r="AF71" s="36"/>
      <c r="AG71" s="39"/>
      <c r="AH71" s="33"/>
      <c r="AI71" s="40" t="s">
        <v>51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117</v>
      </c>
      <c r="B72" s="33" t="s">
        <v>200</v>
      </c>
      <c r="C72" s="33" t="s">
        <v>161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120</v>
      </c>
      <c r="G72" s="33"/>
      <c r="H72" s="50">
        <v>46295</v>
      </c>
      <c r="I72" s="56" t="s">
        <v>177</v>
      </c>
      <c r="J72" s="33" t="s">
        <v>73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178</v>
      </c>
      <c r="P72" s="64" t="s">
        <v>74</v>
      </c>
      <c r="Q72" s="4">
        <v>46286</v>
      </c>
      <c r="R72" s="36"/>
      <c r="S72" s="36"/>
      <c r="T72" s="70" t="s">
        <v>196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/>
      <c r="AE72" s="38"/>
      <c r="AF72" s="36"/>
      <c r="AG72" s="39"/>
      <c r="AH72" s="33"/>
      <c r="AI72" s="40" t="s">
        <v>51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117</v>
      </c>
      <c r="B73" s="31" t="s">
        <v>201</v>
      </c>
      <c r="C73" s="31" t="s">
        <v>161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202</v>
      </c>
      <c r="J73" s="31" t="s">
        <v>73</v>
      </c>
      <c r="K73" s="51"/>
      <c r="L73" s="43">
        <v>46259</v>
      </c>
      <c r="M73" s="47">
        <v>46259</v>
      </c>
      <c r="N73" s="44" t="s">
        <v>44</v>
      </c>
      <c r="O73" s="44" t="s">
        <v>178</v>
      </c>
      <c r="P73" s="67"/>
      <c r="Q73" s="51"/>
      <c r="R73" s="43"/>
      <c r="S73" s="44"/>
      <c r="T73" s="71" t="s">
        <v>203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117</v>
      </c>
      <c r="B74" s="31" t="s">
        <v>204</v>
      </c>
      <c r="C74" s="31" t="s">
        <v>182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202</v>
      </c>
      <c r="J74" s="55"/>
      <c r="K74" s="51"/>
      <c r="L74" s="43"/>
      <c r="M74" s="44"/>
      <c r="N74" s="44"/>
      <c r="O74" s="44" t="s">
        <v>205</v>
      </c>
      <c r="P74" s="76"/>
      <c r="Q74" s="51"/>
      <c r="R74" s="43"/>
      <c r="S74" s="44"/>
      <c r="T74" s="71" t="s">
        <v>203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117</v>
      </c>
      <c r="B75" s="31" t="s">
        <v>206</v>
      </c>
      <c r="C75" s="31" t="s">
        <v>182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202</v>
      </c>
      <c r="J75" s="55"/>
      <c r="K75" s="51"/>
      <c r="L75" s="43"/>
      <c r="M75" s="44"/>
      <c r="N75" s="44"/>
      <c r="O75" s="44" t="s">
        <v>205</v>
      </c>
      <c r="P75" s="76"/>
      <c r="Q75" s="51"/>
      <c r="R75" s="43"/>
      <c r="S75" s="44"/>
      <c r="T75" s="71" t="s">
        <v>203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117</v>
      </c>
      <c r="B76" s="31" t="s">
        <v>207</v>
      </c>
      <c r="C76" s="31" t="s">
        <v>182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202</v>
      </c>
      <c r="J76" s="55"/>
      <c r="K76" s="51"/>
      <c r="L76" s="43"/>
      <c r="M76" s="44"/>
      <c r="N76" s="44"/>
      <c r="O76" s="44" t="s">
        <v>205</v>
      </c>
      <c r="P76" s="76"/>
      <c r="Q76" s="51"/>
      <c r="R76" s="43"/>
      <c r="S76" s="44"/>
      <c r="T76" s="71" t="s">
        <v>203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117</v>
      </c>
      <c r="B77" s="31" t="s">
        <v>208</v>
      </c>
      <c r="C77" s="31" t="s">
        <v>182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202</v>
      </c>
      <c r="J77" s="55"/>
      <c r="K77" s="51"/>
      <c r="L77" s="43"/>
      <c r="M77" s="44"/>
      <c r="N77" s="44"/>
      <c r="O77" s="44" t="s">
        <v>205</v>
      </c>
      <c r="P77" s="76"/>
      <c r="Q77" s="51"/>
      <c r="R77" s="43"/>
      <c r="S77" s="44"/>
      <c r="T77" s="71" t="s">
        <v>203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117</v>
      </c>
      <c r="B78" s="31" t="s">
        <v>209</v>
      </c>
      <c r="C78" s="31" t="s">
        <v>182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202</v>
      </c>
      <c r="J78" s="55" t="s">
        <v>43</v>
      </c>
      <c r="K78" s="51"/>
      <c r="L78" s="43"/>
      <c r="M78" s="44"/>
      <c r="N78" s="44"/>
      <c r="O78" s="44" t="s">
        <v>205</v>
      </c>
      <c r="P78" s="76"/>
      <c r="Q78" s="51"/>
      <c r="R78" s="43"/>
      <c r="S78" s="44"/>
      <c r="T78" s="71" t="s">
        <v>203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117</v>
      </c>
      <c r="B79" s="31" t="s">
        <v>210</v>
      </c>
      <c r="C79" s="31" t="s">
        <v>182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202</v>
      </c>
      <c r="J79" s="55" t="s">
        <v>73</v>
      </c>
      <c r="K79" s="51"/>
      <c r="L79" s="43"/>
      <c r="M79" s="44"/>
      <c r="N79" s="44"/>
      <c r="O79" s="44" t="s">
        <v>178</v>
      </c>
      <c r="P79" s="76"/>
      <c r="Q79" s="51"/>
      <c r="R79" s="43"/>
      <c r="S79" s="44"/>
      <c r="T79" s="71" t="s">
        <v>203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117</v>
      </c>
      <c r="B80" s="31" t="s">
        <v>211</v>
      </c>
      <c r="C80" s="31" t="s">
        <v>182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202</v>
      </c>
      <c r="J80" s="55"/>
      <c r="K80" s="51"/>
      <c r="L80" s="43"/>
      <c r="M80" s="44"/>
      <c r="N80" s="44"/>
      <c r="O80" s="44" t="s">
        <v>205</v>
      </c>
      <c r="P80" s="76"/>
      <c r="Q80" s="51"/>
      <c r="R80" s="43"/>
      <c r="S80" s="44"/>
      <c r="T80" s="71" t="s">
        <v>203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117</v>
      </c>
      <c r="B81" s="31" t="s">
        <v>212</v>
      </c>
      <c r="C81" s="31" t="s">
        <v>182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202</v>
      </c>
      <c r="J81" s="55"/>
      <c r="K81" s="51"/>
      <c r="L81" s="43"/>
      <c r="M81" s="44"/>
      <c r="N81" s="44"/>
      <c r="O81" s="44" t="s">
        <v>205</v>
      </c>
      <c r="P81" s="76"/>
      <c r="Q81" s="51"/>
      <c r="R81" s="43"/>
      <c r="S81" s="44"/>
      <c r="T81" s="70" t="s">
        <v>213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117</v>
      </c>
      <c r="B82" s="31" t="s">
        <v>214</v>
      </c>
      <c r="C82" s="31" t="s">
        <v>182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202</v>
      </c>
      <c r="J82" s="55"/>
      <c r="K82" s="51"/>
      <c r="L82" s="43"/>
      <c r="M82" s="44"/>
      <c r="N82" s="44"/>
      <c r="O82" s="36" t="s">
        <v>215</v>
      </c>
      <c r="P82" s="76"/>
      <c r="Q82" s="51"/>
      <c r="R82" s="43"/>
      <c r="S82" s="44"/>
      <c r="T82" s="70" t="s">
        <v>213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117</v>
      </c>
      <c r="B83" s="31" t="s">
        <v>216</v>
      </c>
      <c r="C83" s="31" t="s">
        <v>182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202</v>
      </c>
      <c r="J83" s="55"/>
      <c r="K83" s="51"/>
      <c r="L83" s="43"/>
      <c r="M83" s="44"/>
      <c r="N83" s="44"/>
      <c r="O83" s="36" t="s">
        <v>215</v>
      </c>
      <c r="P83" s="76"/>
      <c r="Q83" s="51"/>
      <c r="R83" s="43"/>
      <c r="S83" s="44"/>
      <c r="T83" s="70" t="s">
        <v>213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117</v>
      </c>
      <c r="B84" s="31" t="s">
        <v>217</v>
      </c>
      <c r="C84" s="31" t="s">
        <v>182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202</v>
      </c>
      <c r="J84" s="55"/>
      <c r="K84" s="51"/>
      <c r="L84" s="43"/>
      <c r="M84" s="44"/>
      <c r="N84" s="44"/>
      <c r="O84" s="36" t="s">
        <v>215</v>
      </c>
      <c r="P84" s="76"/>
      <c r="Q84" s="51"/>
      <c r="R84" s="43"/>
      <c r="S84" s="44"/>
      <c r="T84" s="70" t="s">
        <v>213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117</v>
      </c>
      <c r="B85" s="31" t="s">
        <v>218</v>
      </c>
      <c r="C85" s="31" t="s">
        <v>182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202</v>
      </c>
      <c r="J85" s="55"/>
      <c r="K85" s="51"/>
      <c r="L85" s="43"/>
      <c r="M85" s="44"/>
      <c r="N85" s="44"/>
      <c r="O85" s="36" t="s">
        <v>220</v>
      </c>
      <c r="P85" s="76"/>
      <c r="Q85" s="51"/>
      <c r="R85" s="43"/>
      <c r="S85" s="44"/>
      <c r="T85" s="70" t="s">
        <v>213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117</v>
      </c>
      <c r="B86" s="31" t="s">
        <v>221</v>
      </c>
      <c r="C86" s="31" t="s">
        <v>182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222</v>
      </c>
      <c r="J86" s="55"/>
      <c r="K86" s="51"/>
      <c r="L86" s="43"/>
      <c r="M86" s="44"/>
      <c r="N86" s="44"/>
      <c r="O86" s="36" t="s">
        <v>220</v>
      </c>
      <c r="P86" s="76"/>
      <c r="Q86" s="51"/>
      <c r="R86" s="43"/>
      <c r="S86" s="44"/>
      <c r="T86" s="70" t="s">
        <v>213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117</v>
      </c>
      <c r="B87" s="31" t="s">
        <v>223</v>
      </c>
      <c r="C87" s="31" t="s">
        <v>182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222</v>
      </c>
      <c r="J87" s="55"/>
      <c r="K87" s="51"/>
      <c r="L87" s="43"/>
      <c r="M87" s="44"/>
      <c r="N87" s="44"/>
      <c r="O87" s="36" t="s">
        <v>220</v>
      </c>
      <c r="P87" s="76"/>
      <c r="Q87" s="51"/>
      <c r="R87" s="43"/>
      <c r="S87" s="44"/>
      <c r="T87" s="70" t="s">
        <v>213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117</v>
      </c>
      <c r="B88" s="31" t="s">
        <v>224</v>
      </c>
      <c r="C88" s="31" t="s">
        <v>182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222</v>
      </c>
      <c r="J88" s="55"/>
      <c r="K88" s="51"/>
      <c r="L88" s="43"/>
      <c r="M88" s="44"/>
      <c r="N88" s="44"/>
      <c r="O88" s="36" t="s">
        <v>220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117</v>
      </c>
      <c r="B89" s="31" t="s">
        <v>226</v>
      </c>
      <c r="C89" s="31" t="s">
        <v>182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222</v>
      </c>
      <c r="J89" s="55"/>
      <c r="K89" s="51"/>
      <c r="L89" s="43"/>
      <c r="M89" s="44"/>
      <c r="N89" s="44"/>
      <c r="O89" s="36" t="s">
        <v>220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117</v>
      </c>
      <c r="B90" s="31" t="s">
        <v>227</v>
      </c>
      <c r="C90" s="31" t="s">
        <v>182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222</v>
      </c>
      <c r="J90" s="55"/>
      <c r="K90" s="51"/>
      <c r="L90" s="43"/>
      <c r="M90" s="44"/>
      <c r="N90" s="44"/>
      <c r="O90" s="36" t="s">
        <v>220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117</v>
      </c>
      <c r="B91" s="31" t="s">
        <v>228</v>
      </c>
      <c r="C91" s="31" t="s">
        <v>182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222</v>
      </c>
      <c r="J91" s="55"/>
      <c r="K91" s="51"/>
      <c r="L91" s="43"/>
      <c r="M91" s="44"/>
      <c r="N91" s="44"/>
      <c r="O91" s="36" t="s">
        <v>220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117</v>
      </c>
      <c r="B92" s="31" t="s">
        <v>229</v>
      </c>
      <c r="C92" s="31" t="s">
        <v>182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222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117</v>
      </c>
      <c r="B93" s="31" t="s">
        <v>231</v>
      </c>
      <c r="C93" s="31" t="s">
        <v>182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222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117</v>
      </c>
      <c r="B94" s="31" t="s">
        <v>232</v>
      </c>
      <c r="C94" s="31" t="s">
        <v>182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222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117</v>
      </c>
      <c r="B95" s="31" t="s">
        <v>233</v>
      </c>
      <c r="C95" s="31" t="s">
        <v>182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222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117</v>
      </c>
      <c r="B96" s="31" t="s">
        <v>235</v>
      </c>
      <c r="C96" s="31" t="s">
        <v>182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222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117</v>
      </c>
      <c r="B97" s="31" t="s">
        <v>236</v>
      </c>
      <c r="C97" s="31" t="s">
        <v>182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222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117</v>
      </c>
      <c r="B98" s="31" t="s">
        <v>237</v>
      </c>
      <c r="C98" s="31" t="s">
        <v>182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222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117</v>
      </c>
      <c r="B99" s="31" t="s">
        <v>238</v>
      </c>
      <c r="C99" s="31" t="s">
        <v>182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222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117</v>
      </c>
      <c r="B100" s="31" t="s">
        <v>240</v>
      </c>
      <c r="C100" s="31" t="s">
        <v>182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222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120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120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120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120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120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120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120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120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46268</v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F2:AF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4"/>
      <c r="C4" s="85"/>
      <c r="D4" s="85"/>
      <c r="E4" s="85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6"/>
      <c r="D6" s="86"/>
      <c r="E6" s="87"/>
    </row>
    <row r="7" spans="1:5">
      <c r="A7" s="42" t="s">
        <v>267</v>
      </c>
      <c r="B7" s="81" t="str">
        <f>IF($B$4="","",IFERROR(INDEX('Combined Delivery Data'!$C:$C,MATCH($B$4,'Combined Delivery Data'!$B:$B,0)),""))</f>
        <v/>
      </c>
      <c r="C7" s="86"/>
      <c r="D7" s="86"/>
      <c r="E7" s="87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6"/>
      <c r="D8" s="86"/>
      <c r="E8" s="87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6"/>
      <c r="D9" s="86"/>
      <c r="E9" s="87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6"/>
      <c r="D10" s="86"/>
      <c r="E10" s="87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6"/>
      <c r="D11" s="86"/>
      <c r="E11" s="87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6"/>
      <c r="D12" s="86"/>
      <c r="E12" s="87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6"/>
      <c r="D13" s="86"/>
      <c r="E13" s="87"/>
    </row>
    <row r="14" spans="1:5">
      <c r="A14" s="42" t="s">
        <v>268</v>
      </c>
      <c r="B14" s="80" t="str">
        <f>IF($B$4="","",IFERROR(INDEX('Combined Delivery Data'!$K:$K,MATCH($B$4,'Combined Delivery Data'!$B:$B,0)),""))</f>
        <v/>
      </c>
      <c r="C14" s="86"/>
      <c r="D14" s="86"/>
      <c r="E14" s="87"/>
    </row>
    <row r="15" spans="1:5">
      <c r="A15" s="42" t="s">
        <v>269</v>
      </c>
      <c r="B15" s="80" t="str">
        <f>IF($B$4="","",IFERROR(INDEX('Combined Delivery Data'!$L:$L,MATCH($B$4,'Combined Delivery Data'!$B:$B,0)),""))</f>
        <v/>
      </c>
      <c r="C15" s="86"/>
      <c r="D15" s="86"/>
      <c r="E15" s="87"/>
    </row>
    <row r="16" spans="1:5">
      <c r="A16" s="42" t="s">
        <v>270</v>
      </c>
      <c r="B16" s="80" t="str">
        <f>IF($B$4="","",IFERROR(INDEX('Combined Delivery Data'!$M:$M,MATCH($B$4,'Combined Delivery Data'!$B:$B,0)),""))</f>
        <v/>
      </c>
      <c r="C16" s="86"/>
      <c r="D16" s="86"/>
      <c r="E16" s="87"/>
    </row>
    <row r="17" spans="1:5">
      <c r="A17" s="42" t="s">
        <v>271</v>
      </c>
      <c r="B17" s="80" t="str">
        <f>IF($B$4="","",IFERROR(INDEX('Combined Delivery Data'!$O:$O,MATCH($B$4,'Combined Delivery Data'!$B:$B,0)),""))</f>
        <v/>
      </c>
      <c r="C17" s="86"/>
      <c r="D17" s="86"/>
      <c r="E17" s="87"/>
    </row>
    <row r="18" spans="1:5">
      <c r="A18" s="42" t="s">
        <v>272</v>
      </c>
      <c r="B18" s="80" t="str">
        <f>IF($B$4="","",IFERROR(INDEX('Combined Delivery Data'!$Q:$Q,MATCH($B$4,'Combined Delivery Data'!$B:$B,0)),""))</f>
        <v/>
      </c>
      <c r="C18" s="86"/>
      <c r="D18" s="86"/>
      <c r="E18" s="87"/>
    </row>
    <row r="19" spans="1:5">
      <c r="A19" s="42" t="s">
        <v>273</v>
      </c>
      <c r="B19" s="80" t="str">
        <f>IF($B$4="","",IFERROR(INDEX('Combined Delivery Data'!$R:$R,MATCH($B$4,'Combined Delivery Data'!$B:$B,0)),""))</f>
        <v/>
      </c>
      <c r="C19" s="86"/>
      <c r="D19" s="86"/>
      <c r="E19" s="87"/>
    </row>
    <row r="20" spans="1:5">
      <c r="A20" s="42" t="s">
        <v>274</v>
      </c>
      <c r="B20" s="80" t="str">
        <f>IF($B$4="","",IFERROR(INDEX('Combined Delivery Data'!$S:$S,MATCH($B$4,'Combined Delivery Data'!$B:$B,0)),""))</f>
        <v/>
      </c>
      <c r="C20" s="86"/>
      <c r="D20" s="86"/>
      <c r="E20" s="87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6"/>
      <c r="D21" s="86"/>
      <c r="E21" s="87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6"/>
      <c r="D22" s="86"/>
      <c r="E22" s="87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6"/>
      <c r="D23" s="86"/>
      <c r="E23" s="87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6"/>
      <c r="D24" s="86"/>
      <c r="E24" s="87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6"/>
      <c r="D25" s="86"/>
      <c r="E25" s="87"/>
    </row>
    <row r="26" spans="1:5">
      <c r="A26" s="42" t="s">
        <v>275</v>
      </c>
      <c r="B26" s="81" t="str">
        <f>IF($B$4="","",IFERROR(INDEX('Rework Log'!$Q:$Q,MATCH($B$4,'Rework Log'!$P:$P,0)),""))</f>
        <v/>
      </c>
      <c r="C26" s="86"/>
      <c r="D26" s="86"/>
      <c r="E26" s="87"/>
    </row>
    <row r="27" spans="1:5">
      <c r="A27" s="42" t="s">
        <v>276</v>
      </c>
      <c r="B27" s="81" t="str">
        <f>IF($B$4="","",IFERROR(INDEX('Rework Log'!$R:$R,MATCH($B$4,'Rework Log'!$P:$P,0)),""))</f>
        <v/>
      </c>
      <c r="C27" s="86"/>
      <c r="D27" s="86"/>
      <c r="E27" s="87"/>
    </row>
    <row r="28" spans="1:5">
      <c r="A28" s="42" t="s">
        <v>277</v>
      </c>
      <c r="B28" s="81" t="str">
        <f>IF($B$4="","",IFERROR(INDEX('Rework Log'!$S:$S,MATCH($B$4,'Rework Log'!$P:$P,0)),""))</f>
        <v/>
      </c>
      <c r="C28" s="86"/>
      <c r="D28" s="86"/>
      <c r="E28" s="87"/>
    </row>
    <row r="29" spans="1:5">
      <c r="A29" s="42" t="s">
        <v>278</v>
      </c>
      <c r="B29" s="81" t="str">
        <f>IF($B$4="","",IFERROR(INDEX('Rework Log'!$T:$T,MATCH($B$4,'Rework Log'!$P:$P,0)),""))</f>
        <v/>
      </c>
      <c r="C29" s="86"/>
      <c r="D29" s="86"/>
      <c r="E29" s="87"/>
    </row>
    <row r="30" spans="1:5" ht="15.6" customHeight="1">
      <c r="A30" s="42"/>
      <c r="B30" s="81"/>
      <c r="C30" s="86"/>
      <c r="D30" s="86"/>
      <c r="E30" s="87"/>
    </row>
    <row r="31" spans="1:5" ht="15.6" customHeight="1">
      <c r="A31" s="5" t="s">
        <v>36</v>
      </c>
      <c r="B31" s="88" t="str">
        <f>IF($B$4="","",IFERROR(INDEX('Combined Delivery Data'!$AC:$AC,MATCH($B$4,'Combined Delivery Data'!$B:$B,0)),""))</f>
        <v/>
      </c>
      <c r="C31" s="85"/>
      <c r="D31" s="85"/>
      <c r="E31" s="85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9" t="s">
        <v>280</v>
      </c>
      <c r="Q1" s="89"/>
      <c r="R1" s="89"/>
      <c r="S1" s="89"/>
      <c r="T1" s="89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129</v>
      </c>
      <c r="D3" s="33" t="s">
        <v>191</v>
      </c>
      <c r="E3" s="33" t="s">
        <v>134</v>
      </c>
      <c r="F3" s="33" t="s">
        <v>294</v>
      </c>
      <c r="G3" s="33" t="s">
        <v>48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48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129</v>
      </c>
      <c r="D4" s="31" t="s">
        <v>191</v>
      </c>
      <c r="E4" s="31" t="s">
        <v>134</v>
      </c>
      <c r="F4" s="31" t="s">
        <v>295</v>
      </c>
      <c r="G4" s="31" t="s">
        <v>48</v>
      </c>
      <c r="H4" s="32"/>
      <c r="I4" s="32"/>
      <c r="J4" s="32">
        <v>46247</v>
      </c>
      <c r="K4" s="31" t="s">
        <v>58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118</v>
      </c>
      <c r="B5" s="32">
        <v>46238</v>
      </c>
      <c r="C5" s="31" t="s">
        <v>129</v>
      </c>
      <c r="D5" s="31" t="s">
        <v>191</v>
      </c>
      <c r="E5" s="31" t="s">
        <v>120</v>
      </c>
      <c r="F5" s="31" t="s">
        <v>297</v>
      </c>
      <c r="G5" s="31" t="s">
        <v>48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48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129</v>
      </c>
      <c r="D6" s="31" t="s">
        <v>191</v>
      </c>
      <c r="E6" s="31" t="s">
        <v>120</v>
      </c>
      <c r="F6" s="31" t="s">
        <v>298</v>
      </c>
      <c r="G6" s="31" t="s">
        <v>48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48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124</v>
      </c>
      <c r="B7" s="32">
        <v>46239</v>
      </c>
      <c r="C7" s="31" t="s">
        <v>129</v>
      </c>
      <c r="D7" s="31" t="s">
        <v>191</v>
      </c>
      <c r="E7" s="31" t="s">
        <v>120</v>
      </c>
      <c r="F7" s="31" t="s">
        <v>299</v>
      </c>
      <c r="G7" s="31" t="s">
        <v>48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48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124</v>
      </c>
      <c r="B8" s="32">
        <v>46246</v>
      </c>
      <c r="C8" s="31" t="s">
        <v>129</v>
      </c>
      <c r="D8" s="31" t="s">
        <v>191</v>
      </c>
      <c r="E8" s="31" t="s">
        <v>120</v>
      </c>
      <c r="F8" s="31" t="s">
        <v>300</v>
      </c>
      <c r="G8" s="31" t="s">
        <v>48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141</v>
      </c>
      <c r="B9" s="32">
        <v>46251</v>
      </c>
      <c r="C9" s="31" t="s">
        <v>129</v>
      </c>
      <c r="D9" s="31" t="s">
        <v>191</v>
      </c>
      <c r="E9" s="31" t="s">
        <v>134</v>
      </c>
      <c r="F9" s="31" t="s">
        <v>302</v>
      </c>
      <c r="G9" s="31" t="s">
        <v>48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129</v>
      </c>
      <c r="D10" s="31" t="s">
        <v>191</v>
      </c>
      <c r="E10" s="31" t="s">
        <v>134</v>
      </c>
      <c r="F10" s="31" t="s">
        <v>295</v>
      </c>
      <c r="G10" s="31" t="s">
        <v>48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124</v>
      </c>
      <c r="B11" s="32">
        <v>46254</v>
      </c>
      <c r="C11" s="31" t="s">
        <v>129</v>
      </c>
      <c r="D11" s="31" t="s">
        <v>191</v>
      </c>
      <c r="E11" s="31" t="s">
        <v>120</v>
      </c>
      <c r="F11" s="31" t="s">
        <v>297</v>
      </c>
      <c r="G11" s="31" t="s">
        <v>48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48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139</v>
      </c>
      <c r="B12" s="32">
        <v>46254</v>
      </c>
      <c r="C12" s="31" t="s">
        <v>129</v>
      </c>
      <c r="D12" s="31" t="s">
        <v>191</v>
      </c>
      <c r="E12" s="31" t="s">
        <v>134</v>
      </c>
      <c r="F12" s="31" t="s">
        <v>303</v>
      </c>
      <c r="G12" s="31" t="s">
        <v>48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128</v>
      </c>
      <c r="B13" s="32">
        <v>46258</v>
      </c>
      <c r="C13" s="31" t="s">
        <v>129</v>
      </c>
      <c r="D13" s="31" t="s">
        <v>191</v>
      </c>
      <c r="E13" s="31" t="s">
        <v>120</v>
      </c>
      <c r="F13" s="31" t="s">
        <v>305</v>
      </c>
      <c r="G13" s="31" t="s">
        <v>51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136</v>
      </c>
      <c r="B14" s="32">
        <v>46258</v>
      </c>
      <c r="C14" s="31" t="s">
        <v>129</v>
      </c>
      <c r="D14" s="31" t="s">
        <v>161</v>
      </c>
      <c r="E14" s="31" t="s">
        <v>134</v>
      </c>
      <c r="F14" s="31" t="s">
        <v>306</v>
      </c>
      <c r="G14" s="31" t="s">
        <v>51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48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144</v>
      </c>
      <c r="B15" s="32">
        <v>46258</v>
      </c>
      <c r="C15" s="31" t="s">
        <v>129</v>
      </c>
      <c r="D15" s="31" t="s">
        <v>161</v>
      </c>
      <c r="E15" s="31" t="s">
        <v>134</v>
      </c>
      <c r="F15" s="31" t="s">
        <v>307</v>
      </c>
      <c r="G15" s="31" t="s">
        <v>48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138</v>
      </c>
      <c r="B16" s="32">
        <v>46258</v>
      </c>
      <c r="C16" s="31" t="s">
        <v>129</v>
      </c>
      <c r="D16" s="31" t="s">
        <v>191</v>
      </c>
      <c r="E16" s="31" t="s">
        <v>134</v>
      </c>
      <c r="F16" s="31" t="s">
        <v>308</v>
      </c>
      <c r="G16" s="31" t="s">
        <v>51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257</v>
      </c>
      <c r="B17" s="32">
        <v>46260</v>
      </c>
      <c r="C17" s="31" t="s">
        <v>129</v>
      </c>
      <c r="D17" s="31" t="s">
        <v>161</v>
      </c>
      <c r="E17" s="31" t="s">
        <v>46</v>
      </c>
      <c r="F17" s="31" t="s">
        <v>309</v>
      </c>
      <c r="G17" s="31" t="s">
        <v>51</v>
      </c>
      <c r="H17" s="32"/>
      <c r="I17" s="32">
        <v>46262</v>
      </c>
      <c r="J17" s="32">
        <v>46265</v>
      </c>
      <c r="K17" s="31" t="s">
        <v>45</v>
      </c>
      <c r="L17" s="31" t="s">
        <v>310</v>
      </c>
      <c r="M17" s="3" t="str">
        <f t="shared" ca="1" si="0"/>
        <v>Fixed</v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129</v>
      </c>
      <c r="D18" s="31"/>
      <c r="E18" s="31"/>
      <c r="F18" s="31"/>
      <c r="G18" s="31" t="s">
        <v>51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129</v>
      </c>
      <c r="D19" s="31"/>
      <c r="E19" s="31"/>
      <c r="F19" s="31"/>
      <c r="G19" s="31" t="s">
        <v>51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129</v>
      </c>
      <c r="D20" s="31"/>
      <c r="E20" s="31"/>
      <c r="F20" s="31"/>
      <c r="G20" s="31" t="s">
        <v>51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129</v>
      </c>
      <c r="D21" s="31"/>
      <c r="E21" s="31"/>
      <c r="F21" s="31"/>
      <c r="G21" s="31" t="s">
        <v>51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129</v>
      </c>
      <c r="D22" s="31"/>
      <c r="E22" s="31"/>
      <c r="F22" s="31"/>
      <c r="G22" s="31" t="s">
        <v>51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129</v>
      </c>
      <c r="D23" s="31"/>
      <c r="E23" s="31"/>
      <c r="F23" s="31"/>
      <c r="G23" s="31" t="s">
        <v>51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129</v>
      </c>
      <c r="D24" s="31"/>
      <c r="E24" s="31"/>
      <c r="F24" s="31"/>
      <c r="G24" s="31" t="s">
        <v>51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129</v>
      </c>
      <c r="D25" s="31"/>
      <c r="E25" s="31"/>
      <c r="F25" s="31"/>
      <c r="G25" s="31" t="s">
        <v>51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129</v>
      </c>
      <c r="D26" s="31"/>
      <c r="E26" s="31"/>
      <c r="F26" s="31"/>
      <c r="G26" s="31" t="s">
        <v>51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129</v>
      </c>
      <c r="D27" s="31"/>
      <c r="E27" s="31"/>
      <c r="F27" s="31"/>
      <c r="G27" s="31" t="s">
        <v>51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129</v>
      </c>
      <c r="D28" s="31"/>
      <c r="E28" s="31"/>
      <c r="F28" s="31"/>
      <c r="G28" s="31" t="s">
        <v>51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129</v>
      </c>
      <c r="D29" s="31"/>
      <c r="E29" s="31"/>
      <c r="F29" s="31"/>
      <c r="G29" s="31" t="s">
        <v>51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129</v>
      </c>
      <c r="D30" s="31"/>
      <c r="E30" s="31"/>
      <c r="F30" s="31"/>
      <c r="G30" s="31" t="s">
        <v>51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129</v>
      </c>
      <c r="D31" s="31"/>
      <c r="E31" s="31"/>
      <c r="F31" s="31"/>
      <c r="G31" s="31" t="s">
        <v>51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129</v>
      </c>
      <c r="D32" s="31"/>
      <c r="E32" s="31"/>
      <c r="F32" s="31"/>
      <c r="G32" s="31" t="s">
        <v>51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129</v>
      </c>
      <c r="D33" s="31"/>
      <c r="E33" s="31"/>
      <c r="F33" s="31"/>
      <c r="G33" s="31" t="s">
        <v>51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129</v>
      </c>
      <c r="D34" s="31"/>
      <c r="E34" s="31"/>
      <c r="F34" s="31"/>
      <c r="G34" s="31" t="s">
        <v>51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129</v>
      </c>
      <c r="D35" s="31"/>
      <c r="E35" s="31"/>
      <c r="F35" s="31"/>
      <c r="G35" s="31" t="s">
        <v>51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129</v>
      </c>
      <c r="D36" s="31"/>
      <c r="E36" s="31"/>
      <c r="F36" s="31"/>
      <c r="G36" s="31" t="s">
        <v>51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129</v>
      </c>
      <c r="D37" s="31"/>
      <c r="E37" s="31"/>
      <c r="F37" s="31"/>
      <c r="G37" s="31" t="s">
        <v>51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129</v>
      </c>
      <c r="D38" s="31"/>
      <c r="E38" s="31"/>
      <c r="F38" s="31"/>
      <c r="G38" s="31" t="s">
        <v>51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129</v>
      </c>
      <c r="D39" s="31"/>
      <c r="E39" s="31"/>
      <c r="F39" s="31"/>
      <c r="G39" s="31" t="s">
        <v>51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129</v>
      </c>
      <c r="D40" s="31"/>
      <c r="E40" s="31"/>
      <c r="F40" s="31"/>
      <c r="G40" s="31" t="s">
        <v>51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129</v>
      </c>
      <c r="D41" s="31"/>
      <c r="E41" s="31"/>
      <c r="F41" s="31"/>
      <c r="G41" s="31" t="s">
        <v>51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129</v>
      </c>
      <c r="D42" s="31"/>
      <c r="E42" s="31"/>
      <c r="F42" s="31"/>
      <c r="G42" s="31" t="s">
        <v>51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129</v>
      </c>
      <c r="D43" s="31"/>
      <c r="E43" s="31"/>
      <c r="F43" s="31"/>
      <c r="G43" s="31" t="s">
        <v>51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129</v>
      </c>
      <c r="D44" s="31"/>
      <c r="E44" s="31"/>
      <c r="F44" s="31"/>
      <c r="G44" s="31" t="s">
        <v>51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129</v>
      </c>
      <c r="D45" s="31"/>
      <c r="E45" s="31"/>
      <c r="F45" s="31"/>
      <c r="G45" s="31" t="s">
        <v>51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129</v>
      </c>
      <c r="D46" s="31"/>
      <c r="E46" s="31"/>
      <c r="F46" s="31"/>
      <c r="G46" s="31" t="s">
        <v>51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129</v>
      </c>
      <c r="D47" s="31"/>
      <c r="E47" s="31"/>
      <c r="F47" s="31"/>
      <c r="G47" s="31" t="s">
        <v>51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129</v>
      </c>
      <c r="D48" s="31"/>
      <c r="E48" s="31"/>
      <c r="F48" s="31"/>
      <c r="G48" s="31" t="s">
        <v>51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129</v>
      </c>
      <c r="D49" s="31"/>
      <c r="E49" s="31"/>
      <c r="F49" s="31"/>
      <c r="G49" s="31" t="s">
        <v>51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129</v>
      </c>
      <c r="D50" s="31"/>
      <c r="E50" s="31"/>
      <c r="F50" s="31"/>
      <c r="G50" s="31" t="s">
        <v>51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129</v>
      </c>
      <c r="D51" s="31"/>
      <c r="E51" s="31"/>
      <c r="F51" s="31"/>
      <c r="G51" s="31" t="s">
        <v>51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129</v>
      </c>
      <c r="D52" s="31"/>
      <c r="E52" s="31"/>
      <c r="F52" s="31"/>
      <c r="G52" s="31" t="s">
        <v>51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129</v>
      </c>
      <c r="D53" s="31"/>
      <c r="E53" s="31"/>
      <c r="F53" s="31"/>
      <c r="G53" s="31" t="s">
        <v>51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129</v>
      </c>
      <c r="D54" s="31"/>
      <c r="E54" s="31"/>
      <c r="F54" s="31"/>
      <c r="G54" s="31" t="s">
        <v>51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129</v>
      </c>
      <c r="D55" s="31"/>
      <c r="E55" s="31"/>
      <c r="F55" s="31"/>
      <c r="G55" s="31" t="s">
        <v>51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129</v>
      </c>
      <c r="D56" s="31"/>
      <c r="E56" s="31"/>
      <c r="F56" s="31"/>
      <c r="G56" s="31" t="s">
        <v>51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129</v>
      </c>
      <c r="D57" s="31"/>
      <c r="E57" s="31"/>
      <c r="F57" s="31"/>
      <c r="G57" s="31" t="s">
        <v>51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129</v>
      </c>
      <c r="D58" s="31"/>
      <c r="E58" s="31"/>
      <c r="F58" s="31"/>
      <c r="G58" s="31" t="s">
        <v>51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129</v>
      </c>
      <c r="D59" s="31"/>
      <c r="E59" s="31"/>
      <c r="F59" s="31"/>
      <c r="G59" s="31" t="s">
        <v>51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129</v>
      </c>
      <c r="D60" s="31"/>
      <c r="E60" s="31"/>
      <c r="F60" s="31"/>
      <c r="G60" s="31" t="s">
        <v>51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129</v>
      </c>
      <c r="D61" s="31"/>
      <c r="E61" s="31"/>
      <c r="F61" s="31"/>
      <c r="G61" s="31" t="s">
        <v>51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129</v>
      </c>
      <c r="D62" s="31"/>
      <c r="E62" s="31"/>
      <c r="F62" s="31"/>
      <c r="G62" s="31" t="s">
        <v>51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129</v>
      </c>
      <c r="D63" s="31"/>
      <c r="E63" s="31"/>
      <c r="F63" s="31"/>
      <c r="G63" s="31" t="s">
        <v>51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129</v>
      </c>
      <c r="D64" s="31"/>
      <c r="E64" s="31"/>
      <c r="F64" s="31"/>
      <c r="G64" s="31" t="s">
        <v>51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129</v>
      </c>
      <c r="D65" s="31"/>
      <c r="E65" s="31"/>
      <c r="F65" s="31"/>
      <c r="G65" s="31" t="s">
        <v>51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129</v>
      </c>
      <c r="D66" s="31"/>
      <c r="E66" s="31"/>
      <c r="F66" s="31"/>
      <c r="G66" s="31" t="s">
        <v>51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129</v>
      </c>
      <c r="D67" s="31"/>
      <c r="E67" s="31"/>
      <c r="F67" s="31"/>
      <c r="G67" s="31" t="s">
        <v>51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129</v>
      </c>
      <c r="D68" s="31"/>
      <c r="E68" s="31"/>
      <c r="F68" s="31"/>
      <c r="G68" s="31" t="s">
        <v>51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129</v>
      </c>
      <c r="D69" s="31"/>
      <c r="E69" s="31"/>
      <c r="F69" s="31"/>
      <c r="G69" s="31" t="s">
        <v>51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129</v>
      </c>
      <c r="D70" s="31"/>
      <c r="E70" s="31"/>
      <c r="F70" s="31"/>
      <c r="G70" s="31" t="s">
        <v>51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129</v>
      </c>
      <c r="D71" s="31"/>
      <c r="E71" s="31"/>
      <c r="F71" s="31"/>
      <c r="G71" s="31" t="s">
        <v>51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129</v>
      </c>
      <c r="D72" s="31"/>
      <c r="E72" s="31"/>
      <c r="F72" s="31"/>
      <c r="G72" s="31" t="s">
        <v>51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129</v>
      </c>
      <c r="D73" s="31"/>
      <c r="E73" s="31"/>
      <c r="F73" s="31"/>
      <c r="G73" s="31" t="s">
        <v>51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129</v>
      </c>
      <c r="D74" s="31"/>
      <c r="E74" s="31"/>
      <c r="F74" s="31"/>
      <c r="G74" s="31" t="s">
        <v>51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129</v>
      </c>
      <c r="D75" s="31"/>
      <c r="E75" s="31"/>
      <c r="F75" s="31"/>
      <c r="G75" s="31" t="s">
        <v>51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129</v>
      </c>
      <c r="D76" s="31"/>
      <c r="E76" s="31"/>
      <c r="F76" s="31"/>
      <c r="G76" s="31" t="s">
        <v>51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129</v>
      </c>
      <c r="D77" s="31"/>
      <c r="E77" s="31"/>
      <c r="F77" s="31"/>
      <c r="G77" s="31" t="s">
        <v>51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129</v>
      </c>
      <c r="D78" s="31"/>
      <c r="E78" s="31"/>
      <c r="F78" s="31"/>
      <c r="G78" s="31" t="s">
        <v>51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129</v>
      </c>
      <c r="D79" s="31"/>
      <c r="E79" s="31"/>
      <c r="F79" s="31"/>
      <c r="G79" s="31" t="s">
        <v>51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129</v>
      </c>
      <c r="D80" s="31"/>
      <c r="E80" s="31"/>
      <c r="F80" s="31"/>
      <c r="G80" s="31" t="s">
        <v>51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129</v>
      </c>
      <c r="D81" s="31"/>
      <c r="E81" s="31"/>
      <c r="F81" s="31"/>
      <c r="G81" s="31" t="s">
        <v>51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129</v>
      </c>
      <c r="D82" s="31"/>
      <c r="E82" s="31"/>
      <c r="F82" s="31"/>
      <c r="G82" s="31" t="s">
        <v>51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129</v>
      </c>
      <c r="D83" s="31"/>
      <c r="E83" s="31"/>
      <c r="F83" s="31"/>
      <c r="G83" s="31" t="s">
        <v>51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129</v>
      </c>
      <c r="D84" s="31"/>
      <c r="E84" s="31"/>
      <c r="F84" s="31"/>
      <c r="G84" s="31" t="s">
        <v>51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129</v>
      </c>
      <c r="D85" s="31"/>
      <c r="E85" s="31"/>
      <c r="F85" s="31"/>
      <c r="G85" s="31" t="s">
        <v>51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1</v>
      </c>
      <c r="R85">
        <f>IF($P85="","",SUMPRODUCT(($A$3:$A$500=$P85)*($G$3:$G$500&lt;&gt;"Yes")*($G$3:$G$500&lt;&gt;"Did not pass re-test")))</f>
        <v>1</v>
      </c>
      <c r="S85" s="28">
        <f>IF($P85="","",IF(SUMPRODUCT(MAX(($A$3:$A$500=$P85)*ROW($A$3:$A$500)))=0,"",INDEX($B:$B,SUMPRODUCT(MAX(($A$3:$A$500=$P85)*ROW($A$3:$A$500))))))</f>
        <v>46260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>QA -&gt; PBI Dev</v>
      </c>
    </row>
    <row r="86" spans="1:20">
      <c r="A86" s="31"/>
      <c r="B86" s="32"/>
      <c r="C86" s="31" t="s">
        <v>129</v>
      </c>
      <c r="D86" s="31"/>
      <c r="E86" s="31"/>
      <c r="F86" s="31"/>
      <c r="G86" s="31" t="s">
        <v>51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129</v>
      </c>
      <c r="D87" s="31"/>
      <c r="E87" s="31"/>
      <c r="F87" s="31"/>
      <c r="G87" s="31" t="s">
        <v>51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129</v>
      </c>
      <c r="D88" s="31"/>
      <c r="E88" s="31"/>
      <c r="F88" s="31"/>
      <c r="G88" s="31" t="s">
        <v>51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129</v>
      </c>
      <c r="D89" s="31"/>
      <c r="E89" s="31"/>
      <c r="F89" s="31"/>
      <c r="G89" s="31" t="s">
        <v>51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129</v>
      </c>
      <c r="D90" s="31"/>
      <c r="E90" s="31"/>
      <c r="F90" s="31"/>
      <c r="G90" s="31" t="s">
        <v>51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129</v>
      </c>
      <c r="D91" s="31"/>
      <c r="E91" s="31"/>
      <c r="F91" s="31"/>
      <c r="G91" s="31" t="s">
        <v>51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129</v>
      </c>
      <c r="D92" s="31"/>
      <c r="E92" s="31"/>
      <c r="F92" s="31"/>
      <c r="G92" s="31" t="s">
        <v>51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129</v>
      </c>
      <c r="D93" s="31"/>
      <c r="E93" s="31"/>
      <c r="F93" s="31"/>
      <c r="G93" s="31" t="s">
        <v>51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129</v>
      </c>
      <c r="D94" s="31"/>
      <c r="E94" s="31"/>
      <c r="F94" s="31"/>
      <c r="G94" s="31" t="s">
        <v>51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129</v>
      </c>
      <c r="D95" s="31"/>
      <c r="E95" s="31"/>
      <c r="F95" s="31"/>
      <c r="G95" s="31" t="s">
        <v>51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129</v>
      </c>
      <c r="D96" s="31"/>
      <c r="E96" s="31"/>
      <c r="F96" s="31"/>
      <c r="G96" s="31" t="s">
        <v>51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129</v>
      </c>
      <c r="D97" s="31"/>
      <c r="E97" s="31"/>
      <c r="F97" s="31"/>
      <c r="G97" s="31" t="s">
        <v>51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129</v>
      </c>
      <c r="D98" s="31"/>
      <c r="E98" s="31"/>
      <c r="F98" s="31"/>
      <c r="G98" s="31" t="s">
        <v>51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129</v>
      </c>
      <c r="D99" s="31"/>
      <c r="E99" s="31"/>
      <c r="F99" s="31"/>
      <c r="G99" s="31" t="s">
        <v>51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129</v>
      </c>
      <c r="D100" s="31"/>
      <c r="E100" s="31"/>
      <c r="F100" s="31"/>
      <c r="G100" s="31" t="s">
        <v>51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129</v>
      </c>
      <c r="D101" s="31"/>
      <c r="E101" s="31"/>
      <c r="F101" s="31"/>
      <c r="G101" s="31" t="s">
        <v>51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129</v>
      </c>
      <c r="D102" s="31"/>
      <c r="E102" s="31"/>
      <c r="F102" s="31"/>
      <c r="G102" s="31" t="s">
        <v>51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129</v>
      </c>
      <c r="D103" s="31"/>
      <c r="E103" s="31"/>
      <c r="F103" s="31"/>
      <c r="G103" s="31" t="s">
        <v>51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129</v>
      </c>
      <c r="D104" s="31"/>
      <c r="E104" s="31"/>
      <c r="F104" s="31"/>
      <c r="G104" s="31" t="s">
        <v>51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129</v>
      </c>
      <c r="D105" s="31"/>
      <c r="E105" s="31"/>
      <c r="F105" s="31"/>
      <c r="G105" s="31" t="s">
        <v>51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129</v>
      </c>
      <c r="D106" s="31"/>
      <c r="E106" s="31"/>
      <c r="F106" s="31"/>
      <c r="G106" s="31" t="s">
        <v>51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129</v>
      </c>
      <c r="D107" s="31"/>
      <c r="E107" s="31"/>
      <c r="F107" s="31"/>
      <c r="G107" s="31" t="s">
        <v>51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129</v>
      </c>
      <c r="D108" s="31"/>
      <c r="E108" s="31"/>
      <c r="F108" s="31"/>
      <c r="G108" s="31" t="s">
        <v>51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129</v>
      </c>
      <c r="D109" s="31"/>
      <c r="E109" s="31"/>
      <c r="F109" s="31"/>
      <c r="G109" s="31" t="s">
        <v>51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129</v>
      </c>
      <c r="D110" s="31"/>
      <c r="E110" s="31"/>
      <c r="F110" s="31"/>
      <c r="G110" s="31" t="s">
        <v>51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129</v>
      </c>
      <c r="D111" s="31"/>
      <c r="E111" s="31"/>
      <c r="F111" s="31"/>
      <c r="G111" s="31" t="s">
        <v>51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129</v>
      </c>
      <c r="D112" s="31"/>
      <c r="E112" s="31"/>
      <c r="F112" s="31"/>
      <c r="G112" s="31" t="s">
        <v>51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129</v>
      </c>
      <c r="D113" s="31"/>
      <c r="E113" s="31"/>
      <c r="F113" s="31"/>
      <c r="G113" s="31" t="s">
        <v>51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129</v>
      </c>
      <c r="D114" s="31"/>
      <c r="E114" s="31"/>
      <c r="F114" s="31"/>
      <c r="G114" s="31" t="s">
        <v>51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129</v>
      </c>
      <c r="D115" s="31"/>
      <c r="E115" s="31"/>
      <c r="F115" s="31"/>
      <c r="G115" s="31" t="s">
        <v>51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129</v>
      </c>
      <c r="D116" s="31"/>
      <c r="E116" s="31"/>
      <c r="F116" s="31"/>
      <c r="G116" s="31" t="s">
        <v>51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129</v>
      </c>
      <c r="D117" s="31"/>
      <c r="E117" s="31"/>
      <c r="F117" s="31"/>
      <c r="G117" s="31" t="s">
        <v>51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129</v>
      </c>
      <c r="D118" s="31"/>
      <c r="E118" s="31"/>
      <c r="F118" s="31"/>
      <c r="G118" s="31" t="s">
        <v>51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129</v>
      </c>
      <c r="D119" s="31"/>
      <c r="E119" s="31"/>
      <c r="F119" s="31"/>
      <c r="G119" s="31" t="s">
        <v>51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129</v>
      </c>
      <c r="D120" s="31"/>
      <c r="E120" s="31"/>
      <c r="F120" s="31"/>
      <c r="G120" s="31" t="s">
        <v>51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129</v>
      </c>
      <c r="D121" s="31"/>
      <c r="E121" s="31"/>
      <c r="F121" s="31"/>
      <c r="G121" s="31" t="s">
        <v>51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129</v>
      </c>
      <c r="D122" s="31"/>
      <c r="E122" s="31"/>
      <c r="F122" s="31"/>
      <c r="G122" s="31" t="s">
        <v>51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129</v>
      </c>
      <c r="D123" s="31"/>
      <c r="E123" s="31"/>
      <c r="F123" s="31"/>
      <c r="G123" s="31" t="s">
        <v>51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129</v>
      </c>
      <c r="D124" s="31"/>
      <c r="E124" s="31"/>
      <c r="F124" s="31"/>
      <c r="G124" s="31" t="s">
        <v>51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129</v>
      </c>
      <c r="D125" s="31"/>
      <c r="E125" s="31"/>
      <c r="F125" s="31"/>
      <c r="G125" s="31" t="s">
        <v>51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129</v>
      </c>
      <c r="D126" s="31"/>
      <c r="E126" s="31"/>
      <c r="F126" s="31"/>
      <c r="G126" s="31" t="s">
        <v>51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129</v>
      </c>
      <c r="D127" s="31"/>
      <c r="E127" s="31"/>
      <c r="F127" s="31"/>
      <c r="G127" s="31" t="s">
        <v>51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129</v>
      </c>
      <c r="D128" s="31"/>
      <c r="E128" s="31"/>
      <c r="F128" s="31"/>
      <c r="G128" s="31" t="s">
        <v>51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129</v>
      </c>
      <c r="D129" s="31"/>
      <c r="E129" s="31"/>
      <c r="F129" s="31"/>
      <c r="G129" s="31" t="s">
        <v>51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129</v>
      </c>
      <c r="D130" s="31"/>
      <c r="E130" s="31"/>
      <c r="F130" s="31"/>
      <c r="G130" s="31" t="s">
        <v>51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129</v>
      </c>
      <c r="D131" s="31"/>
      <c r="E131" s="31"/>
      <c r="F131" s="31"/>
      <c r="G131" s="31" t="s">
        <v>51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129</v>
      </c>
      <c r="D132" s="31"/>
      <c r="E132" s="31"/>
      <c r="F132" s="31"/>
      <c r="G132" s="31" t="s">
        <v>51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129</v>
      </c>
      <c r="D133" s="31"/>
      <c r="E133" s="31"/>
      <c r="F133" s="31"/>
      <c r="G133" s="31" t="s">
        <v>51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129</v>
      </c>
      <c r="D134" s="31"/>
      <c r="E134" s="31"/>
      <c r="F134" s="31"/>
      <c r="G134" s="31" t="s">
        <v>51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129</v>
      </c>
      <c r="D135" s="31"/>
      <c r="E135" s="31"/>
      <c r="F135" s="31"/>
      <c r="G135" s="31" t="s">
        <v>51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129</v>
      </c>
      <c r="D136" s="31"/>
      <c r="E136" s="31"/>
      <c r="F136" s="31"/>
      <c r="G136" s="31" t="s">
        <v>51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129</v>
      </c>
      <c r="D137" s="31"/>
      <c r="E137" s="31"/>
      <c r="F137" s="31"/>
      <c r="G137" s="31" t="s">
        <v>51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129</v>
      </c>
      <c r="D138" s="31"/>
      <c r="E138" s="31"/>
      <c r="F138" s="31"/>
      <c r="G138" s="31" t="s">
        <v>51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129</v>
      </c>
      <c r="D139" s="31"/>
      <c r="E139" s="31"/>
      <c r="F139" s="31"/>
      <c r="G139" s="31" t="s">
        <v>51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129</v>
      </c>
      <c r="D140" s="31"/>
      <c r="E140" s="31"/>
      <c r="F140" s="31"/>
      <c r="G140" s="31" t="s">
        <v>51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129</v>
      </c>
      <c r="D141" s="31"/>
      <c r="E141" s="31"/>
      <c r="F141" s="31"/>
      <c r="G141" s="31" t="s">
        <v>51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129</v>
      </c>
      <c r="D142" s="31"/>
      <c r="E142" s="31"/>
      <c r="F142" s="31"/>
      <c r="G142" s="31" t="s">
        <v>51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129</v>
      </c>
      <c r="D143" s="31"/>
      <c r="E143" s="31"/>
      <c r="F143" s="31"/>
      <c r="G143" s="31" t="s">
        <v>51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129</v>
      </c>
      <c r="D144" s="31"/>
      <c r="E144" s="31"/>
      <c r="F144" s="31"/>
      <c r="G144" s="31" t="s">
        <v>51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129</v>
      </c>
      <c r="D145" s="31"/>
      <c r="E145" s="31"/>
      <c r="F145" s="31"/>
      <c r="G145" s="31" t="s">
        <v>51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129</v>
      </c>
      <c r="D146" s="31"/>
      <c r="E146" s="31"/>
      <c r="F146" s="31"/>
      <c r="G146" s="31" t="s">
        <v>51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129</v>
      </c>
      <c r="D147" s="31"/>
      <c r="E147" s="31"/>
      <c r="F147" s="31"/>
      <c r="G147" s="31" t="s">
        <v>51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129</v>
      </c>
      <c r="D148" s="31"/>
      <c r="E148" s="31"/>
      <c r="F148" s="31"/>
      <c r="G148" s="31" t="s">
        <v>51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129</v>
      </c>
      <c r="D149" s="31"/>
      <c r="E149" s="31"/>
      <c r="F149" s="31"/>
      <c r="G149" s="31" t="s">
        <v>51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129</v>
      </c>
      <c r="D150" s="31"/>
      <c r="E150" s="31"/>
      <c r="F150" s="31"/>
      <c r="G150" s="31" t="s">
        <v>51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129</v>
      </c>
      <c r="D151" s="31"/>
      <c r="E151" s="31"/>
      <c r="F151" s="31"/>
      <c r="G151" s="31" t="s">
        <v>51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129</v>
      </c>
      <c r="D152" s="31"/>
      <c r="E152" s="31"/>
      <c r="F152" s="31"/>
      <c r="G152" s="31" t="s">
        <v>51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129</v>
      </c>
      <c r="D153" s="31"/>
      <c r="E153" s="31"/>
      <c r="F153" s="31"/>
      <c r="G153" s="31" t="s">
        <v>51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129</v>
      </c>
      <c r="D154" s="31"/>
      <c r="E154" s="31"/>
      <c r="F154" s="31"/>
      <c r="G154" s="31" t="s">
        <v>51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129</v>
      </c>
      <c r="D155" s="31"/>
      <c r="E155" s="31"/>
      <c r="F155" s="31"/>
      <c r="G155" s="31" t="s">
        <v>51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129</v>
      </c>
      <c r="D156" s="31"/>
      <c r="E156" s="31"/>
      <c r="F156" s="31"/>
      <c r="G156" s="31" t="s">
        <v>51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129</v>
      </c>
      <c r="D157" s="31"/>
      <c r="E157" s="31"/>
      <c r="F157" s="31"/>
      <c r="G157" s="31" t="s">
        <v>51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129</v>
      </c>
      <c r="D158" s="31"/>
      <c r="E158" s="31"/>
      <c r="F158" s="31"/>
      <c r="G158" s="31" t="s">
        <v>51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129</v>
      </c>
      <c r="D159" s="31"/>
      <c r="E159" s="31"/>
      <c r="F159" s="31"/>
      <c r="G159" s="31" t="s">
        <v>51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129</v>
      </c>
      <c r="D160" s="31"/>
      <c r="E160" s="31"/>
      <c r="F160" s="31"/>
      <c r="G160" s="31" t="s">
        <v>51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129</v>
      </c>
      <c r="D161" s="31"/>
      <c r="E161" s="31"/>
      <c r="F161" s="31"/>
      <c r="G161" s="31" t="s">
        <v>51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129</v>
      </c>
      <c r="D162" s="31"/>
      <c r="E162" s="31"/>
      <c r="F162" s="31"/>
      <c r="G162" s="31" t="s">
        <v>51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129</v>
      </c>
      <c r="D163" s="31"/>
      <c r="E163" s="31"/>
      <c r="F163" s="31"/>
      <c r="G163" s="31" t="s">
        <v>51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129</v>
      </c>
      <c r="D164" s="31"/>
      <c r="E164" s="31"/>
      <c r="F164" s="31"/>
      <c r="G164" s="31" t="s">
        <v>51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129</v>
      </c>
      <c r="D165" s="31"/>
      <c r="E165" s="31"/>
      <c r="F165" s="31"/>
      <c r="G165" s="31" t="s">
        <v>51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129</v>
      </c>
      <c r="D166" s="31"/>
      <c r="E166" s="31"/>
      <c r="F166" s="31"/>
      <c r="G166" s="31" t="s">
        <v>51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129</v>
      </c>
      <c r="D167" s="31"/>
      <c r="E167" s="31"/>
      <c r="F167" s="31"/>
      <c r="G167" s="31" t="s">
        <v>51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129</v>
      </c>
      <c r="D168" s="31"/>
      <c r="E168" s="31"/>
      <c r="F168" s="31"/>
      <c r="G168" s="31" t="s">
        <v>51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129</v>
      </c>
      <c r="D169" s="31"/>
      <c r="E169" s="31"/>
      <c r="F169" s="31"/>
      <c r="G169" s="31" t="s">
        <v>51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129</v>
      </c>
      <c r="D170" s="31"/>
      <c r="E170" s="31"/>
      <c r="F170" s="31"/>
      <c r="G170" s="31" t="s">
        <v>51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129</v>
      </c>
      <c r="D171" s="31"/>
      <c r="E171" s="31"/>
      <c r="F171" s="31"/>
      <c r="G171" s="31" t="s">
        <v>51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129</v>
      </c>
      <c r="D172" s="31"/>
      <c r="E172" s="31"/>
      <c r="F172" s="31"/>
      <c r="G172" s="31" t="s">
        <v>51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129</v>
      </c>
      <c r="D173" s="31"/>
      <c r="E173" s="31"/>
      <c r="F173" s="31"/>
      <c r="G173" s="31" t="s">
        <v>51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129</v>
      </c>
      <c r="D174" s="31"/>
      <c r="E174" s="31"/>
      <c r="F174" s="31"/>
      <c r="G174" s="31" t="s">
        <v>51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129</v>
      </c>
      <c r="D175" s="31"/>
      <c r="E175" s="31"/>
      <c r="F175" s="31"/>
      <c r="G175" s="31" t="s">
        <v>51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129</v>
      </c>
      <c r="D176" s="31"/>
      <c r="E176" s="31"/>
      <c r="F176" s="31"/>
      <c r="G176" s="31" t="s">
        <v>51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129</v>
      </c>
      <c r="D177" s="31"/>
      <c r="E177" s="31"/>
      <c r="F177" s="31"/>
      <c r="G177" s="31" t="s">
        <v>51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129</v>
      </c>
      <c r="D178" s="31"/>
      <c r="E178" s="31"/>
      <c r="F178" s="31"/>
      <c r="G178" s="31" t="s">
        <v>51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129</v>
      </c>
      <c r="D179" s="31"/>
      <c r="E179" s="31"/>
      <c r="F179" s="31"/>
      <c r="G179" s="31" t="s">
        <v>51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129</v>
      </c>
      <c r="D180" s="31"/>
      <c r="E180" s="31"/>
      <c r="F180" s="31"/>
      <c r="G180" s="31" t="s">
        <v>51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129</v>
      </c>
      <c r="D181" s="31"/>
      <c r="E181" s="31"/>
      <c r="F181" s="31"/>
      <c r="G181" s="31" t="s">
        <v>51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129</v>
      </c>
      <c r="D182" s="31"/>
      <c r="E182" s="31"/>
      <c r="F182" s="31"/>
      <c r="G182" s="31" t="s">
        <v>51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129</v>
      </c>
      <c r="D183" s="31"/>
      <c r="E183" s="31"/>
      <c r="F183" s="31"/>
      <c r="G183" s="31" t="s">
        <v>51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129</v>
      </c>
      <c r="D184" s="31"/>
      <c r="E184" s="31"/>
      <c r="F184" s="31"/>
      <c r="G184" s="31" t="s">
        <v>51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129</v>
      </c>
      <c r="D185" s="31"/>
      <c r="E185" s="31"/>
      <c r="F185" s="31"/>
      <c r="G185" s="31" t="s">
        <v>51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129</v>
      </c>
      <c r="D186" s="31"/>
      <c r="E186" s="31"/>
      <c r="F186" s="31"/>
      <c r="G186" s="31" t="s">
        <v>51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129</v>
      </c>
      <c r="D187" s="31"/>
      <c r="E187" s="31"/>
      <c r="F187" s="31"/>
      <c r="G187" s="31" t="s">
        <v>51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129</v>
      </c>
      <c r="D188" s="31"/>
      <c r="E188" s="31"/>
      <c r="F188" s="31"/>
      <c r="G188" s="31" t="s">
        <v>51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129</v>
      </c>
      <c r="D189" s="31"/>
      <c r="E189" s="31"/>
      <c r="F189" s="31"/>
      <c r="G189" s="31" t="s">
        <v>51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129</v>
      </c>
      <c r="D190" s="31"/>
      <c r="E190" s="31"/>
      <c r="F190" s="31"/>
      <c r="G190" s="31" t="s">
        <v>51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129</v>
      </c>
      <c r="D191" s="31"/>
      <c r="E191" s="31"/>
      <c r="F191" s="31"/>
      <c r="G191" s="31" t="s">
        <v>51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129</v>
      </c>
      <c r="D192" s="31"/>
      <c r="E192" s="31"/>
      <c r="F192" s="31"/>
      <c r="G192" s="31" t="s">
        <v>51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129</v>
      </c>
      <c r="D193" s="31"/>
      <c r="E193" s="31"/>
      <c r="F193" s="31"/>
      <c r="G193" s="31" t="s">
        <v>51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129</v>
      </c>
      <c r="D194" s="31"/>
      <c r="E194" s="31"/>
      <c r="F194" s="31"/>
      <c r="G194" s="31" t="s">
        <v>51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129</v>
      </c>
      <c r="D195" s="31"/>
      <c r="E195" s="31"/>
      <c r="F195" s="31"/>
      <c r="G195" s="31" t="s">
        <v>51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129</v>
      </c>
      <c r="D196" s="31"/>
      <c r="E196" s="31"/>
      <c r="F196" s="31"/>
      <c r="G196" s="31" t="s">
        <v>51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129</v>
      </c>
      <c r="D197" s="31"/>
      <c r="E197" s="31"/>
      <c r="F197" s="31"/>
      <c r="G197" s="31" t="s">
        <v>51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129</v>
      </c>
      <c r="D198" s="31"/>
      <c r="E198" s="31"/>
      <c r="F198" s="31"/>
      <c r="G198" s="31" t="s">
        <v>51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129</v>
      </c>
      <c r="D199" s="31"/>
      <c r="E199" s="31"/>
      <c r="F199" s="31"/>
      <c r="G199" s="31" t="s">
        <v>51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129</v>
      </c>
      <c r="D200" s="31"/>
      <c r="E200" s="31"/>
      <c r="F200" s="31"/>
      <c r="G200" s="31" t="s">
        <v>51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0" t="s">
        <v>311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7" customHeight="1">
      <c r="A2" s="8" t="s">
        <v>0</v>
      </c>
      <c r="B2" s="8" t="s">
        <v>312</v>
      </c>
      <c r="C2" s="8" t="s">
        <v>1</v>
      </c>
      <c r="D2" s="8" t="s">
        <v>313</v>
      </c>
      <c r="E2" s="8" t="s">
        <v>314</v>
      </c>
      <c r="F2" s="8" t="s">
        <v>6</v>
      </c>
      <c r="G2" s="8" t="s">
        <v>5</v>
      </c>
      <c r="H2" s="8" t="s">
        <v>315</v>
      </c>
      <c r="I2" s="8" t="s">
        <v>316</v>
      </c>
      <c r="J2" s="8" t="s">
        <v>317</v>
      </c>
    </row>
    <row r="3" spans="1:10" ht="14.25" customHeight="1">
      <c r="A3" s="9" t="s">
        <v>39</v>
      </c>
      <c r="B3" s="9" t="s">
        <v>191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161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129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119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191</v>
      </c>
      <c r="C8" s="9" t="s">
        <v>53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161</v>
      </c>
      <c r="C9" s="9" t="s">
        <v>53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129</v>
      </c>
      <c r="C10" s="9" t="s">
        <v>53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119</v>
      </c>
      <c r="C11" s="9" t="s">
        <v>53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53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191</v>
      </c>
      <c r="C13" s="9" t="s">
        <v>318</v>
      </c>
      <c r="D13" s="9" t="s">
        <v>63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161</v>
      </c>
      <c r="C14" s="9" t="s">
        <v>318</v>
      </c>
      <c r="D14" s="9" t="s">
        <v>63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129</v>
      </c>
      <c r="C15" s="9" t="s">
        <v>318</v>
      </c>
      <c r="D15" s="9" t="s">
        <v>63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119</v>
      </c>
      <c r="C16" s="9" t="s">
        <v>318</v>
      </c>
      <c r="D16" s="9" t="s">
        <v>63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318</v>
      </c>
      <c r="D17" s="9" t="s">
        <v>63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191</v>
      </c>
      <c r="C18" s="9" t="s">
        <v>56</v>
      </c>
      <c r="D18" s="9" t="s">
        <v>57</v>
      </c>
      <c r="E18" s="9" t="s">
        <v>58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161</v>
      </c>
      <c r="C19" s="9" t="s">
        <v>56</v>
      </c>
      <c r="D19" s="9" t="s">
        <v>57</v>
      </c>
      <c r="E19" s="9" t="s">
        <v>58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129</v>
      </c>
      <c r="C20" s="9" t="s">
        <v>56</v>
      </c>
      <c r="D20" s="9" t="s">
        <v>57</v>
      </c>
      <c r="E20" s="9" t="s">
        <v>58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119</v>
      </c>
      <c r="C21" s="9" t="s">
        <v>56</v>
      </c>
      <c r="D21" s="9" t="s">
        <v>57</v>
      </c>
      <c r="E21" s="9" t="s">
        <v>58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56</v>
      </c>
      <c r="D22" s="9" t="s">
        <v>57</v>
      </c>
      <c r="E22" s="9" t="s">
        <v>58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191</v>
      </c>
      <c r="C23" s="9" t="s">
        <v>62</v>
      </c>
      <c r="D23" s="9" t="s">
        <v>63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161</v>
      </c>
      <c r="C24" s="9" t="s">
        <v>62</v>
      </c>
      <c r="D24" s="9" t="s">
        <v>63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129</v>
      </c>
      <c r="C25" s="9" t="s">
        <v>62</v>
      </c>
      <c r="D25" s="9" t="s">
        <v>63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119</v>
      </c>
      <c r="C26" s="9" t="s">
        <v>62</v>
      </c>
      <c r="D26" s="9" t="s">
        <v>63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62</v>
      </c>
      <c r="D27" s="9" t="s">
        <v>63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191</v>
      </c>
      <c r="C28" s="9" t="s">
        <v>67</v>
      </c>
      <c r="D28" s="9" t="s">
        <v>73</v>
      </c>
      <c r="E28" s="9" t="s">
        <v>58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161</v>
      </c>
      <c r="C29" s="9" t="s">
        <v>67</v>
      </c>
      <c r="D29" s="9" t="s">
        <v>73</v>
      </c>
      <c r="E29" s="9" t="s">
        <v>58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129</v>
      </c>
      <c r="C30" s="9" t="s">
        <v>67</v>
      </c>
      <c r="D30" s="9" t="s">
        <v>73</v>
      </c>
      <c r="E30" s="9" t="s">
        <v>58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119</v>
      </c>
      <c r="C31" s="9" t="s">
        <v>67</v>
      </c>
      <c r="D31" s="9" t="s">
        <v>73</v>
      </c>
      <c r="E31" s="9" t="s">
        <v>58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67</v>
      </c>
      <c r="D32" s="9" t="s">
        <v>73</v>
      </c>
      <c r="E32" s="9" t="s">
        <v>58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191</v>
      </c>
      <c r="C33" s="9" t="s">
        <v>68</v>
      </c>
      <c r="D33" s="9" t="s">
        <v>63</v>
      </c>
      <c r="E33" s="9" t="s">
        <v>58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161</v>
      </c>
      <c r="C34" s="9" t="s">
        <v>68</v>
      </c>
      <c r="D34" s="9" t="s">
        <v>63</v>
      </c>
      <c r="E34" s="9" t="s">
        <v>58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129</v>
      </c>
      <c r="C35" s="9" t="s">
        <v>68</v>
      </c>
      <c r="D35" s="9" t="s">
        <v>63</v>
      </c>
      <c r="E35" s="9" t="s">
        <v>58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119</v>
      </c>
      <c r="C36" s="9" t="s">
        <v>68</v>
      </c>
      <c r="D36" s="9" t="s">
        <v>63</v>
      </c>
      <c r="E36" s="9" t="s">
        <v>58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68</v>
      </c>
      <c r="D37" s="9" t="s">
        <v>63</v>
      </c>
      <c r="E37" s="9" t="s">
        <v>58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191</v>
      </c>
      <c r="C38" s="9" t="s">
        <v>69</v>
      </c>
      <c r="D38" s="9" t="s">
        <v>81</v>
      </c>
      <c r="E38" s="9" t="s">
        <v>58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161</v>
      </c>
      <c r="C39" s="9" t="s">
        <v>69</v>
      </c>
      <c r="D39" s="9" t="s">
        <v>81</v>
      </c>
      <c r="E39" s="9" t="s">
        <v>58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129</v>
      </c>
      <c r="C40" s="9" t="s">
        <v>69</v>
      </c>
      <c r="D40" s="9" t="s">
        <v>81</v>
      </c>
      <c r="E40" s="9" t="s">
        <v>58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119</v>
      </c>
      <c r="C41" s="9" t="s">
        <v>69</v>
      </c>
      <c r="D41" s="9" t="s">
        <v>81</v>
      </c>
      <c r="E41" s="9" t="s">
        <v>58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69</v>
      </c>
      <c r="D42" s="9" t="s">
        <v>81</v>
      </c>
      <c r="E42" s="9" t="s">
        <v>58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191</v>
      </c>
      <c r="C43" s="9" t="s">
        <v>70</v>
      </c>
      <c r="D43" s="9" t="s">
        <v>57</v>
      </c>
      <c r="E43" s="9" t="s">
        <v>58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161</v>
      </c>
      <c r="C44" s="9" t="s">
        <v>70</v>
      </c>
      <c r="D44" s="9" t="s">
        <v>57</v>
      </c>
      <c r="E44" s="9" t="s">
        <v>58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129</v>
      </c>
      <c r="C45" s="9" t="s">
        <v>70</v>
      </c>
      <c r="D45" s="9" t="s">
        <v>57</v>
      </c>
      <c r="E45" s="9" t="s">
        <v>58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119</v>
      </c>
      <c r="C46" s="9" t="s">
        <v>70</v>
      </c>
      <c r="D46" s="9" t="s">
        <v>57</v>
      </c>
      <c r="E46" s="9" t="s">
        <v>58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70</v>
      </c>
      <c r="D47" s="9" t="s">
        <v>57</v>
      </c>
      <c r="E47" s="9" t="s">
        <v>58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191</v>
      </c>
      <c r="C48" s="9" t="s">
        <v>93</v>
      </c>
      <c r="D48" s="9" t="s">
        <v>63</v>
      </c>
      <c r="E48" s="9" t="s">
        <v>58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161</v>
      </c>
      <c r="C49" s="9" t="s">
        <v>93</v>
      </c>
      <c r="D49" s="9" t="s">
        <v>63</v>
      </c>
      <c r="E49" s="9" t="s">
        <v>58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129</v>
      </c>
      <c r="C50" s="9" t="s">
        <v>93</v>
      </c>
      <c r="D50" s="9" t="s">
        <v>63</v>
      </c>
      <c r="E50" s="9" t="s">
        <v>58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119</v>
      </c>
      <c r="C51" s="9" t="s">
        <v>93</v>
      </c>
      <c r="D51" s="9" t="s">
        <v>63</v>
      </c>
      <c r="E51" s="9" t="s">
        <v>58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93</v>
      </c>
      <c r="D52" s="9" t="s">
        <v>63</v>
      </c>
      <c r="E52" s="9" t="s">
        <v>58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191</v>
      </c>
      <c r="C53" s="9" t="s">
        <v>94</v>
      </c>
      <c r="D53" s="9" t="s">
        <v>63</v>
      </c>
      <c r="E53" s="9" t="s">
        <v>58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161</v>
      </c>
      <c r="C54" s="9" t="s">
        <v>94</v>
      </c>
      <c r="D54" s="9" t="s">
        <v>63</v>
      </c>
      <c r="E54" s="9" t="s">
        <v>58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129</v>
      </c>
      <c r="C55" s="9" t="s">
        <v>94</v>
      </c>
      <c r="D55" s="9" t="s">
        <v>63</v>
      </c>
      <c r="E55" s="9" t="s">
        <v>58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119</v>
      </c>
      <c r="C56" s="9" t="s">
        <v>94</v>
      </c>
      <c r="D56" s="9" t="s">
        <v>63</v>
      </c>
      <c r="E56" s="9" t="s">
        <v>58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94</v>
      </c>
      <c r="D57" s="9" t="s">
        <v>63</v>
      </c>
      <c r="E57" s="9" t="s">
        <v>58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191</v>
      </c>
      <c r="C58" s="9" t="s">
        <v>95</v>
      </c>
      <c r="D58" s="9" t="s">
        <v>63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161</v>
      </c>
      <c r="C59" s="9" t="s">
        <v>95</v>
      </c>
      <c r="D59" s="9" t="s">
        <v>63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129</v>
      </c>
      <c r="C60" s="9" t="s">
        <v>95</v>
      </c>
      <c r="D60" s="9" t="s">
        <v>63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119</v>
      </c>
      <c r="C61" s="9" t="s">
        <v>95</v>
      </c>
      <c r="D61" s="9" t="s">
        <v>63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95</v>
      </c>
      <c r="D62" s="9" t="s">
        <v>63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191</v>
      </c>
      <c r="C63" s="9" t="s">
        <v>96</v>
      </c>
      <c r="D63" s="9" t="s">
        <v>99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161</v>
      </c>
      <c r="C64" s="9" t="s">
        <v>96</v>
      </c>
      <c r="D64" s="9" t="s">
        <v>99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129</v>
      </c>
      <c r="C65" s="9" t="s">
        <v>96</v>
      </c>
      <c r="D65" s="9" t="s">
        <v>99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119</v>
      </c>
      <c r="C66" s="9" t="s">
        <v>96</v>
      </c>
      <c r="D66" s="9" t="s">
        <v>99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96</v>
      </c>
      <c r="D67" s="9" t="s">
        <v>99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191</v>
      </c>
      <c r="C68" s="9" t="s">
        <v>71</v>
      </c>
      <c r="D68" s="9" t="s">
        <v>73</v>
      </c>
      <c r="E68" s="9" t="s">
        <v>74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161</v>
      </c>
      <c r="C69" s="9" t="s">
        <v>71</v>
      </c>
      <c r="D69" s="9" t="s">
        <v>73</v>
      </c>
      <c r="E69" s="9" t="s">
        <v>74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129</v>
      </c>
      <c r="C70" s="9" t="s">
        <v>71</v>
      </c>
      <c r="D70" s="9" t="s">
        <v>73</v>
      </c>
      <c r="E70" s="9" t="s">
        <v>74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119</v>
      </c>
      <c r="C71" s="9" t="s">
        <v>71</v>
      </c>
      <c r="D71" s="9" t="s">
        <v>73</v>
      </c>
      <c r="E71" s="9" t="s">
        <v>74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71</v>
      </c>
      <c r="D72" s="9" t="s">
        <v>73</v>
      </c>
      <c r="E72" s="9" t="s">
        <v>74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191</v>
      </c>
      <c r="C73" s="9" t="s">
        <v>77</v>
      </c>
      <c r="D73" s="9" t="s">
        <v>57</v>
      </c>
      <c r="E73" s="9" t="s">
        <v>74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161</v>
      </c>
      <c r="C74" s="9" t="s">
        <v>77</v>
      </c>
      <c r="D74" s="9" t="s">
        <v>57</v>
      </c>
      <c r="E74" s="9" t="s">
        <v>74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129</v>
      </c>
      <c r="C75" s="9" t="s">
        <v>77</v>
      </c>
      <c r="D75" s="9" t="s">
        <v>57</v>
      </c>
      <c r="E75" s="9" t="s">
        <v>74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119</v>
      </c>
      <c r="C76" s="9" t="s">
        <v>77</v>
      </c>
      <c r="D76" s="9" t="s">
        <v>57</v>
      </c>
      <c r="E76" s="9" t="s">
        <v>74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77</v>
      </c>
      <c r="D77" s="9" t="s">
        <v>57</v>
      </c>
      <c r="E77" s="9" t="s">
        <v>74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191</v>
      </c>
      <c r="C78" s="9" t="s">
        <v>80</v>
      </c>
      <c r="D78" s="9" t="s">
        <v>81</v>
      </c>
      <c r="E78" s="9" t="s">
        <v>58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161</v>
      </c>
      <c r="C79" s="9" t="s">
        <v>80</v>
      </c>
      <c r="D79" s="9" t="s">
        <v>81</v>
      </c>
      <c r="E79" s="9" t="s">
        <v>58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129</v>
      </c>
      <c r="C80" s="9" t="s">
        <v>80</v>
      </c>
      <c r="D80" s="9" t="s">
        <v>81</v>
      </c>
      <c r="E80" s="9" t="s">
        <v>58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119</v>
      </c>
      <c r="C81" s="9" t="s">
        <v>80</v>
      </c>
      <c r="D81" s="9" t="s">
        <v>81</v>
      </c>
      <c r="E81" s="9" t="s">
        <v>58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80</v>
      </c>
      <c r="D82" s="9" t="s">
        <v>81</v>
      </c>
      <c r="E82" s="9" t="s">
        <v>58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191</v>
      </c>
      <c r="C83" s="9" t="s">
        <v>84</v>
      </c>
      <c r="D83" s="9" t="s">
        <v>81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161</v>
      </c>
      <c r="C84" s="9" t="s">
        <v>84</v>
      </c>
      <c r="D84" s="9" t="s">
        <v>81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129</v>
      </c>
      <c r="C85" s="9" t="s">
        <v>84</v>
      </c>
      <c r="D85" s="9" t="s">
        <v>81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119</v>
      </c>
      <c r="C86" s="9" t="s">
        <v>84</v>
      </c>
      <c r="D86" s="9" t="s">
        <v>81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84</v>
      </c>
      <c r="D87" s="9" t="s">
        <v>81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191</v>
      </c>
      <c r="C88" s="9" t="s">
        <v>87</v>
      </c>
      <c r="D88" s="9" t="s">
        <v>43</v>
      </c>
      <c r="E88" s="9" t="s">
        <v>58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161</v>
      </c>
      <c r="C89" s="9" t="s">
        <v>87</v>
      </c>
      <c r="D89" s="9" t="s">
        <v>43</v>
      </c>
      <c r="E89" s="9" t="s">
        <v>58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129</v>
      </c>
      <c r="C90" s="9" t="s">
        <v>87</v>
      </c>
      <c r="D90" s="9" t="s">
        <v>43</v>
      </c>
      <c r="E90" s="9" t="s">
        <v>58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119</v>
      </c>
      <c r="C91" s="9" t="s">
        <v>87</v>
      </c>
      <c r="D91" s="9" t="s">
        <v>43</v>
      </c>
      <c r="E91" s="9" t="s">
        <v>58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87</v>
      </c>
      <c r="D92" s="9" t="s">
        <v>43</v>
      </c>
      <c r="E92" s="9" t="s">
        <v>58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191</v>
      </c>
      <c r="C93" s="9" t="s">
        <v>90</v>
      </c>
      <c r="D93" s="9" t="s">
        <v>43</v>
      </c>
      <c r="E93" s="9" t="s">
        <v>74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161</v>
      </c>
      <c r="C94" s="9" t="s">
        <v>90</v>
      </c>
      <c r="D94" s="9" t="s">
        <v>43</v>
      </c>
      <c r="E94" s="9" t="s">
        <v>74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129</v>
      </c>
      <c r="C95" s="9" t="s">
        <v>90</v>
      </c>
      <c r="D95" s="9" t="s">
        <v>43</v>
      </c>
      <c r="E95" s="9" t="s">
        <v>74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119</v>
      </c>
      <c r="C96" s="9" t="s">
        <v>90</v>
      </c>
      <c r="D96" s="9" t="s">
        <v>43</v>
      </c>
      <c r="E96" s="9" t="s">
        <v>74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90</v>
      </c>
      <c r="D97" s="9" t="s">
        <v>43</v>
      </c>
      <c r="E97" s="9" t="s">
        <v>74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191</v>
      </c>
      <c r="C98" s="9" t="s">
        <v>97</v>
      </c>
      <c r="D98" s="9" t="s">
        <v>99</v>
      </c>
      <c r="E98" s="9" t="s">
        <v>58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161</v>
      </c>
      <c r="C99" s="9" t="s">
        <v>97</v>
      </c>
      <c r="D99" s="9" t="s">
        <v>99</v>
      </c>
      <c r="E99" s="9" t="s">
        <v>58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129</v>
      </c>
      <c r="C100" s="9" t="s">
        <v>97</v>
      </c>
      <c r="D100" s="9" t="s">
        <v>99</v>
      </c>
      <c r="E100" s="9" t="s">
        <v>58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119</v>
      </c>
      <c r="C101" s="9" t="s">
        <v>97</v>
      </c>
      <c r="D101" s="9" t="s">
        <v>99</v>
      </c>
      <c r="E101" s="9" t="s">
        <v>58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97</v>
      </c>
      <c r="D102" s="9" t="s">
        <v>99</v>
      </c>
      <c r="E102" s="9" t="s">
        <v>58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191</v>
      </c>
      <c r="C103" s="9" t="s">
        <v>100</v>
      </c>
      <c r="D103" s="9" t="s">
        <v>99</v>
      </c>
      <c r="E103" s="9" t="s">
        <v>74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161</v>
      </c>
      <c r="C104" s="9" t="s">
        <v>100</v>
      </c>
      <c r="D104" s="9" t="s">
        <v>99</v>
      </c>
      <c r="E104" s="9" t="s">
        <v>74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129</v>
      </c>
      <c r="C105" s="9" t="s">
        <v>100</v>
      </c>
      <c r="D105" s="9" t="s">
        <v>99</v>
      </c>
      <c r="E105" s="9" t="s">
        <v>74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119</v>
      </c>
      <c r="C106" s="9" t="s">
        <v>100</v>
      </c>
      <c r="D106" s="9" t="s">
        <v>99</v>
      </c>
      <c r="E106" s="9" t="s">
        <v>74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100</v>
      </c>
      <c r="D107" s="9" t="s">
        <v>99</v>
      </c>
      <c r="E107" s="9" t="s">
        <v>74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191</v>
      </c>
      <c r="C108" s="9" t="s">
        <v>102</v>
      </c>
      <c r="D108" s="9" t="s">
        <v>43</v>
      </c>
      <c r="E108" s="9" t="s">
        <v>58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161</v>
      </c>
      <c r="C109" s="9" t="s">
        <v>102</v>
      </c>
      <c r="D109" s="9" t="s">
        <v>43</v>
      </c>
      <c r="E109" s="9" t="s">
        <v>58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129</v>
      </c>
      <c r="C110" s="9" t="s">
        <v>102</v>
      </c>
      <c r="D110" s="9" t="s">
        <v>43</v>
      </c>
      <c r="E110" s="9" t="s">
        <v>58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119</v>
      </c>
      <c r="C111" s="9" t="s">
        <v>102</v>
      </c>
      <c r="D111" s="9" t="s">
        <v>43</v>
      </c>
      <c r="E111" s="9" t="s">
        <v>58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102</v>
      </c>
      <c r="D112" s="9" t="s">
        <v>43</v>
      </c>
      <c r="E112" s="9" t="s">
        <v>58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191</v>
      </c>
      <c r="C113" s="9" t="s">
        <v>103</v>
      </c>
      <c r="D113" s="9" t="s">
        <v>43</v>
      </c>
      <c r="E113" s="9" t="s">
        <v>58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161</v>
      </c>
      <c r="C114" s="9" t="s">
        <v>103</v>
      </c>
      <c r="D114" s="9" t="s">
        <v>43</v>
      </c>
      <c r="E114" s="9" t="s">
        <v>58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129</v>
      </c>
      <c r="C115" s="9" t="s">
        <v>103</v>
      </c>
      <c r="D115" s="9" t="s">
        <v>43</v>
      </c>
      <c r="E115" s="9" t="s">
        <v>58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119</v>
      </c>
      <c r="C116" s="9" t="s">
        <v>103</v>
      </c>
      <c r="D116" s="9" t="s">
        <v>43</v>
      </c>
      <c r="E116" s="9" t="s">
        <v>58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103</v>
      </c>
      <c r="D117" s="9" t="s">
        <v>43</v>
      </c>
      <c r="E117" s="9" t="s">
        <v>58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191</v>
      </c>
      <c r="C118" s="9" t="s">
        <v>106</v>
      </c>
      <c r="D118" s="9" t="s">
        <v>57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161</v>
      </c>
      <c r="C119" s="9" t="s">
        <v>106</v>
      </c>
      <c r="D119" s="9" t="s">
        <v>57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129</v>
      </c>
      <c r="C120" s="9" t="s">
        <v>106</v>
      </c>
      <c r="D120" s="9" t="s">
        <v>57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191</v>
      </c>
      <c r="C121" s="9" t="s">
        <v>108</v>
      </c>
      <c r="D121" s="9" t="s">
        <v>57</v>
      </c>
      <c r="E121" s="9" t="s">
        <v>74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161</v>
      </c>
      <c r="C122" s="9" t="s">
        <v>108</v>
      </c>
      <c r="D122" s="9" t="s">
        <v>57</v>
      </c>
      <c r="E122" s="9" t="s">
        <v>74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129</v>
      </c>
      <c r="C123" s="9" t="s">
        <v>108</v>
      </c>
      <c r="D123" s="9" t="s">
        <v>57</v>
      </c>
      <c r="E123" s="9" t="s">
        <v>74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119</v>
      </c>
      <c r="C124" s="9" t="s">
        <v>108</v>
      </c>
      <c r="D124" s="9" t="s">
        <v>57</v>
      </c>
      <c r="E124" s="9" t="s">
        <v>74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108</v>
      </c>
      <c r="D125" s="9" t="s">
        <v>57</v>
      </c>
      <c r="E125" s="9" t="s">
        <v>74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191</v>
      </c>
      <c r="C126" s="9" t="s">
        <v>109</v>
      </c>
      <c r="D126" s="9" t="s">
        <v>110</v>
      </c>
      <c r="E126" s="9" t="s">
        <v>58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161</v>
      </c>
      <c r="C127" s="9" t="s">
        <v>109</v>
      </c>
      <c r="D127" s="9" t="s">
        <v>110</v>
      </c>
      <c r="E127" s="9" t="s">
        <v>58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129</v>
      </c>
      <c r="C128" s="9" t="s">
        <v>109</v>
      </c>
      <c r="D128" s="9" t="s">
        <v>110</v>
      </c>
      <c r="E128" s="9" t="s">
        <v>58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119</v>
      </c>
      <c r="C129" s="9" t="s">
        <v>109</v>
      </c>
      <c r="D129" s="9" t="s">
        <v>110</v>
      </c>
      <c r="E129" s="9" t="s">
        <v>58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109</v>
      </c>
      <c r="D130" s="9" t="s">
        <v>110</v>
      </c>
      <c r="E130" s="9" t="s">
        <v>58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191</v>
      </c>
      <c r="C131" s="9" t="s">
        <v>113</v>
      </c>
      <c r="D131" s="9" t="s">
        <v>99</v>
      </c>
      <c r="E131" s="9" t="s">
        <v>74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161</v>
      </c>
      <c r="C132" s="9" t="s">
        <v>113</v>
      </c>
      <c r="D132" s="9" t="s">
        <v>99</v>
      </c>
      <c r="E132" s="9" t="s">
        <v>74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129</v>
      </c>
      <c r="C133" s="9" t="s">
        <v>113</v>
      </c>
      <c r="D133" s="9" t="s">
        <v>99</v>
      </c>
      <c r="E133" s="9" t="s">
        <v>74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119</v>
      </c>
      <c r="C134" s="9" t="s">
        <v>113</v>
      </c>
      <c r="D134" s="9" t="s">
        <v>99</v>
      </c>
      <c r="E134" s="9" t="s">
        <v>74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113</v>
      </c>
      <c r="D135" s="9" t="s">
        <v>99</v>
      </c>
      <c r="E135" s="9" t="s">
        <v>74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191</v>
      </c>
      <c r="C136" s="9" t="s">
        <v>115</v>
      </c>
      <c r="D136" s="9" t="s">
        <v>81</v>
      </c>
      <c r="E136" s="9" t="s">
        <v>74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161</v>
      </c>
      <c r="C137" s="9" t="s">
        <v>115</v>
      </c>
      <c r="D137" s="9" t="s">
        <v>81</v>
      </c>
      <c r="E137" s="9" t="s">
        <v>74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129</v>
      </c>
      <c r="C138" s="9" t="s">
        <v>115</v>
      </c>
      <c r="D138" s="9" t="s">
        <v>81</v>
      </c>
      <c r="E138" s="9" t="s">
        <v>74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119</v>
      </c>
      <c r="C139" s="9" t="s">
        <v>115</v>
      </c>
      <c r="D139" s="9" t="s">
        <v>81</v>
      </c>
      <c r="E139" s="9" t="s">
        <v>74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115</v>
      </c>
      <c r="D140" s="9" t="s">
        <v>81</v>
      </c>
      <c r="E140" s="9" t="s">
        <v>74</v>
      </c>
      <c r="F140" s="9"/>
      <c r="G140" s="9"/>
      <c r="H140" s="9"/>
      <c r="I140" s="9"/>
      <c r="J140" s="9"/>
    </row>
    <row r="141" spans="1:10" ht="14.25" customHeight="1">
      <c r="A141" s="9" t="s">
        <v>117</v>
      </c>
      <c r="B141" s="9" t="s">
        <v>191</v>
      </c>
      <c r="C141" s="9" t="s">
        <v>118</v>
      </c>
      <c r="D141" s="9" t="s">
        <v>73</v>
      </c>
      <c r="E141" s="9" t="s">
        <v>58</v>
      </c>
      <c r="F141" s="9"/>
      <c r="G141" s="9" t="s">
        <v>120</v>
      </c>
      <c r="H141" s="9"/>
      <c r="I141" s="9"/>
      <c r="J141" s="9"/>
    </row>
    <row r="142" spans="1:10" ht="14.25" customHeight="1">
      <c r="A142" s="9" t="s">
        <v>117</v>
      </c>
      <c r="B142" s="9" t="s">
        <v>161</v>
      </c>
      <c r="C142" s="9" t="s">
        <v>118</v>
      </c>
      <c r="D142" s="9" t="s">
        <v>73</v>
      </c>
      <c r="E142" s="9" t="s">
        <v>58</v>
      </c>
      <c r="F142" s="9"/>
      <c r="G142" s="9" t="s">
        <v>120</v>
      </c>
      <c r="H142" s="9"/>
      <c r="I142" s="10">
        <v>46213</v>
      </c>
      <c r="J142" s="10">
        <v>46213</v>
      </c>
    </row>
    <row r="143" spans="1:10" ht="14.25" customHeight="1">
      <c r="A143" s="9" t="s">
        <v>117</v>
      </c>
      <c r="B143" s="9" t="s">
        <v>129</v>
      </c>
      <c r="C143" s="9" t="s">
        <v>118</v>
      </c>
      <c r="D143" s="9" t="s">
        <v>73</v>
      </c>
      <c r="E143" s="9" t="s">
        <v>58</v>
      </c>
      <c r="F143" s="9"/>
      <c r="G143" s="9" t="s">
        <v>120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117</v>
      </c>
      <c r="B144" s="9" t="s">
        <v>191</v>
      </c>
      <c r="C144" s="9" t="s">
        <v>124</v>
      </c>
      <c r="D144" s="9" t="s">
        <v>110</v>
      </c>
      <c r="E144" s="9" t="s">
        <v>74</v>
      </c>
      <c r="F144" s="9"/>
      <c r="G144" s="9" t="s">
        <v>120</v>
      </c>
      <c r="H144" s="9"/>
      <c r="I144" s="9"/>
      <c r="J144" s="9"/>
    </row>
    <row r="145" spans="1:10" ht="14.25" customHeight="1">
      <c r="A145" s="9" t="s">
        <v>117</v>
      </c>
      <c r="B145" s="9" t="s">
        <v>161</v>
      </c>
      <c r="C145" s="9" t="s">
        <v>124</v>
      </c>
      <c r="D145" s="9" t="s">
        <v>110</v>
      </c>
      <c r="E145" s="9" t="s">
        <v>74</v>
      </c>
      <c r="F145" s="9"/>
      <c r="G145" s="9" t="s">
        <v>120</v>
      </c>
      <c r="H145" s="9"/>
      <c r="I145" s="10">
        <v>46218</v>
      </c>
      <c r="J145" s="10">
        <v>46218</v>
      </c>
    </row>
    <row r="146" spans="1:10" ht="14.25" customHeight="1">
      <c r="A146" s="9" t="s">
        <v>117</v>
      </c>
      <c r="B146" s="9" t="s">
        <v>129</v>
      </c>
      <c r="C146" s="9" t="s">
        <v>124</v>
      </c>
      <c r="D146" s="9" t="s">
        <v>110</v>
      </c>
      <c r="E146" s="9" t="s">
        <v>74</v>
      </c>
      <c r="F146" s="9"/>
      <c r="G146" s="9" t="s">
        <v>120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117</v>
      </c>
      <c r="B147" s="9" t="s">
        <v>191</v>
      </c>
      <c r="C147" s="9" t="s">
        <v>126</v>
      </c>
      <c r="D147" s="9" t="s">
        <v>110</v>
      </c>
      <c r="E147" s="9" t="s">
        <v>74</v>
      </c>
      <c r="F147" s="9"/>
      <c r="G147" s="9" t="s">
        <v>120</v>
      </c>
      <c r="H147" s="9"/>
      <c r="I147" s="9"/>
      <c r="J147" s="9"/>
    </row>
    <row r="148" spans="1:10" ht="14.25" customHeight="1">
      <c r="A148" s="9" t="s">
        <v>117</v>
      </c>
      <c r="B148" s="9" t="s">
        <v>161</v>
      </c>
      <c r="C148" s="9" t="s">
        <v>126</v>
      </c>
      <c r="D148" s="9" t="s">
        <v>110</v>
      </c>
      <c r="E148" s="9" t="s">
        <v>74</v>
      </c>
      <c r="F148" s="9"/>
      <c r="G148" s="9" t="s">
        <v>120</v>
      </c>
      <c r="H148" s="9"/>
      <c r="I148" s="10">
        <v>46225</v>
      </c>
      <c r="J148" s="10">
        <v>46225</v>
      </c>
    </row>
    <row r="149" spans="1:10" ht="14.25" customHeight="1">
      <c r="A149" s="9" t="s">
        <v>117</v>
      </c>
      <c r="B149" s="9" t="s">
        <v>129</v>
      </c>
      <c r="C149" s="9" t="s">
        <v>126</v>
      </c>
      <c r="D149" s="9" t="s">
        <v>110</v>
      </c>
      <c r="E149" s="9" t="s">
        <v>74</v>
      </c>
      <c r="F149" s="9"/>
      <c r="G149" s="9" t="s">
        <v>120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117</v>
      </c>
      <c r="B150" s="9" t="s">
        <v>191</v>
      </c>
      <c r="C150" s="9" t="s">
        <v>128</v>
      </c>
      <c r="D150" s="9" t="s">
        <v>57</v>
      </c>
      <c r="E150" s="9" t="s">
        <v>45</v>
      </c>
      <c r="F150" s="9"/>
      <c r="G150" s="9" t="s">
        <v>120</v>
      </c>
      <c r="H150" s="9"/>
      <c r="I150" s="9"/>
      <c r="J150" s="9"/>
    </row>
    <row r="151" spans="1:10" ht="14.25" customHeight="1">
      <c r="A151" s="9" t="s">
        <v>117</v>
      </c>
      <c r="B151" s="9" t="s">
        <v>161</v>
      </c>
      <c r="C151" s="9" t="s">
        <v>128</v>
      </c>
      <c r="D151" s="9" t="s">
        <v>57</v>
      </c>
      <c r="E151" s="9" t="s">
        <v>45</v>
      </c>
      <c r="F151" s="9"/>
      <c r="G151" s="9" t="s">
        <v>120</v>
      </c>
      <c r="H151" s="9"/>
      <c r="I151" s="10">
        <v>46227</v>
      </c>
      <c r="J151" s="10">
        <v>46227</v>
      </c>
    </row>
    <row r="152" spans="1:10" ht="14.25" customHeight="1">
      <c r="A152" s="9" t="s">
        <v>117</v>
      </c>
      <c r="B152" s="9" t="s">
        <v>129</v>
      </c>
      <c r="C152" s="9" t="s">
        <v>128</v>
      </c>
      <c r="D152" s="9" t="s">
        <v>57</v>
      </c>
      <c r="E152" s="9" t="s">
        <v>45</v>
      </c>
      <c r="F152" s="9"/>
      <c r="G152" s="9" t="s">
        <v>120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117</v>
      </c>
      <c r="B153" s="9" t="s">
        <v>191</v>
      </c>
      <c r="C153" s="9" t="s">
        <v>131</v>
      </c>
      <c r="D153" s="9" t="s">
        <v>99</v>
      </c>
      <c r="E153" s="9" t="s">
        <v>74</v>
      </c>
      <c r="F153" s="9"/>
      <c r="G153" s="9" t="s">
        <v>120</v>
      </c>
      <c r="H153" s="9"/>
      <c r="I153" s="9"/>
      <c r="J153" s="9"/>
    </row>
    <row r="154" spans="1:10" ht="14.25" customHeight="1">
      <c r="A154" s="9" t="s">
        <v>117</v>
      </c>
      <c r="B154" s="9" t="s">
        <v>161</v>
      </c>
      <c r="C154" s="9" t="s">
        <v>131</v>
      </c>
      <c r="D154" s="9" t="s">
        <v>99</v>
      </c>
      <c r="E154" s="9" t="s">
        <v>74</v>
      </c>
      <c r="F154" s="9"/>
      <c r="G154" s="9" t="s">
        <v>120</v>
      </c>
      <c r="H154" s="9"/>
      <c r="I154" s="10">
        <v>46216</v>
      </c>
      <c r="J154" s="10">
        <v>46216</v>
      </c>
    </row>
    <row r="155" spans="1:10" ht="14.25" customHeight="1">
      <c r="A155" s="9" t="s">
        <v>117</v>
      </c>
      <c r="B155" s="9" t="s">
        <v>129</v>
      </c>
      <c r="C155" s="9" t="s">
        <v>131</v>
      </c>
      <c r="D155" s="9" t="s">
        <v>99</v>
      </c>
      <c r="E155" s="9" t="s">
        <v>74</v>
      </c>
      <c r="F155" s="9"/>
      <c r="G155" s="9" t="s">
        <v>120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117</v>
      </c>
      <c r="B156" s="9" t="s">
        <v>191</v>
      </c>
      <c r="C156" s="9" t="s">
        <v>133</v>
      </c>
      <c r="D156" s="9" t="s">
        <v>81</v>
      </c>
      <c r="E156" s="9" t="s">
        <v>58</v>
      </c>
      <c r="F156" s="9"/>
      <c r="G156" s="9" t="s">
        <v>134</v>
      </c>
      <c r="H156" s="9"/>
      <c r="I156" s="9"/>
      <c r="J156" s="9"/>
    </row>
    <row r="157" spans="1:10">
      <c r="A157" s="3" t="s">
        <v>117</v>
      </c>
      <c r="B157" s="3" t="s">
        <v>191</v>
      </c>
      <c r="C157" s="3" t="s">
        <v>136</v>
      </c>
      <c r="D157" s="3" t="s">
        <v>110</v>
      </c>
      <c r="E157" s="3" t="s">
        <v>45</v>
      </c>
      <c r="F157" s="3"/>
      <c r="G157" s="3" t="s">
        <v>134</v>
      </c>
      <c r="H157" s="3"/>
      <c r="I157" s="3"/>
      <c r="J157" s="3"/>
    </row>
    <row r="158" spans="1:10">
      <c r="A158" s="3" t="s">
        <v>117</v>
      </c>
      <c r="B158" s="3" t="s">
        <v>191</v>
      </c>
      <c r="C158" s="3" t="s">
        <v>138</v>
      </c>
      <c r="D158" s="3" t="s">
        <v>110</v>
      </c>
      <c r="E158" s="3" t="s">
        <v>45</v>
      </c>
      <c r="F158" s="3"/>
      <c r="G158" s="3" t="s">
        <v>134</v>
      </c>
      <c r="H158" s="3"/>
      <c r="I158" s="3"/>
      <c r="J158" s="3"/>
    </row>
    <row r="159" spans="1:10">
      <c r="A159" s="3" t="s">
        <v>117</v>
      </c>
      <c r="B159" s="3" t="s">
        <v>161</v>
      </c>
      <c r="C159" s="3" t="s">
        <v>138</v>
      </c>
      <c r="D159" s="3" t="s">
        <v>110</v>
      </c>
      <c r="E159" s="3" t="s">
        <v>45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117</v>
      </c>
      <c r="B160" s="3" t="s">
        <v>129</v>
      </c>
      <c r="C160" s="3" t="s">
        <v>138</v>
      </c>
      <c r="D160" s="3" t="s">
        <v>110</v>
      </c>
      <c r="E160" s="3" t="s">
        <v>45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117</v>
      </c>
      <c r="B161" s="3" t="s">
        <v>191</v>
      </c>
      <c r="C161" s="3" t="s">
        <v>139</v>
      </c>
      <c r="D161" s="3" t="s">
        <v>81</v>
      </c>
      <c r="E161" s="3" t="s">
        <v>58</v>
      </c>
      <c r="F161" s="3"/>
      <c r="G161" s="3" t="s">
        <v>134</v>
      </c>
      <c r="H161" s="3"/>
      <c r="I161" s="3"/>
      <c r="J161" s="3"/>
    </row>
    <row r="162" spans="1:10">
      <c r="A162" s="3" t="s">
        <v>117</v>
      </c>
      <c r="B162" s="3" t="s">
        <v>161</v>
      </c>
      <c r="C162" s="3" t="s">
        <v>139</v>
      </c>
      <c r="D162" s="3" t="s">
        <v>81</v>
      </c>
      <c r="E162" s="3" t="s">
        <v>58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117</v>
      </c>
      <c r="B163" s="3" t="s">
        <v>129</v>
      </c>
      <c r="C163" s="3" t="s">
        <v>139</v>
      </c>
      <c r="D163" s="3" t="s">
        <v>81</v>
      </c>
      <c r="E163" s="3" t="s">
        <v>58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117</v>
      </c>
      <c r="B164" s="3" t="s">
        <v>191</v>
      </c>
      <c r="C164" s="3" t="s">
        <v>141</v>
      </c>
      <c r="D164" s="3" t="s">
        <v>143</v>
      </c>
      <c r="E164" s="3" t="s">
        <v>58</v>
      </c>
      <c r="F164" s="3"/>
      <c r="G164" s="3" t="s">
        <v>134</v>
      </c>
      <c r="H164" s="3"/>
      <c r="I164" s="3"/>
      <c r="J164" s="3"/>
    </row>
    <row r="165" spans="1:10">
      <c r="A165" s="3" t="s">
        <v>117</v>
      </c>
      <c r="B165" s="3" t="s">
        <v>161</v>
      </c>
      <c r="C165" s="3" t="s">
        <v>141</v>
      </c>
      <c r="D165" s="3" t="s">
        <v>143</v>
      </c>
      <c r="E165" s="3" t="s">
        <v>58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117</v>
      </c>
      <c r="B166" s="3" t="s">
        <v>129</v>
      </c>
      <c r="C166" s="3" t="s">
        <v>141</v>
      </c>
      <c r="D166" s="3" t="s">
        <v>143</v>
      </c>
      <c r="E166" s="3" t="s">
        <v>58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117</v>
      </c>
      <c r="B167" s="3" t="s">
        <v>191</v>
      </c>
      <c r="C167" s="3" t="s">
        <v>144</v>
      </c>
      <c r="D167" s="3" t="s">
        <v>143</v>
      </c>
      <c r="E167" s="3" t="s">
        <v>74</v>
      </c>
      <c r="F167" s="3"/>
      <c r="G167" s="3" t="s">
        <v>134</v>
      </c>
      <c r="H167" s="3"/>
      <c r="I167" s="3"/>
      <c r="J167" s="3"/>
    </row>
    <row r="168" spans="1:10">
      <c r="A168" s="3" t="s">
        <v>117</v>
      </c>
      <c r="B168" s="3" t="s">
        <v>161</v>
      </c>
      <c r="C168" s="3" t="s">
        <v>144</v>
      </c>
      <c r="D168" s="3" t="s">
        <v>143</v>
      </c>
      <c r="E168" s="3" t="s">
        <v>74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117</v>
      </c>
      <c r="B169" s="3" t="s">
        <v>129</v>
      </c>
      <c r="C169" s="3" t="s">
        <v>144</v>
      </c>
      <c r="D169" s="3" t="s">
        <v>143</v>
      </c>
      <c r="E169" s="3" t="s">
        <v>74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117</v>
      </c>
      <c r="B170" s="3" t="s">
        <v>191</v>
      </c>
      <c r="C170" s="3" t="s">
        <v>145</v>
      </c>
      <c r="D170" s="3" t="s">
        <v>73</v>
      </c>
      <c r="E170" s="3" t="s">
        <v>45</v>
      </c>
      <c r="F170" s="3"/>
      <c r="G170" s="3" t="s">
        <v>120</v>
      </c>
      <c r="H170" s="3"/>
      <c r="I170" s="3"/>
      <c r="J170" s="3"/>
    </row>
    <row r="171" spans="1:10">
      <c r="A171" s="3" t="s">
        <v>117</v>
      </c>
      <c r="B171" s="3" t="s">
        <v>161</v>
      </c>
      <c r="C171" s="3" t="s">
        <v>145</v>
      </c>
      <c r="D171" s="3" t="s">
        <v>73</v>
      </c>
      <c r="E171" s="3" t="s">
        <v>45</v>
      </c>
      <c r="F171" s="3"/>
      <c r="G171" s="3" t="s">
        <v>120</v>
      </c>
      <c r="H171" s="3"/>
      <c r="I171" s="4">
        <v>46226</v>
      </c>
      <c r="J171" s="4">
        <v>46226</v>
      </c>
    </row>
    <row r="172" spans="1:10">
      <c r="A172" s="3" t="s">
        <v>117</v>
      </c>
      <c r="B172" s="3" t="s">
        <v>129</v>
      </c>
      <c r="C172" s="3" t="s">
        <v>145</v>
      </c>
      <c r="D172" s="3" t="s">
        <v>73</v>
      </c>
      <c r="E172" s="3" t="s">
        <v>45</v>
      </c>
      <c r="F172" s="3"/>
      <c r="G172" s="3" t="s">
        <v>120</v>
      </c>
      <c r="H172" s="4">
        <v>46226</v>
      </c>
      <c r="I172" s="4">
        <v>46223</v>
      </c>
      <c r="J172" s="4">
        <v>46223</v>
      </c>
    </row>
    <row r="173" spans="1:10">
      <c r="A173" s="3" t="s">
        <v>117</v>
      </c>
      <c r="B173" s="3" t="s">
        <v>191</v>
      </c>
      <c r="C173" s="3" t="s">
        <v>147</v>
      </c>
      <c r="D173" s="3" t="s">
        <v>57</v>
      </c>
      <c r="E173" s="3" t="s">
        <v>58</v>
      </c>
      <c r="F173" s="3"/>
      <c r="G173" s="3" t="s">
        <v>120</v>
      </c>
      <c r="H173" s="3"/>
      <c r="I173" s="3"/>
      <c r="J173" s="3"/>
    </row>
    <row r="174" spans="1:10">
      <c r="A174" s="3" t="s">
        <v>117</v>
      </c>
      <c r="B174" s="3" t="s">
        <v>161</v>
      </c>
      <c r="C174" s="3" t="s">
        <v>147</v>
      </c>
      <c r="D174" s="3" t="s">
        <v>57</v>
      </c>
      <c r="E174" s="3" t="s">
        <v>58</v>
      </c>
      <c r="F174" s="3"/>
      <c r="G174" s="3" t="s">
        <v>120</v>
      </c>
      <c r="H174" s="3"/>
      <c r="I174" s="4">
        <v>46225</v>
      </c>
      <c r="J174" s="4">
        <v>46225</v>
      </c>
    </row>
    <row r="175" spans="1:10">
      <c r="A175" s="3" t="s">
        <v>117</v>
      </c>
      <c r="B175" s="3" t="s">
        <v>129</v>
      </c>
      <c r="C175" s="3" t="s">
        <v>147</v>
      </c>
      <c r="D175" s="3" t="s">
        <v>57</v>
      </c>
      <c r="E175" s="3" t="s">
        <v>58</v>
      </c>
      <c r="F175" s="3"/>
      <c r="G175" s="3" t="s">
        <v>120</v>
      </c>
      <c r="H175" s="4">
        <v>46225</v>
      </c>
      <c r="I175" s="4">
        <v>46223</v>
      </c>
      <c r="J175" s="4">
        <v>46223</v>
      </c>
    </row>
    <row r="176" spans="1:10">
      <c r="A176" s="3" t="s">
        <v>117</v>
      </c>
      <c r="B176" s="3" t="s">
        <v>191</v>
      </c>
      <c r="C176" s="3" t="s">
        <v>149</v>
      </c>
      <c r="D176" s="3" t="s">
        <v>73</v>
      </c>
      <c r="E176" s="3" t="s">
        <v>74</v>
      </c>
      <c r="F176" s="3"/>
      <c r="G176" s="3" t="s">
        <v>134</v>
      </c>
      <c r="H176" s="3"/>
      <c r="I176" s="3"/>
      <c r="J176" s="3"/>
    </row>
    <row r="177" spans="1:10">
      <c r="A177" s="3" t="s">
        <v>117</v>
      </c>
      <c r="B177" s="3" t="s">
        <v>161</v>
      </c>
      <c r="C177" s="3" t="s">
        <v>149</v>
      </c>
      <c r="D177" s="3" t="s">
        <v>73</v>
      </c>
      <c r="E177" s="3" t="s">
        <v>74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117</v>
      </c>
      <c r="B178" s="3" t="s">
        <v>129</v>
      </c>
      <c r="C178" s="3" t="s">
        <v>149</v>
      </c>
      <c r="D178" s="3" t="s">
        <v>73</v>
      </c>
      <c r="E178" s="3" t="s">
        <v>74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117</v>
      </c>
      <c r="B179" s="3" t="s">
        <v>191</v>
      </c>
      <c r="C179" s="3" t="s">
        <v>152</v>
      </c>
      <c r="D179" s="3" t="s">
        <v>99</v>
      </c>
      <c r="E179" s="3"/>
      <c r="F179" s="3"/>
      <c r="G179" s="3"/>
      <c r="H179" s="3"/>
      <c r="I179" s="3"/>
      <c r="J179" s="3"/>
    </row>
    <row r="180" spans="1:10">
      <c r="A180" s="3" t="s">
        <v>117</v>
      </c>
      <c r="B180" s="3" t="s">
        <v>161</v>
      </c>
      <c r="C180" s="3" t="s">
        <v>152</v>
      </c>
      <c r="D180" s="3" t="s">
        <v>99</v>
      </c>
      <c r="E180" s="3"/>
      <c r="F180" s="3"/>
      <c r="G180" s="3"/>
      <c r="H180" s="3"/>
      <c r="I180" s="3"/>
      <c r="J180" s="3"/>
    </row>
    <row r="181" spans="1:10">
      <c r="A181" s="3" t="s">
        <v>117</v>
      </c>
      <c r="B181" s="3" t="s">
        <v>129</v>
      </c>
      <c r="C181" s="3" t="s">
        <v>152</v>
      </c>
      <c r="D181" s="3" t="s">
        <v>99</v>
      </c>
      <c r="E181" s="3"/>
      <c r="F181" s="3"/>
      <c r="G181" s="3"/>
      <c r="H181" s="3"/>
      <c r="I181" s="3"/>
      <c r="J181" s="3"/>
    </row>
    <row r="182" spans="1:10">
      <c r="A182" s="3" t="s">
        <v>117</v>
      </c>
      <c r="B182" s="3" t="s">
        <v>191</v>
      </c>
      <c r="C182" s="3" t="s">
        <v>160</v>
      </c>
      <c r="D182" s="3" t="s">
        <v>81</v>
      </c>
      <c r="E182" s="3"/>
      <c r="F182" s="3"/>
      <c r="G182" s="3"/>
      <c r="H182" s="3"/>
      <c r="I182" s="3"/>
      <c r="J182" s="3"/>
    </row>
    <row r="183" spans="1:10">
      <c r="A183" s="3" t="s">
        <v>117</v>
      </c>
      <c r="B183" s="3" t="s">
        <v>161</v>
      </c>
      <c r="C183" s="3" t="s">
        <v>160</v>
      </c>
      <c r="D183" s="3" t="s">
        <v>81</v>
      </c>
      <c r="E183" s="3"/>
      <c r="F183" s="3"/>
      <c r="G183" s="3"/>
      <c r="H183" s="3"/>
      <c r="I183" s="3"/>
      <c r="J183" s="3"/>
    </row>
    <row r="184" spans="1:10">
      <c r="A184" s="3" t="s">
        <v>117</v>
      </c>
      <c r="B184" s="3" t="s">
        <v>129</v>
      </c>
      <c r="C184" s="3" t="s">
        <v>160</v>
      </c>
      <c r="D184" s="3" t="s">
        <v>81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1" t="s">
        <v>319</v>
      </c>
      <c r="B1" s="85"/>
      <c r="C1" s="85"/>
    </row>
    <row r="2" spans="1:3" ht="14.25" customHeight="1">
      <c r="A2" s="8" t="s">
        <v>0</v>
      </c>
      <c r="B2" s="8" t="s">
        <v>320</v>
      </c>
      <c r="C2" s="8" t="s">
        <v>316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117</v>
      </c>
      <c r="B6" s="11">
        <v>15</v>
      </c>
      <c r="C6" s="12">
        <v>46233</v>
      </c>
    </row>
    <row r="7" spans="1:3" ht="14.25" customHeight="1">
      <c r="A7" s="11" t="s">
        <v>117</v>
      </c>
      <c r="B7" s="11">
        <v>15</v>
      </c>
      <c r="C7" s="12">
        <v>46264</v>
      </c>
    </row>
    <row r="8" spans="1:3" ht="14.25" customHeight="1">
      <c r="A8" s="11" t="s">
        <v>117</v>
      </c>
      <c r="B8" s="11">
        <v>17</v>
      </c>
      <c r="C8" s="12">
        <v>46295</v>
      </c>
    </row>
    <row r="9" spans="1:3" ht="14.25" customHeight="1">
      <c r="A9" s="11" t="s">
        <v>117</v>
      </c>
      <c r="B9" s="11">
        <v>20</v>
      </c>
      <c r="C9" s="12">
        <v>46325</v>
      </c>
    </row>
    <row r="10" spans="1:3" ht="14.25" customHeight="1">
      <c r="A10" s="11" t="s">
        <v>117</v>
      </c>
      <c r="B10" s="11">
        <v>20</v>
      </c>
      <c r="C10" s="12">
        <v>46356</v>
      </c>
    </row>
    <row r="11" spans="1:3" ht="14.25" customHeight="1">
      <c r="A11" s="11" t="s">
        <v>321</v>
      </c>
      <c r="B11" s="11">
        <v>18</v>
      </c>
      <c r="C11" s="12">
        <v>46386</v>
      </c>
    </row>
    <row r="12" spans="1:3" ht="14.25" customHeight="1">
      <c r="A12" s="11" t="s">
        <v>321</v>
      </c>
      <c r="B12" s="11">
        <v>18</v>
      </c>
      <c r="C12" s="12">
        <v>46417</v>
      </c>
    </row>
    <row r="13" spans="1:3" ht="14.25" customHeight="1">
      <c r="A13" s="11" t="s">
        <v>321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5" sqref="T5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322</v>
      </c>
      <c r="F1" s="1" t="s">
        <v>267</v>
      </c>
      <c r="G1" s="5" t="s">
        <v>323</v>
      </c>
      <c r="H1" s="5" t="s">
        <v>20</v>
      </c>
      <c r="I1" t="s">
        <v>34</v>
      </c>
      <c r="J1" s="5" t="s">
        <v>324</v>
      </c>
      <c r="K1" s="5" t="s">
        <v>119</v>
      </c>
      <c r="L1" s="5" t="s">
        <v>286</v>
      </c>
      <c r="M1" s="1" t="s">
        <v>325</v>
      </c>
      <c r="N1" s="1" t="s">
        <v>326</v>
      </c>
      <c r="R1" t="s">
        <v>13</v>
      </c>
      <c r="T1" t="s">
        <v>327</v>
      </c>
    </row>
    <row r="2" spans="1:20" ht="13.5" customHeight="1">
      <c r="A2" s="2" t="s">
        <v>328</v>
      </c>
      <c r="B2" s="2" t="s">
        <v>329</v>
      </c>
      <c r="C2" s="2" t="s">
        <v>330</v>
      </c>
      <c r="D2" s="2" t="s">
        <v>331</v>
      </c>
      <c r="E2" s="2" t="s">
        <v>332</v>
      </c>
      <c r="F2" s="2" t="s">
        <v>333</v>
      </c>
      <c r="G2" t="s">
        <v>334</v>
      </c>
      <c r="H2" t="s">
        <v>335</v>
      </c>
      <c r="I2" t="s">
        <v>336</v>
      </c>
      <c r="J2" s="29" t="s">
        <v>337</v>
      </c>
      <c r="K2" s="29" t="s">
        <v>338</v>
      </c>
      <c r="L2" s="29" t="s">
        <v>339</v>
      </c>
      <c r="M2" t="s">
        <v>134</v>
      </c>
      <c r="N2" s="45" t="s">
        <v>340</v>
      </c>
      <c r="R2" t="s">
        <v>341</v>
      </c>
      <c r="T2" t="s">
        <v>342</v>
      </c>
    </row>
    <row r="3" spans="1:20" ht="15" customHeight="1">
      <c r="A3" t="s">
        <v>39</v>
      </c>
      <c r="B3" t="s">
        <v>43</v>
      </c>
      <c r="C3" t="s">
        <v>58</v>
      </c>
      <c r="D3" t="s">
        <v>120</v>
      </c>
      <c r="E3" t="s">
        <v>48</v>
      </c>
      <c r="F3" t="s">
        <v>182</v>
      </c>
      <c r="G3" t="s">
        <v>43</v>
      </c>
      <c r="H3" t="s">
        <v>46</v>
      </c>
      <c r="I3" t="s">
        <v>51</v>
      </c>
      <c r="J3" t="s">
        <v>191</v>
      </c>
      <c r="K3" t="s">
        <v>47</v>
      </c>
      <c r="L3" t="s">
        <v>51</v>
      </c>
      <c r="M3" t="s">
        <v>43</v>
      </c>
      <c r="N3" s="45" t="s">
        <v>343</v>
      </c>
      <c r="R3" t="s">
        <v>44</v>
      </c>
      <c r="T3" t="s">
        <v>344</v>
      </c>
    </row>
    <row r="4" spans="1:20" ht="15" customHeight="1">
      <c r="A4" t="s">
        <v>117</v>
      </c>
      <c r="B4" t="s">
        <v>57</v>
      </c>
      <c r="C4" t="s">
        <v>45</v>
      </c>
      <c r="D4" t="s">
        <v>134</v>
      </c>
      <c r="E4" t="s">
        <v>51</v>
      </c>
      <c r="F4" t="s">
        <v>191</v>
      </c>
      <c r="G4" t="s">
        <v>57</v>
      </c>
      <c r="H4" t="s">
        <v>85</v>
      </c>
      <c r="I4" t="s">
        <v>345</v>
      </c>
      <c r="J4" t="s">
        <v>161</v>
      </c>
      <c r="L4" t="s">
        <v>48</v>
      </c>
      <c r="M4" t="s">
        <v>99</v>
      </c>
      <c r="N4" s="45" t="s">
        <v>343</v>
      </c>
      <c r="R4" t="s">
        <v>174</v>
      </c>
    </row>
    <row r="5" spans="1:20" ht="15" customHeight="1">
      <c r="A5" t="s">
        <v>321</v>
      </c>
      <c r="B5" t="s">
        <v>63</v>
      </c>
      <c r="C5" t="s">
        <v>74</v>
      </c>
      <c r="F5" t="s">
        <v>161</v>
      </c>
      <c r="G5" t="s">
        <v>63</v>
      </c>
      <c r="H5" t="s">
        <v>120</v>
      </c>
      <c r="I5" t="s">
        <v>346</v>
      </c>
      <c r="J5" t="s">
        <v>129</v>
      </c>
      <c r="L5" t="s">
        <v>347</v>
      </c>
      <c r="M5" t="s">
        <v>85</v>
      </c>
      <c r="N5" s="45" t="s">
        <v>343</v>
      </c>
    </row>
    <row r="6" spans="1:20" ht="15" customHeight="1">
      <c r="A6" t="s">
        <v>248</v>
      </c>
      <c r="B6" t="s">
        <v>81</v>
      </c>
      <c r="F6" t="s">
        <v>129</v>
      </c>
      <c r="G6" t="s">
        <v>81</v>
      </c>
      <c r="H6" t="s">
        <v>134</v>
      </c>
      <c r="I6" t="s">
        <v>348</v>
      </c>
      <c r="J6" t="s">
        <v>119</v>
      </c>
      <c r="M6" t="s">
        <v>47</v>
      </c>
      <c r="N6" s="45" t="s">
        <v>343</v>
      </c>
    </row>
    <row r="7" spans="1:20" ht="15" customHeight="1">
      <c r="A7" t="s">
        <v>241</v>
      </c>
      <c r="B7" t="s">
        <v>110</v>
      </c>
      <c r="F7" t="s">
        <v>119</v>
      </c>
      <c r="G7" t="s">
        <v>110</v>
      </c>
      <c r="I7" t="s">
        <v>349</v>
      </c>
      <c r="M7" t="s">
        <v>120</v>
      </c>
      <c r="N7" s="45" t="s">
        <v>343</v>
      </c>
    </row>
    <row r="8" spans="1:20" ht="15" customHeight="1">
      <c r="B8" t="s">
        <v>73</v>
      </c>
      <c r="F8" t="s">
        <v>41</v>
      </c>
      <c r="G8" t="s">
        <v>73</v>
      </c>
      <c r="I8" t="s">
        <v>350</v>
      </c>
      <c r="M8" t="s">
        <v>58</v>
      </c>
      <c r="N8" s="45" t="s">
        <v>343</v>
      </c>
    </row>
    <row r="9" spans="1:20" ht="15" customHeight="1">
      <c r="B9" t="s">
        <v>99</v>
      </c>
      <c r="G9" t="s">
        <v>99</v>
      </c>
      <c r="I9" t="s">
        <v>351</v>
      </c>
      <c r="M9" t="s">
        <v>143</v>
      </c>
      <c r="N9" s="45" t="s">
        <v>343</v>
      </c>
    </row>
    <row r="10" spans="1:20" ht="15" customHeight="1">
      <c r="B10" t="s">
        <v>143</v>
      </c>
      <c r="G10" t="s">
        <v>143</v>
      </c>
      <c r="M10" t="s">
        <v>46</v>
      </c>
      <c r="N10" s="45" t="s">
        <v>343</v>
      </c>
    </row>
    <row r="11" spans="1:20">
      <c r="B11" t="s">
        <v>352</v>
      </c>
      <c r="G11" t="s">
        <v>58</v>
      </c>
      <c r="M11" t="s">
        <v>73</v>
      </c>
      <c r="N11" s="45" t="s">
        <v>343</v>
      </c>
    </row>
    <row r="12" spans="1:20">
      <c r="B12" t="s">
        <v>353</v>
      </c>
      <c r="G12" t="s">
        <v>45</v>
      </c>
      <c r="M12" t="s">
        <v>45</v>
      </c>
      <c r="N12" s="45" t="s">
        <v>343</v>
      </c>
    </row>
    <row r="13" spans="1:20">
      <c r="G13" t="s">
        <v>74</v>
      </c>
      <c r="M13" t="s">
        <v>74</v>
      </c>
      <c r="N13" s="45" t="s">
        <v>343</v>
      </c>
    </row>
    <row r="14" spans="1:20">
      <c r="M14" t="s">
        <v>81</v>
      </c>
      <c r="N14" s="45" t="s">
        <v>354</v>
      </c>
    </row>
    <row r="15" spans="1:20">
      <c r="M15" t="s">
        <v>57</v>
      </c>
      <c r="N15" s="45" t="s">
        <v>343</v>
      </c>
    </row>
    <row r="16" spans="1:20">
      <c r="M16" t="s">
        <v>110</v>
      </c>
      <c r="N16" s="45" t="s">
        <v>343</v>
      </c>
    </row>
    <row r="17" spans="13:14">
      <c r="M17" t="s">
        <v>63</v>
      </c>
      <c r="N17" s="45" t="s">
        <v>343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2026-08-26T17:47:23Z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