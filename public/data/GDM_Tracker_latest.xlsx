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902" documentId="13_ncr:1_{52745E9B-3AA1-4770-AAD3-E6166BFC13AE}" xr6:coauthVersionLast="47" xr6:coauthVersionMax="47" xr10:uidLastSave="{37B4A800-2455-4324-9647-9A870C6604B3}"/>
  <bookViews>
    <workbookView xWindow="-28920" yWindow="-105" windowWidth="29040" windowHeight="15720" tabRatio="500" firstSheet="6" activeTab="7"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<sst xmlns="http://schemas.openxmlformats.org/spreadsheetml/2006/main" count="3551" uniqueCount="496">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</sst>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7"/>
      <c r="C4" s="218"/>
      <c r="D4" s="218"/>
      <c r="E4" s="218"/>
    </row>
    <row r="6" spans="1:5">
      <c r="A6" s="42" t="s">
        <v>0</v>
      </c>
      <c r="B6" s="215" t="str">
        <f>IF($B$4="","",IFERROR(INDEX('Combined Delivery Data'!$A:$A,MATCH($B$4,'Combined Delivery Data'!$B:$B,0)),""))</f>
        <v/>
      </c>
      <c r="C6" s="219"/>
      <c r="D6" s="219"/>
      <c r="E6" s="220"/>
    </row>
    <row r="7" spans="1:5">
      <c r="A7" s="42" t="s">
        <v>334</v>
      </c>
      <c r="B7" s="215" t="str">
        <f>IF($B$4="","",IFERROR(INDEX('Combined Delivery Data'!$C:$C,MATCH($B$4,'Combined Delivery Data'!$B:$B,0)),""))</f>
        <v/>
      </c>
      <c r="C7" s="219"/>
      <c r="D7" s="219"/>
      <c r="E7" s="220"/>
    </row>
    <row r="8" spans="1:5">
      <c r="A8" s="42" t="s">
        <v>3</v>
      </c>
      <c r="B8" s="215" t="str">
        <f>IF($B$4="","",IFERROR(INDEX('Combined Delivery Data'!$D:$D,MATCH($B$4,'Combined Delivery Data'!$B:$B,0)),""))</f>
        <v/>
      </c>
      <c r="C8" s="219"/>
      <c r="D8" s="219"/>
      <c r="E8" s="220"/>
    </row>
    <row r="9" spans="1:5">
      <c r="A9" s="42" t="s">
        <v>4</v>
      </c>
      <c r="B9" s="215" t="str">
        <f>IF($B$4="","",IFERROR(INDEX('Combined Delivery Data'!$E:$E,MATCH($B$4,'Combined Delivery Data'!$B:$B,0)),""))</f>
        <v/>
      </c>
      <c r="C9" s="219"/>
      <c r="D9" s="219"/>
      <c r="E9" s="220"/>
    </row>
    <row r="10" spans="1:5">
      <c r="A10" s="42" t="s">
        <v>5</v>
      </c>
      <c r="B10" s="215" t="str">
        <f>IF($B$4="","",IFERROR(INDEX('Combined Delivery Data'!$F:$F,MATCH($B$4,'Combined Delivery Data'!$B:$B,0)),""))</f>
        <v/>
      </c>
      <c r="C10" s="219"/>
      <c r="D10" s="219"/>
      <c r="E10" s="220"/>
    </row>
    <row r="11" spans="1:5">
      <c r="A11" s="42" t="s">
        <v>9</v>
      </c>
      <c r="B11" s="215" t="str">
        <f>IF($B$4="","",IFERROR(INDEX('Combined Delivery Data'!$J:$J,MATCH($B$4,'Combined Delivery Data'!$B:$B,0)),""))</f>
        <v/>
      </c>
      <c r="C11" s="219"/>
      <c r="D11" s="219"/>
      <c r="E11" s="220"/>
    </row>
    <row r="12" spans="1:5">
      <c r="A12" s="42" t="s">
        <v>15</v>
      </c>
      <c r="B12" s="215" t="str">
        <f>IF($B$4="","",IFERROR(INDEX('Combined Delivery Data'!$P:$P,MATCH($B$4,'Combined Delivery Data'!$B:$B,0)),""))</f>
        <v/>
      </c>
      <c r="C12" s="219"/>
      <c r="D12" s="219"/>
      <c r="E12" s="220"/>
    </row>
    <row r="13" spans="1:5">
      <c r="A13" s="42" t="s">
        <v>20</v>
      </c>
      <c r="B13" s="215" t="str">
        <f>IF($B$4="","",IFERROR(INDEX('Combined Delivery Data'!$U:$U,MATCH($B$4,'Combined Delivery Data'!$B:$B,0)),""))</f>
        <v/>
      </c>
      <c r="C13" s="219"/>
      <c r="D13" s="219"/>
      <c r="E13" s="220"/>
    </row>
    <row r="14" spans="1:5">
      <c r="A14" s="42" t="s">
        <v>335</v>
      </c>
      <c r="B14" s="214" t="str">
        <f>IF($B$4="","",IFERROR(INDEX('Combined Delivery Data'!$K:$K,MATCH($B$4,'Combined Delivery Data'!$B:$B,0)),""))</f>
        <v/>
      </c>
      <c r="C14" s="219"/>
      <c r="D14" s="219"/>
      <c r="E14" s="220"/>
    </row>
    <row r="15" spans="1:5">
      <c r="A15" s="42" t="s">
        <v>336</v>
      </c>
      <c r="B15" s="214" t="str">
        <f>IF($B$4="","",IFERROR(INDEX('Combined Delivery Data'!$L:$L,MATCH($B$4,'Combined Delivery Data'!$B:$B,0)),""))</f>
        <v/>
      </c>
      <c r="C15" s="219"/>
      <c r="D15" s="219"/>
      <c r="E15" s="220"/>
    </row>
    <row r="16" spans="1:5">
      <c r="A16" s="42" t="s">
        <v>337</v>
      </c>
      <c r="B16" s="214" t="str">
        <f>IF($B$4="","",IFERROR(INDEX('Combined Delivery Data'!$M:$M,MATCH($B$4,'Combined Delivery Data'!$B:$B,0)),""))</f>
        <v/>
      </c>
      <c r="C16" s="219"/>
      <c r="D16" s="219"/>
      <c r="E16" s="220"/>
    </row>
    <row r="17" spans="1:5">
      <c r="A17" s="42" t="s">
        <v>338</v>
      </c>
      <c r="B17" s="214" t="str">
        <f>IF($B$4="","",IFERROR(INDEX('Combined Delivery Data'!$O:$O,MATCH($B$4,'Combined Delivery Data'!$B:$B,0)),""))</f>
        <v/>
      </c>
      <c r="C17" s="219"/>
      <c r="D17" s="219"/>
      <c r="E17" s="220"/>
    </row>
    <row r="18" spans="1:5">
      <c r="A18" s="42" t="s">
        <v>339</v>
      </c>
      <c r="B18" s="214" t="str">
        <f>IF($B$4="","",IFERROR(INDEX('Combined Delivery Data'!$Q:$Q,MATCH($B$4,'Combined Delivery Data'!$B:$B,0)),""))</f>
        <v/>
      </c>
      <c r="C18" s="219"/>
      <c r="D18" s="219"/>
      <c r="E18" s="220"/>
    </row>
    <row r="19" spans="1:5">
      <c r="A19" s="42" t="s">
        <v>340</v>
      </c>
      <c r="B19" s="214" t="str">
        <f>IF($B$4="","",IFERROR(INDEX('Combined Delivery Data'!$R:$R,MATCH($B$4,'Combined Delivery Data'!$B:$B,0)),""))</f>
        <v/>
      </c>
      <c r="C19" s="219"/>
      <c r="D19" s="219"/>
      <c r="E19" s="220"/>
    </row>
    <row r="20" spans="1:5">
      <c r="A20" s="42" t="s">
        <v>341</v>
      </c>
      <c r="B20" s="214" t="str">
        <f>IF($B$4="","",IFERROR(INDEX('Combined Delivery Data'!$S:$S,MATCH($B$4,'Combined Delivery Data'!$B:$B,0)),""))</f>
        <v/>
      </c>
      <c r="C20" s="219"/>
      <c r="D20" s="219"/>
      <c r="E20" s="220"/>
    </row>
    <row r="21" spans="1:5">
      <c r="A21" s="42" t="s">
        <v>29</v>
      </c>
      <c r="B21" s="215" t="str">
        <f>IF($B$4="","",IFERROR(INDEX('Combined Delivery Data'!$T:$T,MATCH($B$4,'Combined Delivery Data'!$B:$B,0)),""))</f>
        <v/>
      </c>
      <c r="C21" s="219"/>
      <c r="D21" s="219"/>
      <c r="E21" s="220"/>
    </row>
    <row r="22" spans="1:5">
      <c r="A22" s="42" t="s">
        <v>31</v>
      </c>
      <c r="B22" s="215" t="str">
        <f>IF($B$4="","",IFERROR(INDEX('Combined Delivery Data'!$V:$V,MATCH($B$4,'Combined Delivery Data'!$B:$B,0)),""))</f>
        <v/>
      </c>
      <c r="C22" s="219"/>
      <c r="D22" s="219"/>
      <c r="E22" s="220"/>
    </row>
    <row r="23" spans="1:5">
      <c r="A23" s="42" t="s">
        <v>32</v>
      </c>
      <c r="B23" s="214" t="str">
        <f>IF($B$4="","",IFERROR(INDEX('Combined Delivery Data'!$W:$W,MATCH($B$4,'Combined Delivery Data'!$B:$B,0)),""))</f>
        <v/>
      </c>
      <c r="C23" s="219"/>
      <c r="D23" s="219"/>
      <c r="E23" s="220"/>
    </row>
    <row r="24" spans="1:5">
      <c r="A24" s="42" t="s">
        <v>35</v>
      </c>
      <c r="B24" s="215" t="str">
        <f>IF($B$4="","",IFERROR(INDEX('Combined Delivery Data'!$X:$X,MATCH($B$4,'Combined Delivery Data'!$B:$B,0)),""))</f>
        <v/>
      </c>
      <c r="C24" s="219"/>
      <c r="D24" s="219"/>
      <c r="E24" s="220"/>
    </row>
    <row r="25" spans="1:5">
      <c r="A25" s="42" t="s">
        <v>36</v>
      </c>
      <c r="B25" s="215" t="str">
        <f>IF($B$4="","",IFERROR(INDEX('Combined Delivery Data'!$Z:$Z,MATCH($B$4,'Combined Delivery Data'!$B:$B,0)),""))</f>
        <v/>
      </c>
      <c r="C25" s="219"/>
      <c r="D25" s="219"/>
      <c r="E25" s="220"/>
    </row>
    <row r="26" spans="1:5">
      <c r="A26" s="42" t="s">
        <v>342</v>
      </c>
      <c r="B26" s="215" t="str">
        <f>IF($B$4="","",IFERROR(INDEX('Rework Log'!$Q:$Q,MATCH($B$4,'Rework Log'!$P:$P,0)),""))</f>
        <v/>
      </c>
      <c r="C26" s="219"/>
      <c r="D26" s="219"/>
      <c r="E26" s="220"/>
    </row>
    <row r="27" spans="1:5">
      <c r="A27" s="42" t="s">
        <v>343</v>
      </c>
      <c r="B27" s="215" t="str">
        <f>IF($B$4="","",IFERROR(INDEX('Rework Log'!$R:$R,MATCH($B$4,'Rework Log'!$P:$P,0)),""))</f>
        <v/>
      </c>
      <c r="C27" s="219"/>
      <c r="D27" s="219"/>
      <c r="E27" s="220"/>
    </row>
    <row r="28" spans="1:5">
      <c r="A28" s="42" t="s">
        <v>344</v>
      </c>
      <c r="B28" s="215" t="str">
        <f>IF($B$4="","",IFERROR(INDEX('Rework Log'!$S:$S,MATCH($B$4,'Rework Log'!$P:$P,0)),""))</f>
        <v/>
      </c>
      <c r="C28" s="219"/>
      <c r="D28" s="219"/>
      <c r="E28" s="220"/>
    </row>
    <row r="29" spans="1:5">
      <c r="A29" s="42" t="s">
        <v>345</v>
      </c>
      <c r="B29" s="215" t="str">
        <f>IF($B$4="","",IFERROR(INDEX('Rework Log'!$T:$T,MATCH($B$4,'Rework Log'!$P:$P,0)),""))</f>
        <v/>
      </c>
      <c r="C29" s="219"/>
      <c r="D29" s="219"/>
      <c r="E29" s="220"/>
    </row>
    <row r="30" spans="1:5" ht="15.6" customHeight="1">
      <c r="A30" s="42"/>
      <c r="B30" s="215"/>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6" t="s">
        <v>346</v>
      </c>
      <c r="B1" s="216"/>
      <c r="C1" s="216"/>
      <c r="D1" s="216"/>
      <c r="E1" s="216"/>
      <c r="F1" s="216"/>
      <c r="G1" s="216"/>
      <c r="H1" s="216"/>
      <c r="I1" s="216"/>
      <c r="J1" s="216"/>
      <c r="K1" s="216"/>
      <c r="L1" s="216"/>
      <c r="M1" s="216"/>
      <c r="P1" s="222" t="s">
        <v>347</v>
      </c>
      <c r="Q1" s="222"/>
      <c r="R1" s="222"/>
      <c r="S1" s="222"/>
      <c r="T1" s="222"/>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410</v>
      </c>
      <c r="B1" s="218"/>
      <c r="C1" s="218"/>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427</v>
      </c>
      <c r="B1" s="218"/>
      <c r="C1" s="218"/>
      <c r="D1" s="218"/>
      <c r="E1" s="218"/>
      <c r="F1" s="218"/>
      <c r="G1" s="218"/>
      <c r="H1" s="218"/>
      <c r="I1" s="218"/>
      <c r="J1" s="218"/>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election activeCell="B3" sqref="B3"/>
    </sheetView>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6"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5"/>
      <c r="D5" s="205"/>
      <c r="E5" s="205"/>
      <c r="F5" s="205"/>
      <c r="G5" s="205"/>
      <c r="H5" s="205"/>
      <c r="I5" s="205"/>
      <c r="J5" s="205"/>
      <c r="K5" s="205"/>
    </row>
    <row r="6" spans="2:12" ht="32.25" customHeight="1">
      <c r="B6" s="205"/>
      <c r="C6" s="205"/>
      <c r="D6" s="205"/>
      <c r="E6" s="205"/>
      <c r="F6" s="205"/>
      <c r="G6" s="205"/>
      <c r="H6" s="205"/>
      <c r="I6" s="205"/>
      <c r="J6" s="205"/>
      <c r="K6" s="205"/>
    </row>
    <row r="7" spans="2:12" ht="8.25" customHeight="1"/>
    <row r="8" spans="2:12" ht="6" customHeight="1"/>
    <row r="9" spans="2:12" ht="45.75" customHeight="1">
      <c r="B9" s="207">
        <f>COUNTIF(Data!E:E,"Blocked in Prod")</f>
        <v>25</v>
      </c>
      <c r="C9" s="208"/>
      <c r="D9" s="211">
        <f>COUNTIF(Data!E:E,"Blocked - Build/QA")</f>
        <v>5</v>
      </c>
      <c r="E9" s="208"/>
      <c r="F9" s="213">
        <v>11</v>
      </c>
      <c r="G9" s="208"/>
      <c r="H9" s="208"/>
      <c r="I9" s="213">
        <f>COUNTIF(Data!E:E,"Released")</f>
        <v>0</v>
      </c>
      <c r="J9" s="208"/>
      <c r="K9" s="208"/>
    </row>
    <row r="10" spans="2:12" ht="30" customHeight="1">
      <c r="B10" s="209" t="s">
        <v>478</v>
      </c>
      <c r="C10" s="210"/>
      <c r="D10" s="212" t="s">
        <v>479</v>
      </c>
      <c r="E10" s="210"/>
      <c r="F10" s="212" t="s">
        <v>480</v>
      </c>
      <c r="G10" s="210"/>
      <c r="H10" s="210"/>
      <c r="I10" s="212" t="s">
        <v>481</v>
      </c>
      <c r="J10" s="210"/>
      <c r="K10" s="210"/>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203</v>
      </c>
      <c r="I13" s="177" t="s">
        <v>223</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240</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265</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489</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490</v>
      </c>
      <c r="H39" s="175" t="s">
        <v>491</v>
      </c>
    </row>
    <row r="40" spans="2:12" ht="21.75" customHeight="1">
      <c r="B40" s="200"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1"/>
      <c r="D40" s="201"/>
      <c r="E40" s="201"/>
      <c r="F40" s="201"/>
      <c r="H40" s="202" t="s">
        <v>492</v>
      </c>
      <c r="I40" s="203"/>
      <c r="J40" s="203"/>
      <c r="K40" s="203"/>
    </row>
    <row r="41" spans="2:12" ht="21.75" customHeight="1">
      <c r="B41" s="201"/>
      <c r="C41" s="201"/>
      <c r="D41" s="201"/>
      <c r="E41" s="201"/>
      <c r="F41" s="201"/>
      <c r="H41" s="203"/>
      <c r="I41" s="203"/>
      <c r="J41" s="203"/>
      <c r="K41" s="203"/>
    </row>
    <row r="42" spans="2:12" ht="21.75" customHeight="1">
      <c r="B42" s="201"/>
      <c r="C42" s="201"/>
      <c r="D42" s="201"/>
      <c r="E42" s="201"/>
      <c r="F42" s="201"/>
      <c r="H42" s="203"/>
      <c r="I42" s="203"/>
      <c r="J42" s="203"/>
      <c r="K42" s="203"/>
    </row>
    <row r="43" spans="2:12" ht="8.25" customHeight="1"/>
    <row r="44" spans="2:12" ht="24" customHeight="1">
      <c r="B44" s="204" t="s">
        <v>493</v>
      </c>
      <c r="C44" s="205"/>
      <c r="D44" s="205"/>
      <c r="E44" s="205"/>
      <c r="F44" s="205"/>
      <c r="G44" s="205"/>
      <c r="H44" s="205"/>
      <c r="I44" s="205"/>
      <c r="J44" s="205"/>
      <c r="K44" s="205"/>
      <c r="L44" s="205"/>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tabSelected="1"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494</v>
      </c>
      <c r="D1" t="s">
        <v>35</v>
      </c>
      <c r="E1" t="s">
        <v>495</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2026-10-01T18:18:10Z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