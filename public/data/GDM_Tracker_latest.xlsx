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0"/>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39" documentId="13_ncr:1_{52745E9B-3AA1-4770-AAD3-E6166BFC13AE}" xr6:coauthVersionLast="47" xr6:coauthVersionMax="47" xr10:uidLastSave="{94F06431-54FE-4B4E-BBC1-5FA17BE30024}"/>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<sst xmlns="http://schemas.openxmlformats.org/spreadsheetml/2006/main" count="3236" uniqueCount="474">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</sst>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8">
      <filters>
        <filter val="August"/>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K93" activePane="topRight" state="frozen"/>
      <selection pane="topRight" activeCell="O103" sqref="O103"/>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unclaimed</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46293</v>
      </c>
      <c r="W52" s="36">
        <v>46269</v>
      </c>
      <c r="X52" s="36"/>
      <c r="Y52" s="36"/>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c r="Y62" s="36"/>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187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187</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4"/>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187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188</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c r="M86" s="44"/>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268</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269</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271</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272</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274</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277</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279</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288</v>
      </c>
      <c r="K97" s="49">
        <v>46332</v>
      </c>
      <c r="L97" s="43"/>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290</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t="s">
        <v>288</v>
      </c>
      <c r="K98" s="49">
        <v>46332</v>
      </c>
      <c r="L98" s="43"/>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291</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294</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305</v>
      </c>
      <c r="B104" s="31" t="s">
        <v>306</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307</v>
      </c>
      <c r="P104" s="74"/>
      <c r="Q104" s="28">
        <v>46370</v>
      </c>
      <c r="R104" s="43"/>
      <c r="S104" s="31"/>
      <c r="T104" s="68" t="s">
        <v>301</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c r="A105" s="31" t="s">
        <v>296</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307</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307</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307</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305</v>
      </c>
      <c r="B109" s="31" t="s">
        <v>318</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305</v>
      </c>
      <c r="B111" s="31" t="s">
        <v>323</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305</v>
      </c>
      <c r="B112" s="31" t="s">
        <v>325</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305</v>
      </c>
      <c r="B113" s="31" t="s">
        <v>326</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305</v>
      </c>
      <c r="B114" s="31" t="s">
        <v>327</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305</v>
      </c>
      <c r="B115" s="31" t="s">
        <v>329</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R73:U100 T96:T101">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G66:V73 A2:F87 W2:Y527 A74:V527">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2" t="str">
        <f>IF($B$4="","",IFERROR(INDEX('Combined Delivery Data'!$A:$A,MATCH($B$4,'Combined Delivery Data'!$B:$B,0)),""))</f>
        <v/>
      </c>
      <c r="C6" s="176"/>
      <c r="D6" s="176"/>
      <c r="E6" s="177"/>
    </row>
    <row r="7" spans="1:5">
      <c r="A7" s="42" t="s">
        <v>333</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334</v>
      </c>
      <c r="B14" s="171" t="str">
        <f>IF($B$4="","",IFERROR(INDEX('Combined Delivery Data'!$K:$K,MATCH($B$4,'Combined Delivery Data'!$B:$B,0)),""))</f>
        <v/>
      </c>
      <c r="C14" s="176"/>
      <c r="D14" s="176"/>
      <c r="E14" s="177"/>
    </row>
    <row r="15" spans="1:5">
      <c r="A15" s="42" t="s">
        <v>335</v>
      </c>
      <c r="B15" s="171" t="str">
        <f>IF($B$4="","",IFERROR(INDEX('Combined Delivery Data'!$L:$L,MATCH($B$4,'Combined Delivery Data'!$B:$B,0)),""))</f>
        <v/>
      </c>
      <c r="C15" s="176"/>
      <c r="D15" s="176"/>
      <c r="E15" s="177"/>
    </row>
    <row r="16" spans="1:5">
      <c r="A16" s="42" t="s">
        <v>336</v>
      </c>
      <c r="B16" s="171" t="str">
        <f>IF($B$4="","",IFERROR(INDEX('Combined Delivery Data'!$M:$M,MATCH($B$4,'Combined Delivery Data'!$B:$B,0)),""))</f>
        <v/>
      </c>
      <c r="C16" s="176"/>
      <c r="D16" s="176"/>
      <c r="E16" s="177"/>
    </row>
    <row r="17" spans="1:5">
      <c r="A17" s="42" t="s">
        <v>337</v>
      </c>
      <c r="B17" s="171" t="str">
        <f>IF($B$4="","",IFERROR(INDEX('Combined Delivery Data'!$O:$O,MATCH($B$4,'Combined Delivery Data'!$B:$B,0)),""))</f>
        <v/>
      </c>
      <c r="C17" s="176"/>
      <c r="D17" s="176"/>
      <c r="E17" s="177"/>
    </row>
    <row r="18" spans="1:5">
      <c r="A18" s="42" t="s">
        <v>338</v>
      </c>
      <c r="B18" s="171" t="str">
        <f>IF($B$4="","",IFERROR(INDEX('Combined Delivery Data'!$Q:$Q,MATCH($B$4,'Combined Delivery Data'!$B:$B,0)),""))</f>
        <v/>
      </c>
      <c r="C18" s="176"/>
      <c r="D18" s="176"/>
      <c r="E18" s="177"/>
    </row>
    <row r="19" spans="1:5">
      <c r="A19" s="42" t="s">
        <v>339</v>
      </c>
      <c r="B19" s="171" t="str">
        <f>IF($B$4="","",IFERROR(INDEX('Combined Delivery Data'!$R:$R,MATCH($B$4,'Combined Delivery Data'!$B:$B,0)),""))</f>
        <v/>
      </c>
      <c r="C19" s="176"/>
      <c r="D19" s="176"/>
      <c r="E19" s="177"/>
    </row>
    <row r="20" spans="1:5">
      <c r="A20" s="42" t="s">
        <v>340</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8" activePane="bottomLeft" state="frozen"/>
      <selection pane="bottomLeft" activeCell="F53" sqref="F5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187</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187</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187</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187</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187</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187</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187</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187</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187</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187</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187</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187</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187</v>
      </c>
      <c r="D17" s="31" t="s">
        <v>164</v>
      </c>
      <c r="E17" s="31" t="s">
        <v>143</v>
      </c>
      <c r="F17" s="31" t="s">
        <v>375</v>
      </c>
      <c r="G17" s="31" t="s">
        <v>50</v>
      </c>
      <c r="H17" s="32" t="s">
        <v>46</v>
      </c>
      <c r="I17" s="32"/>
      <c r="J17" s="32"/>
      <c r="K17" s="31"/>
      <c r="L17" s="31"/>
      <c r="M17" s="3"/>
      <c r="S17" s="28"/>
    </row>
    <row r="18" spans="1:20">
      <c r="A18" s="33" t="s">
        <v>181</v>
      </c>
      <c r="B18" s="32">
        <v>46261</v>
      </c>
      <c r="C18" s="31" t="s">
        <v>187</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187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187</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187</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187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187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187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187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21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187</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187</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187</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187</v>
      </c>
      <c r="D33" s="31" t="s">
        <v>258</v>
      </c>
      <c r="E33" s="31" t="s">
        <v>200</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187</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187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187</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187</v>
      </c>
      <c r="D37" s="31" t="s">
        <v>258</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187</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187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187</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187</v>
      </c>
      <c r="D41" s="31" t="s">
        <v>164</v>
      </c>
      <c r="E41" s="31" t="s">
        <v>200</v>
      </c>
      <c r="F41" s="31" t="s">
        <v>403</v>
      </c>
      <c r="G41" s="31" t="s">
        <v>50</v>
      </c>
      <c r="H41" s="32" t="s">
        <v>46</v>
      </c>
      <c r="I41" s="32"/>
      <c r="J41" s="32"/>
      <c r="K41" s="31"/>
      <c r="L41" s="31"/>
      <c r="M41" s="3" t="str">
        <f t="shared" ca="1" si="4"/>
        <v>UNCLAIMED 7 d</v>
      </c>
      <c r="P41" t="str">
        <f>'Combined Delivery Data'!B41</f>
        <v>RPT_02_GRO Control</v>
      </c>
      <c r="Q41">
        <f t="shared" si="5"/>
        <v>0</v>
      </c>
      <c r="R41">
        <f t="shared" si="6"/>
        <v>0</v>
      </c>
      <c r="S41" s="28" t="str">
        <f t="shared" si="7"/>
        <v/>
      </c>
      <c r="T41" t="str">
        <f t="shared" si="8"/>
        <v/>
      </c>
    </row>
    <row r="42" spans="1:20" hidden="1">
      <c r="A42" s="31" t="s">
        <v>210</v>
      </c>
      <c r="B42" s="32">
        <v>46282</v>
      </c>
      <c r="C42" s="31" t="s">
        <v>187</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187</v>
      </c>
      <c r="D43" s="31" t="s">
        <v>164</v>
      </c>
      <c r="E43" s="31" t="s">
        <v>129</v>
      </c>
      <c r="F43" s="31" t="s">
        <v>406</v>
      </c>
      <c r="G43" s="31" t="s">
        <v>53</v>
      </c>
      <c r="H43" s="32"/>
      <c r="I43" s="32"/>
      <c r="J43" s="32"/>
      <c r="K43" s="31"/>
      <c r="L43" s="31"/>
      <c r="M43" s="3" t="str">
        <f t="shared" ca="1" si="4"/>
        <v>UNCLAIMED 1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c r="I44" s="32"/>
      <c r="J44" s="32"/>
      <c r="K44" s="31"/>
      <c r="L44" s="31"/>
      <c r="M44" s="3" t="str">
        <f t="shared" ca="1" si="4"/>
        <v>UNCLAIMED 0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PBI Dev</v>
      </c>
    </row>
    <row r="62" spans="1:20">
      <c r="A62" s="31"/>
      <c r="B62" s="32"/>
      <c r="C62" s="31" t="s">
        <v>187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187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187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187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187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187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187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187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187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187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187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187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187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187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187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187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187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187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187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187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187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187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187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187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187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187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187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187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187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187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187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187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187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187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187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187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187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187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187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187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187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187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187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187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187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187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187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187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187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187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187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187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187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187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187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187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187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187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187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187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187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187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187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187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187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187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187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187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187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187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187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187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187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187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187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187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187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187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187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187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187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187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187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187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187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187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187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187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187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187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187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187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187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187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187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187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187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187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187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187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187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187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187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187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187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187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187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187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187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408</v>
      </c>
      <c r="B1" s="175"/>
      <c r="C1" s="175"/>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425</v>
      </c>
      <c r="B1" s="175"/>
      <c r="C1" s="175"/>
      <c r="D1" s="175"/>
      <c r="E1" s="175"/>
      <c r="F1" s="175"/>
      <c r="G1" s="175"/>
      <c r="H1" s="175"/>
      <c r="I1" s="175"/>
      <c r="J1" s="175"/>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187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187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187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187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187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187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187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187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187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187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258</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187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258</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187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187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187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187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187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187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187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187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187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187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187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187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187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187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187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187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187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187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187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187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187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187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187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187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187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187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187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187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187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187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187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452</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453</v>
      </c>
      <c r="R4" t="s">
        <v>454</v>
      </c>
      <c r="T4" t="s">
        <v>72</v>
      </c>
    </row>
    <row r="5" spans="1:20" ht="15" customHeight="1">
      <c r="A5" t="s">
        <v>423</v>
      </c>
      <c r="B5" t="s">
        <v>432</v>
      </c>
      <c r="C5" t="s">
        <v>77</v>
      </c>
      <c r="F5" t="s">
        <v>164</v>
      </c>
      <c r="G5" t="s">
        <v>432</v>
      </c>
      <c r="H5" t="s">
        <v>129</v>
      </c>
      <c r="I5" t="s">
        <v>214</v>
      </c>
      <c r="J5" t="s">
        <v>187</v>
      </c>
      <c r="L5" t="s">
        <v>455</v>
      </c>
      <c r="M5" t="s">
        <v>88</v>
      </c>
      <c r="N5" t="s">
        <v>456</v>
      </c>
    </row>
    <row r="6" spans="1:20" ht="15" customHeight="1">
      <c r="A6" t="s">
        <v>305</v>
      </c>
      <c r="B6" t="s">
        <v>84</v>
      </c>
      <c r="F6" t="s">
        <v>187</v>
      </c>
      <c r="G6" t="s">
        <v>84</v>
      </c>
      <c r="H6" t="s">
        <v>143</v>
      </c>
      <c r="I6" t="s">
        <v>168</v>
      </c>
      <c r="J6" t="s">
        <v>182</v>
      </c>
      <c r="M6" t="s">
        <v>48</v>
      </c>
      <c r="N6" t="s">
        <v>456</v>
      </c>
    </row>
    <row r="7" spans="1:20" ht="15" customHeight="1">
      <c r="A7" t="s">
        <v>296</v>
      </c>
      <c r="B7" t="s">
        <v>65</v>
      </c>
      <c r="F7" t="s">
        <v>182</v>
      </c>
      <c r="G7" t="s">
        <v>65</v>
      </c>
      <c r="H7" t="s">
        <v>200</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227</v>
      </c>
      <c r="N18" t="s">
        <v>472</v>
      </c>
    </row>
    <row r="19" spans="13:14">
      <c r="M19" t="s">
        <v>200</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2026-09-24T00:44:20Z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