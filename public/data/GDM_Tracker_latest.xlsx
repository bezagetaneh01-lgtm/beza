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2896" documentId="13_ncr:1_{52745E9B-3AA1-4770-AAD3-E6166BFC13AE}" xr6:coauthVersionLast="47" xr6:coauthVersionMax="47" xr10:uidLastSave="{353561E8-5253-42C8-BE1D-24D2D4963551}"/>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Fact Table" sheetId="5" state="hidden" r:id="rId4"/>
    <sheet name="Dim Table" sheetId="6" r:id="rId5"/>
    <sheet name="Data Validation" sheetId="7" r:id="rId6"/>
  </sheets>
  <definedNames>
    <definedName name="_xlnm._FilterDatabase" localSheetId="4" hidden="1">'Dim Table'!$A$2:$C$15</definedName>
    <definedName name="_xlnm._FilterDatabase" localSheetId="3"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3" l="1"/>
  <c r="B25" i="3"/>
  <c r="B24" i="3"/>
  <c r="B23" i="3"/>
  <c r="B22" i="3"/>
  <c r="B21" i="3"/>
  <c r="B20" i="3"/>
  <c r="B19" i="3"/>
  <c r="B18" i="3"/>
  <c r="B17" i="3"/>
  <c r="B16" i="3"/>
  <c r="B15" i="3"/>
  <c r="B14" i="3"/>
  <c r="B13" i="3"/>
  <c r="B12" i="3"/>
  <c r="B11" i="3"/>
  <c r="B10" i="3"/>
  <c r="B9" i="3"/>
  <c r="B8" i="3"/>
  <c r="B7" i="3"/>
  <c r="B6" i="3"/>
  <c r="AK50" i="2" a="1"/>
  <c r="AK50" i="2"/>
  <c r="M26" i="4"/>
  <c r="D93" i="2" a="1"/>
  <c r="D93" i="2" s="1"/>
  <c r="D92" i="2" a="1"/>
  <c r="D92"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1" i="2" a="1"/>
  <c r="D91" i="2" s="1"/>
  <c r="D90" i="2" a="1"/>
  <c r="D90" i="2" s="1"/>
  <c r="D89" i="2" a="1"/>
  <c r="D89"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2" i="2" a="1"/>
  <c r="D72" i="2" s="1"/>
  <c r="D71" i="2" a="1"/>
  <c r="D71" i="2" s="1"/>
  <c r="D70" i="2" a="1"/>
  <c r="D70" i="2" s="1"/>
  <c r="D69" i="2" a="1"/>
  <c r="D69" i="2" s="1"/>
  <c r="D68" i="2" a="1"/>
  <c r="D68" i="2" s="1"/>
  <c r="D67" i="2" a="1"/>
  <c r="D67" i="2" s="1"/>
  <c r="D66" i="2" a="1"/>
  <c r="D66" i="2" s="1"/>
  <c r="D64" i="2" a="1"/>
  <c r="D64" i="2" s="1"/>
  <c r="D63" i="2" a="1"/>
  <c r="D63" i="2" s="1"/>
  <c r="D62" i="2" a="1"/>
  <c r="D62" i="2" s="1"/>
  <c r="D60" i="2" a="1"/>
  <c r="D60" i="2" s="1"/>
  <c r="D58" i="2" a="1"/>
  <c r="D58"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AN53" i="2" a="1"/>
  <c r="AN53" i="2" s="1"/>
  <c r="AN52" i="2" a="1"/>
  <c r="AN52" i="2" s="1"/>
  <c r="AN51" i="2" a="1"/>
  <c r="AN51" i="2" s="1"/>
  <c r="AN50" i="2" a="1"/>
  <c r="AN50" i="2" s="1"/>
  <c r="D88" i="2" s="1" a="1"/>
  <c r="D88" i="2" s="1"/>
  <c r="AN49" i="2" a="1"/>
  <c r="AN49" i="2" s="1"/>
  <c r="AN48" i="2" a="1"/>
  <c r="AN48" i="2" s="1"/>
  <c r="AN47" i="2" a="1"/>
  <c r="AN47" i="2" s="1"/>
  <c r="AN46" i="2" a="1"/>
  <c r="AN46" i="2" s="1"/>
  <c r="AN45" i="2" a="1"/>
  <c r="AN45" i="2" s="1"/>
  <c r="D45" i="2" s="1" a="1"/>
  <c r="D45" i="2" s="1"/>
  <c r="AN44" i="2" a="1"/>
  <c r="AN44" i="2" s="1"/>
  <c r="AN43" i="2" a="1"/>
  <c r="AN43" i="2" s="1"/>
  <c r="AN42" i="2" a="1"/>
  <c r="AN42" i="2" s="1"/>
  <c r="D42" i="2" s="1" a="1"/>
  <c r="D42" i="2" s="1"/>
  <c r="AN41" i="2" a="1"/>
  <c r="AN41" i="2" s="1"/>
  <c r="D41" i="2" s="1" a="1"/>
  <c r="D41" i="2" s="1"/>
  <c r="AN40" i="2" a="1"/>
  <c r="AN40" i="2" s="1"/>
  <c r="D40" i="2" s="1" a="1"/>
  <c r="D40" i="2" s="1"/>
  <c r="AN39" i="2" a="1"/>
  <c r="AN39" i="2" s="1"/>
  <c r="D39" i="2" s="1" a="1"/>
  <c r="D39" i="2" s="1"/>
  <c r="AN38" i="2" a="1"/>
  <c r="AN38" i="2" s="1"/>
  <c r="D38" i="2" s="1" a="1"/>
  <c r="D38" i="2" s="1"/>
  <c r="AN37" i="2" a="1"/>
  <c r="AN37" i="2" s="1"/>
  <c r="D37" i="2" s="1" a="1"/>
  <c r="D37" i="2" s="1"/>
  <c r="AN36" i="2" a="1"/>
  <c r="AN36" i="2" s="1"/>
  <c r="AN35" i="2" a="1"/>
  <c r="AN35" i="2" s="1"/>
  <c r="AN34" i="2" a="1"/>
  <c r="AN34" i="2" s="1"/>
  <c r="D34" i="2" s="1" a="1"/>
  <c r="D34" i="2" s="1"/>
  <c r="AN33" i="2" a="1"/>
  <c r="AN33" i="2" s="1"/>
  <c r="D33" i="2" s="1" a="1"/>
  <c r="D33" i="2" s="1"/>
  <c r="AN32" i="2" a="1"/>
  <c r="AN32" i="2" s="1"/>
  <c r="AN31" i="2" a="1"/>
  <c r="AN31" i="2" s="1"/>
  <c r="D31" i="2" s="1" a="1"/>
  <c r="D31" i="2" s="1"/>
  <c r="AN30" i="2" a="1"/>
  <c r="AN30" i="2" s="1"/>
  <c r="D30" i="2" s="1" a="1"/>
  <c r="D30" i="2" s="1"/>
  <c r="AN29" i="2" a="1"/>
  <c r="AN29" i="2" s="1"/>
  <c r="D29" i="2" s="1" a="1"/>
  <c r="D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AM71" i="2" a="1"/>
  <c r="AM71" i="2" s="1"/>
  <c r="AM70" i="2" a="1"/>
  <c r="AM70" i="2" s="1"/>
  <c r="AM69" i="2" a="1"/>
  <c r="AM69" i="2" s="1"/>
  <c r="AM68" i="2" a="1"/>
  <c r="AM68" i="2" s="1"/>
  <c r="AM67" i="2" a="1"/>
  <c r="AM67" i="2" s="1"/>
  <c r="AM66" i="2" a="1"/>
  <c r="AM66" i="2" s="1"/>
  <c r="AM65" i="2" a="1"/>
  <c r="AM65" i="2" s="1"/>
  <c r="D65" i="2" s="1" a="1"/>
  <c r="D65" i="2" s="1"/>
  <c r="AM64" i="2" a="1"/>
  <c r="AM64" i="2" s="1"/>
  <c r="AM63" i="2" a="1"/>
  <c r="AM63" i="2" s="1"/>
  <c r="AM62" i="2" a="1"/>
  <c r="AM62" i="2" s="1"/>
  <c r="AM61" i="2" a="1"/>
  <c r="AM61" i="2" s="1"/>
  <c r="D61" i="2" s="1" a="1"/>
  <c r="D61" i="2" s="1"/>
  <c r="AM60" i="2" a="1"/>
  <c r="AM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D54" i="2" s="1" a="1"/>
  <c r="D54" i="2" s="1"/>
  <c r="AM53" i="2" a="1"/>
  <c r="AM53" i="2" s="1"/>
  <c r="D53" i="2" s="1" a="1"/>
  <c r="D53" i="2" s="1"/>
  <c r="AM52" i="2" a="1"/>
  <c r="AM52" i="2" s="1"/>
  <c r="D52" i="2" s="1" a="1"/>
  <c r="D52" i="2" s="1"/>
  <c r="AM51" i="2" a="1"/>
  <c r="AM51" i="2" s="1"/>
  <c r="D51" i="2" s="1" a="1"/>
  <c r="D51" i="2" s="1"/>
  <c r="AM50" i="2" a="1"/>
  <c r="AM50" i="2" s="1"/>
  <c r="AM49" i="2" a="1"/>
  <c r="AM49" i="2" s="1"/>
  <c r="D49" i="2" s="1" a="1"/>
  <c r="D49" i="2" s="1"/>
  <c r="AM48" i="2" a="1"/>
  <c r="AM48" i="2" s="1"/>
  <c r="D48" i="2" s="1" a="1"/>
  <c r="D48" i="2" s="1"/>
  <c r="AM47" i="2" a="1"/>
  <c r="AM47" i="2" s="1"/>
  <c r="AM46" i="2" a="1"/>
  <c r="AM46" i="2" s="1"/>
  <c r="D46" i="2" s="1" a="1"/>
  <c r="D46" i="2" s="1"/>
  <c r="AM45" i="2" a="1"/>
  <c r="AM45" i="2" s="1"/>
  <c r="AM44" i="2" a="1"/>
  <c r="AM44" i="2" s="1"/>
  <c r="D44" i="2" s="1" a="1"/>
  <c r="D44" i="2" s="1"/>
  <c r="AM43" i="2" a="1"/>
  <c r="AM43" i="2" s="1"/>
  <c r="D43" i="2" s="1" a="1"/>
  <c r="D43" i="2" s="1"/>
  <c r="AM42" i="2" a="1"/>
  <c r="AM42" i="2" s="1"/>
  <c r="AM41" i="2" a="1"/>
  <c r="AM41" i="2" s="1"/>
  <c r="AM40" i="2" a="1"/>
  <c r="AM40" i="2" s="1"/>
  <c r="AM39" i="2" a="1"/>
  <c r="AM39" i="2" s="1"/>
  <c r="AM38" i="2" a="1"/>
  <c r="AM38" i="2" s="1"/>
  <c r="AM37" i="2" a="1"/>
  <c r="AM37" i="2" s="1"/>
  <c r="AM36" i="2" a="1"/>
  <c r="AM36" i="2" s="1"/>
  <c r="D36" i="2" s="1" a="1"/>
  <c r="D36" i="2" s="1"/>
  <c r="AM35" i="2" a="1"/>
  <c r="AM35" i="2" s="1"/>
  <c r="D35" i="2" s="1" a="1"/>
  <c r="D35" i="2" s="1"/>
  <c r="AM34" i="2" a="1"/>
  <c r="AM34" i="2" s="1"/>
  <c r="AM33" i="2" a="1"/>
  <c r="AM33" i="2" s="1"/>
  <c r="AM32" i="2" a="1"/>
  <c r="AM32" i="2" s="1"/>
  <c r="D32" i="2" s="1" a="1"/>
  <c r="D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D47" i="2" l="1" a="1"/>
  <c r="D47"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<sst xmlns="http://schemas.openxmlformats.org/spreadsheetml/2006/main" count="3085" uniqueCount="433">
  <si>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</si>
  <si>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</si>
  <si>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</si>
  <si>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</si>
  <si>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</si>
  <si>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</si>
  <si>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</si>
  <si>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</si>
  <si>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</si>
  <si>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</si>
  <si>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</si>
  <si>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</si>
  <si>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</si>
  <si>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</si>
  <si>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</si>
  <si>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</si>
  <si>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</si>
  <si>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</si>
  <si>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</si>
  <si>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</si>
  <si>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</si>
  <si>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</si>
  <si>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</si>
  <si>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preety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</si>
  <si>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</si>
  <si>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</si>
  <si>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</si>
  <si>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</si>
  <si>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</si>
  <si>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</si>
  <si>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</si>
  <si>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</si>
  <si>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</si>
  <si>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</si>
  <si>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</si>
  <si>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</si>
  <si>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</si>
  <si>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</si>
  <si>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</si>
  <si>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</si>
  <si>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</si>
  <si>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</si>
  <si>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</si>
  <si>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</si>
  <si>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</si>
  <si>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</si>
  <si>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</si>
  <si>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</si>
  <si>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</si>
  <si>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</si>
  <si>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</si>
  <si>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</si>
  <si>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</si>
  <si>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</si>
  <si>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</si>
  <si>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</si>
  <si>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</si>
  <si>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</si>
  <si>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</si>
  <si>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</si>
  <si>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</si>
  <si>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</si>
  <si>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</si>
  <si>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</si>
  <si>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</si>
  <si>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</si>
  <si>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</si>
  <si>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</si>
  <si>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</si>
  <si>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</si>
  <si>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</si>
  <si>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</si>
  <si>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</si>
  <si>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</si>
  <si>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</si>
  <si>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</si>
  <si>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</si>
  <si>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</si>
  <si>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</si>
  <si>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</si>
  <si>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</si>
  <si>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</si>
  <si>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</si>
  <si>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</si>
  <si>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</si>
  <si>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</si>
  <si>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</si>
  <si>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</si>
  <si>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</si>
  <si>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</si>
  <si>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</si>
  <si>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</si>
  <si>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</si>
  <si>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</si>
  <si>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</si>
  <si>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</si>
  <si>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</si>
  <si>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</si>
  <si>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</si>
  <si>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</si>
  <si>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</si>
  <si>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</si>
  <si>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</si>
  <si>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</si>
  <si>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</si>
  <si>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</si>
  <si>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</si>
  <si>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</si>
  <si>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</si>
  <si>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</si>
  <si>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</si>
  <si>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</si>
  <si>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</si>
  <si>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</si>
  <si>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</si>
  <si>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</si>
  <si>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</si>
  <si>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</si>
  <si>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</si>
  <si>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</si>
  <si>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</si>
  <si>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</si>
  <si>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</si>
  <si>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</si>
  <si>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</si>
  <si>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</si>
  <si>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</si>
  <si>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</si>
  <si>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DPO Approval</t>
  </si>
  <si>
    <t>Kushal</t>
  </si>
  <si>
    <t>July</t>
  </si>
  <si>
    <t>PI2, S4</t>
  </si>
  <si>
    <t>Jeanne Waldron, Anthony Massimino</t>
  </si>
  <si>
    <t>Blocked with  https://jira.prod.nationalgrid.com/browse/GDMP-2875</t>
  </si>
  <si>
    <t>RPT_02_Warning Tag HEFPA</t>
  </si>
  <si>
    <t>Jeanne Waldron, Anthony Massimino, Simone Brooks</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</si>
  <si>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</si>
  <si>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</si>
  <si>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</si>
  <si>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</si>
  <si>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Jeanne Waldron, Anthony Massimino, Shaunna Peters</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</si>
  <si>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</si>
  <si>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</si>
  <si>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</si>
  <si>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</si>
  <si>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</si>
  <si>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</si>
  <si>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</si>
  <si>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</si>
  <si>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</si>
  <si>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</si>
  <si>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</si>
  <si>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</si>
  <si>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</si>
  <si>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</si>
  <si>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</si>
  <si>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</si>
  <si>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</si>
  <si>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</si>
  <si>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</si>
  <si>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</si>
  <si>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</si>
  <si>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</si>
  <si>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</si>
  <si>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</si>
  <si>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</si>
  <si>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QA</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</si>
  <si>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</si>
  <si>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</si>
  <si>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</si>
  <si>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</si>
  <si>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</si>
  <si>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</si>
  <si>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</si>
  <si>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</si>
  <si>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</si>
  <si>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</si>
  <si>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</si>
  <si>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</si>
  <si>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</si>
  <si>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</si>
  <si>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</si>
  <si>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</si>
  <si>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DB Dev</t>
  </si>
  <si>
    <t>RPT_02_Fitting Work</t>
  </si>
  <si>
    <t>On track</t>
  </si>
  <si>
    <t>hybrid</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</si>
  <si>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</si>
  <si>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</si>
  <si>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</si>
  <si>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</si>
  <si>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</si>
  <si>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</si>
  <si>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</si>
  <si>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</si>
  <si>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</si>
  <si>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</si>
  <si>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</si>
  <si>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</si>
  <si>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</si>
  <si>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Yes – needs PBI Dev to fix</t>
  </si>
  <si>
    <t>RPT_02_Adjacent Property Checks</t>
  </si>
  <si>
    <t>Anthony Massimino</t>
  </si>
  <si>
    <t>Ready For PBI</t>
  </si>
  <si>
    <t>RPT_02_High Bill Investigations</t>
  </si>
  <si>
    <t>RPT_02_Emergency Order Type</t>
  </si>
  <si>
    <t>PBI Dev</t>
  </si>
  <si>
    <t>RPT_02_Cut Out Curb Box</t>
  </si>
  <si>
    <t>RPT_02_New York Incident</t>
  </si>
  <si>
    <t>Bryan Patterson, Reginald Durham, Bill Contreras</t>
  </si>
  <si>
    <t>RPT_02_Outside Repeat Leaks</t>
  </si>
  <si>
    <t>Reginald Durham, Simone Brooks, Bill Contreras</t>
  </si>
  <si>
    <t>RPT_02_Meter Change</t>
  </si>
  <si>
    <t>Michelle Fitten</t>
  </si>
  <si>
    <t>RPT_02_Field Order Value</t>
  </si>
  <si>
    <t>NOT STARTED</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</si>
  <si>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</si>
  <si>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</si>
  <si>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</si>
  <si>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</si>
  <si>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</si>
  <si>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</si>
  <si>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</si>
  <si>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</si>
  <si>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</si>
  <si>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</si>
  <si>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</si>
  <si>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</si>
  <si>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</si>
  <si>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</si>
  <si>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</si>
  <si>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</si>
  <si>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</si>
  <si>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</si>
  <si>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Yes – needs DB Dev to fix</t>
  </si>
  <si>
    <t>There are duplicates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</si>
  <si>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</si>
  <si>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</si>
  <si>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</si>
  <si>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</si>
  <si>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</si>
  <si>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</si>
  <si>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</si>
  <si>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</si>
  <si>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</si>
  <si>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</si>
  <si>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</si>
  <si>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</si>
  <si>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</si>
  <si>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</si>
  <si>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</si>
  <si>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</si>
  <si>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</si>
  <si>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</si>
  <si>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</si>
  <si>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</si>
  <si>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</si>
  <si>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</si>
  <si>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</si>
  <si>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</si>
  <si>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</si>
  <si>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</si>
  <si>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</si>
  <si>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</si>
  <si>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</si>
  <si>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</si>
  <si>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</si>
  <si>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</si>
  <si>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</si>
  <si>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</si>
  <si>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</si>
  <si>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</si>
  <si>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</si>
  <si>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</si>
  <si>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</si>
  <si>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</si>
  <si>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</si>
  <si>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</si>
  <si>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</si>
  <si>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</si>
  <si>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</si>
  <si>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</si>
  <si>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</si>
  <si>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</si>
  <si>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</si>
  <si>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</si>
  <si>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</si>
  <si>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</si>
  <si>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</si>
  <si>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</si>
  <si>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</si>
  <si>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</si>
  <si>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</si>
  <si>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</si>
  <si>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</si>
  <si>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</si>
  <si>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</si>
  <si>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</si>
  <si>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</si>
  <si>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</si>
  <si>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</si>
  <si>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</si>
  <si>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</si>
  <si>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</si>
  <si>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</si>
  <si>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</si>
  <si>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</si>
  <si>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</si>
  <si>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</si>
  <si>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</si>
  <si>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</si>
  <si>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</si>
  <si>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</si>
  <si>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</si>
  <si>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</si>
  <si>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</si>
  <si>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</si>
  <si>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</si>
  <si>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</si>
  <si>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</si>
  <si>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</si>
  <si>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</si>
  <si>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</si>
  <si>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</si>
  <si>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</si>
  <si>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</si>
  <si>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</si>
  <si>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</si>
  <si>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</si>
  <si>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</si>
  <si>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</si>
  <si>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</si>
  <si>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</si>
  <si>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</si>
  <si>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</si>
  <si>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</si>
  <si>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</si>
  <si>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</si>
  <si>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</si>
  <si>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</si>
  <si>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</si>
  <si>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</si>
  <si>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</si>
  <si>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</si>
  <si>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</si>
  <si>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</si>
  <si>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</si>
  <si>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</si>
  <si>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</si>
  <si>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</si>
  <si>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</si>
  <si>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</si>
  <si>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</si>
  <si>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</si>
  <si>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</si>
  <si>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</si>
  <si>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</si>
  <si>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</si>
  <si>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</si>
  <si>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</si>
  <si>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</si>
  <si>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</si>
  <si>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</si>
  <si>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</si>
  <si>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</si>
  <si>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</si>
  <si>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</si>
  <si>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</si>
  <si>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</si>
  <si>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</si>
  <si>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</si>
  <si>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</si>
  <si>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</si>
  <si>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</si>
  <si>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</si>
  <si>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</si>
  <si>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</si>
  <si>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</si>
  <si>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</si>
  <si>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</si>
  <si>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</si>
  <si>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</si>
  <si>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</si>
  <si>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</si>
  <si>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</si>
  <si>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</si>
  <si>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Olu</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</si>
  <si>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</si>
  <si>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</si>
  <si>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</si>
  <si>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</si>
  <si>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</si>
  <si>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</si>
  <si>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Reference snapshot only - the app rebuilds this automatically from Combined Delivery Data on every upload. Editing this tab directly has no effect.</t>
  </si>
  <si>
    <t>Status</t>
  </si>
  <si>
    <t xml:space="preserve">DB Developers </t>
  </si>
  <si>
    <t>PBI Developers</t>
  </si>
  <si>
    <t>Status Start Date</t>
  </si>
  <si>
    <t>Expected Release Date</t>
  </si>
  <si>
    <t>Actual Release Date</t>
  </si>
  <si>
    <t>RPT_04_Leak Scheduling</t>
  </si>
  <si>
    <t>Sreevarsha</t>
  </si>
  <si>
    <t>This tab is manually maintained - edit Expected Report Count / Expected Release Date directly, or add new domain/month rows, as delivery plans change. Unlike Fact Table, the app always reads this sheet as-is.</t>
  </si>
  <si>
    <t>Expected Report Count</t>
  </si>
  <si>
    <t>Maintenance and Construction</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</si>
  <si>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</si>
  <si>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</si>
  <si>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</si>
  <si>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</si>
  <si>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</si>
  <si>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</si>
  <si>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</si>
  <si>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</si>
  <si>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</si>
  <si>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</si>
  <si>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</si>
  <si>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</si>
  <si>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</si>
  <si>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</si>
  <si>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</si>
  <si>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</si>
  <si>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</si>
  <si>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</si>
  <si>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</si>
  <si>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bezawit.getaneh1@nationalgrid.com</t>
  </si>
  <si>
    <t>Yes – other</t>
  </si>
  <si>
    <t>Did not pass re-test</t>
  </si>
  <si>
    <t>Yes – needs QA to fix</t>
  </si>
  <si>
    <t>Yes – needs DPO Approval to fix</t>
  </si>
  <si>
    <t>rework for views with new dynamic tables.</t>
  </si>
  <si>
    <t>Mejo George</t>
  </si>
  <si>
    <t>Michael Ayedun</t>
  </si>
  <si>
    <t>Siddharoodh.Hiregoudar@nationalgrid.com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</si>
</sst>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0" fontId="18" fillId="0" borderId="0" xfId="0" applyFont="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1" fillId="3" borderId="0" xfId="0" applyFont="1" applyFill="1" applyAlignment="1"/>
    <xf numFmtId="0" fontId="3" fillId="3" borderId="0" xfId="0" applyFont="1" applyFill="1" applyAlignment="1"/>
  </cellXfs>
  <cellStyles count="2">
    <cellStyle name="Hyperlink" xfId="1" builtinId="8"/>
    <cellStyle name="Normal" xfId="0" builtinId="0"/>
  </cellStyles>
  <dxfs count="137">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0">
  <autoFilter ref="A1:AN115" xr:uid="{00000000-0009-0000-0100-000001000000}">
    <filterColumn colId="5">
      <filters>
        <filter val="Bardia"/>
        <filter val="Kushal"/>
      </filters>
    </filterColumn>
  </autoFilter>
  <tableColumns count="40">
    <tableColumn id="1" xr3:uid="{00000000-0010-0000-0000-000001000000}" name="Domain" dataDxfId="59"/>
    <tableColumn id="2" xr3:uid="{00000000-0010-0000-0000-000002000000}" name="Report Name" dataDxfId="58"/>
    <tableColumn id="3" xr3:uid="{00000000-0010-0000-0000-000003000000}" name="Current Status  (Update next stage after completion date)" dataDxfId="57"/>
    <tableColumn id="4" xr3:uid="{00000000-0010-0000-0000-000004000000}" name="Status Flag" dataDxfId="56"/>
    <tableColumn id="5" xr3:uid="{00000000-0010-0000-0000-000005000000}" name="Business Value Rank" dataDxfId="55"/>
    <tableColumn id="6" xr3:uid="{00000000-0010-0000-0000-000006000000}" name="PO" dataDxfId="54"/>
    <tableColumn id="10" xr3:uid="{00000000-0010-0000-0000-00000A000000}" name="Schema" dataDxfId="53"/>
    <tableColumn id="11" xr3:uid="{00000000-0010-0000-0000-00000B000000}" name="Plan Delivery Date" dataDxfId="52"/>
    <tableColumn id="12" xr3:uid="{00000000-0010-0000-0000-00000C000000}" name="Plan Delivery Month" dataDxfId="51"/>
    <tableColumn id="7" xr3:uid="{00000000-0010-0000-0000-000007000000}" name="DB Developer" dataDxfId="50"/>
    <tableColumn id="13" xr3:uid="{00000000-0010-0000-0000-00000D000000}" name="DB Dev Baseline Completion Date" dataDxfId="49"/>
    <tableColumn id="30" xr3:uid="{00000000-0010-0000-0000-00001E000000}" name="DB Dev Reforecast Completion Date" dataDxfId="48"/>
    <tableColumn id="14" xr3:uid="{00000000-0010-0000-0000-00000E000000}" name="DB Dev Actual Completion Date" dataDxfId="47"/>
    <tableColumn id="35" xr3:uid="{1A518B0C-8D73-4DAB-8F10-7B4DFF037343}" name="Build Source" dataDxfId="46"/>
    <tableColumn id="28" xr3:uid="{EFCDFAEE-1B00-42CE-9649-7541F5DDC136}" name="Sprint DB" dataDxfId="45"/>
    <tableColumn id="8" xr3:uid="{00000000-0010-0000-0000-000008000000}" name="PBI Developer" dataDxfId="44"/>
    <tableColumn id="15" xr3:uid="{00000000-0010-0000-0000-00000F000000}" name="PBI Dev Baseline Completion Date" dataDxfId="43"/>
    <tableColumn id="31" xr3:uid="{00000000-0010-0000-0000-00001F000000}" name="PBI Dev Reforecast Completion Date" dataDxfId="42"/>
    <tableColumn id="16" xr3:uid="{00000000-0010-0000-0000-000010000000}" name="PBI Dev Actual Completion Date" dataDxfId="41"/>
    <tableColumn id="29" xr3:uid="{4630D178-9B47-4360-A40B-22C7384DB9C9}" name="Sprint PBI" dataDxfId="40"/>
    <tableColumn id="9" xr3:uid="{00000000-0010-0000-0000-000009000000}" name="QA Tester" dataDxfId="39"/>
    <tableColumn id="17" xr3:uid="{00000000-0010-0000-0000-000011000000}" name="QA Baseline Completion Date" dataDxfId="38"/>
    <tableColumn id="32" xr3:uid="{00000000-0010-0000-0000-000020000000}" name="QA Reforecast Completion Date" dataDxfId="37"/>
    <tableColumn id="43" xr3:uid="{4636FA56-7728-4236-AC33-8557B12CD9BB}" name="preety Initial QA Completion Date" dataDxfId="36"/>
    <tableColumn id="18" xr3:uid="{00000000-0010-0000-0000-000012000000}" name="QA Actual Completion Date" dataDxfId="35"/>
    <tableColumn id="34" xr3:uid="{70C5E8CB-08B0-4A84-9B68-89630FC3C5C7}" name="Sprint QA" dataDxfId="34"/>
    <tableColumn id="19" xr3:uid="{00000000-0010-0000-0000-000013000000}" name="DPO Approval Baseline Completion Date" dataDxfId="33"/>
    <tableColumn id="33" xr3:uid="{00000000-0010-0000-0000-000021000000}" name="DPO Approval Reforecast Completion Date" dataDxfId="32"/>
    <tableColumn id="36" xr3:uid="{86D482BF-E7A4-45A2-B2F5-CA0223EBDDD1}" name="DPO Approval Completion Date" dataDxfId="31"/>
    <tableColumn id="20" xr3:uid="{00000000-0010-0000-0000-000014000000}" name="DPO Approval Reviewer" dataDxfId="30"/>
    <tableColumn id="39" xr3:uid="{D4F67DF1-1A6D-469A-AA66-A681F9EBF81F}" name="Report Type" dataDxfId="29"/>
    <tableColumn id="21" xr3:uid="{00000000-0010-0000-0000-000015000000}" name="Confirmed Deployed?" dataDxfId="28"/>
    <tableColumn id="22" xr3:uid="{00000000-0010-0000-0000-000016000000}" name="Confirmed Deployed Date" dataDxfId="27"/>
    <tableColumn id="23" xr3:uid="{00000000-0010-0000-0000-000017000000}" name="UAT Report URL" dataDxfId="26"/>
    <tableColumn id="24" xr3:uid="{00000000-0010-0000-0000-000018000000}" name="Production URL" dataDxfId="25"/>
    <tableColumn id="25" xr3:uid="{00000000-0010-0000-0000-000019000000}" name="Blocked?" dataDxfId="24"/>
    <tableColumn id="26" xr3:uid="{00000000-0010-0000-0000-00001A000000}" name="Data Check" dataDxfId="23"/>
    <tableColumn id="27" xr3:uid="{00000000-0010-0000-0000-00001B000000}" name="Comments" dataDxfId="22"/>
    <tableColumn id="37" xr3:uid="{80A8E094-8F50-434A-A9E3-195269D50436}" name="QA Rework Due_x0009_DPO Rework Due" dataDxfId="2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8">
  <autoFilter ref="M1:N18"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hyperlink" Target="mailto:Siddharoodh.Hiregoudar@nationalgrid.com" TargetMode="External"/><Relationship Id="rId2" Type="http://schemas.openxmlformats.org/officeDocument/2006/relationships/hyperlink" Target="mailto:Bardia.Mouhebat@nationalgrid.com" TargetMode="External"/><Relationship Id="rId1" Type="http://schemas.openxmlformats.org/officeDocument/2006/relationships/hyperlink" Target="mailto:bezawit.getaneh1@nationalgrid.com" TargetMode="External"/><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topLeftCell="A88" zoomScaleNormal="100" workbookViewId="0">
      <pane xSplit="2" topLeftCell="AJ1" activePane="topRight" state="frozen"/>
      <selection pane="topRight" activeCell="B68" sqref="B68"/>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6" bestFit="1" customWidth="1"/>
    <col min="10" max="10" width="13" customWidth="1"/>
    <col min="11" max="11" width="17" customWidth="1"/>
    <col min="12" max="12" width="15.5703125" customWidth="1"/>
    <col min="13" max="14" width="17" customWidth="1"/>
    <col min="15" max="15" width="15" customWidth="1"/>
    <col min="16" max="16" width="13" style="67" customWidth="1"/>
    <col min="17" max="17" width="17" customWidth="1"/>
    <col min="18" max="18" width="19.28515625" customWidth="1"/>
    <col min="19" max="19" width="20.42578125" customWidth="1"/>
    <col min="20" max="20" width="16" style="72"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9" t="s">
        <v>7</v>
      </c>
      <c r="I1" s="60" t="s">
        <v>8</v>
      </c>
      <c r="J1" s="58" t="s">
        <v>9</v>
      </c>
      <c r="K1" s="15" t="s">
        <v>10</v>
      </c>
      <c r="L1" s="15" t="s">
        <v>11</v>
      </c>
      <c r="M1" s="15" t="s">
        <v>12</v>
      </c>
      <c r="N1" s="15" t="s">
        <v>13</v>
      </c>
      <c r="O1" s="15" t="s">
        <v>14</v>
      </c>
      <c r="P1" s="62" t="s">
        <v>15</v>
      </c>
      <c r="Q1" s="16" t="s">
        <v>16</v>
      </c>
      <c r="R1" s="16" t="s">
        <v>17</v>
      </c>
      <c r="S1" s="16" t="s">
        <v>18</v>
      </c>
      <c r="T1" s="68" t="s">
        <v>19</v>
      </c>
      <c r="U1" s="57" t="s">
        <v>20</v>
      </c>
      <c r="V1" s="17" t="s">
        <v>21</v>
      </c>
      <c r="W1" s="17" t="s">
        <v>22</v>
      </c>
      <c r="X1" s="17" t="s">
        <v>23</v>
      </c>
      <c r="Y1" s="17" t="s">
        <v>24</v>
      </c>
      <c r="Z1" s="17" t="s">
        <v>25</v>
      </c>
      <c r="AA1" s="51"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Dev",IF(AND(L2="",K2=""),"No target set",IF(AND(IF(L2&lt;&gt;"",L2,K2)&lt;TODAY(),M2=""),"Overdue","On track")),IF(C2="PBI Dev",IF(AND(R2="",Q2=""),"No target set",IF(AND(IF(R2&lt;&gt;"",R2,Q2)&lt;TODAY(),S2=""),"Overdue","On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50">
        <v>46142</v>
      </c>
      <c r="I2" s="55" t="s">
        <v>43</v>
      </c>
      <c r="J2" s="33" t="s">
        <v>44</v>
      </c>
      <c r="K2" s="4">
        <v>46122</v>
      </c>
      <c r="L2" s="36"/>
      <c r="M2" s="36">
        <v>46115</v>
      </c>
      <c r="N2" s="36" t="s">
        <v>45</v>
      </c>
      <c r="O2" s="36"/>
      <c r="P2" s="63" t="s">
        <v>46</v>
      </c>
      <c r="Q2" s="4">
        <v>46129</v>
      </c>
      <c r="R2" s="36"/>
      <c r="S2" s="36">
        <v>46114</v>
      </c>
      <c r="T2" s="69"/>
      <c r="U2" s="33" t="s">
        <v>47</v>
      </c>
      <c r="V2" s="59">
        <v>46136</v>
      </c>
      <c r="W2" s="36"/>
      <c r="X2" s="36"/>
      <c r="Y2" s="36">
        <v>46122</v>
      </c>
      <c r="Z2" s="36"/>
      <c r="AA2" s="52">
        <v>46140</v>
      </c>
      <c r="AB2" s="36"/>
      <c r="AC2" s="36"/>
      <c r="AD2" s="33" t="s">
        <v>48</v>
      </c>
      <c r="AE2" s="33" t="s">
        <v>49</v>
      </c>
      <c r="AF2" s="38" t="s">
        <v>50</v>
      </c>
      <c r="AG2" s="36">
        <v>46122</v>
      </c>
      <c r="AH2" s="39" t="s">
        <v>51</v>
      </c>
      <c r="AI2" s="33" t="s">
        <v>52</v>
      </c>
      <c r="AJ2" s="40" t="s">
        <v>53</v>
      </c>
      <c r="AK2" s="73"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Dev",IF(AND(L3="",K3=""),"No target set",IF(AND(IF(L3&lt;&gt;"",L3,K3)&lt;TODAY(),M3=""),"Overdue","On track")),IF(C3="PBI Dev",IF(AND(R3="",Q3=""),"No target set",IF(AND(IF(R3&lt;&gt;"",R3,Q3)&lt;TODAY(),S3=""),"Overdue","On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50">
        <v>46142</v>
      </c>
      <c r="I3" s="55" t="s">
        <v>43</v>
      </c>
      <c r="J3" s="33" t="s">
        <v>44</v>
      </c>
      <c r="K3" s="4">
        <v>46122</v>
      </c>
      <c r="L3" s="36"/>
      <c r="M3" s="36">
        <v>46115</v>
      </c>
      <c r="N3" s="36" t="s">
        <v>45</v>
      </c>
      <c r="O3" s="36"/>
      <c r="P3" s="63" t="s">
        <v>46</v>
      </c>
      <c r="Q3" s="4">
        <v>46129</v>
      </c>
      <c r="R3" s="36"/>
      <c r="S3" s="36">
        <v>46114</v>
      </c>
      <c r="T3" s="69"/>
      <c r="U3" s="33" t="s">
        <v>47</v>
      </c>
      <c r="V3" s="59">
        <v>46136</v>
      </c>
      <c r="W3" s="36"/>
      <c r="X3" s="36"/>
      <c r="Y3" s="36">
        <v>46122</v>
      </c>
      <c r="Z3" s="36"/>
      <c r="AA3" s="52">
        <v>46140</v>
      </c>
      <c r="AB3" s="36"/>
      <c r="AC3" s="36"/>
      <c r="AD3" s="33" t="s">
        <v>48</v>
      </c>
      <c r="AE3" s="33" t="s">
        <v>49</v>
      </c>
      <c r="AF3" s="38" t="s">
        <v>50</v>
      </c>
      <c r="AG3" s="36">
        <v>46122</v>
      </c>
      <c r="AH3" s="39" t="s">
        <v>56</v>
      </c>
      <c r="AI3" s="33" t="s">
        <v>57</v>
      </c>
      <c r="AJ3" s="40" t="s">
        <v>53</v>
      </c>
      <c r="AK3" s="73"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Dev",IF(AND(L4="",K4=""),"No target set",IF(AND(IF(L4&lt;&gt;"",L4,K4)&lt;TODAY(),M4=""),"Overdue","On track")),IF(C4="PBI Dev",IF(AND(R4="",Q4=""),"No target set",IF(AND(IF(R4&lt;&gt;"",R4,Q4)&lt;TODAY(),S4=""),"Overdue","On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50">
        <v>46142</v>
      </c>
      <c r="I4" s="55" t="s">
        <v>43</v>
      </c>
      <c r="J4" s="33" t="s">
        <v>59</v>
      </c>
      <c r="K4" s="4">
        <v>46122</v>
      </c>
      <c r="L4" s="36"/>
      <c r="M4" s="36">
        <v>46115</v>
      </c>
      <c r="N4" s="36" t="s">
        <v>45</v>
      </c>
      <c r="O4" s="36"/>
      <c r="P4" s="63" t="s">
        <v>60</v>
      </c>
      <c r="Q4" s="4">
        <v>46129</v>
      </c>
      <c r="R4" s="36"/>
      <c r="S4" s="36">
        <v>46126</v>
      </c>
      <c r="T4" s="69"/>
      <c r="U4" s="33" t="s">
        <v>47</v>
      </c>
      <c r="V4" s="59">
        <v>46136</v>
      </c>
      <c r="W4" s="36"/>
      <c r="X4" s="36"/>
      <c r="Y4" s="36">
        <v>46122</v>
      </c>
      <c r="Z4" s="36"/>
      <c r="AA4" s="52">
        <v>46140</v>
      </c>
      <c r="AB4" s="36"/>
      <c r="AC4" s="36"/>
      <c r="AD4" s="33" t="s">
        <v>48</v>
      </c>
      <c r="AE4" s="33" t="s">
        <v>49</v>
      </c>
      <c r="AF4" s="38" t="s">
        <v>50</v>
      </c>
      <c r="AG4" s="36">
        <v>46122</v>
      </c>
      <c r="AH4" s="39" t="s">
        <v>61</v>
      </c>
      <c r="AI4" s="33" t="s">
        <v>62</v>
      </c>
      <c r="AJ4" s="40" t="s">
        <v>53</v>
      </c>
      <c r="AK4" s="73"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Dev",IF(AND(L5="",K5=""),"No target set",IF(AND(IF(L5&lt;&gt;"",L5,K5)&lt;TODAY(),M5=""),"Overdue","On track")),IF(C5="PBI Dev",IF(AND(R5="",Q5=""),"No target set",IF(AND(IF(R5&lt;&gt;"",R5,Q5)&lt;TODAY(),S5=""),"Overdue","On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50">
        <v>46142</v>
      </c>
      <c r="I5" s="55" t="s">
        <v>43</v>
      </c>
      <c r="J5" s="33" t="s">
        <v>65</v>
      </c>
      <c r="K5" s="4">
        <v>46122</v>
      </c>
      <c r="L5" s="36"/>
      <c r="M5" s="36">
        <v>46115</v>
      </c>
      <c r="N5" s="36" t="s">
        <v>45</v>
      </c>
      <c r="O5" s="36"/>
      <c r="P5" s="63" t="s">
        <v>46</v>
      </c>
      <c r="Q5" s="4">
        <v>46129</v>
      </c>
      <c r="R5" s="36"/>
      <c r="S5" s="36">
        <v>46120</v>
      </c>
      <c r="T5" s="69"/>
      <c r="U5" s="33" t="s">
        <v>47</v>
      </c>
      <c r="V5" s="59">
        <v>46136</v>
      </c>
      <c r="W5" s="36"/>
      <c r="X5" s="36"/>
      <c r="Y5" s="36">
        <v>46122</v>
      </c>
      <c r="Z5" s="36"/>
      <c r="AA5" s="52">
        <v>46140</v>
      </c>
      <c r="AB5" s="36"/>
      <c r="AC5" s="36"/>
      <c r="AD5" s="33" t="s">
        <v>48</v>
      </c>
      <c r="AE5" s="33" t="s">
        <v>49</v>
      </c>
      <c r="AF5" s="38" t="s">
        <v>50</v>
      </c>
      <c r="AG5" s="36">
        <v>46122</v>
      </c>
      <c r="AH5" s="39" t="s">
        <v>66</v>
      </c>
      <c r="AI5" s="33" t="s">
        <v>67</v>
      </c>
      <c r="AJ5" s="40" t="s">
        <v>53</v>
      </c>
      <c r="AK5" s="73"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Dev",IF(AND(L6="",K6=""),"No target set",IF(AND(IF(L6&lt;&gt;"",L6,K6)&lt;TODAY(),M6=""),"Overdue","On track")),IF(C6="PBI Dev",IF(AND(R6="",Q6=""),"No target set",IF(AND(IF(R6&lt;&gt;"",R6,Q6)&lt;TODAY(),S6=""),"Overdue","On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50">
        <v>46142</v>
      </c>
      <c r="I6" s="55" t="s">
        <v>43</v>
      </c>
      <c r="J6" s="33"/>
      <c r="K6" s="4"/>
      <c r="L6" s="47"/>
      <c r="M6" s="36"/>
      <c r="N6" s="36" t="s">
        <v>45</v>
      </c>
      <c r="O6" s="36"/>
      <c r="P6" s="63"/>
      <c r="Q6" s="4"/>
      <c r="R6" s="43"/>
      <c r="S6" s="36"/>
      <c r="T6" s="69"/>
      <c r="U6" s="33"/>
      <c r="V6" s="59"/>
      <c r="W6" s="43"/>
      <c r="X6" s="36"/>
      <c r="Y6" s="36"/>
      <c r="Z6" s="36"/>
      <c r="AA6" s="52"/>
      <c r="AB6" s="43"/>
      <c r="AC6" s="43"/>
      <c r="AD6" s="33" t="s">
        <v>48</v>
      </c>
      <c r="AE6" s="33" t="s">
        <v>49</v>
      </c>
      <c r="AF6" s="38" t="s">
        <v>50</v>
      </c>
      <c r="AG6" s="36">
        <v>46142</v>
      </c>
      <c r="AH6" s="39"/>
      <c r="AI6" s="33"/>
      <c r="AJ6" s="40"/>
      <c r="AK6" s="48"/>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Dev",IF(AND(L7="",K7=""),"No target set",IF(AND(IF(L7&lt;&gt;"",L7,K7)&lt;TODAY(),M7=""),"Overdue","On track")),IF(C7="PBI Dev",IF(AND(R7="",Q7=""),"No target set",IF(AND(IF(R7&lt;&gt;"",R7,Q7)&lt;TODAY(),S7=""),"Overdue","On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50">
        <v>46142</v>
      </c>
      <c r="I7" s="55" t="s">
        <v>43</v>
      </c>
      <c r="J7" s="33"/>
      <c r="K7" s="4"/>
      <c r="L7" s="47"/>
      <c r="M7" s="36"/>
      <c r="N7" s="36" t="s">
        <v>45</v>
      </c>
      <c r="O7" s="36"/>
      <c r="P7" s="63"/>
      <c r="Q7" s="4"/>
      <c r="R7" s="43"/>
      <c r="S7" s="36"/>
      <c r="T7" s="69"/>
      <c r="U7" s="33"/>
      <c r="V7" s="59"/>
      <c r="W7" s="43"/>
      <c r="X7" s="36"/>
      <c r="Y7" s="36"/>
      <c r="Z7" s="36"/>
      <c r="AA7" s="52"/>
      <c r="AB7" s="43"/>
      <c r="AC7" s="43"/>
      <c r="AD7" s="33" t="s">
        <v>48</v>
      </c>
      <c r="AE7" s="33" t="s">
        <v>49</v>
      </c>
      <c r="AF7" s="38" t="s">
        <v>50</v>
      </c>
      <c r="AG7" s="36">
        <v>46142</v>
      </c>
      <c r="AH7" s="39"/>
      <c r="AI7" s="33"/>
      <c r="AJ7" s="40"/>
      <c r="AK7" s="48"/>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Dev",IF(AND(L8="",K8=""),"No target set",IF(AND(IF(L8&lt;&gt;"",L8,K8)&lt;TODAY(),M8=""),"Overdue","On track")),IF(C8="PBI Dev",IF(AND(R8="",Q8=""),"No target set",IF(AND(IF(R8&lt;&gt;"",R8,Q8)&lt;TODAY(),S8=""),"Overdue","On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50">
        <v>46142</v>
      </c>
      <c r="I8" s="55" t="s">
        <v>43</v>
      </c>
      <c r="J8" s="33"/>
      <c r="K8" s="4"/>
      <c r="L8" s="47"/>
      <c r="M8" s="36"/>
      <c r="N8" s="36" t="s">
        <v>45</v>
      </c>
      <c r="O8" s="36"/>
      <c r="P8" s="63"/>
      <c r="Q8" s="4"/>
      <c r="R8" s="43"/>
      <c r="S8" s="36"/>
      <c r="T8" s="69"/>
      <c r="U8" s="33"/>
      <c r="V8" s="59"/>
      <c r="W8" s="43"/>
      <c r="X8" s="36"/>
      <c r="Y8" s="36"/>
      <c r="Z8" s="36"/>
      <c r="AA8" s="52"/>
      <c r="AB8" s="43"/>
      <c r="AC8" s="43"/>
      <c r="AD8" s="33" t="s">
        <v>48</v>
      </c>
      <c r="AE8" s="33" t="s">
        <v>72</v>
      </c>
      <c r="AF8" s="38" t="s">
        <v>50</v>
      </c>
      <c r="AG8" s="36">
        <v>46142</v>
      </c>
      <c r="AH8" s="39"/>
      <c r="AI8" s="33"/>
      <c r="AJ8" s="40"/>
      <c r="AK8" s="48"/>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Dev",IF(AND(L9="",K9=""),"No target set",IF(AND(IF(L9&lt;&gt;"",L9,K9)&lt;TODAY(),M9=""),"Overdue","On track")),IF(C9="PBI Dev",IF(AND(R9="",Q9=""),"No target set",IF(AND(IF(R9&lt;&gt;"",R9,Q9)&lt;TODAY(),S9=""),"Overdue","On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50">
        <v>46142</v>
      </c>
      <c r="I9" s="55" t="s">
        <v>43</v>
      </c>
      <c r="J9" s="33"/>
      <c r="K9" s="4"/>
      <c r="L9" s="47"/>
      <c r="M9" s="36"/>
      <c r="N9" s="36" t="s">
        <v>45</v>
      </c>
      <c r="O9" s="36"/>
      <c r="P9" s="63"/>
      <c r="Q9" s="4"/>
      <c r="R9" s="43"/>
      <c r="S9" s="36"/>
      <c r="T9" s="69"/>
      <c r="U9" s="33"/>
      <c r="V9" s="59"/>
      <c r="W9" s="43"/>
      <c r="X9" s="36"/>
      <c r="Y9" s="36"/>
      <c r="Z9" s="36"/>
      <c r="AA9" s="52"/>
      <c r="AB9" s="43"/>
      <c r="AC9" s="43"/>
      <c r="AD9" s="33" t="s">
        <v>48</v>
      </c>
      <c r="AE9" s="33" t="s">
        <v>72</v>
      </c>
      <c r="AF9" s="38" t="s">
        <v>50</v>
      </c>
      <c r="AG9" s="36">
        <v>46142</v>
      </c>
      <c r="AH9" s="39"/>
      <c r="AI9" s="33"/>
      <c r="AJ9" s="40"/>
      <c r="AK9" s="48"/>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Dev",IF(AND(L10="",K10=""),"No target set",IF(AND(IF(L10&lt;&gt;"",L10,K10)&lt;TODAY(),M10=""),"Overdue","On track")),IF(C10="PBI Dev",IF(AND(R10="",Q10=""),"No target set",IF(AND(IF(R10&lt;&gt;"",R10,Q10)&lt;TODAY(),S10=""),"Overdue","On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50">
        <v>46173</v>
      </c>
      <c r="I10" s="55" t="s">
        <v>75</v>
      </c>
      <c r="J10" s="33" t="s">
        <v>76</v>
      </c>
      <c r="K10" s="4">
        <v>46150</v>
      </c>
      <c r="L10" s="36"/>
      <c r="M10" s="36">
        <v>46157</v>
      </c>
      <c r="N10" s="36" t="s">
        <v>45</v>
      </c>
      <c r="O10" s="36"/>
      <c r="P10" s="63" t="s">
        <v>77</v>
      </c>
      <c r="Q10" s="4">
        <v>46157</v>
      </c>
      <c r="R10" s="36"/>
      <c r="S10" s="36">
        <v>46134</v>
      </c>
      <c r="T10" s="69"/>
      <c r="U10" s="33" t="s">
        <v>47</v>
      </c>
      <c r="V10" s="59">
        <v>46164</v>
      </c>
      <c r="W10" s="36"/>
      <c r="X10" s="36"/>
      <c r="Y10" s="36">
        <v>46134</v>
      </c>
      <c r="Z10" s="36"/>
      <c r="AA10" s="52">
        <v>46169</v>
      </c>
      <c r="AB10" s="36"/>
      <c r="AC10" s="36"/>
      <c r="AD10" s="33" t="s">
        <v>48</v>
      </c>
      <c r="AE10" s="33" t="s">
        <v>72</v>
      </c>
      <c r="AF10" s="38" t="s">
        <v>50</v>
      </c>
      <c r="AG10" s="36">
        <v>46134</v>
      </c>
      <c r="AH10" s="39" t="s">
        <v>78</v>
      </c>
      <c r="AI10" s="33" t="s">
        <v>79</v>
      </c>
      <c r="AJ10" s="40" t="s">
        <v>53</v>
      </c>
      <c r="AK10" s="73"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Dev",IF(AND(L11="",K11=""),"No target set",IF(AND(IF(L11&lt;&gt;"",L11,K11)&lt;TODAY(),M11=""),"Overdue","On track")),IF(C11="PBI Dev",IF(AND(R11="",Q11=""),"No target set",IF(AND(IF(R11&lt;&gt;"",R11,Q11)&lt;TODAY(),S11=""),"Overdue","On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50">
        <v>46173</v>
      </c>
      <c r="I11" s="55" t="s">
        <v>75</v>
      </c>
      <c r="J11" s="33" t="s">
        <v>59</v>
      </c>
      <c r="K11" s="4">
        <v>46150</v>
      </c>
      <c r="L11" s="36"/>
      <c r="M11" s="36">
        <v>46157</v>
      </c>
      <c r="N11" s="36" t="s">
        <v>45</v>
      </c>
      <c r="O11" s="36"/>
      <c r="P11" s="64" t="s">
        <v>77</v>
      </c>
      <c r="Q11" s="4">
        <v>46157</v>
      </c>
      <c r="R11" s="36"/>
      <c r="S11" s="36">
        <v>46139</v>
      </c>
      <c r="T11" s="69"/>
      <c r="U11" s="33" t="s">
        <v>47</v>
      </c>
      <c r="V11" s="59">
        <v>46164</v>
      </c>
      <c r="W11" s="36"/>
      <c r="X11" s="36"/>
      <c r="Y11" s="36">
        <v>46139</v>
      </c>
      <c r="Z11" s="36"/>
      <c r="AA11" s="52">
        <v>46169</v>
      </c>
      <c r="AB11" s="36"/>
      <c r="AC11" s="36"/>
      <c r="AD11" s="33" t="s">
        <v>48</v>
      </c>
      <c r="AE11" s="33" t="s">
        <v>72</v>
      </c>
      <c r="AF11" s="38" t="s">
        <v>50</v>
      </c>
      <c r="AG11" s="36">
        <v>46139</v>
      </c>
      <c r="AH11" s="39" t="s">
        <v>81</v>
      </c>
      <c r="AI11" s="33" t="s">
        <v>82</v>
      </c>
      <c r="AJ11" s="40" t="s">
        <v>53</v>
      </c>
      <c r="AK11" s="73"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Dev",IF(AND(L12="",K12=""),"No target set",IF(AND(IF(L12&lt;&gt;"",L12,K12)&lt;TODAY(),M12=""),"Overdue","On track")),IF(C12="PBI Dev",IF(AND(R12="",Q12=""),"No target set",IF(AND(IF(R12&lt;&gt;"",R12,Q12)&lt;TODAY(),S12=""),"Overdue","On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50">
        <v>46173</v>
      </c>
      <c r="I12" s="55" t="s">
        <v>75</v>
      </c>
      <c r="J12" s="33" t="s">
        <v>84</v>
      </c>
      <c r="K12" s="4">
        <v>46150</v>
      </c>
      <c r="L12" s="36"/>
      <c r="M12" s="36">
        <v>46157</v>
      </c>
      <c r="N12" s="36" t="s">
        <v>45</v>
      </c>
      <c r="O12" s="36"/>
      <c r="P12" s="63" t="s">
        <v>60</v>
      </c>
      <c r="Q12" s="4">
        <v>46157</v>
      </c>
      <c r="R12" s="36"/>
      <c r="S12" s="36">
        <v>46147</v>
      </c>
      <c r="T12" s="69"/>
      <c r="U12" s="33" t="s">
        <v>47</v>
      </c>
      <c r="V12" s="59">
        <v>46164</v>
      </c>
      <c r="W12" s="36"/>
      <c r="X12" s="36"/>
      <c r="Y12" s="36">
        <v>46147</v>
      </c>
      <c r="Z12" s="36"/>
      <c r="AA12" s="52">
        <v>46169</v>
      </c>
      <c r="AB12" s="36"/>
      <c r="AC12" s="36"/>
      <c r="AD12" s="33" t="s">
        <v>48</v>
      </c>
      <c r="AE12" s="33" t="s">
        <v>49</v>
      </c>
      <c r="AF12" s="38" t="s">
        <v>50</v>
      </c>
      <c r="AG12" s="36">
        <v>46147</v>
      </c>
      <c r="AH12" s="39" t="s">
        <v>85</v>
      </c>
      <c r="AI12" s="33" t="s">
        <v>86</v>
      </c>
      <c r="AJ12" s="40" t="s">
        <v>53</v>
      </c>
      <c r="AK12" s="73"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Dev",IF(AND(L13="",K13=""),"No target set",IF(AND(IF(L13&lt;&gt;"",L13,K13)&lt;TODAY(),M13=""),"Overdue","On track")),IF(C13="PBI Dev",IF(AND(R13="",Q13=""),"No target set",IF(AND(IF(R13&lt;&gt;"",R13,Q13)&lt;TODAY(),S13=""),"Overdue","On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50">
        <v>46173</v>
      </c>
      <c r="I13" s="55" t="s">
        <v>75</v>
      </c>
      <c r="J13" s="33" t="s">
        <v>84</v>
      </c>
      <c r="K13" s="4">
        <v>46150</v>
      </c>
      <c r="L13" s="36"/>
      <c r="M13" s="36">
        <v>46157</v>
      </c>
      <c r="N13" s="36" t="s">
        <v>45</v>
      </c>
      <c r="O13" s="36"/>
      <c r="P13" s="63" t="s">
        <v>46</v>
      </c>
      <c r="Q13" s="4">
        <v>46157</v>
      </c>
      <c r="R13" s="36"/>
      <c r="S13" s="36">
        <v>46175</v>
      </c>
      <c r="T13" s="69"/>
      <c r="U13" s="33" t="s">
        <v>88</v>
      </c>
      <c r="V13" s="59">
        <v>46164</v>
      </c>
      <c r="W13" s="36"/>
      <c r="X13" s="36"/>
      <c r="Y13" s="36">
        <v>46179</v>
      </c>
      <c r="Z13" s="36"/>
      <c r="AA13" s="52">
        <v>46169</v>
      </c>
      <c r="AB13" s="36"/>
      <c r="AC13" s="36"/>
      <c r="AD13" s="33" t="s">
        <v>48</v>
      </c>
      <c r="AE13" s="33" t="s">
        <v>49</v>
      </c>
      <c r="AF13" s="38" t="s">
        <v>50</v>
      </c>
      <c r="AG13" s="36">
        <v>46179</v>
      </c>
      <c r="AH13" s="39" t="s">
        <v>89</v>
      </c>
      <c r="AI13" s="33"/>
      <c r="AJ13" s="40" t="s">
        <v>53</v>
      </c>
      <c r="AK13" s="73"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Dev",IF(AND(L14="",K14=""),"No target set",IF(AND(IF(L14&lt;&gt;"",L14,K14)&lt;TODAY(),M14=""),"Overdue","On track")),IF(C14="PBI Dev",IF(AND(R14="",Q14=""),"No target set",IF(AND(IF(R14&lt;&gt;"",R14,Q14)&lt;TODAY(),S14=""),"Overdue","On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50">
        <v>46173</v>
      </c>
      <c r="I14" s="55" t="s">
        <v>75</v>
      </c>
      <c r="J14" s="33" t="s">
        <v>44</v>
      </c>
      <c r="K14" s="4">
        <v>46150</v>
      </c>
      <c r="L14" s="36"/>
      <c r="M14" s="36">
        <v>46157</v>
      </c>
      <c r="N14" s="36" t="s">
        <v>45</v>
      </c>
      <c r="O14" s="36"/>
      <c r="P14" s="63" t="s">
        <v>60</v>
      </c>
      <c r="Q14" s="4">
        <v>46157</v>
      </c>
      <c r="R14" s="36"/>
      <c r="S14" s="36">
        <v>46143</v>
      </c>
      <c r="T14" s="69"/>
      <c r="U14" s="33" t="s">
        <v>88</v>
      </c>
      <c r="V14" s="59">
        <v>46164</v>
      </c>
      <c r="W14" s="36"/>
      <c r="X14" s="36"/>
      <c r="Y14" s="36">
        <v>46175</v>
      </c>
      <c r="Z14" s="36"/>
      <c r="AA14" s="52">
        <v>46169</v>
      </c>
      <c r="AB14" s="36"/>
      <c r="AC14" s="36"/>
      <c r="AD14" s="33" t="s">
        <v>48</v>
      </c>
      <c r="AE14" s="33" t="s">
        <v>72</v>
      </c>
      <c r="AF14" s="38" t="s">
        <v>50</v>
      </c>
      <c r="AG14" s="36">
        <v>46184</v>
      </c>
      <c r="AH14" s="39" t="s">
        <v>91</v>
      </c>
      <c r="AI14" s="33" t="s">
        <v>92</v>
      </c>
      <c r="AJ14" s="40" t="s">
        <v>53</v>
      </c>
      <c r="AK14" s="73"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Dev",IF(AND(L15="",K15=""),"No target set",IF(AND(IF(L15&lt;&gt;"",L15,K15)&lt;TODAY(),M15=""),"Overdue","On track")),IF(C15="PBI Dev",IF(AND(R15="",Q15=""),"No target set",IF(AND(IF(R15&lt;&gt;"",R15,Q15)&lt;TODAY(),S15=""),"Overdue","On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50">
        <v>46173</v>
      </c>
      <c r="I15" s="55" t="s">
        <v>75</v>
      </c>
      <c r="J15" s="33" t="s">
        <v>44</v>
      </c>
      <c r="K15" s="4">
        <v>46150</v>
      </c>
      <c r="L15" s="36"/>
      <c r="M15" s="36">
        <v>46157</v>
      </c>
      <c r="N15" s="36" t="s">
        <v>45</v>
      </c>
      <c r="O15" s="36"/>
      <c r="P15" s="63" t="s">
        <v>77</v>
      </c>
      <c r="Q15" s="4">
        <v>46157</v>
      </c>
      <c r="R15" s="36"/>
      <c r="S15" s="36">
        <v>46178</v>
      </c>
      <c r="T15" s="69"/>
      <c r="U15" s="33" t="s">
        <v>47</v>
      </c>
      <c r="V15" s="59">
        <v>46164</v>
      </c>
      <c r="W15" s="36"/>
      <c r="X15" s="36"/>
      <c r="Y15" s="36">
        <v>46175</v>
      </c>
      <c r="Z15" s="36"/>
      <c r="AA15" s="52">
        <v>46169</v>
      </c>
      <c r="AB15" s="36"/>
      <c r="AC15" s="36"/>
      <c r="AD15" s="33" t="s">
        <v>48</v>
      </c>
      <c r="AE15" s="33" t="s">
        <v>94</v>
      </c>
      <c r="AF15" s="38" t="s">
        <v>50</v>
      </c>
      <c r="AG15" s="36">
        <v>46192</v>
      </c>
      <c r="AH15" s="39" t="s">
        <v>95</v>
      </c>
      <c r="AI15" s="33"/>
      <c r="AJ15" s="40" t="s">
        <v>53</v>
      </c>
      <c r="AK15" s="73"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Dev",IF(AND(L16="",K16=""),"No target set",IF(AND(IF(L16&lt;&gt;"",L16,K16)&lt;TODAY(),M16=""),"Overdue","On track")),IF(C16="PBI Dev",IF(AND(R16="",Q16=""),"No target set",IF(AND(IF(R16&lt;&gt;"",R16,Q16)&lt;TODAY(),S16=""),"Overdue","On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50">
        <v>46173</v>
      </c>
      <c r="I16" s="55" t="s">
        <v>75</v>
      </c>
      <c r="J16" s="33"/>
      <c r="K16" s="4"/>
      <c r="L16" s="43"/>
      <c r="M16" s="36"/>
      <c r="N16" s="36" t="s">
        <v>45</v>
      </c>
      <c r="O16" s="36"/>
      <c r="P16" s="63"/>
      <c r="Q16" s="4"/>
      <c r="R16" s="43"/>
      <c r="S16" s="36"/>
      <c r="T16" s="69"/>
      <c r="U16" s="33"/>
      <c r="V16" s="59"/>
      <c r="W16" s="43"/>
      <c r="X16" s="36"/>
      <c r="Y16" s="36"/>
      <c r="Z16" s="36"/>
      <c r="AA16" s="52"/>
      <c r="AB16" s="43"/>
      <c r="AC16" s="43"/>
      <c r="AD16" s="33" t="s">
        <v>48</v>
      </c>
      <c r="AE16" s="33" t="s">
        <v>49</v>
      </c>
      <c r="AF16" s="38" t="s">
        <v>50</v>
      </c>
      <c r="AG16" s="36">
        <v>46203</v>
      </c>
      <c r="AH16" s="39"/>
      <c r="AI16" s="33"/>
      <c r="AJ16" s="40"/>
      <c r="AK16" s="48"/>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Dev",IF(AND(L17="",K17=""),"No target set",IF(AND(IF(L17&lt;&gt;"",L17,K17)&lt;TODAY(),M17=""),"Overdue","On track")),IF(C17="PBI Dev",IF(AND(R17="",Q17=""),"No target set",IF(AND(IF(R17&lt;&gt;"",R17,Q17)&lt;TODAY(),S17=""),"Overdue","On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50">
        <v>46173</v>
      </c>
      <c r="I17" s="55" t="s">
        <v>75</v>
      </c>
      <c r="J17" s="33"/>
      <c r="K17" s="4"/>
      <c r="L17" s="43"/>
      <c r="M17" s="36"/>
      <c r="N17" s="36" t="s">
        <v>45</v>
      </c>
      <c r="O17" s="36"/>
      <c r="P17" s="63"/>
      <c r="Q17" s="4"/>
      <c r="R17" s="43"/>
      <c r="S17" s="36"/>
      <c r="T17" s="69"/>
      <c r="U17" s="33"/>
      <c r="V17" s="59"/>
      <c r="W17" s="43"/>
      <c r="X17" s="36"/>
      <c r="Y17" s="36"/>
      <c r="Z17" s="36"/>
      <c r="AA17" s="52"/>
      <c r="AB17" s="43"/>
      <c r="AC17" s="43"/>
      <c r="AD17" s="33" t="s">
        <v>48</v>
      </c>
      <c r="AE17" s="33" t="s">
        <v>94</v>
      </c>
      <c r="AF17" s="38" t="s">
        <v>50</v>
      </c>
      <c r="AG17" s="36">
        <v>46203</v>
      </c>
      <c r="AH17" s="39"/>
      <c r="AI17" s="33"/>
      <c r="AJ17" s="40"/>
      <c r="AK17" s="48"/>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Dev",IF(AND(L18="",K18=""),"No target set",IF(AND(IF(L18&lt;&gt;"",L18,K18)&lt;TODAY(),M18=""),"Overdue","On track")),IF(C18="PBI Dev",IF(AND(R18="",Q18=""),"No target set",IF(AND(IF(R18&lt;&gt;"",R18,Q18)&lt;TODAY(),S18=""),"Overdue","On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50">
        <v>46173</v>
      </c>
      <c r="I18" s="55" t="s">
        <v>75</v>
      </c>
      <c r="J18" s="33"/>
      <c r="K18" s="4"/>
      <c r="L18" s="43"/>
      <c r="M18" s="36"/>
      <c r="N18" s="36" t="s">
        <v>45</v>
      </c>
      <c r="O18" s="36"/>
      <c r="P18" s="63"/>
      <c r="Q18" s="4"/>
      <c r="R18" s="43"/>
      <c r="S18" s="36"/>
      <c r="T18" s="69"/>
      <c r="U18" s="33"/>
      <c r="V18" s="59"/>
      <c r="W18" s="43"/>
      <c r="X18" s="36"/>
      <c r="Y18" s="36"/>
      <c r="Z18" s="36"/>
      <c r="AA18" s="52"/>
      <c r="AB18" s="43"/>
      <c r="AC18" s="43"/>
      <c r="AD18" s="33" t="s">
        <v>48</v>
      </c>
      <c r="AE18" s="33" t="s">
        <v>49</v>
      </c>
      <c r="AF18" s="38" t="s">
        <v>50</v>
      </c>
      <c r="AG18" s="36">
        <v>46203</v>
      </c>
      <c r="AH18" s="39"/>
      <c r="AI18" s="33"/>
      <c r="AJ18" s="40"/>
      <c r="AK18" s="48"/>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Dev",IF(AND(L19="",K19=""),"No target set",IF(AND(IF(L19&lt;&gt;"",L19,K19)&lt;TODAY(),M19=""),"Overdue","On track")),IF(C19="PBI Dev",IF(AND(R19="",Q19=""),"No target set",IF(AND(IF(R19&lt;&gt;"",R19,Q19)&lt;TODAY(),S19=""),"Overdue","On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50">
        <v>46173</v>
      </c>
      <c r="I19" s="55" t="s">
        <v>75</v>
      </c>
      <c r="J19" s="33"/>
      <c r="K19" s="4"/>
      <c r="L19" s="43"/>
      <c r="M19" s="36"/>
      <c r="N19" s="36" t="s">
        <v>45</v>
      </c>
      <c r="O19" s="36"/>
      <c r="P19" s="63"/>
      <c r="Q19" s="4"/>
      <c r="R19" s="43"/>
      <c r="S19" s="36"/>
      <c r="T19" s="69"/>
      <c r="U19" s="33"/>
      <c r="V19" s="59"/>
      <c r="W19" s="43"/>
      <c r="X19" s="36"/>
      <c r="Y19" s="36"/>
      <c r="Z19" s="36"/>
      <c r="AA19" s="52"/>
      <c r="AB19" s="43"/>
      <c r="AC19" s="43"/>
      <c r="AD19" s="33" t="s">
        <v>48</v>
      </c>
      <c r="AE19" s="33" t="s">
        <v>94</v>
      </c>
      <c r="AF19" s="38" t="s">
        <v>50</v>
      </c>
      <c r="AG19" s="36">
        <v>46203</v>
      </c>
      <c r="AH19" s="39"/>
      <c r="AI19" s="33"/>
      <c r="AJ19" s="40"/>
      <c r="AK19" s="48"/>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Dev",IF(AND(L20="",K20=""),"No target set",IF(AND(IF(L20&lt;&gt;"",L20,K20)&lt;TODAY(),M20=""),"Overdue","On track")),IF(C20="PBI Dev",IF(AND(R20="",Q20=""),"No target set",IF(AND(IF(R20&lt;&gt;"",R20,Q20)&lt;TODAY(),S20=""),"Overdue","On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50">
        <v>46203</v>
      </c>
      <c r="I20" s="55" t="s">
        <v>102</v>
      </c>
      <c r="J20" s="33" t="s">
        <v>103</v>
      </c>
      <c r="K20" s="4">
        <v>46185</v>
      </c>
      <c r="L20" s="36"/>
      <c r="M20" s="36">
        <v>46148</v>
      </c>
      <c r="N20" s="36" t="s">
        <v>45</v>
      </c>
      <c r="O20" s="36"/>
      <c r="P20" s="63" t="s">
        <v>60</v>
      </c>
      <c r="Q20" s="4">
        <v>46192</v>
      </c>
      <c r="R20" s="36"/>
      <c r="S20" s="36">
        <v>46183</v>
      </c>
      <c r="T20" s="69"/>
      <c r="U20" s="33" t="s">
        <v>47</v>
      </c>
      <c r="V20" s="59">
        <v>46199</v>
      </c>
      <c r="W20" s="36"/>
      <c r="X20" s="36"/>
      <c r="Y20" s="36">
        <v>46195</v>
      </c>
      <c r="Z20" s="36"/>
      <c r="AA20" s="52">
        <v>46202</v>
      </c>
      <c r="AB20" s="36"/>
      <c r="AC20" s="36"/>
      <c r="AD20" s="33" t="s">
        <v>104</v>
      </c>
      <c r="AE20" s="33" t="s">
        <v>72</v>
      </c>
      <c r="AF20" s="38" t="s">
        <v>50</v>
      </c>
      <c r="AG20" s="36">
        <v>46195</v>
      </c>
      <c r="AH20" s="39"/>
      <c r="AI20" s="33"/>
      <c r="AJ20" s="40" t="s">
        <v>53</v>
      </c>
      <c r="AK20" s="73"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Dev",IF(AND(L21="",K21=""),"No target set",IF(AND(IF(L21&lt;&gt;"",L21,K21)&lt;TODAY(),M21=""),"Overdue","On track")),IF(C21="PBI Dev",IF(AND(R21="",Q21=""),"No target set",IF(AND(IF(R21&lt;&gt;"",R21,Q21)&lt;TODAY(),S21=""),"Overdue","On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50">
        <v>46203</v>
      </c>
      <c r="I21" s="55" t="s">
        <v>102</v>
      </c>
      <c r="J21" s="33" t="s">
        <v>103</v>
      </c>
      <c r="K21" s="4">
        <v>46185</v>
      </c>
      <c r="L21" s="36"/>
      <c r="M21" s="36">
        <v>46162</v>
      </c>
      <c r="N21" s="36" t="s">
        <v>45</v>
      </c>
      <c r="O21" s="36"/>
      <c r="P21" s="63" t="s">
        <v>77</v>
      </c>
      <c r="Q21" s="4">
        <v>46192</v>
      </c>
      <c r="R21" s="36"/>
      <c r="S21" s="36">
        <v>46182</v>
      </c>
      <c r="T21" s="69"/>
      <c r="U21" s="33" t="s">
        <v>47</v>
      </c>
      <c r="V21" s="59">
        <v>46199</v>
      </c>
      <c r="W21" s="36"/>
      <c r="X21" s="36"/>
      <c r="Y21" s="36">
        <v>46198</v>
      </c>
      <c r="Z21" s="36"/>
      <c r="AA21" s="52">
        <v>46202</v>
      </c>
      <c r="AB21" s="36"/>
      <c r="AC21" s="36"/>
      <c r="AD21" s="33" t="s">
        <v>106</v>
      </c>
      <c r="AE21" s="33" t="s">
        <v>72</v>
      </c>
      <c r="AF21" s="38" t="s">
        <v>50</v>
      </c>
      <c r="AG21" s="36">
        <v>46198</v>
      </c>
      <c r="AH21" s="39"/>
      <c r="AI21" s="33"/>
      <c r="AJ21" s="40" t="s">
        <v>53</v>
      </c>
      <c r="AK21" s="73"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Dev",IF(AND(L22="",K22=""),"No target set",IF(AND(IF(L22&lt;&gt;"",L22,K22)&lt;TODAY(),M22=""),"Overdue","On track")),IF(C22="PBI Dev",IF(AND(R22="",Q22=""),"No target set",IF(AND(IF(R22&lt;&gt;"",R22,Q22)&lt;TODAY(),S22=""),"Overdue","On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50">
        <v>46203</v>
      </c>
      <c r="I22" s="55" t="s">
        <v>102</v>
      </c>
      <c r="J22" s="33" t="s">
        <v>44</v>
      </c>
      <c r="K22" s="4">
        <v>46185</v>
      </c>
      <c r="L22" s="36"/>
      <c r="M22" s="36">
        <v>46168</v>
      </c>
      <c r="N22" s="36" t="s">
        <v>45</v>
      </c>
      <c r="O22" s="36"/>
      <c r="P22" s="63" t="s">
        <v>60</v>
      </c>
      <c r="Q22" s="4">
        <v>46192</v>
      </c>
      <c r="R22" s="36"/>
      <c r="S22" s="36">
        <v>46183</v>
      </c>
      <c r="T22" s="69"/>
      <c r="U22" s="33" t="s">
        <v>47</v>
      </c>
      <c r="V22" s="59">
        <v>46199</v>
      </c>
      <c r="W22" s="36"/>
      <c r="X22" s="36"/>
      <c r="Y22" s="36">
        <v>46198</v>
      </c>
      <c r="Z22" s="36"/>
      <c r="AA22" s="52">
        <v>46202</v>
      </c>
      <c r="AB22" s="36"/>
      <c r="AC22" s="36"/>
      <c r="AD22" s="33"/>
      <c r="AE22" s="33" t="s">
        <v>72</v>
      </c>
      <c r="AF22" s="38" t="s">
        <v>50</v>
      </c>
      <c r="AG22" s="36">
        <v>46198</v>
      </c>
      <c r="AH22" s="39"/>
      <c r="AI22" s="33"/>
      <c r="AJ22" s="40" t="s">
        <v>53</v>
      </c>
      <c r="AK22" s="73"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Dev",IF(AND(L23="",K23=""),"No target set",IF(AND(IF(L23&lt;&gt;"",L23,K23)&lt;TODAY(),M23=""),"Overdue","On track")),IF(C23="PBI Dev",IF(AND(R23="",Q23=""),"No target set",IF(AND(IF(R23&lt;&gt;"",R23,Q23)&lt;TODAY(),S23=""),"Overdue","On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50">
        <v>46203</v>
      </c>
      <c r="I23" s="55" t="s">
        <v>102</v>
      </c>
      <c r="J23" s="33" t="s">
        <v>44</v>
      </c>
      <c r="K23" s="4">
        <v>46185</v>
      </c>
      <c r="L23" s="36"/>
      <c r="M23" s="36">
        <v>46165</v>
      </c>
      <c r="N23" s="36" t="s">
        <v>45</v>
      </c>
      <c r="O23" s="36"/>
      <c r="P23" s="63" t="s">
        <v>60</v>
      </c>
      <c r="Q23" s="4">
        <v>46192</v>
      </c>
      <c r="R23" s="36"/>
      <c r="S23" s="36">
        <v>46153</v>
      </c>
      <c r="T23" s="69"/>
      <c r="U23" s="33" t="s">
        <v>47</v>
      </c>
      <c r="V23" s="59">
        <v>46199</v>
      </c>
      <c r="W23" s="36"/>
      <c r="X23" s="36"/>
      <c r="Y23" s="36">
        <v>46154</v>
      </c>
      <c r="Z23" s="36"/>
      <c r="AA23" s="52">
        <v>46202</v>
      </c>
      <c r="AB23" s="36"/>
      <c r="AC23" s="36"/>
      <c r="AD23" s="33" t="s">
        <v>110</v>
      </c>
      <c r="AE23" s="33" t="s">
        <v>49</v>
      </c>
      <c r="AF23" s="38" t="s">
        <v>50</v>
      </c>
      <c r="AG23" s="36">
        <v>46184</v>
      </c>
      <c r="AH23" s="39" t="s">
        <v>111</v>
      </c>
      <c r="AI23" s="33" t="s">
        <v>112</v>
      </c>
      <c r="AJ23" s="40" t="s">
        <v>53</v>
      </c>
      <c r="AK23" s="73"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Dev",IF(AND(L24="",K24=""),"No target set",IF(AND(IF(L24&lt;&gt;"",L24,K24)&lt;TODAY(),M24=""),"Overdue","On track")),IF(C24="PBI Dev",IF(AND(R24="",Q24=""),"No target set",IF(AND(IF(R24&lt;&gt;"",R24,Q24)&lt;TODAY(),S24=""),"Overdue","On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50">
        <v>46203</v>
      </c>
      <c r="I24" s="55" t="s">
        <v>102</v>
      </c>
      <c r="J24" s="33" t="s">
        <v>59</v>
      </c>
      <c r="K24" s="4">
        <v>46185</v>
      </c>
      <c r="L24" s="36"/>
      <c r="M24" s="36">
        <v>46162</v>
      </c>
      <c r="N24" s="36" t="s">
        <v>45</v>
      </c>
      <c r="O24" s="36"/>
      <c r="P24" s="63" t="s">
        <v>46</v>
      </c>
      <c r="Q24" s="4">
        <v>46192</v>
      </c>
      <c r="R24" s="36"/>
      <c r="S24" s="36">
        <v>46186</v>
      </c>
      <c r="T24" s="69"/>
      <c r="U24" s="33" t="s">
        <v>88</v>
      </c>
      <c r="V24" s="59">
        <v>46199</v>
      </c>
      <c r="W24" s="36"/>
      <c r="X24" s="36"/>
      <c r="Y24" s="36"/>
      <c r="Z24" s="36"/>
      <c r="AA24" s="52">
        <v>46202</v>
      </c>
      <c r="AB24" s="36"/>
      <c r="AC24" s="36"/>
      <c r="AD24" s="33" t="s">
        <v>114</v>
      </c>
      <c r="AE24" s="33" t="s">
        <v>72</v>
      </c>
      <c r="AF24" s="38" t="s">
        <v>50</v>
      </c>
      <c r="AG24" s="36">
        <v>46227</v>
      </c>
      <c r="AH24" s="39"/>
      <c r="AI24" s="33"/>
      <c r="AJ24" s="40" t="s">
        <v>53</v>
      </c>
      <c r="AK24" s="73"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Dev",IF(AND(L25="",K25=""),"No target set",IF(AND(IF(L25&lt;&gt;"",L25,K25)&lt;TODAY(),M25=""),"Overdue","On track")),IF(C25="PBI Dev",IF(AND(R25="",Q25=""),"No target set",IF(AND(IF(R25&lt;&gt;"",R25,Q25)&lt;TODAY(),S25=""),"Overdue","On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50">
        <v>46203</v>
      </c>
      <c r="I25" s="55" t="s">
        <v>102</v>
      </c>
      <c r="J25" s="33" t="s">
        <v>59</v>
      </c>
      <c r="K25" s="4">
        <v>46185</v>
      </c>
      <c r="L25" s="36"/>
      <c r="M25" s="36">
        <v>46162</v>
      </c>
      <c r="N25" s="36" t="s">
        <v>45</v>
      </c>
      <c r="O25" s="36"/>
      <c r="P25" s="63" t="s">
        <v>77</v>
      </c>
      <c r="Q25" s="4">
        <v>46192</v>
      </c>
      <c r="R25" s="36"/>
      <c r="S25" s="36">
        <v>46164</v>
      </c>
      <c r="T25" s="69"/>
      <c r="U25" s="33" t="s">
        <v>47</v>
      </c>
      <c r="V25" s="59">
        <v>46199</v>
      </c>
      <c r="W25" s="36"/>
      <c r="X25" s="36"/>
      <c r="Y25" s="36">
        <v>46204</v>
      </c>
      <c r="Z25" s="36"/>
      <c r="AA25" s="52">
        <v>46202</v>
      </c>
      <c r="AB25" s="36"/>
      <c r="AC25" s="36"/>
      <c r="AD25" s="33" t="s">
        <v>110</v>
      </c>
      <c r="AE25" s="33" t="s">
        <v>49</v>
      </c>
      <c r="AF25" s="38" t="s">
        <v>50</v>
      </c>
      <c r="AG25" s="36">
        <v>46204</v>
      </c>
      <c r="AH25" s="39"/>
      <c r="AI25" s="33"/>
      <c r="AJ25" s="40" t="s">
        <v>53</v>
      </c>
      <c r="AK25" s="73"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Dev",IF(AND(L26="",K26=""),"No target set",IF(AND(IF(L26&lt;&gt;"",L26,K26)&lt;TODAY(),M26=""),"Overdue","On track")),IF(C26="PBI Dev",IF(AND(R26="",Q26=""),"No target set",IF(AND(IF(R26&lt;&gt;"",R26,Q26)&lt;TODAY(),S26=""),"Overdue","On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50">
        <v>46203</v>
      </c>
      <c r="I26" s="55" t="s">
        <v>102</v>
      </c>
      <c r="J26" s="33" t="s">
        <v>65</v>
      </c>
      <c r="K26" s="4">
        <v>46185</v>
      </c>
      <c r="L26" s="36"/>
      <c r="M26" s="36">
        <v>46169</v>
      </c>
      <c r="N26" s="36" t="s">
        <v>45</v>
      </c>
      <c r="O26" s="36"/>
      <c r="P26" s="63" t="s">
        <v>60</v>
      </c>
      <c r="Q26" s="4">
        <v>46192</v>
      </c>
      <c r="R26" s="36"/>
      <c r="S26" s="36">
        <v>46191</v>
      </c>
      <c r="T26" s="69"/>
      <c r="U26" s="33" t="s">
        <v>88</v>
      </c>
      <c r="V26" s="59">
        <v>46199</v>
      </c>
      <c r="W26" s="36"/>
      <c r="X26" s="36"/>
      <c r="Y26" s="36">
        <v>46196</v>
      </c>
      <c r="Z26" s="36"/>
      <c r="AA26" s="52">
        <v>46202</v>
      </c>
      <c r="AB26" s="36"/>
      <c r="AC26" s="36"/>
      <c r="AD26" s="33" t="s">
        <v>118</v>
      </c>
      <c r="AE26" s="33" t="s">
        <v>49</v>
      </c>
      <c r="AF26" s="38" t="s">
        <v>50</v>
      </c>
      <c r="AG26" s="36">
        <v>46196</v>
      </c>
      <c r="AH26" s="39" t="s">
        <v>119</v>
      </c>
      <c r="AI26" s="33" t="s">
        <v>120</v>
      </c>
      <c r="AJ26" s="40" t="s">
        <v>53</v>
      </c>
      <c r="AK26" s="73"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Dev",IF(AND(L27="",K27=""),"No target set",IF(AND(IF(L27&lt;&gt;"",L27,K27)&lt;TODAY(),M27=""),"Overdue","On track")),IF(C27="PBI Dev",IF(AND(R27="",Q27=""),"No target set",IF(AND(IF(R27&lt;&gt;"",R27,Q27)&lt;TODAY(),S27=""),"Overdue","On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50">
        <v>46203</v>
      </c>
      <c r="I27" s="55" t="s">
        <v>102</v>
      </c>
      <c r="J27" s="33" t="s">
        <v>103</v>
      </c>
      <c r="K27" s="4">
        <v>46185</v>
      </c>
      <c r="L27" s="36"/>
      <c r="M27" s="36">
        <v>46168</v>
      </c>
      <c r="N27" s="36" t="s">
        <v>45</v>
      </c>
      <c r="O27" s="36"/>
      <c r="P27" s="63" t="s">
        <v>77</v>
      </c>
      <c r="Q27" s="4">
        <v>46192</v>
      </c>
      <c r="R27" s="36"/>
      <c r="S27" s="36">
        <v>46189</v>
      </c>
      <c r="T27" s="69"/>
      <c r="U27" s="54" t="s">
        <v>88</v>
      </c>
      <c r="V27" s="59">
        <v>46199</v>
      </c>
      <c r="W27" s="36"/>
      <c r="X27" s="36"/>
      <c r="Y27" s="36">
        <v>46189</v>
      </c>
      <c r="Z27" s="36"/>
      <c r="AA27" s="52">
        <v>46202</v>
      </c>
      <c r="AB27" s="36"/>
      <c r="AC27" s="36"/>
      <c r="AD27" s="33"/>
      <c r="AE27" s="33" t="s">
        <v>72</v>
      </c>
      <c r="AF27" s="38" t="s">
        <v>50</v>
      </c>
      <c r="AG27" s="36">
        <v>46192</v>
      </c>
      <c r="AH27" s="39" t="s">
        <v>122</v>
      </c>
      <c r="AI27" s="33"/>
      <c r="AJ27" s="40" t="s">
        <v>53</v>
      </c>
      <c r="AK27" s="73"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Dev",IF(AND(L28="",K28=""),"No target set",IF(AND(IF(L28&lt;&gt;"",L28,K28)&lt;TODAY(),M28=""),"Overdue","On track")),IF(C28="PBI Dev",IF(AND(R28="",Q28=""),"No target set",IF(AND(IF(R28&lt;&gt;"",R28,Q28)&lt;TODAY(),S28=""),"Overdue","On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50">
        <v>46203</v>
      </c>
      <c r="I28" s="55" t="s">
        <v>102</v>
      </c>
      <c r="J28" s="33" t="s">
        <v>84</v>
      </c>
      <c r="K28" s="4">
        <v>46185</v>
      </c>
      <c r="L28" s="36"/>
      <c r="M28" s="36">
        <v>46169</v>
      </c>
      <c r="N28" s="36" t="s">
        <v>45</v>
      </c>
      <c r="O28" s="36"/>
      <c r="P28" s="63" t="s">
        <v>77</v>
      </c>
      <c r="Q28" s="4">
        <v>46192</v>
      </c>
      <c r="R28" s="36"/>
      <c r="S28" s="36">
        <v>46195</v>
      </c>
      <c r="T28" s="69"/>
      <c r="U28" s="33"/>
      <c r="V28" s="59">
        <v>46199</v>
      </c>
      <c r="W28" s="36"/>
      <c r="X28" s="36"/>
      <c r="Y28" s="36">
        <v>46197</v>
      </c>
      <c r="Z28" s="36"/>
      <c r="AA28" s="52">
        <v>46202</v>
      </c>
      <c r="AB28" s="36"/>
      <c r="AC28" s="36"/>
      <c r="AD28" s="33" t="s">
        <v>124</v>
      </c>
      <c r="AE28" s="33" t="s">
        <v>72</v>
      </c>
      <c r="AF28" s="38" t="s">
        <v>50</v>
      </c>
      <c r="AG28" s="36">
        <v>46197</v>
      </c>
      <c r="AH28" s="39"/>
      <c r="AI28" s="33"/>
      <c r="AJ28" s="40" t="s">
        <v>53</v>
      </c>
      <c r="AK28" s="73"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c r="A29" s="33" t="s">
        <v>126</v>
      </c>
      <c r="B29" s="33" t="s">
        <v>127</v>
      </c>
      <c r="C29" s="33" t="s">
        <v>128</v>
      </c>
      <c r="D29" t="str" cm="1">
        <f t="array" aca="1" ref="D29" ca="1">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50">
        <v>46234</v>
      </c>
      <c r="I29" s="61" t="s">
        <v>130</v>
      </c>
      <c r="J29" s="33" t="s">
        <v>76</v>
      </c>
      <c r="K29" s="4">
        <v>46213</v>
      </c>
      <c r="L29" s="36">
        <v>46244</v>
      </c>
      <c r="M29" s="37">
        <v>46245</v>
      </c>
      <c r="N29" s="47" t="s">
        <v>45</v>
      </c>
      <c r="O29" s="36" t="s">
        <v>131</v>
      </c>
      <c r="P29" s="65" t="s">
        <v>60</v>
      </c>
      <c r="Q29" s="4">
        <v>46220</v>
      </c>
      <c r="R29" s="36">
        <v>46245</v>
      </c>
      <c r="S29" s="74">
        <v>46245</v>
      </c>
      <c r="T29" s="69"/>
      <c r="U29" s="54" t="s">
        <v>129</v>
      </c>
      <c r="V29" s="59">
        <v>46227</v>
      </c>
      <c r="W29" s="36">
        <v>46248</v>
      </c>
      <c r="X29" s="36"/>
      <c r="Y29" s="36">
        <v>46252</v>
      </c>
      <c r="Z29" s="36"/>
      <c r="AA29" s="52">
        <v>46232</v>
      </c>
      <c r="AB29" s="36">
        <v>46273</v>
      </c>
      <c r="AC29" s="36">
        <v>46273</v>
      </c>
      <c r="AD29" s="33" t="s">
        <v>132</v>
      </c>
      <c r="AE29" s="33" t="s">
        <v>49</v>
      </c>
      <c r="AF29" s="38"/>
      <c r="AG29" s="36"/>
      <c r="AH29" s="39"/>
      <c r="AI29" s="33"/>
      <c r="AJ29" s="40" t="s">
        <v>53</v>
      </c>
      <c r="AK29" s="73"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c r="A30" s="33" t="s">
        <v>126</v>
      </c>
      <c r="B30" s="33" t="s">
        <v>134</v>
      </c>
      <c r="C30" s="33" t="s">
        <v>128</v>
      </c>
      <c r="D30" t="str" cm="1">
        <f t="array" aca="1" ref="D30" ca="1">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Dev",IF(AND(L30="",K30=""),"No target set",IF(AND(IF(L30&lt;&gt;"",L30,K30)&lt;TODAY(),M30=""),"Overdue","On track")),IF(C30="PBI Dev",IF(AND(R30="",Q30=""),"No target set",IF(AND(IF(R30&lt;&gt;"",R30,Q30)&lt;TODAY(),S30=""),"Overdue","On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50">
        <v>46234</v>
      </c>
      <c r="I30" s="61" t="s">
        <v>130</v>
      </c>
      <c r="J30" s="33" t="s">
        <v>65</v>
      </c>
      <c r="K30" s="4">
        <v>46213</v>
      </c>
      <c r="L30" s="36">
        <v>46244</v>
      </c>
      <c r="M30" s="35">
        <v>46255</v>
      </c>
      <c r="N30" s="47" t="s">
        <v>45</v>
      </c>
      <c r="O30" s="36" t="s">
        <v>131</v>
      </c>
      <c r="P30" s="65" t="s">
        <v>77</v>
      </c>
      <c r="Q30" s="4">
        <v>46220</v>
      </c>
      <c r="R30" s="36">
        <v>46245</v>
      </c>
      <c r="S30" s="36">
        <v>46246</v>
      </c>
      <c r="T30" s="69"/>
      <c r="U30" s="54" t="s">
        <v>129</v>
      </c>
      <c r="V30" s="59">
        <v>46227</v>
      </c>
      <c r="W30" s="36">
        <v>46260</v>
      </c>
      <c r="X30" s="36"/>
      <c r="Y30" s="36">
        <v>46255</v>
      </c>
      <c r="Z30" s="36"/>
      <c r="AA30" s="52">
        <v>46232</v>
      </c>
      <c r="AB30" s="36">
        <v>46273</v>
      </c>
      <c r="AC30" s="36">
        <v>46273</v>
      </c>
      <c r="AD30" s="33" t="s">
        <v>135</v>
      </c>
      <c r="AE30" s="33" t="s">
        <v>49</v>
      </c>
      <c r="AF30" s="38"/>
      <c r="AG30" s="36"/>
      <c r="AH30" s="39"/>
      <c r="AI30" s="33"/>
      <c r="AJ30" s="40" t="s">
        <v>53</v>
      </c>
      <c r="AK30" s="73"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136</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c r="A31" s="33" t="s">
        <v>126</v>
      </c>
      <c r="B31" s="33" t="s">
        <v>137</v>
      </c>
      <c r="C31" s="33" t="s">
        <v>128</v>
      </c>
      <c r="D31" t="str" cm="1">
        <f t="array" aca="1" ref="D31" ca="1">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Dev",IF(AND(L31="",K31=""),"No target set",IF(AND(IF(L31&lt;&gt;"",L31,K31)&lt;TODAY(),M31=""),"Overdue","On track")),IF(C31="PBI Dev",IF(AND(R31="",Q31=""),"No target set",IF(AND(IF(R31&lt;&gt;"",R31,Q31)&lt;TODAY(),S31=""),"Overdue","On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50">
        <v>46234</v>
      </c>
      <c r="I31" s="61" t="s">
        <v>130</v>
      </c>
      <c r="J31" s="33" t="s">
        <v>65</v>
      </c>
      <c r="K31" s="4">
        <v>46213</v>
      </c>
      <c r="L31" s="36">
        <v>46245</v>
      </c>
      <c r="M31" s="35">
        <v>46246</v>
      </c>
      <c r="N31" s="47" t="s">
        <v>45</v>
      </c>
      <c r="O31" s="36" t="s">
        <v>131</v>
      </c>
      <c r="P31" s="65" t="s">
        <v>77</v>
      </c>
      <c r="Q31" s="4">
        <v>46220</v>
      </c>
      <c r="R31" s="36">
        <v>46246</v>
      </c>
      <c r="S31" s="36">
        <v>46251</v>
      </c>
      <c r="T31" s="69"/>
      <c r="U31" s="54" t="s">
        <v>129</v>
      </c>
      <c r="V31" s="59">
        <v>46227</v>
      </c>
      <c r="W31" s="36">
        <v>46253</v>
      </c>
      <c r="X31" s="36"/>
      <c r="Y31" s="36">
        <v>46258</v>
      </c>
      <c r="Z31" s="36"/>
      <c r="AA31" s="52">
        <v>46232</v>
      </c>
      <c r="AB31" s="36">
        <v>46273</v>
      </c>
      <c r="AC31" s="36">
        <v>46273</v>
      </c>
      <c r="AD31" s="33" t="s">
        <v>132</v>
      </c>
      <c r="AE31" s="33" t="s">
        <v>49</v>
      </c>
      <c r="AF31" s="38"/>
      <c r="AG31" s="36"/>
      <c r="AH31" s="39"/>
      <c r="AI31" s="33"/>
      <c r="AJ31" s="40" t="s">
        <v>53</v>
      </c>
      <c r="AK31" s="73"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138</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c r="A32" s="33" t="s">
        <v>126</v>
      </c>
      <c r="B32" s="33" t="s">
        <v>139</v>
      </c>
      <c r="C32" s="33" t="s">
        <v>128</v>
      </c>
      <c r="D32" t="str" cm="1">
        <f t="array" aca="1" ref="D32" ca="1">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Dev",IF(AND(L32="",K32=""),"No target set",IF(AND(IF(L32&lt;&gt;"",L32,K32)&lt;TODAY(),M32=""),"Overdue","On track")),IF(C32="PBI Dev",IF(AND(R32="",Q32=""),"No target set",IF(AND(IF(R32&lt;&gt;"",R32,Q32)&lt;TODAY(),S32=""),"Overdue","On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50">
        <v>46234</v>
      </c>
      <c r="I32" s="61" t="s">
        <v>130</v>
      </c>
      <c r="J32" s="33" t="s">
        <v>59</v>
      </c>
      <c r="K32" s="4">
        <v>46213</v>
      </c>
      <c r="L32" s="36"/>
      <c r="M32" s="37">
        <v>46266</v>
      </c>
      <c r="N32" s="47" t="s">
        <v>45</v>
      </c>
      <c r="O32" s="36" t="s">
        <v>131</v>
      </c>
      <c r="P32" s="65" t="s">
        <v>46</v>
      </c>
      <c r="Q32" s="4">
        <v>46220</v>
      </c>
      <c r="R32" s="36">
        <v>46251</v>
      </c>
      <c r="S32" s="36">
        <v>46253</v>
      </c>
      <c r="T32" s="69"/>
      <c r="U32" s="54" t="s">
        <v>47</v>
      </c>
      <c r="V32" s="59">
        <v>46227</v>
      </c>
      <c r="W32" s="36">
        <v>46269</v>
      </c>
      <c r="X32" s="36"/>
      <c r="Y32" s="36">
        <v>46269</v>
      </c>
      <c r="Z32" s="36"/>
      <c r="AA32" s="52">
        <v>46232</v>
      </c>
      <c r="AB32" s="36">
        <v>46273</v>
      </c>
      <c r="AC32" s="36">
        <v>46273</v>
      </c>
      <c r="AD32" s="33" t="s">
        <v>140</v>
      </c>
      <c r="AE32" s="33" t="s">
        <v>49</v>
      </c>
      <c r="AF32" s="38"/>
      <c r="AG32" s="36"/>
      <c r="AH32" s="39"/>
      <c r="AI32" s="33"/>
      <c r="AJ32" s="40" t="s">
        <v>53</v>
      </c>
      <c r="AK32" s="73"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141</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c r="A33" s="33" t="s">
        <v>126</v>
      </c>
      <c r="B33" s="33" t="s">
        <v>142</v>
      </c>
      <c r="C33" s="33" t="s">
        <v>128</v>
      </c>
      <c r="D33" t="str" cm="1">
        <f t="array" aca="1" ref="D33" ca="1">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Dev",IF(AND(L33="",K33=""),"No target set",IF(AND(IF(L33&lt;&gt;"",L33,K33)&lt;TODAY(),M33=""),"Overdue","On track")),IF(C33="PBI Dev",IF(AND(R33="",Q33=""),"No target set",IF(AND(IF(R33&lt;&gt;"",R33,Q33)&lt;TODAY(),S33=""),"Overdue","On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50">
        <v>46234</v>
      </c>
      <c r="I33" s="61" t="s">
        <v>130</v>
      </c>
      <c r="J33" s="33" t="s">
        <v>103</v>
      </c>
      <c r="K33" s="4">
        <v>46213</v>
      </c>
      <c r="L33" s="36">
        <v>46246</v>
      </c>
      <c r="M33" s="37">
        <v>46251</v>
      </c>
      <c r="N33" s="47" t="s">
        <v>45</v>
      </c>
      <c r="O33" s="36" t="s">
        <v>131</v>
      </c>
      <c r="P33" s="65" t="s">
        <v>77</v>
      </c>
      <c r="Q33" s="4">
        <v>46220</v>
      </c>
      <c r="R33" s="36">
        <v>46246</v>
      </c>
      <c r="S33" s="36">
        <v>46244</v>
      </c>
      <c r="T33" s="69"/>
      <c r="U33" s="54" t="s">
        <v>47</v>
      </c>
      <c r="V33" s="59">
        <v>46227</v>
      </c>
      <c r="W33" s="36">
        <v>46254</v>
      </c>
      <c r="X33" s="36"/>
      <c r="Y33" s="36">
        <v>46254</v>
      </c>
      <c r="Z33" s="36"/>
      <c r="AA33" s="52">
        <v>46232</v>
      </c>
      <c r="AB33" s="36">
        <v>46273</v>
      </c>
      <c r="AC33" s="36">
        <v>46273</v>
      </c>
      <c r="AD33" s="33" t="s">
        <v>132</v>
      </c>
      <c r="AE33" s="33" t="s">
        <v>49</v>
      </c>
      <c r="AF33" s="38"/>
      <c r="AG33" s="36"/>
      <c r="AH33" s="39"/>
      <c r="AI33" s="33"/>
      <c r="AJ33" s="40" t="s">
        <v>53</v>
      </c>
      <c r="AK33" s="73"/>
      <c r="AL33" s="41" t="s">
        <v>143</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c r="A34" s="33" t="s">
        <v>126</v>
      </c>
      <c r="B34" s="33" t="s">
        <v>144</v>
      </c>
      <c r="C34" s="33" t="s">
        <v>128</v>
      </c>
      <c r="D34" t="str" cm="1">
        <f t="array" aca="1" ref="D34" ca="1">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Dev",IF(AND(L34="",K34=""),"No target set",IF(AND(IF(L34&lt;&gt;"",L34,K34)&lt;TODAY(),M34=""),"Overdue","On track")),IF(C34="PBI Dev",IF(AND(R34="",Q34=""),"No target set",IF(AND(IF(R34&lt;&gt;"",R34,Q34)&lt;TODAY(),S34=""),"Overdue","On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145</v>
      </c>
      <c r="G34" s="33"/>
      <c r="H34" s="50">
        <v>46234</v>
      </c>
      <c r="I34" s="61" t="s">
        <v>130</v>
      </c>
      <c r="J34" s="33" t="s">
        <v>84</v>
      </c>
      <c r="K34" s="4">
        <v>46213</v>
      </c>
      <c r="L34" s="36">
        <v>46246</v>
      </c>
      <c r="M34" s="36">
        <v>46252</v>
      </c>
      <c r="N34" s="36" t="s">
        <v>45</v>
      </c>
      <c r="O34" s="36" t="s">
        <v>131</v>
      </c>
      <c r="P34" s="65" t="s">
        <v>60</v>
      </c>
      <c r="Q34" s="4">
        <v>46220</v>
      </c>
      <c r="R34" s="36">
        <v>46246</v>
      </c>
      <c r="S34" s="36">
        <v>46251</v>
      </c>
      <c r="T34" s="69"/>
      <c r="U34" s="54" t="s">
        <v>145</v>
      </c>
      <c r="V34" s="59">
        <v>46227</v>
      </c>
      <c r="W34" s="36">
        <v>46255</v>
      </c>
      <c r="X34" s="36"/>
      <c r="Y34" s="36">
        <v>46255</v>
      </c>
      <c r="Z34" s="36"/>
      <c r="AA34" s="52">
        <v>46232</v>
      </c>
      <c r="AB34" s="36">
        <v>46273</v>
      </c>
      <c r="AC34" s="36">
        <v>46273</v>
      </c>
      <c r="AD34" s="33" t="s">
        <v>132</v>
      </c>
      <c r="AE34" s="33" t="s">
        <v>49</v>
      </c>
      <c r="AF34" s="38"/>
      <c r="AG34" s="36"/>
      <c r="AH34" s="39"/>
      <c r="AI34" s="33"/>
      <c r="AJ34" s="40" t="s">
        <v>53</v>
      </c>
      <c r="AK34" s="73"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146</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c r="A35" s="33" t="s">
        <v>126</v>
      </c>
      <c r="B35" s="33" t="s">
        <v>147</v>
      </c>
      <c r="C35" s="33" t="s">
        <v>128</v>
      </c>
      <c r="D35" t="str" cm="1">
        <f t="array" aca="1" ref="D35" ca="1">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Dev",IF(AND(L35="",K35=""),"No target set",IF(AND(IF(L35&lt;&gt;"",L35,K35)&lt;TODAY(),M35=""),"Overdue","On track")),IF(C35="PBI Dev",IF(AND(R35="",Q35=""),"No target set",IF(AND(IF(R35&lt;&gt;"",R35,Q35)&lt;TODAY(),S35=""),"Overdue","On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145</v>
      </c>
      <c r="G35" s="33"/>
      <c r="H35" s="50">
        <v>46234</v>
      </c>
      <c r="I35" s="61" t="s">
        <v>130</v>
      </c>
      <c r="J35" s="33" t="s">
        <v>65</v>
      </c>
      <c r="K35" s="4">
        <v>46213</v>
      </c>
      <c r="L35" s="36">
        <v>46244</v>
      </c>
      <c r="M35" s="35">
        <v>46258</v>
      </c>
      <c r="N35" s="47" t="s">
        <v>148</v>
      </c>
      <c r="O35" s="36" t="s">
        <v>131</v>
      </c>
      <c r="P35" s="65" t="s">
        <v>46</v>
      </c>
      <c r="Q35" s="4">
        <v>46220</v>
      </c>
      <c r="R35" s="36">
        <v>46251</v>
      </c>
      <c r="S35" s="36">
        <v>46266</v>
      </c>
      <c r="T35" s="69"/>
      <c r="U35" s="54" t="s">
        <v>145</v>
      </c>
      <c r="V35" s="59">
        <v>46227</v>
      </c>
      <c r="W35" s="36">
        <v>46269</v>
      </c>
      <c r="X35" s="36"/>
      <c r="Y35" s="36">
        <v>46267</v>
      </c>
      <c r="Z35" s="36"/>
      <c r="AA35" s="52">
        <v>46232</v>
      </c>
      <c r="AB35" s="36">
        <v>46275</v>
      </c>
      <c r="AC35" s="36">
        <v>46273</v>
      </c>
      <c r="AD35" s="33" t="s">
        <v>140</v>
      </c>
      <c r="AE35" s="33" t="s">
        <v>49</v>
      </c>
      <c r="AF35" s="38"/>
      <c r="AG35" s="36"/>
      <c r="AH35" s="39"/>
      <c r="AI35" s="33"/>
      <c r="AJ35" s="40" t="s">
        <v>53</v>
      </c>
      <c r="AK35" s="73"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149</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c r="A36" s="33" t="s">
        <v>126</v>
      </c>
      <c r="B36" s="33" t="s">
        <v>150</v>
      </c>
      <c r="C36" s="33" t="s">
        <v>128</v>
      </c>
      <c r="D36" t="str" cm="1">
        <f t="array" aca="1" ref="D36" ca="1">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Dev",IF(AND(L36="",K36=""),"No target set",IF(AND(IF(L36&lt;&gt;"",L36,K36)&lt;TODAY(),M36=""),"Overdue","On track")),IF(C36="PBI Dev",IF(AND(R36="",Q36=""),"No target set",IF(AND(IF(R36&lt;&gt;"",R36,Q36)&lt;TODAY(),S36=""),"Overdue","On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145</v>
      </c>
      <c r="G36" s="33"/>
      <c r="H36" s="50">
        <v>46234</v>
      </c>
      <c r="I36" s="61" t="s">
        <v>130</v>
      </c>
      <c r="J36" s="33" t="s">
        <v>65</v>
      </c>
      <c r="K36" s="4">
        <v>46213</v>
      </c>
      <c r="L36" s="36">
        <v>46245</v>
      </c>
      <c r="M36" s="36">
        <v>46258</v>
      </c>
      <c r="N36" s="36" t="s">
        <v>45</v>
      </c>
      <c r="O36" s="36" t="s">
        <v>131</v>
      </c>
      <c r="P36" s="65" t="s">
        <v>77</v>
      </c>
      <c r="Q36" s="4">
        <v>46220</v>
      </c>
      <c r="R36" s="36">
        <v>46246</v>
      </c>
      <c r="S36" s="36">
        <v>46246</v>
      </c>
      <c r="T36" s="69"/>
      <c r="U36" s="54" t="s">
        <v>145</v>
      </c>
      <c r="V36" s="59">
        <v>46227</v>
      </c>
      <c r="W36" s="36">
        <v>46261</v>
      </c>
      <c r="X36" s="36"/>
      <c r="Y36" s="36">
        <v>46267</v>
      </c>
      <c r="Z36" s="36"/>
      <c r="AA36" s="52">
        <v>46232</v>
      </c>
      <c r="AB36" s="36">
        <v>46275</v>
      </c>
      <c r="AC36" s="36">
        <v>46273</v>
      </c>
      <c r="AD36" s="33" t="s">
        <v>132</v>
      </c>
      <c r="AE36" s="33" t="s">
        <v>49</v>
      </c>
      <c r="AF36" s="38"/>
      <c r="AG36" s="36"/>
      <c r="AH36" s="39"/>
      <c r="AI36" s="33"/>
      <c r="AJ36" s="40" t="s">
        <v>53</v>
      </c>
      <c r="AK36" s="73"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149</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c r="A37" s="33" t="s">
        <v>126</v>
      </c>
      <c r="B37" s="33" t="s">
        <v>151</v>
      </c>
      <c r="C37" s="33" t="s">
        <v>128</v>
      </c>
      <c r="D37" t="str" cm="1">
        <f t="array" aca="1" ref="D37" ca="1">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Dev",IF(AND(L37="",K37=""),"No target set",IF(AND(IF(L37&lt;&gt;"",L37,K37)&lt;TODAY(),M37=""),"Overdue","On track")),IF(C37="PBI Dev",IF(AND(R37="",Q37=""),"No target set",IF(AND(IF(R37&lt;&gt;"",R37,Q37)&lt;TODAY(),S37=""),"Overdue","On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145</v>
      </c>
      <c r="G37" s="33"/>
      <c r="H37" s="50">
        <v>46234</v>
      </c>
      <c r="I37" s="61" t="s">
        <v>130</v>
      </c>
      <c r="J37" s="33" t="s">
        <v>84</v>
      </c>
      <c r="K37" s="4">
        <v>46213</v>
      </c>
      <c r="L37" s="36">
        <v>46246</v>
      </c>
      <c r="M37" s="36">
        <v>46255</v>
      </c>
      <c r="N37" s="36" t="s">
        <v>45</v>
      </c>
      <c r="O37" s="36" t="s">
        <v>131</v>
      </c>
      <c r="P37" s="65" t="s">
        <v>60</v>
      </c>
      <c r="Q37" s="4">
        <v>46220</v>
      </c>
      <c r="R37" s="36">
        <v>46255</v>
      </c>
      <c r="S37" s="36">
        <v>46255</v>
      </c>
      <c r="T37" s="69"/>
      <c r="U37" s="54" t="s">
        <v>145</v>
      </c>
      <c r="V37" s="59">
        <v>46227</v>
      </c>
      <c r="W37" s="36">
        <v>46260</v>
      </c>
      <c r="X37" s="36"/>
      <c r="Y37" s="36">
        <v>46255</v>
      </c>
      <c r="Z37" s="36"/>
      <c r="AA37" s="52">
        <v>46232</v>
      </c>
      <c r="AB37" s="36">
        <v>46269</v>
      </c>
      <c r="AC37" s="36">
        <v>46269</v>
      </c>
      <c r="AD37" s="33" t="s">
        <v>152</v>
      </c>
      <c r="AE37" s="33" t="s">
        <v>49</v>
      </c>
      <c r="AF37" s="38"/>
      <c r="AG37" s="36"/>
      <c r="AH37" s="39"/>
      <c r="AI37" s="33"/>
      <c r="AJ37" s="40" t="s">
        <v>53</v>
      </c>
      <c r="AK37" s="73"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153</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c r="A38" s="33" t="s">
        <v>126</v>
      </c>
      <c r="B38" s="33" t="s">
        <v>154</v>
      </c>
      <c r="C38" s="33" t="s">
        <v>128</v>
      </c>
      <c r="D38" t="str" cm="1">
        <f t="array" aca="1" ref="D38" ca="1">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Dev",IF(AND(L38="",K38=""),"No target set",IF(AND(IF(L38&lt;&gt;"",L38,K38)&lt;TODAY(),M38=""),"Overdue","On track")),IF(C38="PBI Dev",IF(AND(R38="",Q38=""),"No target set",IF(AND(IF(R38&lt;&gt;"",R38,Q38)&lt;TODAY(),S38=""),"Overdue","On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155</v>
      </c>
      <c r="F38" s="34" t="s">
        <v>145</v>
      </c>
      <c r="G38" s="33"/>
      <c r="H38" s="50">
        <v>46234</v>
      </c>
      <c r="I38" s="61" t="s">
        <v>130</v>
      </c>
      <c r="J38" s="33" t="s">
        <v>156</v>
      </c>
      <c r="K38" s="4">
        <v>46213</v>
      </c>
      <c r="L38" s="36">
        <v>46246</v>
      </c>
      <c r="M38" s="35">
        <v>46254</v>
      </c>
      <c r="N38" s="47" t="s">
        <v>45</v>
      </c>
      <c r="O38" s="36" t="s">
        <v>131</v>
      </c>
      <c r="P38" s="65" t="s">
        <v>60</v>
      </c>
      <c r="Q38" s="4">
        <v>46220</v>
      </c>
      <c r="R38" s="36">
        <v>46254</v>
      </c>
      <c r="S38" s="36">
        <v>46254</v>
      </c>
      <c r="T38" s="69"/>
      <c r="U38" s="54" t="s">
        <v>145</v>
      </c>
      <c r="V38" s="59">
        <v>46227</v>
      </c>
      <c r="W38" s="36">
        <v>46259</v>
      </c>
      <c r="X38" s="36"/>
      <c r="Y38" s="36">
        <v>46254</v>
      </c>
      <c r="Z38" s="36"/>
      <c r="AA38" s="52">
        <v>46232</v>
      </c>
      <c r="AB38" s="36">
        <v>46269</v>
      </c>
      <c r="AC38" s="36">
        <v>46269</v>
      </c>
      <c r="AD38" s="33" t="s">
        <v>152</v>
      </c>
      <c r="AE38" s="33" t="s">
        <v>49</v>
      </c>
      <c r="AF38" s="38"/>
      <c r="AG38" s="36"/>
      <c r="AH38" s="39"/>
      <c r="AI38" s="33"/>
      <c r="AJ38" s="40" t="s">
        <v>53</v>
      </c>
      <c r="AK38" s="73"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c r="A39" s="33" t="s">
        <v>126</v>
      </c>
      <c r="B39" s="33" t="s">
        <v>157</v>
      </c>
      <c r="C39" s="33" t="s">
        <v>128</v>
      </c>
      <c r="D39" t="str" cm="1">
        <f t="array" aca="1" ref="D39" ca="1">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Dev",IF(AND(L39="",K39=""),"No target set",IF(AND(IF(L39&lt;&gt;"",L39,K39)&lt;TODAY(),M39=""),"Overdue","On track")),IF(C39="PBI Dev",IF(AND(R39="",Q39=""),"No target set",IF(AND(IF(R39&lt;&gt;"",R39,Q39)&lt;TODAY(),S39=""),"Overdue","On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145</v>
      </c>
      <c r="G39" s="33"/>
      <c r="H39" s="50">
        <v>46234</v>
      </c>
      <c r="I39" s="61" t="s">
        <v>130</v>
      </c>
      <c r="J39" s="33" t="s">
        <v>156</v>
      </c>
      <c r="K39" s="4">
        <v>46213</v>
      </c>
      <c r="L39" s="36">
        <v>46246</v>
      </c>
      <c r="M39" s="36">
        <v>46245</v>
      </c>
      <c r="N39" s="36" t="s">
        <v>45</v>
      </c>
      <c r="O39" s="36" t="s">
        <v>131</v>
      </c>
      <c r="P39" s="65" t="s">
        <v>77</v>
      </c>
      <c r="Q39" s="4">
        <v>46220</v>
      </c>
      <c r="R39" s="36">
        <v>46247</v>
      </c>
      <c r="S39" s="36">
        <v>46258</v>
      </c>
      <c r="T39" s="69"/>
      <c r="U39" s="54" t="s">
        <v>47</v>
      </c>
      <c r="V39" s="59">
        <v>46227</v>
      </c>
      <c r="W39" s="36">
        <v>46261</v>
      </c>
      <c r="X39" s="36"/>
      <c r="Y39" s="36">
        <v>46258</v>
      </c>
      <c r="Z39" s="36"/>
      <c r="AA39" s="52">
        <v>46232</v>
      </c>
      <c r="AB39" s="36">
        <v>46269</v>
      </c>
      <c r="AC39" s="36">
        <v>46269</v>
      </c>
      <c r="AD39" s="33" t="s">
        <v>152</v>
      </c>
      <c r="AE39" s="33" t="s">
        <v>49</v>
      </c>
      <c r="AF39" s="38"/>
      <c r="AG39" s="36"/>
      <c r="AH39" s="39"/>
      <c r="AI39" s="33"/>
      <c r="AJ39" s="40" t="s">
        <v>53</v>
      </c>
      <c r="AK39" s="73"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149</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c r="A40" s="33" t="s">
        <v>126</v>
      </c>
      <c r="B40" s="33" t="s">
        <v>158</v>
      </c>
      <c r="C40" s="33" t="s">
        <v>128</v>
      </c>
      <c r="D40" t="str" cm="1">
        <f t="array" aca="1" ref="D40" ca="1">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Dev",IF(AND(L40="",K40=""),"No target set",IF(AND(IF(L40&lt;&gt;"",L40,K40)&lt;TODAY(),M40=""),"Overdue","On track")),IF(C40="PBI Dev",IF(AND(R40="",Q40=""),"No target set",IF(AND(IF(R40&lt;&gt;"",R40,Q40)&lt;TODAY(),S40=""),"Overdue","On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50">
        <v>46234</v>
      </c>
      <c r="I40" s="61" t="s">
        <v>130</v>
      </c>
      <c r="J40" s="33" t="s">
        <v>76</v>
      </c>
      <c r="K40" s="4">
        <v>46213</v>
      </c>
      <c r="L40" s="36">
        <v>46251</v>
      </c>
      <c r="M40" s="37">
        <v>46251</v>
      </c>
      <c r="N40" s="47" t="s">
        <v>45</v>
      </c>
      <c r="O40" s="36" t="s">
        <v>131</v>
      </c>
      <c r="P40" s="65" t="s">
        <v>77</v>
      </c>
      <c r="Q40" s="4">
        <v>46220</v>
      </c>
      <c r="R40" s="36">
        <v>46251</v>
      </c>
      <c r="S40" s="36">
        <v>46255</v>
      </c>
      <c r="T40" s="69"/>
      <c r="U40" s="54" t="s">
        <v>47</v>
      </c>
      <c r="V40" s="59">
        <v>46227</v>
      </c>
      <c r="W40" s="36">
        <v>46254</v>
      </c>
      <c r="X40" s="36"/>
      <c r="Y40" s="36">
        <v>46258</v>
      </c>
      <c r="Z40" s="36"/>
      <c r="AA40" s="52">
        <v>46232</v>
      </c>
      <c r="AB40" s="36">
        <v>46273</v>
      </c>
      <c r="AC40" s="36">
        <v>46273</v>
      </c>
      <c r="AD40" s="33" t="s">
        <v>132</v>
      </c>
      <c r="AE40" s="33" t="s">
        <v>49</v>
      </c>
      <c r="AF40" s="38"/>
      <c r="AG40" s="36"/>
      <c r="AH40" s="39"/>
      <c r="AI40" s="33"/>
      <c r="AJ40" s="40" t="s">
        <v>53</v>
      </c>
      <c r="AK40" s="73"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159</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c r="A41" s="33" t="s">
        <v>126</v>
      </c>
      <c r="B41" s="33" t="s">
        <v>160</v>
      </c>
      <c r="C41" s="33" t="s">
        <v>128</v>
      </c>
      <c r="D41" t="str" cm="1">
        <f t="array" aca="1" ref="D41" ca="1">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Dev",IF(AND(L41="",K41=""),"No target set",IF(AND(IF(L41&lt;&gt;"",L41,K41)&lt;TODAY(),M41=""),"Overdue","On track")),IF(C41="PBI Dev",IF(AND(R41="",Q41=""),"No target set",IF(AND(IF(R41&lt;&gt;"",R41,Q41)&lt;TODAY(),S41=""),"Overdue","On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50">
        <v>46234</v>
      </c>
      <c r="I41" s="61" t="s">
        <v>130</v>
      </c>
      <c r="J41" s="33" t="s">
        <v>59</v>
      </c>
      <c r="K41" s="4">
        <v>46213</v>
      </c>
      <c r="L41" s="35">
        <v>46248</v>
      </c>
      <c r="M41" s="37">
        <v>46248</v>
      </c>
      <c r="N41" s="47" t="s">
        <v>45</v>
      </c>
      <c r="O41" s="36" t="s">
        <v>131</v>
      </c>
      <c r="P41" s="65" t="s">
        <v>60</v>
      </c>
      <c r="Q41" s="4">
        <v>46220</v>
      </c>
      <c r="R41" s="36">
        <v>46251</v>
      </c>
      <c r="S41" s="36">
        <v>46251</v>
      </c>
      <c r="T41" s="69"/>
      <c r="U41" s="54" t="s">
        <v>47</v>
      </c>
      <c r="V41" s="59">
        <v>46227</v>
      </c>
      <c r="W41" s="36">
        <v>46258</v>
      </c>
      <c r="X41" s="36"/>
      <c r="Y41" s="36">
        <v>46258</v>
      </c>
      <c r="Z41" s="36"/>
      <c r="AA41" s="52">
        <v>46232</v>
      </c>
      <c r="AB41" s="36">
        <v>46273</v>
      </c>
      <c r="AC41" s="36">
        <v>46273</v>
      </c>
      <c r="AD41" s="33" t="s">
        <v>132</v>
      </c>
      <c r="AE41" s="33" t="s">
        <v>49</v>
      </c>
      <c r="AF41" s="38"/>
      <c r="AG41" s="36"/>
      <c r="AH41" s="39"/>
      <c r="AI41" s="33"/>
      <c r="AJ41" s="40" t="s">
        <v>53</v>
      </c>
      <c r="AK41" s="73"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161</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c r="A42" s="33" t="s">
        <v>126</v>
      </c>
      <c r="B42" s="33" t="s">
        <v>162</v>
      </c>
      <c r="C42" s="33" t="s">
        <v>128</v>
      </c>
      <c r="D42" t="str" cm="1">
        <f t="array" aca="1" ref="D42" ca="1">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Dev",IF(AND(L42="",K42=""),"No target set",IF(AND(IF(L42&lt;&gt;"",L42,K42)&lt;TODAY(),M42=""),"Overdue","On track")),IF(C42="PBI Dev",IF(AND(R42="",Q42=""),"No target set",IF(AND(IF(R42&lt;&gt;"",R42,Q42)&lt;TODAY(),S42=""),"Overdue","On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145</v>
      </c>
      <c r="G42" s="33"/>
      <c r="H42" s="50">
        <v>46234</v>
      </c>
      <c r="I42" s="61" t="s">
        <v>130</v>
      </c>
      <c r="J42" s="33" t="s">
        <v>76</v>
      </c>
      <c r="K42" s="4">
        <v>46213</v>
      </c>
      <c r="L42" s="36">
        <v>46245</v>
      </c>
      <c r="M42" s="36">
        <v>46245</v>
      </c>
      <c r="N42" s="36" t="s">
        <v>45</v>
      </c>
      <c r="O42" s="36" t="s">
        <v>163</v>
      </c>
      <c r="P42" s="65" t="s">
        <v>46</v>
      </c>
      <c r="Q42" s="4">
        <v>46220</v>
      </c>
      <c r="R42" s="36">
        <v>46248</v>
      </c>
      <c r="S42" s="36">
        <v>46248</v>
      </c>
      <c r="T42" s="69"/>
      <c r="U42" s="54" t="s">
        <v>47</v>
      </c>
      <c r="V42" s="59">
        <v>46227</v>
      </c>
      <c r="W42" s="36">
        <v>46255</v>
      </c>
      <c r="X42" s="36"/>
      <c r="Y42" s="36">
        <v>46261</v>
      </c>
      <c r="Z42" s="36"/>
      <c r="AA42" s="52">
        <v>46232</v>
      </c>
      <c r="AB42" s="36">
        <v>46269</v>
      </c>
      <c r="AC42" s="36">
        <v>46269</v>
      </c>
      <c r="AD42" s="33" t="s">
        <v>152</v>
      </c>
      <c r="AE42" s="33" t="s">
        <v>49</v>
      </c>
      <c r="AF42" s="38"/>
      <c r="AG42" s="36"/>
      <c r="AH42" s="39"/>
      <c r="AI42" s="33"/>
      <c r="AJ42" s="40" t="s">
        <v>53</v>
      </c>
      <c r="AK42" s="48"/>
      <c r="AL42" s="45" t="s">
        <v>164</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c r="A43" s="33" t="s">
        <v>126</v>
      </c>
      <c r="B43" s="33" t="s">
        <v>165</v>
      </c>
      <c r="C43" s="33" t="s">
        <v>166</v>
      </c>
      <c r="D43" t="str" cm="1">
        <f t="array" aca="1" ref="D43" ca="1">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Dev",IF(AND(L43="",K43=""),"No target set",IF(AND(IF(L43&lt;&gt;"",L43,K43)&lt;TODAY(),M43=""),"Overdue","On track")),IF(C43="PBI Dev",IF(AND(R43="",Q43=""),"No target set",IF(AND(IF(R43&lt;&gt;"",R43,Q43)&lt;TODAY(),S43=""),"Overdue","On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Overdue</v>
      </c>
      <c r="E43" s="33" t="s">
        <v>167</v>
      </c>
      <c r="F43" s="34" t="s">
        <v>145</v>
      </c>
      <c r="G43" s="33"/>
      <c r="H43" s="50">
        <v>46265</v>
      </c>
      <c r="I43" s="61" t="s">
        <v>168</v>
      </c>
      <c r="J43" s="33" t="s">
        <v>103</v>
      </c>
      <c r="K43" s="4">
        <v>46234</v>
      </c>
      <c r="L43" s="36">
        <v>46251</v>
      </c>
      <c r="M43" s="36">
        <v>46252</v>
      </c>
      <c r="N43" s="47" t="s">
        <v>148</v>
      </c>
      <c r="O43" s="36" t="s">
        <v>169</v>
      </c>
      <c r="P43" s="65" t="s">
        <v>60</v>
      </c>
      <c r="Q43" s="4">
        <v>46241</v>
      </c>
      <c r="R43" s="36">
        <v>46260</v>
      </c>
      <c r="S43" s="36">
        <v>46260</v>
      </c>
      <c r="T43" s="69"/>
      <c r="U43" s="54" t="s">
        <v>47</v>
      </c>
      <c r="V43" s="59">
        <v>46255</v>
      </c>
      <c r="W43" s="36">
        <v>46262</v>
      </c>
      <c r="X43" s="36">
        <v>46274</v>
      </c>
      <c r="Y43" s="36"/>
      <c r="Z43" s="36"/>
      <c r="AA43" s="52">
        <v>46260</v>
      </c>
      <c r="AB43" s="36"/>
      <c r="AC43" s="36"/>
      <c r="AD43" s="33" t="s">
        <v>132</v>
      </c>
      <c r="AE43" s="33" t="s">
        <v>49</v>
      </c>
      <c r="AF43" s="38"/>
      <c r="AG43" s="36"/>
      <c r="AH43" s="39"/>
      <c r="AI43" s="33"/>
      <c r="AJ43" s="40" t="s">
        <v>53</v>
      </c>
      <c r="AK43" s="73"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170</v>
      </c>
      <c r="AM43" s="32" t="str"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c r="A44" s="33" t="s">
        <v>126</v>
      </c>
      <c r="B44" s="33" t="s">
        <v>171</v>
      </c>
      <c r="C44" s="33" t="s">
        <v>128</v>
      </c>
      <c r="D44" t="str" cm="1">
        <f t="array" aca="1" ref="D44" ca="1">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Dev",IF(AND(L44="",K44=""),"No target set",IF(AND(IF(L44&lt;&gt;"",L44,K44)&lt;TODAY(),M44=""),"Overdue","On track")),IF(C44="PBI Dev",IF(AND(R44="",Q44=""),"No target set",IF(AND(IF(R44&lt;&gt;"",R44,Q44)&lt;TODAY(),S44=""),"Overdue","On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145</v>
      </c>
      <c r="G44" s="33"/>
      <c r="H44" s="50">
        <v>46265</v>
      </c>
      <c r="I44" s="61" t="s">
        <v>168</v>
      </c>
      <c r="J44" s="33" t="s">
        <v>59</v>
      </c>
      <c r="K44" s="4">
        <v>46234</v>
      </c>
      <c r="L44" s="36">
        <v>46255</v>
      </c>
      <c r="M44" s="36">
        <v>46255</v>
      </c>
      <c r="N44" s="36" t="s">
        <v>45</v>
      </c>
      <c r="O44" s="36" t="s">
        <v>169</v>
      </c>
      <c r="P44" s="65" t="s">
        <v>46</v>
      </c>
      <c r="Q44" s="4">
        <v>46241</v>
      </c>
      <c r="R44" s="36">
        <v>46258</v>
      </c>
      <c r="S44" s="36">
        <v>46258</v>
      </c>
      <c r="T44" s="69"/>
      <c r="U44" s="54" t="s">
        <v>47</v>
      </c>
      <c r="V44" s="59">
        <v>46255</v>
      </c>
      <c r="W44" s="36">
        <v>46261</v>
      </c>
      <c r="X44" s="36">
        <v>46268</v>
      </c>
      <c r="Y44" s="36">
        <v>46273</v>
      </c>
      <c r="Z44" s="36"/>
      <c r="AA44" s="52">
        <v>46260</v>
      </c>
      <c r="AB44" s="36">
        <v>46280</v>
      </c>
      <c r="AC44" s="36"/>
      <c r="AD44" s="33" t="s">
        <v>172</v>
      </c>
      <c r="AE44" s="33" t="s">
        <v>49</v>
      </c>
      <c r="AF44" s="38"/>
      <c r="AG44" s="36"/>
      <c r="AH44" s="39"/>
      <c r="AI44" s="33"/>
      <c r="AJ44" s="40" t="s">
        <v>53</v>
      </c>
      <c r="AK44" s="73"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6" t="s">
        <v>173</v>
      </c>
      <c r="AM44" s="32" t="str"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c r="A45" s="33" t="s">
        <v>126</v>
      </c>
      <c r="B45" s="33" t="s">
        <v>174</v>
      </c>
      <c r="C45" s="33" t="s">
        <v>128</v>
      </c>
      <c r="D45" t="str" cm="1">
        <f t="array" aca="1" ref="D45" ca="1">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Dev",IF(AND(L45="",K45=""),"No target set",IF(AND(IF(L45&lt;&gt;"",L45,K45)&lt;TODAY(),M45=""),"Overdue","On track")),IF(C45="PBI Dev",IF(AND(R45="",Q45=""),"No target set",IF(AND(IF(R45&lt;&gt;"",R45,Q45)&lt;TODAY(),S45=""),"Overdue","On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50">
        <v>46265</v>
      </c>
      <c r="I45" s="61" t="s">
        <v>168</v>
      </c>
      <c r="J45" s="33" t="s">
        <v>44</v>
      </c>
      <c r="K45" s="4">
        <v>46234</v>
      </c>
      <c r="L45" s="36">
        <v>46249</v>
      </c>
      <c r="M45" s="36">
        <v>46244</v>
      </c>
      <c r="N45" s="36"/>
      <c r="O45" s="36" t="s">
        <v>169</v>
      </c>
      <c r="P45" s="65" t="s">
        <v>77</v>
      </c>
      <c r="Q45" s="4">
        <v>46241</v>
      </c>
      <c r="R45" s="36">
        <v>46252</v>
      </c>
      <c r="S45" s="36">
        <v>46265</v>
      </c>
      <c r="T45" s="69"/>
      <c r="U45" s="54" t="s">
        <v>47</v>
      </c>
      <c r="V45" s="59">
        <v>46255</v>
      </c>
      <c r="W45" s="36">
        <v>46268</v>
      </c>
      <c r="X45" s="36"/>
      <c r="Y45" s="36">
        <v>46265</v>
      </c>
      <c r="Z45" s="36"/>
      <c r="AA45" s="52">
        <v>46260</v>
      </c>
      <c r="AB45" s="36">
        <v>46282</v>
      </c>
      <c r="AC45" s="36"/>
      <c r="AD45" s="33" t="s">
        <v>172</v>
      </c>
      <c r="AE45" s="33" t="s">
        <v>49</v>
      </c>
      <c r="AF45" s="38"/>
      <c r="AG45" s="36"/>
      <c r="AH45" s="39"/>
      <c r="AI45" s="33"/>
      <c r="AJ45" s="40" t="s">
        <v>53</v>
      </c>
      <c r="AK45" s="73"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175</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c r="A46" s="33" t="s">
        <v>126</v>
      </c>
      <c r="B46" s="33" t="s">
        <v>176</v>
      </c>
      <c r="C46" s="33" t="s">
        <v>128</v>
      </c>
      <c r="D46" t="str" cm="1">
        <f t="array" aca="1" ref="D46" ca="1">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Dev",IF(AND(L46="",K46=""),"No target set",IF(AND(IF(L46&lt;&gt;"",L46,K46)&lt;TODAY(),M46=""),"Overdue","On track")),IF(C46="PBI Dev",IF(AND(R46="",Q46=""),"No target set",IF(AND(IF(R46&lt;&gt;"",R46,Q46)&lt;TODAY(),S46=""),"Overdue","On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50">
        <v>46265</v>
      </c>
      <c r="I46" s="61" t="s">
        <v>168</v>
      </c>
      <c r="J46" s="33" t="s">
        <v>84</v>
      </c>
      <c r="K46" s="4">
        <v>46234</v>
      </c>
      <c r="L46" s="36">
        <v>46213</v>
      </c>
      <c r="M46" s="36">
        <v>46244</v>
      </c>
      <c r="N46" s="36"/>
      <c r="O46" s="36" t="s">
        <v>177</v>
      </c>
      <c r="P46" s="65" t="s">
        <v>60</v>
      </c>
      <c r="Q46" s="4">
        <v>46241</v>
      </c>
      <c r="R46" s="36">
        <v>46261</v>
      </c>
      <c r="S46" s="36">
        <v>46261</v>
      </c>
      <c r="T46" s="69"/>
      <c r="U46" s="54" t="s">
        <v>47</v>
      </c>
      <c r="V46" s="59">
        <v>46255</v>
      </c>
      <c r="W46" s="36">
        <v>46266</v>
      </c>
      <c r="X46" s="36"/>
      <c r="Y46" s="36">
        <v>46266</v>
      </c>
      <c r="Z46" s="36"/>
      <c r="AA46" s="52">
        <v>46260</v>
      </c>
      <c r="AB46" s="36">
        <v>46282</v>
      </c>
      <c r="AC46" s="36"/>
      <c r="AD46" s="33" t="s">
        <v>132</v>
      </c>
      <c r="AE46" s="33" t="s">
        <v>49</v>
      </c>
      <c r="AF46" s="38"/>
      <c r="AG46" s="36"/>
      <c r="AH46" s="39"/>
      <c r="AI46" s="33"/>
      <c r="AJ46" s="40" t="s">
        <v>53</v>
      </c>
      <c r="AK46" s="73"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175</v>
      </c>
      <c r="AM46" s="32" t="str"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c r="A47" s="33" t="s">
        <v>126</v>
      </c>
      <c r="B47" s="33" t="s">
        <v>178</v>
      </c>
      <c r="C47" s="33" t="s">
        <v>128</v>
      </c>
      <c r="D47" t="str" cm="1">
        <f t="array" aca="1" ref="D47" ca="1">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Dev",IF(AND(L47="",K47=""),"No target set",IF(AND(IF(L47&lt;&gt;"",L47,K47)&lt;TODAY(),M47=""),"Overdue","On track")),IF(C47="PBI Dev",IF(AND(R47="",Q47=""),"No target set",IF(AND(IF(R47&lt;&gt;"",R47,Q47)&lt;TODAY(),S47=""),"Overdue","On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50">
        <v>46265</v>
      </c>
      <c r="I47" s="61" t="s">
        <v>168</v>
      </c>
      <c r="J47" s="33" t="s">
        <v>156</v>
      </c>
      <c r="K47" s="4">
        <v>46234</v>
      </c>
      <c r="L47" s="36">
        <v>46246</v>
      </c>
      <c r="M47" s="36">
        <v>46246</v>
      </c>
      <c r="N47" s="36" t="s">
        <v>45</v>
      </c>
      <c r="O47" s="36" t="s">
        <v>179</v>
      </c>
      <c r="P47" s="65" t="s">
        <v>77</v>
      </c>
      <c r="Q47" s="4">
        <v>46241</v>
      </c>
      <c r="R47" s="36">
        <v>46261</v>
      </c>
      <c r="S47" s="36">
        <v>46261</v>
      </c>
      <c r="T47" s="69"/>
      <c r="U47" s="54" t="s">
        <v>129</v>
      </c>
      <c r="V47" s="59">
        <v>46255</v>
      </c>
      <c r="W47" s="36">
        <v>46265</v>
      </c>
      <c r="X47" s="36"/>
      <c r="Y47" s="36">
        <v>46265</v>
      </c>
      <c r="Z47" s="36"/>
      <c r="AA47" s="52">
        <v>46260</v>
      </c>
      <c r="AB47" s="36">
        <v>46282</v>
      </c>
      <c r="AC47" s="36"/>
      <c r="AD47" s="33" t="s">
        <v>132</v>
      </c>
      <c r="AE47" s="33" t="s">
        <v>49</v>
      </c>
      <c r="AF47" s="38"/>
      <c r="AG47" s="36"/>
      <c r="AH47" s="39"/>
      <c r="AI47" s="33"/>
      <c r="AJ47" s="40" t="s">
        <v>53</v>
      </c>
      <c r="AK47" s="73"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175</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c r="A48" s="33" t="s">
        <v>126</v>
      </c>
      <c r="B48" s="33" t="s">
        <v>180</v>
      </c>
      <c r="C48" s="33" t="s">
        <v>128</v>
      </c>
      <c r="D48" t="str" cm="1">
        <f t="array" aca="1" ref="D48" ca="1">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Dev",IF(AND(L48="",K48=""),"No target set",IF(AND(IF(L48&lt;&gt;"",L48,K48)&lt;TODAY(),M48=""),"Overdue","On track")),IF(C48="PBI Dev",IF(AND(R48="",Q48=""),"No target set",IF(AND(IF(R48&lt;&gt;"",R48,Q48)&lt;TODAY(),S48=""),"Overdue","On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145</v>
      </c>
      <c r="G48" s="33"/>
      <c r="H48" s="50">
        <v>46265</v>
      </c>
      <c r="I48" s="61" t="s">
        <v>168</v>
      </c>
      <c r="J48" s="33" t="s">
        <v>103</v>
      </c>
      <c r="K48" s="4">
        <v>46234</v>
      </c>
      <c r="L48" s="36">
        <v>46255</v>
      </c>
      <c r="M48" s="36">
        <v>46253</v>
      </c>
      <c r="N48" s="36" t="s">
        <v>45</v>
      </c>
      <c r="O48" s="36" t="s">
        <v>179</v>
      </c>
      <c r="P48" s="65" t="s">
        <v>46</v>
      </c>
      <c r="Q48" s="4">
        <v>46241</v>
      </c>
      <c r="R48" s="36">
        <v>46255</v>
      </c>
      <c r="S48" s="36">
        <v>46255</v>
      </c>
      <c r="T48" s="69"/>
      <c r="U48" s="54" t="s">
        <v>145</v>
      </c>
      <c r="V48" s="59">
        <v>46255</v>
      </c>
      <c r="W48" s="36">
        <v>46269</v>
      </c>
      <c r="X48" s="36"/>
      <c r="Y48" s="36">
        <v>46269</v>
      </c>
      <c r="Z48" s="36"/>
      <c r="AA48" s="52">
        <v>46260</v>
      </c>
      <c r="AB48" s="47">
        <v>46279</v>
      </c>
      <c r="AC48" s="36"/>
      <c r="AD48" s="33" t="s">
        <v>172</v>
      </c>
      <c r="AE48" s="33" t="s">
        <v>49</v>
      </c>
      <c r="AF48" s="38"/>
      <c r="AG48" s="36"/>
      <c r="AH48" s="39"/>
      <c r="AI48" s="33"/>
      <c r="AJ48" s="40" t="s">
        <v>53</v>
      </c>
      <c r="AK48" s="73"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181</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c r="A49" s="33" t="s">
        <v>126</v>
      </c>
      <c r="B49" s="33" t="s">
        <v>182</v>
      </c>
      <c r="C49" s="33" t="s">
        <v>183</v>
      </c>
      <c r="D49" t="str" cm="1">
        <f t="array" aca="1" ref="D49" ca="1">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Dev",IF(AND(L49="",K49=""),"No target set",IF(AND(IF(L49&lt;&gt;"",L49,K49)&lt;TODAY(),M49=""),"Overdue","On track")),IF(C49="PBI Dev",IF(AND(R49="",Q49=""),"No target set",IF(AND(IF(R49&lt;&gt;"",R49,Q49)&lt;TODAY(),S49=""),"Overdue","On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50">
        <v>46265</v>
      </c>
      <c r="I49" s="61" t="s">
        <v>168</v>
      </c>
      <c r="J49" s="33" t="s">
        <v>156</v>
      </c>
      <c r="K49" s="4">
        <v>46234</v>
      </c>
      <c r="L49" s="36">
        <v>46253</v>
      </c>
      <c r="M49" s="36">
        <v>46265</v>
      </c>
      <c r="N49" s="36" t="s">
        <v>45</v>
      </c>
      <c r="O49" s="36" t="s">
        <v>131</v>
      </c>
      <c r="P49" s="65" t="s">
        <v>46</v>
      </c>
      <c r="Q49" s="4">
        <v>46241</v>
      </c>
      <c r="R49" s="36">
        <v>46259</v>
      </c>
      <c r="S49" s="36">
        <v>46266</v>
      </c>
      <c r="T49" s="69"/>
      <c r="U49" s="54" t="s">
        <v>129</v>
      </c>
      <c r="V49" s="59">
        <v>46255</v>
      </c>
      <c r="W49" s="36">
        <v>46274</v>
      </c>
      <c r="X49" s="36"/>
      <c r="Y49" s="36"/>
      <c r="Z49" s="36"/>
      <c r="AA49" s="52">
        <v>46260</v>
      </c>
      <c r="AB49" s="36"/>
      <c r="AC49" s="36"/>
      <c r="AD49" s="33" t="s">
        <v>152</v>
      </c>
      <c r="AE49" s="33" t="s">
        <v>72</v>
      </c>
      <c r="AF49" s="38"/>
      <c r="AG49" s="36"/>
      <c r="AH49" s="39"/>
      <c r="AI49" s="33"/>
      <c r="AJ49" s="40" t="s">
        <v>53</v>
      </c>
      <c r="AK49" s="73"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Open rework row - mark Blocked? or close it</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184</v>
      </c>
      <c r="C50" s="33" t="s">
        <v>128</v>
      </c>
      <c r="D50" t="s">
        <v>185</v>
      </c>
      <c r="E50" s="33">
        <v>25</v>
      </c>
      <c r="F50" s="34" t="s">
        <v>145</v>
      </c>
      <c r="G50" s="33"/>
      <c r="H50" s="50">
        <v>46265</v>
      </c>
      <c r="I50" s="61" t="s">
        <v>168</v>
      </c>
      <c r="J50" s="33" t="s">
        <v>44</v>
      </c>
      <c r="K50" s="117">
        <v>46234</v>
      </c>
      <c r="L50" s="118">
        <v>46249</v>
      </c>
      <c r="M50" s="118">
        <v>46245</v>
      </c>
      <c r="N50" s="118" t="s">
        <v>186</v>
      </c>
      <c r="O50" s="118" t="s">
        <v>179</v>
      </c>
      <c r="P50" s="65" t="s">
        <v>60</v>
      </c>
      <c r="Q50" s="4">
        <v>46241</v>
      </c>
      <c r="R50" s="36">
        <v>46252</v>
      </c>
      <c r="S50" s="36">
        <v>46252</v>
      </c>
      <c r="T50" s="69"/>
      <c r="U50" s="54" t="s">
        <v>145</v>
      </c>
      <c r="V50" s="59">
        <v>46255</v>
      </c>
      <c r="W50" s="36">
        <v>46269</v>
      </c>
      <c r="X50" s="36"/>
      <c r="Y50" s="36">
        <v>46273</v>
      </c>
      <c r="Z50" s="36"/>
      <c r="AA50" s="52">
        <v>46260</v>
      </c>
      <c r="AB50" s="36">
        <v>46281</v>
      </c>
      <c r="AC50" s="36"/>
      <c r="AD50" s="33" t="s">
        <v>172</v>
      </c>
      <c r="AE50" s="33" t="s">
        <v>72</v>
      </c>
      <c r="AF50" s="38"/>
      <c r="AG50" s="36"/>
      <c r="AH50" s="39"/>
      <c r="AI50" s="33"/>
      <c r="AJ50" s="40" t="s">
        <v>53</v>
      </c>
      <c r="AK50" s="73"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c r="A51" s="33" t="s">
        <v>126</v>
      </c>
      <c r="B51" s="33" t="s">
        <v>187</v>
      </c>
      <c r="C51" s="33" t="s">
        <v>166</v>
      </c>
      <c r="D51" t="str" cm="1">
        <f t="array" aca="1" ref="D51" ca="1">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Dev",IF(AND(L51="",K51=""),"No target set",IF(AND(IF(L51&lt;&gt;"",L51,K51)&lt;TODAY(),M51=""),"Overdue","On track")),IF(C51="PBI Dev",IF(AND(R51="",Q51=""),"No target set",IF(AND(IF(R51&lt;&gt;"",R51,Q51)&lt;TODAY(),S51=""),"Overdue","On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145</v>
      </c>
      <c r="G51" s="33"/>
      <c r="H51" s="50">
        <v>46265</v>
      </c>
      <c r="I51" s="61" t="s">
        <v>168</v>
      </c>
      <c r="J51" s="33" t="s">
        <v>76</v>
      </c>
      <c r="K51" s="4">
        <v>46234</v>
      </c>
      <c r="L51" s="36">
        <v>46248</v>
      </c>
      <c r="M51" s="36">
        <v>46248</v>
      </c>
      <c r="N51" s="36" t="s">
        <v>45</v>
      </c>
      <c r="O51" s="36" t="s">
        <v>179</v>
      </c>
      <c r="P51" s="65" t="s">
        <v>77</v>
      </c>
      <c r="Q51" s="4">
        <v>46241</v>
      </c>
      <c r="R51" s="36">
        <v>46255</v>
      </c>
      <c r="S51" s="36">
        <v>46260</v>
      </c>
      <c r="T51" s="69"/>
      <c r="U51" s="54" t="s">
        <v>145</v>
      </c>
      <c r="V51" s="59">
        <v>46255</v>
      </c>
      <c r="W51" s="36">
        <v>46276</v>
      </c>
      <c r="X51" s="36"/>
      <c r="Y51" s="36"/>
      <c r="Z51" s="36"/>
      <c r="AA51" s="52">
        <v>46260</v>
      </c>
      <c r="AB51" s="36">
        <v>46281</v>
      </c>
      <c r="AC51" s="36"/>
      <c r="AD51" s="33" t="s">
        <v>188</v>
      </c>
      <c r="AE51" s="33" t="s">
        <v>72</v>
      </c>
      <c r="AF51" s="38"/>
      <c r="AG51" s="36"/>
      <c r="AH51" s="39"/>
      <c r="AI51" s="33"/>
      <c r="AJ51" s="40" t="s">
        <v>53</v>
      </c>
      <c r="AK51" s="73"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181</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189</v>
      </c>
      <c r="C52" s="33" t="s">
        <v>166</v>
      </c>
      <c r="D52" t="str" cm="1">
        <f t="array" aca="1" ref="D52" ca="1">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Dev",IF(AND(L52="",K52=""),"No target set",IF(AND(IF(L52&lt;&gt;"",L52,K52)&lt;TODAY(),M52=""),"Overdue","On track")),IF(C52="PBI Dev",IF(AND(R52="",Q52=""),"No target set",IF(AND(IF(R52&lt;&gt;"",R52,Q52)&lt;TODAY(),S52=""),"Overdue","On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Overdue</v>
      </c>
      <c r="E52" s="33">
        <v>27</v>
      </c>
      <c r="F52" s="34" t="s">
        <v>129</v>
      </c>
      <c r="G52" s="33"/>
      <c r="H52" s="50">
        <v>46265</v>
      </c>
      <c r="I52" s="61" t="s">
        <v>168</v>
      </c>
      <c r="J52" s="33" t="s">
        <v>65</v>
      </c>
      <c r="K52" s="4">
        <v>46234</v>
      </c>
      <c r="L52" s="36">
        <v>46253</v>
      </c>
      <c r="M52" s="36">
        <v>46252</v>
      </c>
      <c r="N52" s="47" t="s">
        <v>148</v>
      </c>
      <c r="O52" s="36" t="s">
        <v>179</v>
      </c>
      <c r="P52" s="65" t="s">
        <v>46</v>
      </c>
      <c r="Q52" s="4">
        <v>46241</v>
      </c>
      <c r="R52" s="36">
        <v>46266</v>
      </c>
      <c r="S52" s="36">
        <v>46267</v>
      </c>
      <c r="T52" s="69"/>
      <c r="U52" s="54" t="s">
        <v>47</v>
      </c>
      <c r="V52" s="59">
        <v>46255</v>
      </c>
      <c r="W52" s="36">
        <v>46269</v>
      </c>
      <c r="X52" s="36"/>
      <c r="Y52" s="36"/>
      <c r="Z52" s="36"/>
      <c r="AA52" s="52">
        <v>46260</v>
      </c>
      <c r="AB52" s="36"/>
      <c r="AC52" s="36"/>
      <c r="AD52" s="33" t="s">
        <v>190</v>
      </c>
      <c r="AE52" s="33" t="s">
        <v>72</v>
      </c>
      <c r="AF52" s="38"/>
      <c r="AG52" s="36"/>
      <c r="AH52" s="39"/>
      <c r="AI52" s="33"/>
      <c r="AJ52" s="40" t="s">
        <v>53</v>
      </c>
      <c r="AK52" s="73"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80" t="s">
        <v>191</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c r="A53" s="33" t="s">
        <v>126</v>
      </c>
      <c r="B53" s="33" t="s">
        <v>192</v>
      </c>
      <c r="C53" s="33" t="s">
        <v>166</v>
      </c>
      <c r="D53" t="str" cm="1">
        <f t="array" aca="1" ref="D53" ca="1">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Dev",IF(AND(L53="",K53=""),"No target set",IF(AND(IF(L53&lt;&gt;"",L53,K53)&lt;TODAY(),M53=""),"Overdue","On track")),IF(C53="PBI Dev",IF(AND(R53="",Q53=""),"No target set",IF(AND(IF(R53&lt;&gt;"",R53,Q53)&lt;TODAY(),S53=""),"Overdue","On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145</v>
      </c>
      <c r="G53" s="33"/>
      <c r="H53" s="50">
        <v>46265</v>
      </c>
      <c r="I53" s="61" t="s">
        <v>168</v>
      </c>
      <c r="J53" s="33" t="s">
        <v>76</v>
      </c>
      <c r="K53" s="4">
        <v>46234</v>
      </c>
      <c r="L53" s="36">
        <v>46251</v>
      </c>
      <c r="M53" s="36">
        <v>46251</v>
      </c>
      <c r="N53" s="36" t="s">
        <v>186</v>
      </c>
      <c r="O53" s="36" t="s">
        <v>131</v>
      </c>
      <c r="P53" s="65" t="s">
        <v>77</v>
      </c>
      <c r="Q53" s="4">
        <v>46241</v>
      </c>
      <c r="R53" s="36">
        <v>46265</v>
      </c>
      <c r="S53" s="36">
        <v>46262</v>
      </c>
      <c r="T53" s="69"/>
      <c r="U53" s="54" t="s">
        <v>145</v>
      </c>
      <c r="V53" s="59">
        <v>46255</v>
      </c>
      <c r="W53" s="36">
        <v>46276</v>
      </c>
      <c r="X53" s="36"/>
      <c r="Y53" s="36"/>
      <c r="Z53" s="36"/>
      <c r="AA53" s="52">
        <v>46260</v>
      </c>
      <c r="AB53" s="47">
        <v>46281</v>
      </c>
      <c r="AC53" s="36"/>
      <c r="AD53" s="33" t="s">
        <v>124</v>
      </c>
      <c r="AE53" s="33" t="s">
        <v>72</v>
      </c>
      <c r="AF53" s="38"/>
      <c r="AG53" s="36"/>
      <c r="AH53" s="39"/>
      <c r="AI53" s="33"/>
      <c r="AJ53" s="40" t="s">
        <v>53</v>
      </c>
      <c r="AK53" s="73"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c r="A54" s="33" t="s">
        <v>126</v>
      </c>
      <c r="B54" s="33" t="s">
        <v>193</v>
      </c>
      <c r="C54" s="33" t="s">
        <v>128</v>
      </c>
      <c r="D54" t="str" cm="1">
        <f t="array" aca="1" ref="D54" ca="1">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Dev",IF(AND(L54="",K54=""),"No target set",IF(AND(IF(L54&lt;&gt;"",L54,K54)&lt;TODAY(),M54=""),"Overdue","On track")),IF(C54="PBI Dev",IF(AND(R54="",Q54=""),"No target set",IF(AND(IF(R54&lt;&gt;"",R54,Q54)&lt;TODAY(),S54=""),"Overdue","On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50">
        <v>46265</v>
      </c>
      <c r="I54" s="61" t="s">
        <v>168</v>
      </c>
      <c r="J54" s="33" t="s">
        <v>84</v>
      </c>
      <c r="K54" s="4">
        <v>46234</v>
      </c>
      <c r="L54" s="36">
        <v>46255</v>
      </c>
      <c r="M54" s="36">
        <v>46253</v>
      </c>
      <c r="N54" s="36"/>
      <c r="O54" s="36" t="s">
        <v>131</v>
      </c>
      <c r="P54" s="65" t="s">
        <v>60</v>
      </c>
      <c r="Q54" s="4">
        <v>46241</v>
      </c>
      <c r="R54" s="36">
        <v>46262</v>
      </c>
      <c r="S54" s="36">
        <v>46262</v>
      </c>
      <c r="T54" s="69"/>
      <c r="U54" s="54" t="s">
        <v>47</v>
      </c>
      <c r="V54" s="59">
        <v>46255</v>
      </c>
      <c r="W54" s="36">
        <v>46267</v>
      </c>
      <c r="X54" s="36">
        <v>46269</v>
      </c>
      <c r="Y54" s="36">
        <v>46269</v>
      </c>
      <c r="Z54" s="36"/>
      <c r="AA54" s="52">
        <v>46260</v>
      </c>
      <c r="AB54" s="36">
        <v>46282</v>
      </c>
      <c r="AC54" s="36"/>
      <c r="AD54" s="33" t="s">
        <v>194</v>
      </c>
      <c r="AE54" s="33" t="s">
        <v>72</v>
      </c>
      <c r="AF54" s="38"/>
      <c r="AG54" s="36"/>
      <c r="AH54" s="39"/>
      <c r="AI54" s="33"/>
      <c r="AJ54" s="40" t="s">
        <v>53</v>
      </c>
      <c r="AK54" s="73"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195</v>
      </c>
      <c r="C55" s="33" t="s">
        <v>166</v>
      </c>
      <c r="D55" t="str" cm="1">
        <f t="array" aca="1" ref="D55" ca="1">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Dev",IF(AND(L55="",K55=""),"No target set",IF(AND(IF(L55&lt;&gt;"",L55,K55)&lt;TODAY(),M55=""),"Overdue","On track")),IF(C55="PBI Dev",IF(AND(R55="",Q55=""),"No target set",IF(AND(IF(R55&lt;&gt;"",R55,Q55)&lt;TODAY(),S55=""),"Overdue","On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Blocked - needs PBI Dev to fix - unclaimed</v>
      </c>
      <c r="E55" s="33">
        <v>31</v>
      </c>
      <c r="F55" s="34" t="s">
        <v>145</v>
      </c>
      <c r="G55" s="33"/>
      <c r="H55" s="50">
        <v>46295</v>
      </c>
      <c r="I55" s="55" t="s">
        <v>196</v>
      </c>
      <c r="J55" s="33" t="s">
        <v>76</v>
      </c>
      <c r="K55" s="4">
        <v>46262</v>
      </c>
      <c r="L55" s="36">
        <v>46253</v>
      </c>
      <c r="M55" s="36">
        <v>46253</v>
      </c>
      <c r="N55" s="36"/>
      <c r="O55" s="36" t="s">
        <v>197</v>
      </c>
      <c r="P55" s="63" t="s">
        <v>77</v>
      </c>
      <c r="Q55" s="4">
        <v>46269</v>
      </c>
      <c r="R55" s="36">
        <v>46267</v>
      </c>
      <c r="S55" s="36">
        <v>46267</v>
      </c>
      <c r="T55" s="69" t="s">
        <v>198</v>
      </c>
      <c r="U55" s="33" t="s">
        <v>47</v>
      </c>
      <c r="V55" s="59">
        <v>46276</v>
      </c>
      <c r="W55" s="36"/>
      <c r="X55" s="36"/>
      <c r="Y55" s="36"/>
      <c r="Z55" s="36"/>
      <c r="AA55" s="52">
        <v>46290</v>
      </c>
      <c r="AB55" s="36"/>
      <c r="AC55" s="36"/>
      <c r="AD55" s="33" t="s">
        <v>199</v>
      </c>
      <c r="AE55" s="33" t="s">
        <v>49</v>
      </c>
      <c r="AF55" s="38"/>
      <c r="AG55" s="36"/>
      <c r="AH55" s="39"/>
      <c r="AI55" s="33"/>
      <c r="AJ55" s="40" t="s">
        <v>200</v>
      </c>
      <c r="AK55" s="73"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c r="A56" s="33" t="s">
        <v>126</v>
      </c>
      <c r="B56" s="33" t="s">
        <v>201</v>
      </c>
      <c r="C56" s="33" t="s">
        <v>166</v>
      </c>
      <c r="D56" t="str" cm="1">
        <f t="array" aca="1" ref="D56" ca="1">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Dev",IF(AND(L56="",K56=""),"No target set",IF(AND(IF(L56&lt;&gt;"",L56,K56)&lt;TODAY(),M56=""),"Overdue","On track")),IF(C56="PBI Dev",IF(AND(R56="",Q56=""),"No target set",IF(AND(IF(R56&lt;&gt;"",R56,Q56)&lt;TODAY(),S56=""),"Overdue","On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50">
        <v>46295</v>
      </c>
      <c r="I56" s="55" t="s">
        <v>196</v>
      </c>
      <c r="J56" s="33" t="s">
        <v>76</v>
      </c>
      <c r="K56" s="4">
        <v>46262</v>
      </c>
      <c r="L56" s="36">
        <v>46253</v>
      </c>
      <c r="M56" s="36">
        <v>46253</v>
      </c>
      <c r="N56" s="36" t="s">
        <v>186</v>
      </c>
      <c r="O56" s="36" t="s">
        <v>197</v>
      </c>
      <c r="P56" s="63" t="s">
        <v>60</v>
      </c>
      <c r="Q56" s="4">
        <v>46269</v>
      </c>
      <c r="R56" s="36">
        <v>46266</v>
      </c>
      <c r="S56" s="36">
        <v>46266</v>
      </c>
      <c r="T56" s="69" t="s">
        <v>198</v>
      </c>
      <c r="U56" s="33"/>
      <c r="V56" s="59">
        <v>46276</v>
      </c>
      <c r="W56" s="36"/>
      <c r="X56" s="36"/>
      <c r="Y56" s="36"/>
      <c r="Z56" s="36"/>
      <c r="AA56" s="52">
        <v>46290</v>
      </c>
      <c r="AB56" s="36"/>
      <c r="AC56" s="36"/>
      <c r="AD56" s="33" t="s">
        <v>202</v>
      </c>
      <c r="AE56" s="33" t="s">
        <v>49</v>
      </c>
      <c r="AF56" s="38"/>
      <c r="AG56" s="36"/>
      <c r="AH56" s="39"/>
      <c r="AI56" s="33"/>
      <c r="AJ56" s="40" t="s">
        <v>53</v>
      </c>
      <c r="AK56" s="73"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c r="A57" s="33" t="s">
        <v>126</v>
      </c>
      <c r="B57" s="33" t="s">
        <v>204</v>
      </c>
      <c r="C57" s="33" t="s">
        <v>166</v>
      </c>
      <c r="D57" t="str" cm="1">
        <f t="array" aca="1" ref="D57" ca="1">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Dev",IF(AND(L57="",K57=""),"No target set",IF(AND(IF(L57&lt;&gt;"",L57,K57)&lt;TODAY(),M57=""),"Overdue","On track")),IF(C57="PBI Dev",IF(AND(R57="",Q57=""),"No target set",IF(AND(IF(R57&lt;&gt;"",R57,Q57)&lt;TODAY(),S57=""),"Overdue","On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145</v>
      </c>
      <c r="G57" s="33"/>
      <c r="H57" s="50">
        <v>46295</v>
      </c>
      <c r="I57" s="55" t="s">
        <v>196</v>
      </c>
      <c r="J57" s="33" t="s">
        <v>65</v>
      </c>
      <c r="K57" s="4">
        <v>46262</v>
      </c>
      <c r="L57" s="36">
        <v>46254</v>
      </c>
      <c r="M57" s="36"/>
      <c r="N57" s="47" t="s">
        <v>148</v>
      </c>
      <c r="O57" s="36" t="s">
        <v>197</v>
      </c>
      <c r="P57" s="63" t="s">
        <v>46</v>
      </c>
      <c r="Q57" s="4">
        <v>46269</v>
      </c>
      <c r="R57" s="36">
        <v>46268</v>
      </c>
      <c r="S57" s="36">
        <v>46268</v>
      </c>
      <c r="T57" s="69" t="s">
        <v>198</v>
      </c>
      <c r="U57" s="33" t="s">
        <v>47</v>
      </c>
      <c r="V57" s="59">
        <v>46276</v>
      </c>
      <c r="W57" s="36">
        <v>46275</v>
      </c>
      <c r="X57" s="36">
        <v>46275</v>
      </c>
      <c r="Y57" s="36">
        <v>46275</v>
      </c>
      <c r="Z57" s="36"/>
      <c r="AA57" s="52">
        <v>46290</v>
      </c>
      <c r="AB57" s="36"/>
      <c r="AC57" s="36"/>
      <c r="AD57" s="33" t="s">
        <v>124</v>
      </c>
      <c r="AE57" s="33" t="s">
        <v>49</v>
      </c>
      <c r="AF57" s="38"/>
      <c r="AG57" s="36"/>
      <c r="AH57" s="39"/>
      <c r="AI57" s="33"/>
      <c r="AJ57" s="40" t="s">
        <v>53</v>
      </c>
      <c r="AK57" s="73"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203</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205</v>
      </c>
      <c r="C58" s="33" t="s">
        <v>206</v>
      </c>
      <c r="D58" t="e" cm="1">
        <f t="array" aca="1" ref="D58" ca="1">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Dev",IF(AND(L58="",K58=""),"No target set",IF(AND(IF(L58&lt;&gt;"",L58,K58)&lt;TODAY(),M58=""),"Overdue","On track")),IF(C58="PBI Dev",IF(AND(#REF!="",Q58=""),"No target set",IF(AND(IF(#REF!&lt;&gt;"",#REF!,Q58)&lt;TODAY(),S58=""),"Overdue","On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#REF!</v>
      </c>
      <c r="E58" s="33">
        <v>34</v>
      </c>
      <c r="F58" s="34" t="s">
        <v>129</v>
      </c>
      <c r="G58" s="33"/>
      <c r="H58" s="50">
        <v>46295</v>
      </c>
      <c r="I58" s="55" t="s">
        <v>196</v>
      </c>
      <c r="J58" s="33" t="s">
        <v>65</v>
      </c>
      <c r="K58" s="4">
        <v>46262</v>
      </c>
      <c r="L58" s="36">
        <v>46254</v>
      </c>
      <c r="M58" s="36"/>
      <c r="N58" s="47" t="s">
        <v>148</v>
      </c>
      <c r="O58" s="36" t="s">
        <v>197</v>
      </c>
      <c r="P58" s="63" t="s">
        <v>77</v>
      </c>
      <c r="Q58" s="4">
        <v>46269</v>
      </c>
      <c r="R58" s="36">
        <v>46272</v>
      </c>
      <c r="S58" s="36"/>
      <c r="T58" s="69" t="s">
        <v>198</v>
      </c>
      <c r="U58" s="33"/>
      <c r="V58" s="59">
        <v>46276</v>
      </c>
      <c r="W58" s="36"/>
      <c r="X58" s="36"/>
      <c r="Y58" s="36"/>
      <c r="Z58" s="36"/>
      <c r="AA58" s="52">
        <v>46290</v>
      </c>
      <c r="AB58" s="36"/>
      <c r="AC58" s="36"/>
      <c r="AD58" s="33" t="s">
        <v>132</v>
      </c>
      <c r="AE58" s="33" t="s">
        <v>49</v>
      </c>
      <c r="AF58" s="38"/>
      <c r="AG58" s="36"/>
      <c r="AH58" s="39"/>
      <c r="AI58" s="33"/>
      <c r="AJ58" s="40" t="s">
        <v>53</v>
      </c>
      <c r="AK58" s="73"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
      </c>
      <c r="AL58" s="41"/>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c r="A59" s="33" t="s">
        <v>126</v>
      </c>
      <c r="B59" s="33" t="s">
        <v>207</v>
      </c>
      <c r="C59" s="33" t="s">
        <v>166</v>
      </c>
      <c r="D59" t="str" cm="1">
        <f t="array" aca="1" ref="D59" ca="1">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Dev",IF(AND(L59="",K59=""),"No target set",IF(AND(IF(L59&lt;&gt;"",L59,K59)&lt;TODAY(),M59=""),"Overdue","On track")),IF(C59="PBI Dev",IF(AND(R59="",Q59=""),"No target set",IF(AND(IF(R59&lt;&gt;"",R59,Q59)&lt;TODAY(),S59=""),"Overdue","On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145</v>
      </c>
      <c r="G59" s="33"/>
      <c r="H59" s="50">
        <v>46295</v>
      </c>
      <c r="I59" s="55" t="s">
        <v>196</v>
      </c>
      <c r="J59" s="33" t="s">
        <v>44</v>
      </c>
      <c r="K59" s="4">
        <v>46262</v>
      </c>
      <c r="L59" s="36">
        <v>46253</v>
      </c>
      <c r="M59" s="36">
        <v>46253</v>
      </c>
      <c r="N59" s="36"/>
      <c r="O59" s="36" t="s">
        <v>197</v>
      </c>
      <c r="P59" s="63" t="s">
        <v>60</v>
      </c>
      <c r="Q59" s="4">
        <v>46269</v>
      </c>
      <c r="R59" s="36">
        <v>46266</v>
      </c>
      <c r="S59" s="36">
        <v>46266</v>
      </c>
      <c r="T59" s="69" t="s">
        <v>198</v>
      </c>
      <c r="U59" s="33"/>
      <c r="V59" s="59">
        <v>46276</v>
      </c>
      <c r="W59" s="36"/>
      <c r="X59" s="36"/>
      <c r="Y59" s="36"/>
      <c r="Z59" s="36"/>
      <c r="AA59" s="52">
        <v>46290</v>
      </c>
      <c r="AB59" s="36"/>
      <c r="AC59" s="36"/>
      <c r="AD59" s="33" t="s">
        <v>124</v>
      </c>
      <c r="AE59" s="33" t="s">
        <v>49</v>
      </c>
      <c r="AF59" s="38"/>
      <c r="AG59" s="36"/>
      <c r="AH59" s="39"/>
      <c r="AI59" s="33"/>
      <c r="AJ59" s="40" t="s">
        <v>53</v>
      </c>
      <c r="AK59" s="73"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c r="A60" s="33" t="s">
        <v>126</v>
      </c>
      <c r="B60" s="33" t="s">
        <v>208</v>
      </c>
      <c r="C60" s="33" t="s">
        <v>206</v>
      </c>
      <c r="D60" t="str" cm="1">
        <f t="array" aca="1" ref="D60" ca="1">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Dev",IF(AND(L60="",K60=""),"No target set",IF(AND(IF(L60&lt;&gt;"",L60,K60)&lt;TODAY(),M60=""),"Overdue","On track")),IF(C60="PBI Dev",IF(AND(R60="",Q60=""),"No target set",IF(AND(IF(R60&lt;&gt;"",R60,Q60)&lt;TODAY(),S60=""),"Overdue","On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145</v>
      </c>
      <c r="G60" s="33"/>
      <c r="H60" s="50">
        <v>46295</v>
      </c>
      <c r="I60" s="55" t="s">
        <v>196</v>
      </c>
      <c r="J60" s="33" t="s">
        <v>156</v>
      </c>
      <c r="K60" s="4">
        <v>46262</v>
      </c>
      <c r="L60" s="36">
        <v>46255</v>
      </c>
      <c r="M60" s="36">
        <v>46255</v>
      </c>
      <c r="N60" s="36" t="s">
        <v>186</v>
      </c>
      <c r="O60" s="36" t="s">
        <v>197</v>
      </c>
      <c r="P60" s="63" t="s">
        <v>46</v>
      </c>
      <c r="Q60" s="4">
        <v>46269</v>
      </c>
      <c r="R60" s="36">
        <v>46273</v>
      </c>
      <c r="S60" s="36">
        <v>46273</v>
      </c>
      <c r="T60" s="69" t="s">
        <v>198</v>
      </c>
      <c r="U60" s="33"/>
      <c r="V60" s="59">
        <v>46276</v>
      </c>
      <c r="W60" s="36"/>
      <c r="X60" s="36"/>
      <c r="Y60" s="36"/>
      <c r="Z60" s="36"/>
      <c r="AA60" s="52">
        <v>46290</v>
      </c>
      <c r="AB60" s="36"/>
      <c r="AC60" s="36"/>
      <c r="AD60" s="33" t="s">
        <v>209</v>
      </c>
      <c r="AE60" s="33" t="s">
        <v>72</v>
      </c>
      <c r="AF60" s="38"/>
      <c r="AG60" s="36"/>
      <c r="AH60" s="39"/>
      <c r="AI60" s="33"/>
      <c r="AJ60" s="40" t="s">
        <v>53</v>
      </c>
      <c r="AK60" s="73"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c r="A61" s="33" t="s">
        <v>126</v>
      </c>
      <c r="B61" s="33" t="s">
        <v>210</v>
      </c>
      <c r="C61" s="33" t="s">
        <v>166</v>
      </c>
      <c r="D61" t="str" cm="1">
        <f t="array" aca="1" ref="D61" ca="1">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Dev",IF(AND(L61="",K61=""),"No target set",IF(AND(IF(L61&lt;&gt;"",L61,K61)&lt;TODAY(),M61=""),"Overdue","On track")),IF(C61="PBI Dev",IF(AND(R61="",Q61=""),"No target set",IF(AND(IF(R61&lt;&gt;"",R61,Q61)&lt;TODAY(),S61=""),"Overdue","On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50">
        <v>46295</v>
      </c>
      <c r="I61" s="55" t="s">
        <v>196</v>
      </c>
      <c r="J61" s="33" t="s">
        <v>44</v>
      </c>
      <c r="K61" s="4">
        <v>46262</v>
      </c>
      <c r="L61" s="36">
        <v>46255</v>
      </c>
      <c r="M61" s="36"/>
      <c r="N61" s="36"/>
      <c r="O61" s="36" t="s">
        <v>197</v>
      </c>
      <c r="P61" s="63" t="s">
        <v>60</v>
      </c>
      <c r="Q61" s="4">
        <v>46269</v>
      </c>
      <c r="R61" s="36">
        <v>46268</v>
      </c>
      <c r="S61" s="36">
        <v>46268</v>
      </c>
      <c r="T61" s="69" t="s">
        <v>198</v>
      </c>
      <c r="U61" s="33"/>
      <c r="V61" s="59">
        <v>46276</v>
      </c>
      <c r="W61" s="36"/>
      <c r="X61" s="36"/>
      <c r="Y61" s="36"/>
      <c r="Z61" s="36"/>
      <c r="AA61" s="52">
        <v>46290</v>
      </c>
      <c r="AB61" s="36"/>
      <c r="AC61" s="36"/>
      <c r="AD61" s="33" t="s">
        <v>211</v>
      </c>
      <c r="AE61" s="33" t="s">
        <v>72</v>
      </c>
      <c r="AF61" s="38"/>
      <c r="AG61" s="36"/>
      <c r="AH61" s="39"/>
      <c r="AI61" s="33"/>
      <c r="AJ61" s="40" t="s">
        <v>53</v>
      </c>
      <c r="AK61" s="73"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212</v>
      </c>
      <c r="C62" s="33" t="s">
        <v>206</v>
      </c>
      <c r="D62" t="str" cm="1">
        <f t="array" aca="1" ref="D62" ca="1">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Dev",IF(AND(L62="",K62=""),"No target set",IF(AND(IF(L62&lt;&gt;"",L62,K62)&lt;TODAY(),M62=""),"Overdue","On track")),IF(C62="PBI Dev",IF(AND(R62="",Q62=""),"No target set",IF(AND(IF(R62&lt;&gt;"",R62,Q62)&lt;TODAY(),S62=""),"Overdue","On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145</v>
      </c>
      <c r="G62" s="33"/>
      <c r="H62" s="50">
        <v>46295</v>
      </c>
      <c r="I62" s="55" t="s">
        <v>196</v>
      </c>
      <c r="J62" s="33" t="s">
        <v>84</v>
      </c>
      <c r="K62" s="4">
        <v>46262</v>
      </c>
      <c r="L62" s="36">
        <v>46260</v>
      </c>
      <c r="M62" s="36">
        <v>46259</v>
      </c>
      <c r="N62" s="36"/>
      <c r="O62" s="36" t="s">
        <v>197</v>
      </c>
      <c r="P62" s="63" t="s">
        <v>77</v>
      </c>
      <c r="Q62" s="4">
        <v>46269</v>
      </c>
      <c r="R62" s="36"/>
      <c r="S62" s="36"/>
      <c r="T62" s="69" t="s">
        <v>198</v>
      </c>
      <c r="U62" s="33"/>
      <c r="V62" s="59">
        <v>46276</v>
      </c>
      <c r="W62" s="36"/>
      <c r="X62" s="36"/>
      <c r="Y62" s="36"/>
      <c r="Z62" s="36"/>
      <c r="AA62" s="52">
        <v>46290</v>
      </c>
      <c r="AB62" s="36"/>
      <c r="AC62" s="36"/>
      <c r="AD62" s="33" t="s">
        <v>213</v>
      </c>
      <c r="AE62" s="33" t="s">
        <v>72</v>
      </c>
      <c r="AF62" s="38"/>
      <c r="AG62" s="36"/>
      <c r="AH62" s="39"/>
      <c r="AI62" s="33"/>
      <c r="AJ62" s="40" t="s">
        <v>53</v>
      </c>
      <c r="AK62" s="73"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c r="A63" s="33" t="s">
        <v>126</v>
      </c>
      <c r="B63" s="33" t="s">
        <v>214</v>
      </c>
      <c r="C63" s="33" t="s">
        <v>215</v>
      </c>
      <c r="D63" t="str" cm="1">
        <f t="array" aca="1" ref="D63" ca="1">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Dev",IF(AND(L63="",K63=""),"No target set",IF(AND(IF(L63&lt;&gt;"",L63,K63)&lt;TODAY(),M63=""),"Overdue","On track")),IF(C63="PBI Dev",IF(AND(R63="",Q63=""),"No target set",IF(AND(IF(R63&lt;&gt;"",R63,Q63)&lt;TODAY(),S63=""),"Overdue","On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145</v>
      </c>
      <c r="G63" s="33"/>
      <c r="H63" s="50">
        <v>46295</v>
      </c>
      <c r="I63" s="55" t="s">
        <v>196</v>
      </c>
      <c r="J63" s="33" t="s">
        <v>84</v>
      </c>
      <c r="K63" s="4">
        <v>46276</v>
      </c>
      <c r="L63" s="36">
        <v>46276</v>
      </c>
      <c r="M63" s="36">
        <v>46266</v>
      </c>
      <c r="N63" s="36"/>
      <c r="O63" s="36" t="s">
        <v>197</v>
      </c>
      <c r="P63" s="63" t="s">
        <v>46</v>
      </c>
      <c r="Q63" s="4">
        <v>46286</v>
      </c>
      <c r="R63" s="4">
        <v>46275</v>
      </c>
      <c r="S63" s="4">
        <v>46275</v>
      </c>
      <c r="T63" s="69" t="s">
        <v>198</v>
      </c>
      <c r="U63" s="33"/>
      <c r="V63" s="59">
        <v>46290</v>
      </c>
      <c r="W63" s="36"/>
      <c r="X63" s="36"/>
      <c r="Y63" s="36"/>
      <c r="Z63" s="36"/>
      <c r="AA63" s="52">
        <v>46295</v>
      </c>
      <c r="AB63" s="36"/>
      <c r="AC63" s="36"/>
      <c r="AD63" s="33" t="s">
        <v>216</v>
      </c>
      <c r="AE63" s="33" t="s">
        <v>72</v>
      </c>
      <c r="AF63" s="38"/>
      <c r="AG63" s="36"/>
      <c r="AH63" s="39"/>
      <c r="AI63" s="33"/>
      <c r="AJ63" s="40" t="s">
        <v>53</v>
      </c>
      <c r="AK63" s="73"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20" customFormat="1">
      <c r="A64" s="119" t="s">
        <v>126</v>
      </c>
      <c r="B64" s="119" t="s">
        <v>217</v>
      </c>
      <c r="C64" s="119" t="s">
        <v>206</v>
      </c>
      <c r="D64" s="120" t="str" cm="1">
        <f t="array" aca="1" ref="D64" ca="1">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Dev",IF(AND(L64="",K64=""),"No target set",IF(AND(IF(L64&lt;&gt;"",L64,K64)&lt;TODAY(),M64=""),"Overdue","On track")),IF(C64="PBI Dev",IF(AND(R64="",Q64=""),"No target set",IF(AND(IF(R64&lt;&gt;"",R64,Q64)&lt;TODAY(),S64=""),"Overdue","On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9">
        <v>40</v>
      </c>
      <c r="F64" s="121" t="s">
        <v>129</v>
      </c>
      <c r="G64" s="119"/>
      <c r="H64" s="122">
        <v>46295</v>
      </c>
      <c r="I64" s="123" t="s">
        <v>196</v>
      </c>
      <c r="J64" s="119" t="s">
        <v>103</v>
      </c>
      <c r="K64" s="124">
        <v>46276</v>
      </c>
      <c r="L64" s="125">
        <v>46265</v>
      </c>
      <c r="M64" s="125">
        <v>46266</v>
      </c>
      <c r="N64" s="125" t="s">
        <v>186</v>
      </c>
      <c r="O64" s="125" t="s">
        <v>197</v>
      </c>
      <c r="P64" s="126" t="s">
        <v>60</v>
      </c>
      <c r="Q64" s="124">
        <v>46286</v>
      </c>
      <c r="R64" s="125">
        <v>46269</v>
      </c>
      <c r="S64" s="125">
        <v>46269</v>
      </c>
      <c r="T64" s="127" t="s">
        <v>198</v>
      </c>
      <c r="U64" s="119"/>
      <c r="V64" s="128">
        <v>46290</v>
      </c>
      <c r="W64" s="125"/>
      <c r="X64" s="125"/>
      <c r="Y64" s="125"/>
      <c r="Z64" s="125"/>
      <c r="AA64" s="129">
        <v>46295</v>
      </c>
      <c r="AB64" s="125"/>
      <c r="AC64" s="125"/>
      <c r="AD64" s="119" t="s">
        <v>218</v>
      </c>
      <c r="AE64" s="119" t="s">
        <v>72</v>
      </c>
      <c r="AF64" s="130"/>
      <c r="AG64" s="125"/>
      <c r="AH64" s="131"/>
      <c r="AI64" s="119"/>
      <c r="AJ64" s="132" t="s">
        <v>53</v>
      </c>
      <c r="AK64" s="133"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4"/>
      <c r="AM64" s="135"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5"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219</v>
      </c>
      <c r="C65" s="33" t="s">
        <v>166</v>
      </c>
      <c r="D65" t="str" cm="1">
        <f t="array" aca="1" ref="D65" ca="1">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Dev",IF(AND(L65="",K65=""),"No target set",IF(AND(IF(L65&lt;&gt;"",L65,K65)&lt;TODAY(),M65=""),"Overdue","On track")),IF(C65="PBI Dev",IF(AND(#REF!="",Q65=""),"No target set",IF(AND(IF(#REF!&lt;&gt;"",#REF!,Q65)&lt;TODAY(),R58=""),"Overdue","On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50">
        <v>46295</v>
      </c>
      <c r="I65" s="55" t="s">
        <v>196</v>
      </c>
      <c r="J65" s="33" t="s">
        <v>156</v>
      </c>
      <c r="K65" s="4">
        <v>46276</v>
      </c>
      <c r="L65" s="4">
        <v>46262</v>
      </c>
      <c r="M65" s="36">
        <v>46265</v>
      </c>
      <c r="N65" s="36" t="s">
        <v>45</v>
      </c>
      <c r="O65" s="36" t="s">
        <v>197</v>
      </c>
      <c r="P65" s="63" t="s">
        <v>77</v>
      </c>
      <c r="Q65" s="4">
        <v>46286</v>
      </c>
      <c r="R65" s="43">
        <v>46273</v>
      </c>
      <c r="S65" s="32">
        <v>46273</v>
      </c>
      <c r="T65" s="69" t="s">
        <v>198</v>
      </c>
      <c r="U65" s="33"/>
      <c r="V65" s="59">
        <v>46290</v>
      </c>
      <c r="W65" s="36"/>
      <c r="X65" s="36"/>
      <c r="Y65" s="36"/>
      <c r="Z65" s="36"/>
      <c r="AA65" s="52">
        <v>46295</v>
      </c>
      <c r="AB65" s="36"/>
      <c r="AC65" s="36"/>
      <c r="AD65" s="33" t="s">
        <v>132</v>
      </c>
      <c r="AE65" s="33" t="s">
        <v>49</v>
      </c>
      <c r="AF65" s="38"/>
      <c r="AG65" s="36"/>
      <c r="AH65" s="39"/>
      <c r="AI65" s="33"/>
      <c r="AJ65" s="40" t="s">
        <v>53</v>
      </c>
      <c r="AK65" s="73"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7" customFormat="1">
      <c r="A66" s="158" t="s">
        <v>126</v>
      </c>
      <c r="B66" s="158" t="s">
        <v>220</v>
      </c>
      <c r="C66" s="158" t="s">
        <v>215</v>
      </c>
      <c r="D66" s="137" t="str" cm="1">
        <f t="array" aca="1" ref="D66" ca="1">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Dev",IF(AND(L66="",K66=""),"No target set",IF(AND(IF(L66&lt;&gt;"",L66,K66)&lt;TODAY(),M66=""),"Overdue","On track")),IF(C66="PBI Dev",IF(AND(R66="",Q66=""),"No target set",IF(AND(IF(R66&lt;&gt;"",R66,Q66)&lt;TODAY(),S66=""),"Overdue","On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8">
        <v>42</v>
      </c>
      <c r="F66" s="159" t="s">
        <v>129</v>
      </c>
      <c r="G66" s="158"/>
      <c r="H66" s="138">
        <v>46295</v>
      </c>
      <c r="I66" s="160" t="s">
        <v>196</v>
      </c>
      <c r="J66" s="158" t="s">
        <v>44</v>
      </c>
      <c r="K66" s="161">
        <v>46276</v>
      </c>
      <c r="L66" s="146"/>
      <c r="M66" s="146"/>
      <c r="N66" s="146"/>
      <c r="O66" s="146" t="s">
        <v>197</v>
      </c>
      <c r="P66" s="162" t="s">
        <v>46</v>
      </c>
      <c r="Q66" s="161">
        <v>46286</v>
      </c>
      <c r="R66" s="146">
        <v>46273</v>
      </c>
      <c r="S66" s="146"/>
      <c r="T66" s="163" t="s">
        <v>198</v>
      </c>
      <c r="U66" s="158"/>
      <c r="V66" s="145">
        <v>46290</v>
      </c>
      <c r="W66" s="146"/>
      <c r="X66" s="146"/>
      <c r="Y66" s="146"/>
      <c r="Z66" s="146"/>
      <c r="AA66" s="164">
        <v>46295</v>
      </c>
      <c r="AB66" s="146"/>
      <c r="AC66" s="146"/>
      <c r="AD66" s="158" t="s">
        <v>218</v>
      </c>
      <c r="AE66" s="158" t="s">
        <v>94</v>
      </c>
      <c r="AF66" s="165"/>
      <c r="AG66" s="146"/>
      <c r="AH66" s="166"/>
      <c r="AI66" s="158"/>
      <c r="AJ66" s="167" t="s">
        <v>53</v>
      </c>
      <c r="AK66" s="168"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9"/>
      <c r="AM66" s="144"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4"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221</v>
      </c>
      <c r="C67" s="33" t="s">
        <v>215</v>
      </c>
      <c r="D67" t="str" cm="1">
        <f t="array" aca="1" ref="D67" ca="1">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Dev",IF(AND(L67="",K67=""),"No target set",IF(AND(IF(L67&lt;&gt;"",L67,K67)&lt;TODAY(),M67=""),"Overdue","On track")),IF(C67="PBI Dev",IF(AND(R67="",Q67=""),"No target set",IF(AND(IF(R67&lt;&gt;"",R67,Q67)&lt;TODAY(),S67=""),"Overdue","On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On track</v>
      </c>
      <c r="E67" s="33">
        <v>43</v>
      </c>
      <c r="F67" s="34" t="s">
        <v>129</v>
      </c>
      <c r="G67" s="33"/>
      <c r="H67" s="50">
        <v>46295</v>
      </c>
      <c r="I67" s="55" t="s">
        <v>196</v>
      </c>
      <c r="J67" s="33" t="s">
        <v>44</v>
      </c>
      <c r="K67" s="4">
        <v>46276</v>
      </c>
      <c r="L67" s="36">
        <v>46254</v>
      </c>
      <c r="M67" s="36">
        <v>46254</v>
      </c>
      <c r="N67" s="36"/>
      <c r="O67" s="36" t="s">
        <v>197</v>
      </c>
      <c r="P67" s="63" t="s">
        <v>60</v>
      </c>
      <c r="Q67" s="4">
        <v>46286</v>
      </c>
      <c r="R67" s="36">
        <v>46254</v>
      </c>
      <c r="S67" s="36">
        <v>46254</v>
      </c>
      <c r="T67" s="69" t="s">
        <v>198</v>
      </c>
      <c r="U67" s="33"/>
      <c r="V67" s="59">
        <v>46290</v>
      </c>
      <c r="W67" s="36">
        <v>46259</v>
      </c>
      <c r="X67" s="36"/>
      <c r="Y67" s="36"/>
      <c r="Z67" s="36"/>
      <c r="AA67" s="52">
        <v>46295</v>
      </c>
      <c r="AB67" s="36">
        <v>46268</v>
      </c>
      <c r="AC67" s="36"/>
      <c r="AD67" s="33" t="s">
        <v>222</v>
      </c>
      <c r="AE67" s="33" t="s">
        <v>94</v>
      </c>
      <c r="AF67" s="38"/>
      <c r="AG67" s="36"/>
      <c r="AH67" s="39"/>
      <c r="AI67" s="33"/>
      <c r="AJ67" s="40" t="s">
        <v>53</v>
      </c>
      <c r="AK67" s="73"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2" customFormat="1">
      <c r="A68" s="81" t="s">
        <v>126</v>
      </c>
      <c r="B68" s="78" t="s">
        <v>223</v>
      </c>
      <c r="C68" s="81" t="s">
        <v>206</v>
      </c>
      <c r="D68" s="82" t="str" cm="1">
        <f t="array" aca="1" ref="D68" ca="1">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Dev",IF(AND(L68="",K68=""),"No target set",IF(AND(IF(L68&lt;&gt;"",L68,K68)&lt;TODAY(),M68=""),"Overdue","On track")),IF(C68="PBI Dev",IF(AND(R68="",Q68=""),"No target set",IF(AND(IF(R68&lt;&gt;"",R68,Q68)&lt;TODAY(),S68=""),"Overdue","On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1">
        <v>44</v>
      </c>
      <c r="F68" s="83" t="s">
        <v>129</v>
      </c>
      <c r="G68" s="81"/>
      <c r="H68" s="84">
        <v>46295</v>
      </c>
      <c r="I68" s="85" t="s">
        <v>196</v>
      </c>
      <c r="J68" s="81" t="s">
        <v>224</v>
      </c>
      <c r="K68" s="86">
        <v>46276</v>
      </c>
      <c r="L68" s="87">
        <v>46258</v>
      </c>
      <c r="M68" s="87">
        <v>46258</v>
      </c>
      <c r="N68" s="87"/>
      <c r="O68" s="87" t="s">
        <v>197</v>
      </c>
      <c r="P68" s="88" t="s">
        <v>77</v>
      </c>
      <c r="Q68" s="86">
        <v>46286</v>
      </c>
      <c r="R68" s="87"/>
      <c r="S68" s="87"/>
      <c r="T68" s="89" t="s">
        <v>225</v>
      </c>
      <c r="U68" s="81"/>
      <c r="V68" s="90">
        <v>46290</v>
      </c>
      <c r="W68" s="87"/>
      <c r="X68" s="87"/>
      <c r="Y68" s="87"/>
      <c r="Z68" s="87"/>
      <c r="AA68" s="91">
        <v>46295</v>
      </c>
      <c r="AB68" s="87"/>
      <c r="AC68" s="87"/>
      <c r="AD68" s="78" t="s">
        <v>226</v>
      </c>
      <c r="AE68" s="81" t="s">
        <v>72</v>
      </c>
      <c r="AF68" s="92"/>
      <c r="AG68" s="87"/>
      <c r="AH68" s="93"/>
      <c r="AI68" s="81"/>
      <c r="AJ68" s="94" t="s">
        <v>53</v>
      </c>
      <c r="AK68" s="95"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6" t="s">
        <v>227</v>
      </c>
      <c r="AM68" s="97"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7"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9" customFormat="1">
      <c r="A69" s="98" t="s">
        <v>126</v>
      </c>
      <c r="B69" s="79" t="s">
        <v>228</v>
      </c>
      <c r="C69" s="98" t="s">
        <v>215</v>
      </c>
      <c r="D69" s="99" t="str" cm="1">
        <f t="array" aca="1" ref="D69" ca="1">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Dev",IF(AND(L69="",K69=""),"No target set",IF(AND(IF(L69&lt;&gt;"",L69,K69)&lt;TODAY(),M69=""),"Overdue","On track")),IF(C69="PBI Dev",IF(AND(R69="",Q69=""),"No target set",IF(AND(IF(R69&lt;&gt;"",R69,Q69)&lt;TODAY(),S69=""),"Overdue","On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8">
        <v>45</v>
      </c>
      <c r="F69" s="100" t="s">
        <v>145</v>
      </c>
      <c r="G69" s="98"/>
      <c r="H69" s="101">
        <v>46295</v>
      </c>
      <c r="I69" s="102" t="s">
        <v>196</v>
      </c>
      <c r="J69" s="98" t="s">
        <v>59</v>
      </c>
      <c r="K69" s="103">
        <v>46276</v>
      </c>
      <c r="L69" s="104"/>
      <c r="M69" s="104"/>
      <c r="N69" s="104"/>
      <c r="O69" s="104" t="s">
        <v>197</v>
      </c>
      <c r="P69" s="105" t="s">
        <v>46</v>
      </c>
      <c r="Q69" s="103">
        <v>46286</v>
      </c>
      <c r="R69" s="104"/>
      <c r="S69" s="104"/>
      <c r="T69" s="106" t="s">
        <v>225</v>
      </c>
      <c r="U69" s="98"/>
      <c r="V69" s="107">
        <v>46290</v>
      </c>
      <c r="W69" s="104"/>
      <c r="X69" s="104"/>
      <c r="Y69" s="104"/>
      <c r="Z69" s="104"/>
      <c r="AA69" s="108">
        <v>46295</v>
      </c>
      <c r="AB69" s="104"/>
      <c r="AC69" s="104"/>
      <c r="AD69" s="79" t="s">
        <v>229</v>
      </c>
      <c r="AE69" s="98" t="s">
        <v>72</v>
      </c>
      <c r="AF69" s="109"/>
      <c r="AG69" s="104"/>
      <c r="AH69" s="110"/>
      <c r="AI69" s="98"/>
      <c r="AJ69" s="111" t="s">
        <v>53</v>
      </c>
      <c r="AK69" s="112"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3" t="s">
        <v>230</v>
      </c>
      <c r="AM69" s="114"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4"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c r="A70" s="33" t="s">
        <v>126</v>
      </c>
      <c r="B70" s="33" t="s">
        <v>231</v>
      </c>
      <c r="C70" s="33" t="s">
        <v>215</v>
      </c>
      <c r="D70" t="str" cm="1">
        <f t="array" aca="1" ref="D70" ca="1">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Dev",IF(AND(L70="",K70=""),"No target set",IF(AND(IF(L70&lt;&gt;"",L70,K70)&lt;TODAY(),M70=""),"Overdue","On track")),IF(C70="PBI Dev",IF(AND(R70="",Q70=""),"No target set",IF(AND(IF(R70&lt;&gt;"",R70,Q70)&lt;TODAY(),S70=""),"Overdue","On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145</v>
      </c>
      <c r="G70" s="33"/>
      <c r="H70" s="50">
        <v>46295</v>
      </c>
      <c r="I70" s="55" t="s">
        <v>196</v>
      </c>
      <c r="J70" s="33" t="s">
        <v>65</v>
      </c>
      <c r="K70" s="4">
        <v>46276</v>
      </c>
      <c r="L70" s="36">
        <v>46262</v>
      </c>
      <c r="M70" s="36"/>
      <c r="N70" s="47" t="s">
        <v>148</v>
      </c>
      <c r="O70" s="36" t="s">
        <v>197</v>
      </c>
      <c r="P70" s="63" t="s">
        <v>46</v>
      </c>
      <c r="Q70" s="4">
        <v>46286</v>
      </c>
      <c r="R70" s="36"/>
      <c r="S70" s="36"/>
      <c r="T70" s="69" t="s">
        <v>225</v>
      </c>
      <c r="U70" s="33"/>
      <c r="V70" s="59">
        <v>46290</v>
      </c>
      <c r="W70" s="36"/>
      <c r="X70" s="36"/>
      <c r="Y70" s="36"/>
      <c r="Z70" s="36"/>
      <c r="AA70" s="52">
        <v>46295</v>
      </c>
      <c r="AB70" s="36"/>
      <c r="AC70" s="36"/>
      <c r="AD70" s="33" t="s">
        <v>124</v>
      </c>
      <c r="AE70" s="33" t="s">
        <v>72</v>
      </c>
      <c r="AF70" s="38"/>
      <c r="AG70" s="36"/>
      <c r="AH70" s="39"/>
      <c r="AI70" s="33"/>
      <c r="AJ70" s="40" t="s">
        <v>53</v>
      </c>
      <c r="AK70" s="73"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232</v>
      </c>
      <c r="C71" s="33" t="s">
        <v>215</v>
      </c>
      <c r="D71" t="str" cm="1">
        <f t="array" aca="1" ref="D71" ca="1">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Dev",IF(AND(L71="",K71=""),"No target set",IF(AND(IF(L71&lt;&gt;"",L71,K71)&lt;TODAY(),M71=""),"Overdue","On track")),IF(C71="PBI Dev",IF(AND(R71="",Q71=""),"No target set",IF(AND(IF(R71&lt;&gt;"",R71,Q71)&lt;TODAY(),S71=""),"Overdue","On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Blocked - needs DB Dev to fix</v>
      </c>
      <c r="E71" s="33">
        <v>47</v>
      </c>
      <c r="F71" s="34" t="s">
        <v>145</v>
      </c>
      <c r="G71" s="33"/>
      <c r="H71" s="50">
        <v>46295</v>
      </c>
      <c r="I71" s="55" t="s">
        <v>196</v>
      </c>
      <c r="J71" s="33" t="s">
        <v>44</v>
      </c>
      <c r="K71" s="4">
        <v>46276</v>
      </c>
      <c r="L71" s="36">
        <v>46259</v>
      </c>
      <c r="M71" s="36">
        <v>46259</v>
      </c>
      <c r="N71" s="36"/>
      <c r="O71" s="36" t="s">
        <v>197</v>
      </c>
      <c r="P71" s="63" t="s">
        <v>60</v>
      </c>
      <c r="Q71" s="4">
        <v>46286</v>
      </c>
      <c r="R71" s="36">
        <v>46275</v>
      </c>
      <c r="S71" s="36"/>
      <c r="T71" s="69" t="s">
        <v>225</v>
      </c>
      <c r="U71" s="33" t="s">
        <v>47</v>
      </c>
      <c r="V71" s="59">
        <v>46290</v>
      </c>
      <c r="W71" s="36"/>
      <c r="X71" s="36"/>
      <c r="Y71" s="36"/>
      <c r="Z71" s="36"/>
      <c r="AA71" s="52">
        <v>46295</v>
      </c>
      <c r="AB71" s="36"/>
      <c r="AC71" s="36"/>
      <c r="AD71" s="33" t="s">
        <v>233</v>
      </c>
      <c r="AE71" s="33" t="s">
        <v>94</v>
      </c>
      <c r="AF71" s="38"/>
      <c r="AG71" s="36"/>
      <c r="AH71" s="39"/>
      <c r="AI71" s="33"/>
      <c r="AJ71" s="40" t="s">
        <v>234</v>
      </c>
      <c r="AK71" s="73"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235</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236</v>
      </c>
      <c r="C72" s="33" t="s">
        <v>206</v>
      </c>
      <c r="D72" t="str" cm="1">
        <f t="array" aca="1" ref="D72" ca="1">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Dev",IF(AND(L72="",K72=""),"No target set",IF(AND(IF(L72&lt;&gt;"",L72,K72)&lt;TODAY(),M72=""),"Overdue","On track")),IF(C72="PBI Dev",IF(AND(R72="",Q72=""),"No target set",IF(AND(IF(R72&lt;&gt;"",R72,Q72)&lt;TODAY(),S72=""),"Overdue","On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50">
        <v>46295</v>
      </c>
      <c r="I72" s="55" t="s">
        <v>196</v>
      </c>
      <c r="J72" s="33" t="s">
        <v>76</v>
      </c>
      <c r="K72" s="4">
        <v>46276</v>
      </c>
      <c r="L72" s="36">
        <v>46258</v>
      </c>
      <c r="M72" s="36">
        <v>46258</v>
      </c>
      <c r="N72" s="36" t="s">
        <v>45</v>
      </c>
      <c r="O72" s="36" t="s">
        <v>197</v>
      </c>
      <c r="P72" s="63" t="s">
        <v>77</v>
      </c>
      <c r="Q72" s="4">
        <v>46286</v>
      </c>
      <c r="R72" s="36"/>
      <c r="S72" s="36"/>
      <c r="T72" s="69" t="s">
        <v>225</v>
      </c>
      <c r="U72" s="33" t="s">
        <v>47</v>
      </c>
      <c r="V72" s="59">
        <v>46290</v>
      </c>
      <c r="W72" s="36"/>
      <c r="X72" s="36"/>
      <c r="Y72" s="36"/>
      <c r="Z72" s="36"/>
      <c r="AA72" s="52">
        <v>46295</v>
      </c>
      <c r="AB72" s="36"/>
      <c r="AC72" s="36"/>
      <c r="AD72" s="33" t="s">
        <v>172</v>
      </c>
      <c r="AE72" s="33" t="s">
        <v>49</v>
      </c>
      <c r="AF72" s="38"/>
      <c r="AG72" s="36"/>
      <c r="AH72" s="39"/>
      <c r="AI72" s="33"/>
      <c r="AJ72" s="40" t="s">
        <v>53</v>
      </c>
      <c r="AK72" s="73"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7" t="s">
        <v>126</v>
      </c>
      <c r="B73" s="31" t="s">
        <v>237</v>
      </c>
      <c r="C73" s="31" t="s">
        <v>206</v>
      </c>
      <c r="D73" t="str" cm="1">
        <f t="array" aca="1" ref="D73" ca="1">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Dev",IF(AND(L73="",K73=""),"No target set",IF(AND(IF(L73&lt;&gt;"",L73,K73)&lt;TODAY(),M73=""),"Overdue","On track")),IF(C73="PBI Dev",IF(AND(R73="",Q73=""),"No target set",IF(AND(IF(R73&lt;&gt;"",R73,Q73)&lt;TODAY(),S73=""),"Overdue","On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145</v>
      </c>
      <c r="G73" s="31"/>
      <c r="H73" s="50">
        <v>46325</v>
      </c>
      <c r="I73" s="56" t="s">
        <v>238</v>
      </c>
      <c r="J73" s="31" t="s">
        <v>76</v>
      </c>
      <c r="K73" s="43">
        <v>46304</v>
      </c>
      <c r="L73" s="43">
        <v>46259</v>
      </c>
      <c r="M73" s="47">
        <v>46259</v>
      </c>
      <c r="N73" s="44" t="s">
        <v>45</v>
      </c>
      <c r="O73" s="44" t="s">
        <v>197</v>
      </c>
      <c r="P73" s="66"/>
      <c r="Q73" s="43">
        <v>46313</v>
      </c>
      <c r="R73" s="43"/>
      <c r="S73" s="44"/>
      <c r="T73" s="70" t="s">
        <v>239</v>
      </c>
      <c r="U73" s="31"/>
      <c r="V73" s="28">
        <v>46316</v>
      </c>
      <c r="W73" s="43"/>
      <c r="X73" s="31"/>
      <c r="Y73" s="31"/>
      <c r="Z73" s="31"/>
      <c r="AA73" s="28">
        <v>46325</v>
      </c>
      <c r="AB73" s="43"/>
      <c r="AC73" s="43"/>
      <c r="AD73" s="31" t="s">
        <v>199</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240</v>
      </c>
      <c r="C74" s="31" t="s">
        <v>215</v>
      </c>
      <c r="D74" t="str" cm="1">
        <f t="array" aca="1" ref="D74" ca="1">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Dev",IF(AND(L74="",K74=""),"No target set",IF(AND(IF(L74&lt;&gt;"",L74,K74)&lt;TODAY(),M74=""),"Overdue","On track")),IF(C74="PBI Dev",IF(AND(R74="",Q74=""),"No target set",IF(AND(IF(R74&lt;&gt;"",R74,Q74)&lt;TODAY(),S74=""),"Overdue","On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145</v>
      </c>
      <c r="G74" s="31"/>
      <c r="H74" s="50">
        <v>46325</v>
      </c>
      <c r="I74" s="56" t="s">
        <v>238</v>
      </c>
      <c r="J74" s="54" t="s">
        <v>224</v>
      </c>
      <c r="K74" s="43">
        <v>46304</v>
      </c>
      <c r="L74" s="43">
        <v>46269</v>
      </c>
      <c r="M74" s="44">
        <v>46269</v>
      </c>
      <c r="N74" s="44"/>
      <c r="O74" s="44" t="s">
        <v>197</v>
      </c>
      <c r="P74" s="75"/>
      <c r="Q74" s="43">
        <v>46313</v>
      </c>
      <c r="R74" s="43"/>
      <c r="S74" s="44"/>
      <c r="T74" s="70" t="s">
        <v>239</v>
      </c>
      <c r="U74" s="47"/>
      <c r="V74" s="28">
        <v>46316</v>
      </c>
      <c r="W74" s="43"/>
      <c r="X74" s="31"/>
      <c r="Y74" s="31"/>
      <c r="Z74" s="36"/>
      <c r="AA74" s="28">
        <v>46325</v>
      </c>
      <c r="AB74" s="43"/>
      <c r="AC74" s="43"/>
      <c r="AD74" s="31" t="s">
        <v>172</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7" customFormat="1">
      <c r="A75" s="136" t="s">
        <v>126</v>
      </c>
      <c r="B75" s="136" t="s">
        <v>241</v>
      </c>
      <c r="C75" s="136" t="s">
        <v>215</v>
      </c>
      <c r="D75" s="137" t="str" cm="1">
        <f t="array" aca="1" ref="D75" ca="1">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Dev",IF(AND(L75="",K75=""),"No target set",IF(AND(IF(L75&lt;&gt;"",L75,K75)&lt;TODAY(),M75=""),"Overdue","On track")),IF(C75="PBI Dev",IF(AND(R75="",Q75=""),"No target set",IF(AND(IF(R75&lt;&gt;"",R75,Q75)&lt;TODAY(),S75=""),"Overdue","On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6">
        <v>51</v>
      </c>
      <c r="F75" s="136"/>
      <c r="G75" s="136"/>
      <c r="H75" s="138">
        <v>46325</v>
      </c>
      <c r="I75" s="139" t="s">
        <v>238</v>
      </c>
      <c r="J75" s="136" t="s">
        <v>59</v>
      </c>
      <c r="K75" s="140">
        <v>46304</v>
      </c>
      <c r="L75" s="140"/>
      <c r="M75" s="141"/>
      <c r="N75" s="141"/>
      <c r="O75" s="141" t="s">
        <v>197</v>
      </c>
      <c r="P75" s="142"/>
      <c r="Q75" s="140">
        <v>46313</v>
      </c>
      <c r="R75" s="140"/>
      <c r="S75" s="141"/>
      <c r="T75" s="143" t="s">
        <v>239</v>
      </c>
      <c r="U75" s="144"/>
      <c r="V75" s="145">
        <v>46316</v>
      </c>
      <c r="W75" s="140"/>
      <c r="X75" s="136"/>
      <c r="Y75" s="136"/>
      <c r="Z75" s="146"/>
      <c r="AA75" s="145">
        <v>46325</v>
      </c>
      <c r="AB75" s="140"/>
      <c r="AC75" s="140"/>
      <c r="AD75" s="136" t="s">
        <v>242</v>
      </c>
      <c r="AE75" s="136" t="s">
        <v>94</v>
      </c>
      <c r="AF75" s="136"/>
      <c r="AG75" s="136"/>
      <c r="AH75" s="136"/>
      <c r="AI75" s="136"/>
      <c r="AJ75" s="136"/>
      <c r="AK75" s="136"/>
      <c r="AL75" s="136"/>
      <c r="AM75" s="144"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4"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7" customFormat="1">
      <c r="A76" s="136" t="s">
        <v>126</v>
      </c>
      <c r="B76" s="136" t="s">
        <v>243</v>
      </c>
      <c r="C76" s="136" t="s">
        <v>215</v>
      </c>
      <c r="D76" s="137" t="str" cm="1">
        <f t="array" aca="1" ref="D76" ca="1">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Dev",IF(AND(L76="",K76=""),"No target set",IF(AND(IF(L76&lt;&gt;"",L76,K76)&lt;TODAY(),M76=""),"Overdue","On track")),IF(C76="PBI Dev",IF(AND(R76="",Q76=""),"No target set",IF(AND(IF(R76&lt;&gt;"",R76,Q76)&lt;TODAY(),S76=""),"Overdue","On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6">
        <v>52</v>
      </c>
      <c r="F76" s="136"/>
      <c r="G76" s="136"/>
      <c r="H76" s="138">
        <v>46325</v>
      </c>
      <c r="I76" s="139" t="s">
        <v>238</v>
      </c>
      <c r="J76" s="136" t="s">
        <v>59</v>
      </c>
      <c r="K76" s="140">
        <v>46304</v>
      </c>
      <c r="L76" s="140"/>
      <c r="M76" s="141"/>
      <c r="N76" s="141"/>
      <c r="O76" s="141" t="s">
        <v>197</v>
      </c>
      <c r="P76" s="142"/>
      <c r="Q76" s="140">
        <v>46313</v>
      </c>
      <c r="R76" s="140"/>
      <c r="S76" s="141"/>
      <c r="T76" s="143" t="s">
        <v>239</v>
      </c>
      <c r="U76" s="144"/>
      <c r="V76" s="145">
        <v>46316</v>
      </c>
      <c r="W76" s="140"/>
      <c r="X76" s="136"/>
      <c r="Y76" s="136"/>
      <c r="Z76" s="146"/>
      <c r="AA76" s="145">
        <v>46325</v>
      </c>
      <c r="AB76" s="140"/>
      <c r="AC76" s="140"/>
      <c r="AD76" s="136" t="s">
        <v>242</v>
      </c>
      <c r="AE76" s="136" t="s">
        <v>94</v>
      </c>
      <c r="AF76" s="136"/>
      <c r="AG76" s="136"/>
      <c r="AH76" s="136"/>
      <c r="AI76" s="136"/>
      <c r="AJ76" s="136"/>
      <c r="AK76" s="136"/>
      <c r="AL76" s="136"/>
      <c r="AM76" s="144"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4"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7" customFormat="1">
      <c r="A77" s="136" t="s">
        <v>126</v>
      </c>
      <c r="B77" s="136" t="s">
        <v>244</v>
      </c>
      <c r="C77" s="136" t="s">
        <v>215</v>
      </c>
      <c r="D77" s="137" t="str" cm="1">
        <f t="array" aca="1" ref="D77" ca="1">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Dev",IF(AND(L77="",K77=""),"No target set",IF(AND(IF(L77&lt;&gt;"",L77,K77)&lt;TODAY(),M77=""),"Overdue","On track")),IF(C77="PBI Dev",IF(AND(R77="",Q77=""),"No target set",IF(AND(IF(R77&lt;&gt;"",R77,Q77)&lt;TODAY(),S77=""),"Overdue","On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6">
        <v>53</v>
      </c>
      <c r="F77" s="136"/>
      <c r="G77" s="136"/>
      <c r="H77" s="138">
        <v>46325</v>
      </c>
      <c r="I77" s="139" t="s">
        <v>238</v>
      </c>
      <c r="J77" s="136" t="s">
        <v>156</v>
      </c>
      <c r="K77" s="140">
        <v>46304</v>
      </c>
      <c r="L77" s="140"/>
      <c r="M77" s="141"/>
      <c r="N77" s="141"/>
      <c r="O77" s="141" t="s">
        <v>197</v>
      </c>
      <c r="P77" s="142"/>
      <c r="Q77" s="140">
        <v>46313</v>
      </c>
      <c r="R77" s="140"/>
      <c r="S77" s="141"/>
      <c r="T77" s="143" t="s">
        <v>239</v>
      </c>
      <c r="U77" s="144"/>
      <c r="V77" s="145">
        <v>46316</v>
      </c>
      <c r="W77" s="140"/>
      <c r="X77" s="136"/>
      <c r="Y77" s="136"/>
      <c r="Z77" s="146"/>
      <c r="AA77" s="145">
        <v>46325</v>
      </c>
      <c r="AB77" s="140"/>
      <c r="AC77" s="140"/>
      <c r="AD77" s="136" t="s">
        <v>242</v>
      </c>
      <c r="AE77" s="136" t="s">
        <v>94</v>
      </c>
      <c r="AF77" s="136"/>
      <c r="AG77" s="136"/>
      <c r="AH77" s="136"/>
      <c r="AI77" s="136"/>
      <c r="AJ77" s="136"/>
      <c r="AK77" s="136"/>
      <c r="AL77" s="136"/>
      <c r="AM77" s="144"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4"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8" customFormat="1">
      <c r="A78" s="147" t="s">
        <v>126</v>
      </c>
      <c r="B78" s="147" t="s">
        <v>245</v>
      </c>
      <c r="C78" s="147" t="s">
        <v>215</v>
      </c>
      <c r="D78" s="148" t="str" cm="1">
        <f t="array" aca="1" ref="D78" ca="1">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Dev",IF(AND(L78="",K78=""),"No target set",IF(AND(IF(L78&lt;&gt;"",L78,K78)&lt;TODAY(),M78=""),"Overdue","On track")),IF(C78="PBI Dev",IF(AND(R78="",Q78=""),"No target set",IF(AND(IF(R78&lt;&gt;"",R78,Q78)&lt;TODAY(),S78=""),"Overdue","On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7">
        <v>54</v>
      </c>
      <c r="F78" s="147" t="s">
        <v>129</v>
      </c>
      <c r="G78" s="147"/>
      <c r="H78" s="149">
        <v>46325</v>
      </c>
      <c r="I78" s="150" t="s">
        <v>238</v>
      </c>
      <c r="J78" s="147" t="s">
        <v>44</v>
      </c>
      <c r="K78" s="151">
        <v>46304</v>
      </c>
      <c r="L78" s="151"/>
      <c r="M78" s="152"/>
      <c r="N78" s="152"/>
      <c r="O78" s="152" t="s">
        <v>246</v>
      </c>
      <c r="P78" s="153"/>
      <c r="Q78" s="151">
        <v>46313</v>
      </c>
      <c r="R78" s="151"/>
      <c r="S78" s="152"/>
      <c r="T78" s="154" t="s">
        <v>239</v>
      </c>
      <c r="U78" s="155"/>
      <c r="V78" s="156">
        <v>46316</v>
      </c>
      <c r="W78" s="151"/>
      <c r="X78" s="147"/>
      <c r="Y78" s="147"/>
      <c r="Z78" s="157"/>
      <c r="AA78" s="156">
        <v>46325</v>
      </c>
      <c r="AB78" s="151"/>
      <c r="AC78" s="151"/>
      <c r="AD78" s="147" t="s">
        <v>190</v>
      </c>
      <c r="AE78" s="147" t="s">
        <v>94</v>
      </c>
      <c r="AF78" s="147"/>
      <c r="AG78" s="147"/>
      <c r="AH78" s="147"/>
      <c r="AI78" s="147"/>
      <c r="AJ78" s="147"/>
      <c r="AK78" s="147"/>
      <c r="AL78" s="147"/>
      <c r="AM78" s="155"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5"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247</v>
      </c>
      <c r="C79" s="31" t="s">
        <v>206</v>
      </c>
      <c r="D79" t="str" cm="1">
        <f t="array" aca="1" ref="D79" ca="1">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Dev",IF(AND(L79="",K79=""),"No target set",IF(AND(IF(L79&lt;&gt;"",L79,K79)&lt;TODAY(),M79=""),"Overdue","On track")),IF(C79="PBI Dev",IF(AND(R79="",Q79=""),"No target set",IF(AND(IF(R79&lt;&gt;"",R79,Q79)&lt;TODAY(),S79=""),"Overdue","On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50">
        <v>46326</v>
      </c>
      <c r="I79" s="56" t="s">
        <v>238</v>
      </c>
      <c r="J79" s="54" t="s">
        <v>76</v>
      </c>
      <c r="K79" s="43">
        <v>46304</v>
      </c>
      <c r="L79" s="43">
        <v>46266</v>
      </c>
      <c r="M79" s="47">
        <v>46266</v>
      </c>
      <c r="N79" s="44" t="s">
        <v>248</v>
      </c>
      <c r="O79" s="44" t="s">
        <v>197</v>
      </c>
      <c r="P79" s="75"/>
      <c r="Q79" s="43">
        <v>46313</v>
      </c>
      <c r="R79" s="43"/>
      <c r="S79" s="44"/>
      <c r="T79" s="70" t="s">
        <v>239</v>
      </c>
      <c r="U79" s="47"/>
      <c r="V79" s="28">
        <v>46316</v>
      </c>
      <c r="W79" s="43"/>
      <c r="X79" s="31"/>
      <c r="Y79" s="31"/>
      <c r="Z79" s="36"/>
      <c r="AA79" s="28">
        <v>46325</v>
      </c>
      <c r="AB79" s="43"/>
      <c r="AC79" s="43"/>
      <c r="AD79" s="31" t="s">
        <v>249</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c r="A80" s="31" t="s">
        <v>126</v>
      </c>
      <c r="B80" s="31" t="s">
        <v>250</v>
      </c>
      <c r="C80" s="31" t="s">
        <v>215</v>
      </c>
      <c r="D80" t="str" cm="1">
        <f t="array" aca="1" ref="D80" ca="1">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Dev",IF(AND(L80="",K80=""),"No target set",IF(AND(IF(L80&lt;&gt;"",L80,K80)&lt;TODAY(),M80=""),"Overdue","On track")),IF(C80="PBI Dev",IF(AND(R80="",Q80=""),"No target set",IF(AND(IF(R80&lt;&gt;"",R80,Q80)&lt;TODAY(),S80=""),"Overdue","On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50">
        <v>46325</v>
      </c>
      <c r="I80" s="56" t="s">
        <v>238</v>
      </c>
      <c r="J80" s="33" t="s">
        <v>103</v>
      </c>
      <c r="K80" s="43">
        <v>46304</v>
      </c>
      <c r="L80" s="43">
        <v>46276</v>
      </c>
      <c r="M80" s="44"/>
      <c r="N80" s="44"/>
      <c r="O80" s="44" t="s">
        <v>246</v>
      </c>
      <c r="P80" s="75"/>
      <c r="Q80" s="43">
        <v>46313</v>
      </c>
      <c r="R80" s="43"/>
      <c r="S80" s="44"/>
      <c r="T80" s="70" t="s">
        <v>239</v>
      </c>
      <c r="U80" s="47"/>
      <c r="V80" s="28">
        <v>46316</v>
      </c>
      <c r="W80" s="43"/>
      <c r="X80" s="31"/>
      <c r="Y80" s="31"/>
      <c r="Z80" s="36"/>
      <c r="AA80" s="28">
        <v>46325</v>
      </c>
      <c r="AB80" s="43"/>
      <c r="AC80" s="43"/>
      <c r="AD80" s="31" t="s">
        <v>209</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8" customFormat="1">
      <c r="A81" s="147" t="s">
        <v>126</v>
      </c>
      <c r="B81" s="147" t="s">
        <v>251</v>
      </c>
      <c r="C81" s="147" t="s">
        <v>215</v>
      </c>
      <c r="D81" s="148" t="str" cm="1">
        <f t="array" aca="1" ref="D81" ca="1">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Dev",IF(AND(L81="",K81=""),"No target set",IF(AND(IF(L81&lt;&gt;"",L81,K81)&lt;TODAY(),M81=""),"Overdue","On track")),IF(C81="PBI Dev",IF(AND(R81="",Q81=""),"No target set",IF(AND(IF(R81&lt;&gt;"",R81,Q81)&lt;TODAY(),S81=""),"Overdue","On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7">
        <v>57</v>
      </c>
      <c r="F81" s="147" t="s">
        <v>129</v>
      </c>
      <c r="G81" s="147"/>
      <c r="H81" s="149">
        <v>46325</v>
      </c>
      <c r="I81" s="150" t="s">
        <v>238</v>
      </c>
      <c r="J81" s="33" t="s">
        <v>103</v>
      </c>
      <c r="K81" s="151">
        <v>46304</v>
      </c>
      <c r="L81" s="151"/>
      <c r="M81" s="152"/>
      <c r="N81" s="152"/>
      <c r="O81" s="152" t="s">
        <v>246</v>
      </c>
      <c r="P81" s="153"/>
      <c r="Q81" s="151">
        <v>46313</v>
      </c>
      <c r="R81" s="151"/>
      <c r="S81" s="152"/>
      <c r="T81" s="170" t="s">
        <v>252</v>
      </c>
      <c r="U81" s="155"/>
      <c r="V81" s="156">
        <v>46316</v>
      </c>
      <c r="W81" s="151"/>
      <c r="X81" s="147"/>
      <c r="Y81" s="147"/>
      <c r="Z81" s="157"/>
      <c r="AA81" s="156">
        <v>46325</v>
      </c>
      <c r="AB81" s="151"/>
      <c r="AC81" s="151"/>
      <c r="AD81" s="147" t="s">
        <v>218</v>
      </c>
      <c r="AE81" s="147" t="s">
        <v>94</v>
      </c>
      <c r="AF81" s="147"/>
      <c r="AG81" s="147"/>
      <c r="AH81" s="147"/>
      <c r="AI81" s="147"/>
      <c r="AJ81" s="147"/>
      <c r="AK81" s="147"/>
      <c r="AL81" s="147"/>
      <c r="AM81" s="155"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5"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253</v>
      </c>
      <c r="C82" s="31" t="s">
        <v>215</v>
      </c>
      <c r="D82" t="str" cm="1">
        <f t="array" aca="1" ref="D82" ca="1">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Dev",IF(AND(L82="",K82=""),"No target set",IF(AND(IF(L82&lt;&gt;"",L82,K82)&lt;TODAY(),M82=""),"Overdue","On track")),IF(C82="PBI Dev",IF(AND(R82="",Q82=""),"No target set",IF(AND(IF(R82&lt;&gt;"",R82,Q82)&lt;TODAY(),S82=""),"Overdue","On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50">
        <v>46325</v>
      </c>
      <c r="I82" s="56" t="s">
        <v>238</v>
      </c>
      <c r="J82" s="54" t="s">
        <v>156</v>
      </c>
      <c r="K82" s="43">
        <v>46304</v>
      </c>
      <c r="L82" s="43"/>
      <c r="M82" s="44"/>
      <c r="N82" s="44"/>
      <c r="O82" s="44" t="s">
        <v>246</v>
      </c>
      <c r="P82" s="75"/>
      <c r="Q82" s="43">
        <v>46313</v>
      </c>
      <c r="R82" s="43"/>
      <c r="S82" s="44"/>
      <c r="T82" s="69" t="s">
        <v>252</v>
      </c>
      <c r="U82" s="47"/>
      <c r="V82" s="28">
        <v>46316</v>
      </c>
      <c r="W82" s="43"/>
      <c r="X82" s="31"/>
      <c r="Y82" s="31"/>
      <c r="Z82" s="36"/>
      <c r="AA82" s="28">
        <v>46325</v>
      </c>
      <c r="AB82" s="43"/>
      <c r="AC82" s="43"/>
      <c r="AD82" s="31" t="s">
        <v>254</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255</v>
      </c>
      <c r="C83" s="31" t="s">
        <v>215</v>
      </c>
      <c r="D83" t="str" cm="1">
        <f t="array" aca="1" ref="D83" ca="1">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Dev",IF(AND(L83="",K83=""),"No target set",IF(AND(IF(L83&lt;&gt;"",L83,K83)&lt;TODAY(),M83=""),"Overdue","On track")),IF(C83="PBI Dev",IF(AND(R83="",Q83=""),"No target set",IF(AND(IF(R83&lt;&gt;"",R83,Q83)&lt;TODAY(),S83=""),"Overdue","On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50">
        <v>46325</v>
      </c>
      <c r="I83" s="56" t="s">
        <v>238</v>
      </c>
      <c r="J83" s="54" t="s">
        <v>76</v>
      </c>
      <c r="K83" s="43">
        <v>46304</v>
      </c>
      <c r="L83" s="43"/>
      <c r="M83" s="44"/>
      <c r="N83" s="44"/>
      <c r="O83" s="44" t="s">
        <v>246</v>
      </c>
      <c r="P83" s="75"/>
      <c r="Q83" s="43">
        <v>46313</v>
      </c>
      <c r="R83" s="43"/>
      <c r="S83" s="44"/>
      <c r="T83" s="69" t="s">
        <v>252</v>
      </c>
      <c r="U83" s="47"/>
      <c r="V83" s="28">
        <v>46316</v>
      </c>
      <c r="W83" s="43"/>
      <c r="X83" s="31"/>
      <c r="Y83" s="31"/>
      <c r="Z83" s="36"/>
      <c r="AA83" s="28">
        <v>46325</v>
      </c>
      <c r="AB83" s="43"/>
      <c r="AC83" s="43"/>
      <c r="AD83" s="31" t="s">
        <v>256</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257</v>
      </c>
      <c r="C84" s="31" t="s">
        <v>215</v>
      </c>
      <c r="D84" t="str" cm="1">
        <f t="array" aca="1" ref="D84" ca="1">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Dev",IF(AND(L84="",K84=""),"No target set",IF(AND(IF(L84&lt;&gt;"",L84,K84)&lt;TODAY(),M84=""),"Overdue","On track")),IF(C84="PBI Dev",IF(AND(R84="",Q84=""),"No target set",IF(AND(IF(R84&lt;&gt;"",R84,Q84)&lt;TODAY(),S84=""),"Overdue","On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145</v>
      </c>
      <c r="G84" s="31"/>
      <c r="H84" s="50">
        <v>46325</v>
      </c>
      <c r="I84" s="56" t="s">
        <v>238</v>
      </c>
      <c r="J84" s="54" t="s">
        <v>76</v>
      </c>
      <c r="K84" s="43">
        <v>46304</v>
      </c>
      <c r="L84" s="43"/>
      <c r="M84" s="44"/>
      <c r="N84" s="44"/>
      <c r="O84" s="44" t="s">
        <v>246</v>
      </c>
      <c r="P84" s="75"/>
      <c r="Q84" s="43">
        <v>46313</v>
      </c>
      <c r="R84" s="43"/>
      <c r="S84" s="44"/>
      <c r="T84" s="69" t="s">
        <v>252</v>
      </c>
      <c r="U84" s="47"/>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258</v>
      </c>
      <c r="C85" s="31" t="s">
        <v>215</v>
      </c>
      <c r="D85" t="str" cm="1">
        <f t="array" aca="1" ref="D85" ca="1">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Dev",IF(AND(L85="",K85=""),"No target set",IF(AND(IF(L85&lt;&gt;"",L85,K85)&lt;TODAY(),M85=""),"Overdue","On track")),IF(C85="PBI Dev",IF(AND(R85="",Q85=""),"No target set",IF(AND(IF(R85&lt;&gt;"",R85,Q85)&lt;TODAY(),S85=""),"Overdue","On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259</v>
      </c>
      <c r="F85" s="31" t="s">
        <v>145</v>
      </c>
      <c r="G85" s="31"/>
      <c r="H85" s="50">
        <v>46325</v>
      </c>
      <c r="I85" s="56" t="s">
        <v>238</v>
      </c>
      <c r="J85" s="54" t="s">
        <v>44</v>
      </c>
      <c r="K85" s="43">
        <v>46304</v>
      </c>
      <c r="L85" s="43"/>
      <c r="M85" s="44"/>
      <c r="N85" s="44"/>
      <c r="O85" s="44" t="s">
        <v>246</v>
      </c>
      <c r="P85" s="75"/>
      <c r="Q85" s="43">
        <v>46313</v>
      </c>
      <c r="R85" s="43"/>
      <c r="S85" s="44"/>
      <c r="T85" s="69" t="s">
        <v>252</v>
      </c>
      <c r="U85" s="47"/>
      <c r="V85" s="28">
        <v>46316</v>
      </c>
      <c r="W85" s="43"/>
      <c r="X85" s="31"/>
      <c r="Y85" s="31"/>
      <c r="Z85" s="36"/>
      <c r="AA85" s="28">
        <v>46325</v>
      </c>
      <c r="AB85" s="43"/>
      <c r="AC85" s="43"/>
      <c r="AD85" s="31" t="s">
        <v>190</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260</v>
      </c>
      <c r="C86" s="31" t="s">
        <v>215</v>
      </c>
      <c r="D86" t="str" cm="1">
        <f t="array" aca="1" ref="D86" ca="1">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Dev",IF(AND(L86="",K86=""),"No target set",IF(AND(IF(L86&lt;&gt;"",L86,K86)&lt;TODAY(),M86=""),"Overdue","On track")),IF(C86="PBI Dev",IF(AND(R86="",Q86=""),"No target set",IF(AND(IF(R86&lt;&gt;"",R86,Q86)&lt;TODAY(),S86=""),"Overdue","On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145</v>
      </c>
      <c r="G86" s="31"/>
      <c r="H86" s="50">
        <v>46356</v>
      </c>
      <c r="I86" s="56" t="s">
        <v>261</v>
      </c>
      <c r="J86" s="54" t="s">
        <v>84</v>
      </c>
      <c r="K86" s="50">
        <v>46332</v>
      </c>
      <c r="L86" s="43"/>
      <c r="M86" s="44"/>
      <c r="N86" s="44"/>
      <c r="O86" s="44" t="s">
        <v>246</v>
      </c>
      <c r="P86" s="75"/>
      <c r="Q86" s="50">
        <v>46339</v>
      </c>
      <c r="R86" s="43"/>
      <c r="S86" s="44"/>
      <c r="T86" s="69" t="s">
        <v>252</v>
      </c>
      <c r="U86" s="47"/>
      <c r="V86" s="28">
        <v>46344</v>
      </c>
      <c r="W86" s="43"/>
      <c r="X86" s="31"/>
      <c r="Y86" s="31"/>
      <c r="Z86" s="36"/>
      <c r="AA86" s="28">
        <v>46356</v>
      </c>
      <c r="AB86" s="43"/>
      <c r="AC86" s="43"/>
      <c r="AD86" s="31" t="s">
        <v>262</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263</v>
      </c>
      <c r="C87" s="31" t="s">
        <v>215</v>
      </c>
      <c r="D87" t="str" cm="1">
        <f t="array" aca="1" ref="D87" ca="1">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Dev",IF(AND(L87="",K87=""),"No target set",IF(AND(IF(L87&lt;&gt;"",L87,K87)&lt;TODAY(),M87=""),"Overdue","On track")),IF(C87="PBI Dev",IF(AND(R87="",Q87=""),"No target set",IF(AND(IF(R87&lt;&gt;"",R87,Q87)&lt;TODAY(),S87=""),"Overdue","On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145</v>
      </c>
      <c r="G87" s="31"/>
      <c r="H87" s="50">
        <v>46356</v>
      </c>
      <c r="I87" s="56" t="s">
        <v>261</v>
      </c>
      <c r="J87" s="54" t="s">
        <v>59</v>
      </c>
      <c r="K87" s="50">
        <v>46332</v>
      </c>
      <c r="L87" s="43"/>
      <c r="M87" s="44"/>
      <c r="N87" s="44"/>
      <c r="O87" s="44" t="s">
        <v>246</v>
      </c>
      <c r="P87" s="75"/>
      <c r="Q87" s="50">
        <v>46339</v>
      </c>
      <c r="R87" s="43"/>
      <c r="S87" s="44"/>
      <c r="T87" s="69" t="s">
        <v>252</v>
      </c>
      <c r="U87" s="47"/>
      <c r="V87" s="28">
        <v>46344</v>
      </c>
      <c r="W87" s="43"/>
      <c r="X87" s="31"/>
      <c r="Y87" s="31"/>
      <c r="Z87" s="36"/>
      <c r="AA87" s="28">
        <v>46356</v>
      </c>
      <c r="AB87" s="43"/>
      <c r="AC87" s="43"/>
      <c r="AD87" s="31" t="s">
        <v>172</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264</v>
      </c>
      <c r="C88" s="31" t="s">
        <v>215</v>
      </c>
      <c r="D88" t="str" cm="1">
        <f t="array" aca="1" ref="D88" ca="1">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Dev",IF(AND(L50="",K50=""),"No target set",IF(AND(IF(L50&lt;&gt;"",L50,K50)&lt;TODAY(),M50=""),"Overdue","On track")),IF(C50="PBI Dev",IF(AND(R50="",Q50=""),"No target set",IF(AND(IF(R50&lt;&gt;"",R50,Q50)&lt;TODAY(),S50=""),"Overdue","On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88" s="31">
        <v>69</v>
      </c>
      <c r="F88" s="31" t="s">
        <v>145</v>
      </c>
      <c r="G88" s="31"/>
      <c r="H88" s="50">
        <v>46356</v>
      </c>
      <c r="I88" s="56" t="s">
        <v>261</v>
      </c>
      <c r="J88" s="54" t="s">
        <v>59</v>
      </c>
      <c r="K88" s="50">
        <v>46332</v>
      </c>
      <c r="L88" s="43"/>
      <c r="M88" s="44"/>
      <c r="N88" s="44"/>
      <c r="O88" s="44" t="s">
        <v>246</v>
      </c>
      <c r="P88" s="75"/>
      <c r="Q88" s="50">
        <v>46339</v>
      </c>
      <c r="R88" s="43"/>
      <c r="S88" s="44"/>
      <c r="T88" s="69" t="s">
        <v>265</v>
      </c>
      <c r="U88" s="47"/>
      <c r="V88" s="28">
        <v>46344</v>
      </c>
      <c r="W88" s="43"/>
      <c r="X88" s="31"/>
      <c r="Y88" s="31"/>
      <c r="Z88" s="36"/>
      <c r="AA88" s="28">
        <v>46356</v>
      </c>
      <c r="AB88" s="43"/>
      <c r="AC88" s="43"/>
      <c r="AD88" s="31" t="s">
        <v>172</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c r="A89" s="31" t="s">
        <v>126</v>
      </c>
      <c r="B89" s="31" t="s">
        <v>266</v>
      </c>
      <c r="C89" s="31" t="s">
        <v>215</v>
      </c>
      <c r="D89" t="str" cm="1">
        <f t="array" aca="1" ref="D89" ca="1">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Dev",IF(AND(L89="",K89=""),"No target set",IF(AND(IF(L89&lt;&gt;"",L89,K89)&lt;TODAY(),M89=""),"Overdue","On track")),IF(C89="PBI Dev",IF(AND(R89="",Q89=""),"No target set",IF(AND(IF(R89&lt;&gt;"",R89,Q89)&lt;TODAY(),S89=""),"Overdue","On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145</v>
      </c>
      <c r="G89" s="31"/>
      <c r="H89" s="50">
        <v>46356</v>
      </c>
      <c r="I89" s="56" t="s">
        <v>261</v>
      </c>
      <c r="J89" s="54" t="s">
        <v>224</v>
      </c>
      <c r="K89" s="50">
        <v>46332</v>
      </c>
      <c r="L89" s="43"/>
      <c r="M89" s="44"/>
      <c r="N89" s="44"/>
      <c r="O89" s="44" t="s">
        <v>246</v>
      </c>
      <c r="P89" s="75"/>
      <c r="Q89" s="50">
        <v>46339</v>
      </c>
      <c r="R89" s="43"/>
      <c r="S89" s="44"/>
      <c r="T89" s="69" t="s">
        <v>265</v>
      </c>
      <c r="U89" s="47"/>
      <c r="V89" s="28">
        <v>46344</v>
      </c>
      <c r="W89" s="43"/>
      <c r="X89" s="31"/>
      <c r="Y89" s="31"/>
      <c r="Z89" s="36"/>
      <c r="AA89" s="28">
        <v>46356</v>
      </c>
      <c r="AB89" s="43"/>
      <c r="AC89" s="43"/>
      <c r="AD89" s="31" t="s">
        <v>172</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267</v>
      </c>
      <c r="C90" s="31" t="s">
        <v>215</v>
      </c>
      <c r="D90" t="str" cm="1">
        <f t="array" aca="1" ref="D90" ca="1">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Dev",IF(AND(L90="",K90=""),"No target set",IF(AND(IF(L90&lt;&gt;"",L90,K90)&lt;TODAY(),M90=""),"Overdue","On track")),IF(C90="PBI Dev",IF(AND(R90="",Q90=""),"No target set",IF(AND(IF(R90&lt;&gt;"",R90,Q90)&lt;TODAY(),S90=""),"Overdue","On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145</v>
      </c>
      <c r="G90" s="31"/>
      <c r="H90" s="50">
        <v>46356</v>
      </c>
      <c r="I90" s="56" t="s">
        <v>261</v>
      </c>
      <c r="J90" s="54"/>
      <c r="K90" s="50">
        <v>46332</v>
      </c>
      <c r="L90" s="43"/>
      <c r="M90" s="44"/>
      <c r="N90" s="44"/>
      <c r="O90" s="36" t="s">
        <v>268</v>
      </c>
      <c r="P90" s="75"/>
      <c r="Q90" s="50">
        <v>46339</v>
      </c>
      <c r="R90" s="43"/>
      <c r="S90" s="44"/>
      <c r="T90" s="69" t="s">
        <v>265</v>
      </c>
      <c r="U90" s="47"/>
      <c r="V90" s="28">
        <v>46344</v>
      </c>
      <c r="W90" s="43"/>
      <c r="X90" s="31"/>
      <c r="Y90" s="31"/>
      <c r="Z90" s="36"/>
      <c r="AA90" s="28">
        <v>46356</v>
      </c>
      <c r="AB90" s="43"/>
      <c r="AC90" s="43"/>
      <c r="AD90" s="31" t="s">
        <v>172</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c r="A91" s="31" t="s">
        <v>126</v>
      </c>
      <c r="B91" s="31" t="s">
        <v>269</v>
      </c>
      <c r="C91" s="31" t="s">
        <v>215</v>
      </c>
      <c r="D91" t="str" cm="1">
        <f t="array" aca="1" ref="D91" ca="1">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Dev",IF(AND(L91="",K91=""),"No target set",IF(AND(IF(L91&lt;&gt;"",L91,K91)&lt;TODAY(),M91=""),"Overdue","On track")),IF(C91="PBI Dev",IF(AND(R91="",Q91=""),"No target set",IF(AND(IF(R91&lt;&gt;"",R91,Q91)&lt;TODAY(),S91=""),"Overdue","On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50">
        <v>46356</v>
      </c>
      <c r="I91" s="56" t="s">
        <v>261</v>
      </c>
      <c r="J91" s="54" t="s">
        <v>65</v>
      </c>
      <c r="K91" s="50">
        <v>46332</v>
      </c>
      <c r="L91" s="43">
        <v>46273</v>
      </c>
      <c r="M91" s="47">
        <v>46273</v>
      </c>
      <c r="N91" s="47" t="s">
        <v>148</v>
      </c>
      <c r="O91" s="44" t="s">
        <v>246</v>
      </c>
      <c r="P91" s="75"/>
      <c r="Q91" s="50">
        <v>46339</v>
      </c>
      <c r="R91" s="43"/>
      <c r="S91" s="44"/>
      <c r="T91" s="69" t="s">
        <v>265</v>
      </c>
      <c r="U91" s="47"/>
      <c r="V91" s="28">
        <v>46344</v>
      </c>
      <c r="W91" s="43"/>
      <c r="X91" s="31"/>
      <c r="Y91" s="31"/>
      <c r="Z91" s="36"/>
      <c r="AA91" s="28">
        <v>46356</v>
      </c>
      <c r="AB91" s="43"/>
      <c r="AC91" s="43"/>
      <c r="AD91" s="31" t="s">
        <v>270</v>
      </c>
      <c r="AE91" s="31" t="s">
        <v>72</v>
      </c>
      <c r="AF91" s="31"/>
      <c r="AG91" s="31"/>
      <c r="AH91" s="31"/>
      <c r="AI91" s="31"/>
      <c r="AJ91" s="31"/>
      <c r="AK91" s="31"/>
      <c r="AL91" s="31" t="s">
        <v>271</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272</v>
      </c>
      <c r="C92" s="31" t="s">
        <v>215</v>
      </c>
      <c r="D92" t="str" cm="1">
        <f t="array" aca="1" ref="D92" ca="1">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Dev",IF(AND(L92="",K92=""),"No target set",IF(AND(IF(L92&lt;&gt;"",L92,K92)&lt;TODAY(),M92=""),"Overdue","On track")),IF(C92="PBI Dev",IF(AND(R92="",Q92=""),"No target set",IF(AND(IF(R92&lt;&gt;"",R92,Q92)&lt;TODAY(),S92=""),"Overdue","On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145</v>
      </c>
      <c r="G92" s="31"/>
      <c r="H92" s="50">
        <v>46356</v>
      </c>
      <c r="I92" s="56" t="s">
        <v>261</v>
      </c>
      <c r="J92" s="54" t="s">
        <v>84</v>
      </c>
      <c r="K92" s="50">
        <v>46332</v>
      </c>
      <c r="L92" s="43">
        <v>46332</v>
      </c>
      <c r="M92" s="44">
        <v>46275</v>
      </c>
      <c r="N92" s="44"/>
      <c r="O92" s="44" t="s">
        <v>246</v>
      </c>
      <c r="P92" s="75"/>
      <c r="Q92" s="50">
        <v>46339</v>
      </c>
      <c r="R92" s="43"/>
      <c r="S92" s="44"/>
      <c r="T92" s="69" t="s">
        <v>265</v>
      </c>
      <c r="U92" s="47"/>
      <c r="V92" s="28">
        <v>46344</v>
      </c>
      <c r="W92" s="43"/>
      <c r="X92" s="31"/>
      <c r="Y92" s="31"/>
      <c r="Z92" s="36"/>
      <c r="AA92" s="28">
        <v>46356</v>
      </c>
      <c r="AB92" s="43"/>
      <c r="AC92" s="43"/>
      <c r="AD92" s="31" t="s">
        <v>172</v>
      </c>
      <c r="AE92" s="31" t="s">
        <v>72</v>
      </c>
      <c r="AF92" s="31"/>
      <c r="AG92" s="31"/>
      <c r="AH92" s="31"/>
      <c r="AI92" s="31"/>
      <c r="AJ92" s="31"/>
      <c r="AK92" s="31"/>
      <c r="AL92" s="31" t="s">
        <v>273</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274</v>
      </c>
      <c r="C93" s="31" t="s">
        <v>215</v>
      </c>
      <c r="D93" t="str" cm="1">
        <f t="array" aca="1" ref="D93" ca="1">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Dev",IF(AND(L93="",K93=""),"No target set",IF(AND(IF(L93&lt;&gt;"",L93,K93)&lt;TODAY(),M93=""),"Overdue","On track")),IF(C93="PBI Dev",IF(AND(R93="",Q93=""),"No target set",IF(AND(IF(R93&lt;&gt;"",R93,Q93)&lt;TODAY(),S93=""),"Overdue","On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50">
        <v>46356</v>
      </c>
      <c r="I93" s="56" t="s">
        <v>261</v>
      </c>
      <c r="J93" s="54"/>
      <c r="K93" s="50">
        <v>46332</v>
      </c>
      <c r="L93" s="43"/>
      <c r="M93" s="44"/>
      <c r="N93" s="44"/>
      <c r="O93" s="36" t="s">
        <v>275</v>
      </c>
      <c r="P93" s="75"/>
      <c r="Q93" s="50">
        <v>46339</v>
      </c>
      <c r="R93" s="43"/>
      <c r="S93" s="44"/>
      <c r="T93" s="69" t="s">
        <v>265</v>
      </c>
      <c r="U93" s="47"/>
      <c r="V93" s="28">
        <v>46344</v>
      </c>
      <c r="W93" s="43"/>
      <c r="X93" s="31"/>
      <c r="Y93" s="31"/>
      <c r="Z93" s="36"/>
      <c r="AA93" s="28">
        <v>46356</v>
      </c>
      <c r="AB93" s="43"/>
      <c r="AC93" s="43"/>
      <c r="AD93" s="31" t="s">
        <v>276</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277</v>
      </c>
      <c r="C94" s="31" t="s">
        <v>215</v>
      </c>
      <c r="D94" t="str" cm="1">
        <f t="array" aca="1" ref="D94" ca="1">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Dev",IF(AND(L94="",K94=""),"No target set",IF(AND(IF(L94&lt;&gt;"",L94,K94)&lt;TODAY(),M94=""),"Overdue","On track")),IF(C94="PBI Dev",IF(AND(R94="",Q94=""),"No target set",IF(AND(IF(R94&lt;&gt;"",R94,Q94)&lt;TODAY(),S94=""),"Overdue","On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145</v>
      </c>
      <c r="G94" s="31"/>
      <c r="H94" s="50">
        <v>46356</v>
      </c>
      <c r="I94" s="56" t="s">
        <v>261</v>
      </c>
      <c r="J94" s="54"/>
      <c r="K94" s="50">
        <v>46332</v>
      </c>
      <c r="L94" s="43"/>
      <c r="M94" s="44"/>
      <c r="N94" s="44"/>
      <c r="O94" s="36" t="s">
        <v>275</v>
      </c>
      <c r="P94" s="75"/>
      <c r="Q94" s="50">
        <v>46339</v>
      </c>
      <c r="R94" s="43"/>
      <c r="S94" s="44"/>
      <c r="T94" s="69" t="s">
        <v>265</v>
      </c>
      <c r="U94" s="47"/>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278</v>
      </c>
      <c r="C95" s="31" t="s">
        <v>215</v>
      </c>
      <c r="D95" t="str" cm="1">
        <f t="array" aca="1" ref="D95" ca="1">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Dev",IF(AND(L95="",K95=""),"No target set",IF(AND(IF(L95&lt;&gt;"",L95,K95)&lt;TODAY(),M95=""),"Overdue","On track")),IF(C95="PBI Dev",IF(AND(R95="",Q95=""),"No target set",IF(AND(IF(R95&lt;&gt;"",R95,Q95)&lt;TODAY(),S95=""),"Overdue","On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145</v>
      </c>
      <c r="G95" s="31"/>
      <c r="H95" s="50">
        <v>46356</v>
      </c>
      <c r="I95" s="56" t="s">
        <v>261</v>
      </c>
      <c r="J95" s="54"/>
      <c r="K95" s="50">
        <v>46332</v>
      </c>
      <c r="L95" s="43"/>
      <c r="M95" s="44"/>
      <c r="N95" s="44"/>
      <c r="O95" s="36" t="s">
        <v>275</v>
      </c>
      <c r="P95" s="75"/>
      <c r="Q95" s="50">
        <v>46339</v>
      </c>
      <c r="R95" s="43"/>
      <c r="S95" s="44"/>
      <c r="T95" s="69" t="s">
        <v>279</v>
      </c>
      <c r="U95" s="47"/>
      <c r="V95" s="28">
        <v>46344</v>
      </c>
      <c r="W95" s="43"/>
      <c r="X95" s="31"/>
      <c r="Y95" s="31"/>
      <c r="Z95" s="36"/>
      <c r="AA95" s="28">
        <v>46356</v>
      </c>
      <c r="AB95" s="43"/>
      <c r="AC95" s="43"/>
      <c r="AD95" s="31" t="s">
        <v>280</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281</v>
      </c>
      <c r="C96" s="31" t="s">
        <v>215</v>
      </c>
      <c r="D96" t="str" cm="1">
        <f t="array" aca="1" ref="D96" ca="1">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Dev",IF(AND(L96="",K96=""),"No target set",IF(AND(IF(L96&lt;&gt;"",L96,K96)&lt;TODAY(),M96=""),"Overdue","On track")),IF(C96="PBI Dev",IF(AND(R96="",Q96=""),"No target set",IF(AND(IF(R96&lt;&gt;"",R96,Q96)&lt;TODAY(),S96=""),"Overdue","On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50">
        <v>46356</v>
      </c>
      <c r="I96" s="56" t="s">
        <v>261</v>
      </c>
      <c r="J96" s="54"/>
      <c r="K96" s="50">
        <v>46332</v>
      </c>
      <c r="L96" s="43"/>
      <c r="M96" s="44"/>
      <c r="N96" s="44"/>
      <c r="O96" s="36" t="s">
        <v>275</v>
      </c>
      <c r="P96" s="75"/>
      <c r="Q96" s="50">
        <v>46339</v>
      </c>
      <c r="R96" s="43"/>
      <c r="S96" s="44"/>
      <c r="T96" s="69" t="s">
        <v>279</v>
      </c>
      <c r="U96" s="47"/>
      <c r="V96" s="28">
        <v>46344</v>
      </c>
      <c r="W96" s="43"/>
      <c r="X96" s="31"/>
      <c r="Y96" s="31"/>
      <c r="Z96" s="36"/>
      <c r="AA96" s="28">
        <v>46356</v>
      </c>
      <c r="AB96" s="43"/>
      <c r="AC96" s="43"/>
      <c r="AD96" s="31" t="s">
        <v>282</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283</v>
      </c>
      <c r="C97" s="31" t="s">
        <v>215</v>
      </c>
      <c r="D97" t="str" cm="1">
        <f t="array" aca="1" ref="D97" ca="1">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Dev",IF(AND(L97="",K97=""),"No target set",IF(AND(IF(L97&lt;&gt;"",L97,K97)&lt;TODAY(),M97=""),"Overdue","On track")),IF(C97="PBI Dev",IF(AND(R97="",Q97=""),"No target set",IF(AND(IF(R97&lt;&gt;"",R97,Q97)&lt;TODAY(),S97=""),"Overdue","On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50">
        <v>46356</v>
      </c>
      <c r="I97" s="56" t="s">
        <v>261</v>
      </c>
      <c r="J97" s="54"/>
      <c r="K97" s="50">
        <v>46332</v>
      </c>
      <c r="L97" s="43"/>
      <c r="M97" s="44"/>
      <c r="N97" s="44"/>
      <c r="O97" s="36" t="s">
        <v>275</v>
      </c>
      <c r="P97" s="75"/>
      <c r="Q97" s="50">
        <v>46339</v>
      </c>
      <c r="R97" s="43"/>
      <c r="S97" s="44"/>
      <c r="T97" s="69" t="s">
        <v>279</v>
      </c>
      <c r="U97" s="47"/>
      <c r="V97" s="28">
        <v>46344</v>
      </c>
      <c r="W97" s="43"/>
      <c r="X97" s="31"/>
      <c r="Y97" s="31"/>
      <c r="Z97" s="36"/>
      <c r="AA97" s="28">
        <v>46356</v>
      </c>
      <c r="AB97" s="43"/>
      <c r="AC97" s="43"/>
      <c r="AD97" s="31" t="s">
        <v>284</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285</v>
      </c>
      <c r="C98" s="31" t="s">
        <v>215</v>
      </c>
      <c r="D98" t="str" cm="1">
        <f t="array" aca="1" ref="D98" ca="1">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Dev",IF(AND(L98="",K98=""),"No target set",IF(AND(IF(L98&lt;&gt;"",L98,K98)&lt;TODAY(),M98=""),"Overdue","On track")),IF(C98="PBI Dev",IF(AND(R98="",Q98=""),"No target set",IF(AND(IF(R98&lt;&gt;"",R98,Q98)&lt;TODAY(),S98=""),"Overdue","On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145</v>
      </c>
      <c r="G98" s="31"/>
      <c r="H98" s="50">
        <v>46356</v>
      </c>
      <c r="I98" s="56" t="s">
        <v>261</v>
      </c>
      <c r="J98" s="54"/>
      <c r="K98" s="50">
        <v>46332</v>
      </c>
      <c r="L98" s="43"/>
      <c r="M98" s="44"/>
      <c r="N98" s="44"/>
      <c r="O98" s="36" t="s">
        <v>275</v>
      </c>
      <c r="P98" s="75"/>
      <c r="Q98" s="50">
        <v>46339</v>
      </c>
      <c r="R98" s="43"/>
      <c r="S98" s="44"/>
      <c r="T98" s="69" t="s">
        <v>279</v>
      </c>
      <c r="U98" s="47"/>
      <c r="V98" s="28">
        <v>46344</v>
      </c>
      <c r="W98" s="43"/>
      <c r="X98" s="31"/>
      <c r="Y98" s="31"/>
      <c r="Z98" s="36"/>
      <c r="AA98" s="28">
        <v>46356</v>
      </c>
      <c r="AB98" s="43"/>
      <c r="AC98" s="43"/>
      <c r="AD98" s="31" t="s">
        <v>172</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286</v>
      </c>
      <c r="C99" s="31" t="s">
        <v>215</v>
      </c>
      <c r="D99" t="str" cm="1">
        <f t="array" aca="1" ref="D99" ca="1">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Dev",IF(AND(L99="",K99=""),"No target set",IF(AND(IF(L99&lt;&gt;"",L99,K99)&lt;TODAY(),M99=""),"Overdue","On track")),IF(C99="PBI Dev",IF(AND(R99="",Q99=""),"No target set",IF(AND(IF(R99&lt;&gt;"",R99,Q99)&lt;TODAY(),S99=""),"Overdue","On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287</v>
      </c>
      <c r="F99" s="31" t="s">
        <v>129</v>
      </c>
      <c r="G99" s="31"/>
      <c r="H99" s="50">
        <v>46356</v>
      </c>
      <c r="I99" s="56" t="s">
        <v>261</v>
      </c>
      <c r="J99" s="54" t="s">
        <v>65</v>
      </c>
      <c r="K99" s="50">
        <v>46332</v>
      </c>
      <c r="L99" s="43"/>
      <c r="M99" s="44"/>
      <c r="N99" s="44"/>
      <c r="O99" s="44" t="s">
        <v>246</v>
      </c>
      <c r="P99" s="75"/>
      <c r="Q99" s="50">
        <v>46339</v>
      </c>
      <c r="R99" s="43"/>
      <c r="S99" s="44"/>
      <c r="T99" s="69" t="s">
        <v>279</v>
      </c>
      <c r="U99" s="47"/>
      <c r="V99" s="28">
        <v>46344</v>
      </c>
      <c r="W99" s="43"/>
      <c r="X99" s="31"/>
      <c r="Y99" s="31"/>
      <c r="Z99" s="36"/>
      <c r="AA99" s="28">
        <v>46356</v>
      </c>
      <c r="AB99" s="43"/>
      <c r="AC99" s="43"/>
      <c r="AD99" s="31" t="s">
        <v>288</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289</v>
      </c>
      <c r="C100" s="31" t="s">
        <v>215</v>
      </c>
      <c r="D100" t="str" cm="1">
        <f t="array" aca="1" ref="D100" ca="1">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Dev",IF(AND(L100="",K100=""),"No target set",IF(AND(IF(L100&lt;&gt;"",L100,K100)&lt;TODAY(),M100=""),"Overdue","On track")),IF(C100="PBI Dev",IF(AND(R100="",Q100=""),"No target set",IF(AND(IF(R100&lt;&gt;"",R100,Q100)&lt;TODAY(),S100=""),"Overdue","On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50">
        <v>46356</v>
      </c>
      <c r="I100" s="56" t="s">
        <v>261</v>
      </c>
      <c r="J100" s="54"/>
      <c r="K100" s="50">
        <v>46332</v>
      </c>
      <c r="L100" s="43"/>
      <c r="M100" s="44"/>
      <c r="N100" s="44"/>
      <c r="O100" s="36" t="s">
        <v>275</v>
      </c>
      <c r="P100" s="75"/>
      <c r="Q100" s="50">
        <v>46339</v>
      </c>
      <c r="R100" s="43"/>
      <c r="S100" s="44"/>
      <c r="T100" s="69" t="s">
        <v>279</v>
      </c>
      <c r="U100" s="47"/>
      <c r="V100" s="28">
        <v>46344</v>
      </c>
      <c r="W100" s="43"/>
      <c r="X100" s="31"/>
      <c r="Y100" s="31"/>
      <c r="Z100" s="36"/>
      <c r="AA100" s="28">
        <v>46356</v>
      </c>
      <c r="AB100" s="43"/>
      <c r="AC100" s="43"/>
      <c r="AD100" s="31" t="s">
        <v>290</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291</v>
      </c>
      <c r="B101" s="31" t="s">
        <v>292</v>
      </c>
      <c r="C101" s="31" t="s">
        <v>215</v>
      </c>
      <c r="D101" t="str" cm="1">
        <f t="array" aca="1" ref="D101" ca="1">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Dev",IF(AND(L101="",K101=""),"No target set",IF(AND(IF(L101&lt;&gt;"",L101,K101)&lt;TODAY(),M101=""),"Overdue","On track")),IF(C101="PBI Dev",IF(AND(R101="",Q101=""),"No target set",IF(AND(IF(R101&lt;&gt;"",R101,Q101)&lt;TODAY(),S101=""),"Overdue","On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6" t="s">
        <v>293</v>
      </c>
      <c r="J101" s="54"/>
      <c r="K101" s="28">
        <v>46363</v>
      </c>
      <c r="L101" s="43"/>
      <c r="M101" s="31"/>
      <c r="N101" s="31"/>
      <c r="O101" s="36" t="s">
        <v>294</v>
      </c>
      <c r="P101" s="75"/>
      <c r="Q101" s="28">
        <v>46370</v>
      </c>
      <c r="R101" s="43"/>
      <c r="S101" s="31"/>
      <c r="T101" s="69" t="s">
        <v>279</v>
      </c>
      <c r="U101" s="47"/>
      <c r="V101" s="28">
        <v>46373</v>
      </c>
      <c r="W101" s="43"/>
      <c r="X101" s="31"/>
      <c r="Y101" s="31"/>
      <c r="Z101" s="36"/>
      <c r="AA101" s="28">
        <v>46386</v>
      </c>
      <c r="AB101" s="43"/>
      <c r="AC101" s="43"/>
      <c r="AD101" s="31" t="s">
        <v>295</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291</v>
      </c>
      <c r="B102" s="31" t="s">
        <v>296</v>
      </c>
      <c r="C102" s="31" t="s">
        <v>215</v>
      </c>
      <c r="D102" t="str" cm="1">
        <f t="array" aca="1" ref="D102" ca="1">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Dev",IF(AND(L102="",K102=""),"No target set",IF(AND(IF(L102&lt;&gt;"",L102,K102)&lt;TODAY(),M102=""),"Overdue","On track")),IF(C102="PBI Dev",IF(AND(R102="",Q102=""),"No target set",IF(AND(IF(R102&lt;&gt;"",R102,Q102)&lt;TODAY(),S102=""),"Overdue","On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6" t="s">
        <v>293</v>
      </c>
      <c r="J102" s="54"/>
      <c r="K102" s="28">
        <v>46363</v>
      </c>
      <c r="L102" s="43"/>
      <c r="M102" s="31"/>
      <c r="N102" s="31"/>
      <c r="O102" s="36" t="s">
        <v>294</v>
      </c>
      <c r="P102" s="75"/>
      <c r="Q102" s="28">
        <v>46370</v>
      </c>
      <c r="R102" s="43"/>
      <c r="S102" s="31"/>
      <c r="T102" s="69" t="s">
        <v>297</v>
      </c>
      <c r="U102" s="47"/>
      <c r="V102" s="28">
        <v>46373</v>
      </c>
      <c r="W102" s="43"/>
      <c r="X102" s="31"/>
      <c r="Y102" s="31"/>
      <c r="Z102" s="36"/>
      <c r="AA102" s="28">
        <v>46386</v>
      </c>
      <c r="AB102" s="43"/>
      <c r="AC102" s="43"/>
      <c r="AD102" s="31" t="s">
        <v>298</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291</v>
      </c>
      <c r="B103" s="31" t="s">
        <v>299</v>
      </c>
      <c r="C103" s="31" t="s">
        <v>215</v>
      </c>
      <c r="D103" t="str" cm="1">
        <f t="array" aca="1" ref="D103" ca="1">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Dev",IF(AND(L103="",K103=""),"No target set",IF(AND(IF(L103&lt;&gt;"",L103,K103)&lt;TODAY(),M103=""),"Overdue","On track")),IF(C103="PBI Dev",IF(AND(R103="",Q103=""),"No target set",IF(AND(IF(R103&lt;&gt;"",R103,Q103)&lt;TODAY(),S103=""),"Overdue","On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6" t="s">
        <v>293</v>
      </c>
      <c r="J103" s="54"/>
      <c r="K103" s="28">
        <v>46363</v>
      </c>
      <c r="L103" s="43"/>
      <c r="M103" s="31"/>
      <c r="N103" s="31"/>
      <c r="O103" s="36" t="s">
        <v>294</v>
      </c>
      <c r="P103" s="75"/>
      <c r="Q103" s="28">
        <v>46370</v>
      </c>
      <c r="R103" s="43"/>
      <c r="S103" s="31"/>
      <c r="T103" s="69" t="s">
        <v>297</v>
      </c>
      <c r="U103" s="47"/>
      <c r="V103" s="28">
        <v>46373</v>
      </c>
      <c r="W103" s="43"/>
      <c r="X103" s="31"/>
      <c r="Y103" s="31"/>
      <c r="Z103" s="36"/>
      <c r="AA103" s="28">
        <v>46386</v>
      </c>
      <c r="AB103" s="43"/>
      <c r="AC103" s="43"/>
      <c r="AD103" s="31" t="s">
        <v>300</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301</v>
      </c>
      <c r="B104" s="31" t="s">
        <v>302</v>
      </c>
      <c r="C104" s="31" t="s">
        <v>215</v>
      </c>
      <c r="D104" t="str" cm="1">
        <f t="array" aca="1" ref="D104" ca="1">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Dev",IF(AND(L104="",K104=""),"No target set",IF(AND(IF(L104&lt;&gt;"",L104,K104)&lt;TODAY(),M104=""),"Overdue","On track")),IF(C104="PBI Dev",IF(AND(R104="",Q104=""),"No target set",IF(AND(IF(R104&lt;&gt;"",R104,Q104)&lt;TODAY(),S104=""),"Overdue","On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145</v>
      </c>
      <c r="G104" s="31"/>
      <c r="H104" s="28">
        <v>46387</v>
      </c>
      <c r="I104" s="56" t="s">
        <v>293</v>
      </c>
      <c r="J104" s="54"/>
      <c r="K104" s="28">
        <v>46363</v>
      </c>
      <c r="L104" s="43"/>
      <c r="M104" s="31"/>
      <c r="N104" s="31"/>
      <c r="O104" s="36" t="s">
        <v>294</v>
      </c>
      <c r="P104" s="75"/>
      <c r="Q104" s="28">
        <v>46370</v>
      </c>
      <c r="R104" s="43"/>
      <c r="S104" s="31"/>
      <c r="T104" s="69" t="s">
        <v>297</v>
      </c>
      <c r="U104" s="47"/>
      <c r="V104" s="28">
        <v>46373</v>
      </c>
      <c r="W104" s="43"/>
      <c r="X104" s="31"/>
      <c r="Y104" s="31"/>
      <c r="Z104" s="36"/>
      <c r="AA104" s="28">
        <v>46386</v>
      </c>
      <c r="AB104" s="43"/>
      <c r="AC104" s="43"/>
      <c r="AD104" s="31" t="s">
        <v>303</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291</v>
      </c>
      <c r="B105" s="31" t="s">
        <v>304</v>
      </c>
      <c r="C105" s="31" t="s">
        <v>215</v>
      </c>
      <c r="D105" t="str" cm="1">
        <f t="array" aca="1" ref="D105" ca="1">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Dev",IF(AND(L105="",K105=""),"No target set",IF(AND(IF(L105&lt;&gt;"",L105,K105)&lt;TODAY(),M105=""),"Overdue","On track")),IF(C105="PBI Dev",IF(AND(R105="",Q105=""),"No target set",IF(AND(IF(R105&lt;&gt;"",R105,Q105)&lt;TODAY(),S105=""),"Overdue","On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6" t="s">
        <v>293</v>
      </c>
      <c r="J105" s="54"/>
      <c r="K105" s="28">
        <v>46363</v>
      </c>
      <c r="L105" s="43"/>
      <c r="M105" s="31"/>
      <c r="N105" s="31"/>
      <c r="O105" s="36" t="s">
        <v>294</v>
      </c>
      <c r="P105" s="75"/>
      <c r="Q105" s="28">
        <v>46370</v>
      </c>
      <c r="R105" s="43"/>
      <c r="S105" s="31"/>
      <c r="T105" s="69" t="s">
        <v>297</v>
      </c>
      <c r="U105" s="47"/>
      <c r="V105" s="28">
        <v>46373</v>
      </c>
      <c r="W105" s="43"/>
      <c r="X105" s="31"/>
      <c r="Y105" s="31"/>
      <c r="Z105" s="36"/>
      <c r="AA105" s="28">
        <v>46386</v>
      </c>
      <c r="AB105" s="43"/>
      <c r="AC105" s="43"/>
      <c r="AD105" s="31" t="s">
        <v>305</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291</v>
      </c>
      <c r="B106" s="31" t="s">
        <v>306</v>
      </c>
      <c r="C106" s="31" t="s">
        <v>215</v>
      </c>
      <c r="D106" t="str" cm="1">
        <f t="array" aca="1" ref="D106" ca="1">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Dev",IF(AND(L106="",K106=""),"No target set",IF(AND(IF(L106&lt;&gt;"",L106,K106)&lt;TODAY(),M106=""),"Overdue","On track")),IF(C106="PBI Dev",IF(AND(R106="",Q106=""),"No target set",IF(AND(IF(R106&lt;&gt;"",R106,Q106)&lt;TODAY(),S106=""),"Overdue","On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6" t="s">
        <v>293</v>
      </c>
      <c r="J106" s="54"/>
      <c r="K106" s="28">
        <v>46363</v>
      </c>
      <c r="L106" s="43"/>
      <c r="M106" s="31"/>
      <c r="N106" s="31"/>
      <c r="O106" s="36" t="s">
        <v>294</v>
      </c>
      <c r="P106" s="75"/>
      <c r="Q106" s="28">
        <v>46370</v>
      </c>
      <c r="R106" s="43"/>
      <c r="S106" s="31"/>
      <c r="T106" s="69" t="s">
        <v>297</v>
      </c>
      <c r="U106" s="47"/>
      <c r="V106" s="28">
        <v>46373</v>
      </c>
      <c r="W106" s="43"/>
      <c r="X106" s="31"/>
      <c r="Y106" s="31"/>
      <c r="Z106" s="36"/>
      <c r="AA106" s="28">
        <v>46386</v>
      </c>
      <c r="AB106" s="43"/>
      <c r="AC106" s="43"/>
      <c r="AD106" s="31" t="s">
        <v>307</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291</v>
      </c>
      <c r="B107" s="31" t="s">
        <v>308</v>
      </c>
      <c r="C107" s="31" t="s">
        <v>215</v>
      </c>
      <c r="D107" t="str" cm="1">
        <f t="array" aca="1" ref="D107" ca="1">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Dev",IF(AND(L107="",K107=""),"No target set",IF(AND(IF(L107&lt;&gt;"",L107,K107)&lt;TODAY(),M107=""),"Overdue","On track")),IF(C107="PBI Dev",IF(AND(R107="",Q107=""),"No target set",IF(AND(IF(R107&lt;&gt;"",R107,Q107)&lt;TODAY(),S107=""),"Overdue","On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6" t="s">
        <v>293</v>
      </c>
      <c r="J107" s="54"/>
      <c r="K107" s="28">
        <v>46363</v>
      </c>
      <c r="L107" s="43"/>
      <c r="M107" s="31"/>
      <c r="N107" s="31"/>
      <c r="O107" s="36" t="s">
        <v>294</v>
      </c>
      <c r="P107" s="75"/>
      <c r="Q107" s="28">
        <v>46370</v>
      </c>
      <c r="R107" s="43"/>
      <c r="S107" s="31"/>
      <c r="T107" s="69" t="s">
        <v>297</v>
      </c>
      <c r="U107" s="47"/>
      <c r="V107" s="28">
        <v>46373</v>
      </c>
      <c r="W107" s="43"/>
      <c r="X107" s="31"/>
      <c r="Y107" s="31"/>
      <c r="Z107" s="36"/>
      <c r="AA107" s="28">
        <v>46386</v>
      </c>
      <c r="AB107" s="43"/>
      <c r="AC107" s="43"/>
      <c r="AD107" s="31" t="s">
        <v>309</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291</v>
      </c>
      <c r="B108" s="31" t="s">
        <v>310</v>
      </c>
      <c r="C108" s="31" t="s">
        <v>215</v>
      </c>
      <c r="D108" t="str" cm="1">
        <f t="array" aca="1" ref="D108" ca="1">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Dev",IF(AND(L108="",K108=""),"No target set",IF(AND(IF(L108&lt;&gt;"",L108,K108)&lt;TODAY(),M108=""),"Overdue","On track")),IF(C108="PBI Dev",IF(AND(R108="",Q108=""),"No target set",IF(AND(IF(R108&lt;&gt;"",R108,Q108)&lt;TODAY(),S108=""),"Overdue","On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6" t="s">
        <v>293</v>
      </c>
      <c r="J108" s="54"/>
      <c r="K108" s="28">
        <v>46363</v>
      </c>
      <c r="L108" s="43"/>
      <c r="M108" s="31"/>
      <c r="N108" s="31"/>
      <c r="O108" s="36" t="s">
        <v>311</v>
      </c>
      <c r="P108" s="75"/>
      <c r="Q108" s="28">
        <v>46370</v>
      </c>
      <c r="R108" s="43"/>
      <c r="S108" s="31"/>
      <c r="T108" s="69" t="s">
        <v>297</v>
      </c>
      <c r="U108" s="47"/>
      <c r="V108" s="28">
        <v>46373</v>
      </c>
      <c r="W108" s="43"/>
      <c r="X108" s="31"/>
      <c r="Y108" s="31"/>
      <c r="Z108" s="36"/>
      <c r="AA108" s="28">
        <v>46386</v>
      </c>
      <c r="AB108" s="43"/>
      <c r="AC108" s="43"/>
      <c r="AD108" s="31" t="s">
        <v>312</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301</v>
      </c>
      <c r="B109" s="31" t="s">
        <v>313</v>
      </c>
      <c r="C109" s="31" t="s">
        <v>215</v>
      </c>
      <c r="D109" t="str" cm="1">
        <f t="array" aca="1" ref="D109" ca="1">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Dev",IF(AND(L109="",K109=""),"No target set",IF(AND(IF(L109&lt;&gt;"",L109,K109)&lt;TODAY(),M109=""),"Overdue","On track")),IF(C109="PBI Dev",IF(AND(R109="",Q109=""),"No target set",IF(AND(IF(R109&lt;&gt;"",R109,Q109)&lt;TODAY(),S109=""),"Overdue","On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145</v>
      </c>
      <c r="G109" s="31"/>
      <c r="H109" s="28">
        <v>46387</v>
      </c>
      <c r="I109" s="56" t="s">
        <v>293</v>
      </c>
      <c r="J109" s="54"/>
      <c r="K109" s="28">
        <v>46363</v>
      </c>
      <c r="L109" s="43"/>
      <c r="M109" s="31"/>
      <c r="N109" s="31"/>
      <c r="O109" s="36" t="s">
        <v>311</v>
      </c>
      <c r="P109" s="75"/>
      <c r="Q109" s="28">
        <v>46370</v>
      </c>
      <c r="R109" s="43"/>
      <c r="S109" s="31"/>
      <c r="T109" s="69" t="s">
        <v>314</v>
      </c>
      <c r="U109" s="47"/>
      <c r="V109" s="28">
        <v>46373</v>
      </c>
      <c r="W109" s="43"/>
      <c r="X109" s="31"/>
      <c r="Y109" s="31"/>
      <c r="Z109" s="36"/>
      <c r="AA109" s="28">
        <v>46386</v>
      </c>
      <c r="AB109" s="43"/>
      <c r="AC109" s="43"/>
      <c r="AD109" s="31" t="s">
        <v>315</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291</v>
      </c>
      <c r="B110" s="31" t="s">
        <v>316</v>
      </c>
      <c r="C110" s="31" t="s">
        <v>215</v>
      </c>
      <c r="D110" t="str" cm="1">
        <f t="array" aca="1" ref="D110" ca="1">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Dev",IF(AND(L110="",K110=""),"No target set",IF(AND(IF(L110&lt;&gt;"",L110,K110)&lt;TODAY(),M110=""),"Overdue","On track")),IF(C110="PBI Dev",IF(AND(R110="",Q110=""),"No target set",IF(AND(IF(R110&lt;&gt;"",R110,Q110)&lt;TODAY(),S110=""),"Overdue","On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6" t="s">
        <v>293</v>
      </c>
      <c r="J110" s="54"/>
      <c r="K110" s="28">
        <v>46363</v>
      </c>
      <c r="L110" s="43"/>
      <c r="M110" s="31"/>
      <c r="N110" s="31"/>
      <c r="O110" s="36" t="s">
        <v>311</v>
      </c>
      <c r="P110" s="75"/>
      <c r="Q110" s="28">
        <v>46370</v>
      </c>
      <c r="R110" s="43"/>
      <c r="S110" s="31"/>
      <c r="T110" s="69" t="s">
        <v>314</v>
      </c>
      <c r="U110" s="47"/>
      <c r="V110" s="28">
        <v>46373</v>
      </c>
      <c r="W110" s="43"/>
      <c r="X110" s="31"/>
      <c r="Y110" s="31"/>
      <c r="Z110" s="36"/>
      <c r="AA110" s="28">
        <v>46386</v>
      </c>
      <c r="AB110" s="43"/>
      <c r="AC110" s="43"/>
      <c r="AD110" s="31" t="s">
        <v>317</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301</v>
      </c>
      <c r="B111" s="31" t="s">
        <v>318</v>
      </c>
      <c r="C111" s="31" t="s">
        <v>215</v>
      </c>
      <c r="D111" t="str" cm="1">
        <f t="array" aca="1" ref="D111" ca="1">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Dev",IF(AND(L111="",K111=""),"No target set",IF(AND(IF(L111&lt;&gt;"",L111,K111)&lt;TODAY(),M111=""),"Overdue","On track")),IF(C111="PBI Dev",IF(AND(R111="",Q111=""),"No target set",IF(AND(IF(R111&lt;&gt;"",R111,Q111)&lt;TODAY(),S111=""),"Overdue","On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145</v>
      </c>
      <c r="G111" s="31"/>
      <c r="H111" s="28">
        <v>46387</v>
      </c>
      <c r="I111" s="56" t="s">
        <v>293</v>
      </c>
      <c r="J111" s="54"/>
      <c r="K111" s="28">
        <v>46363</v>
      </c>
      <c r="L111" s="43"/>
      <c r="M111" s="31"/>
      <c r="N111" s="31"/>
      <c r="O111" s="36" t="s">
        <v>311</v>
      </c>
      <c r="P111" s="75"/>
      <c r="Q111" s="28">
        <v>46370</v>
      </c>
      <c r="R111" s="43"/>
      <c r="S111" s="31"/>
      <c r="T111" s="69" t="s">
        <v>314</v>
      </c>
      <c r="U111" s="47"/>
      <c r="V111" s="28">
        <v>46373</v>
      </c>
      <c r="W111" s="43"/>
      <c r="X111" s="31"/>
      <c r="Y111" s="31"/>
      <c r="Z111" s="36"/>
      <c r="AA111" s="28">
        <v>46386</v>
      </c>
      <c r="AB111" s="43"/>
      <c r="AC111" s="43"/>
      <c r="AD111" s="31" t="s">
        <v>319</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301</v>
      </c>
      <c r="B112" s="31" t="s">
        <v>320</v>
      </c>
      <c r="C112" s="31" t="s">
        <v>215</v>
      </c>
      <c r="D112" t="str" cm="1">
        <f t="array" aca="1" ref="D112" ca="1">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Dev",IF(AND(L112="",K112=""),"No target set",IF(AND(IF(L112&lt;&gt;"",L112,K112)&lt;TODAY(),M112=""),"Overdue","On track")),IF(C112="PBI Dev",IF(AND(R112="",Q112=""),"No target set",IF(AND(IF(R112&lt;&gt;"",R112,Q112)&lt;TODAY(),S112=""),"Overdue","On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145</v>
      </c>
      <c r="G112" s="31"/>
      <c r="H112" s="28">
        <v>46387</v>
      </c>
      <c r="I112" s="56" t="s">
        <v>293</v>
      </c>
      <c r="J112" s="54"/>
      <c r="K112" s="28">
        <v>46363</v>
      </c>
      <c r="L112" s="43"/>
      <c r="M112" s="31"/>
      <c r="N112" s="31"/>
      <c r="O112" s="36" t="s">
        <v>311</v>
      </c>
      <c r="P112" s="75"/>
      <c r="Q112" s="28">
        <v>46370</v>
      </c>
      <c r="R112" s="43"/>
      <c r="S112" s="31"/>
      <c r="T112" s="69" t="s">
        <v>314</v>
      </c>
      <c r="U112" s="47"/>
      <c r="V112" s="28">
        <v>46373</v>
      </c>
      <c r="W112" s="43"/>
      <c r="X112" s="31"/>
      <c r="Y112" s="31"/>
      <c r="Z112" s="36"/>
      <c r="AA112" s="28">
        <v>46386</v>
      </c>
      <c r="AB112" s="43"/>
      <c r="AC112" s="43"/>
      <c r="AD112" s="31" t="s">
        <v>315</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301</v>
      </c>
      <c r="B113" s="31" t="s">
        <v>321</v>
      </c>
      <c r="C113" s="31" t="s">
        <v>215</v>
      </c>
      <c r="D113" t="str" cm="1">
        <f t="array" aca="1" ref="D113" ca="1">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Dev",IF(AND(L113="",K113=""),"No target set",IF(AND(IF(L113&lt;&gt;"",L113,K113)&lt;TODAY(),M113=""),"Overdue","On track")),IF(C113="PBI Dev",IF(AND(R113="",Q113=""),"No target set",IF(AND(IF(R113&lt;&gt;"",R113,Q113)&lt;TODAY(),S113=""),"Overdue","On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145</v>
      </c>
      <c r="G113" s="31"/>
      <c r="H113" s="28">
        <v>46387</v>
      </c>
      <c r="I113" s="56" t="s">
        <v>293</v>
      </c>
      <c r="J113" s="54"/>
      <c r="K113" s="28">
        <v>46363</v>
      </c>
      <c r="L113" s="43"/>
      <c r="M113" s="31"/>
      <c r="N113" s="31"/>
      <c r="O113" s="36" t="s">
        <v>311</v>
      </c>
      <c r="P113" s="75"/>
      <c r="Q113" s="28">
        <v>46370</v>
      </c>
      <c r="R113" s="43"/>
      <c r="S113" s="31"/>
      <c r="T113" s="69" t="s">
        <v>314</v>
      </c>
      <c r="U113" s="47"/>
      <c r="V113" s="28">
        <v>46373</v>
      </c>
      <c r="W113" s="43"/>
      <c r="X113" s="31"/>
      <c r="Y113" s="31"/>
      <c r="Z113" s="36"/>
      <c r="AA113" s="28">
        <v>46386</v>
      </c>
      <c r="AB113" s="43"/>
      <c r="AC113" s="43"/>
      <c r="AD113" s="31" t="s">
        <v>315</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301</v>
      </c>
      <c r="B114" s="31" t="s">
        <v>322</v>
      </c>
      <c r="C114" s="31" t="s">
        <v>215</v>
      </c>
      <c r="D114" t="str" cm="1">
        <f t="array" aca="1" ref="D114" ca="1">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Dev",IF(AND(L114="",K114=""),"No target set",IF(AND(IF(L114&lt;&gt;"",L114,K114)&lt;TODAY(),M114=""),"Overdue","On track")),IF(C114="PBI Dev",IF(AND(R114="",Q114=""),"No target set",IF(AND(IF(R114&lt;&gt;"",R114,Q114)&lt;TODAY(),S114=""),"Overdue","On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145</v>
      </c>
      <c r="G114" s="31"/>
      <c r="H114" s="28">
        <v>46387</v>
      </c>
      <c r="I114" s="56" t="s">
        <v>293</v>
      </c>
      <c r="J114" s="54"/>
      <c r="K114" s="28">
        <v>46363</v>
      </c>
      <c r="L114" s="43"/>
      <c r="M114" s="31"/>
      <c r="N114" s="31"/>
      <c r="O114" s="36" t="s">
        <v>323</v>
      </c>
      <c r="P114" s="75"/>
      <c r="Q114" s="28">
        <v>46370</v>
      </c>
      <c r="R114" s="43"/>
      <c r="S114" s="31"/>
      <c r="T114" s="69" t="s">
        <v>314</v>
      </c>
      <c r="U114" s="47"/>
      <c r="V114" s="28">
        <v>46373</v>
      </c>
      <c r="W114" s="43"/>
      <c r="X114" s="31"/>
      <c r="Y114" s="31"/>
      <c r="Z114" s="36"/>
      <c r="AA114" s="28">
        <v>46386</v>
      </c>
      <c r="AB114" s="43"/>
      <c r="AC114" s="43"/>
      <c r="AD114" s="31" t="s">
        <v>319</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301</v>
      </c>
      <c r="B115" s="31" t="s">
        <v>324</v>
      </c>
      <c r="C115" s="31" t="s">
        <v>215</v>
      </c>
      <c r="D115" t="str" cm="1">
        <f t="array" aca="1" ref="D115" ca="1">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Dev",IF(AND(L115="",K115=""),"No target set",IF(AND(IF(L115&lt;&gt;"",L115,K115)&lt;TODAY(),M115=""),"Overdue","On track")),IF(C115="PBI Dev",IF(AND(R115="",Q115=""),"No target set",IF(AND(IF(R115&lt;&gt;"",R115,Q115)&lt;TODAY(),S115=""),"Overdue","On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145</v>
      </c>
      <c r="G115" s="31"/>
      <c r="H115" s="28">
        <v>46387</v>
      </c>
      <c r="I115" s="56" t="s">
        <v>293</v>
      </c>
      <c r="J115" s="54"/>
      <c r="K115" s="28">
        <v>46363</v>
      </c>
      <c r="L115" s="43"/>
      <c r="M115" s="31"/>
      <c r="N115" s="31"/>
      <c r="O115" s="36" t="s">
        <v>323</v>
      </c>
      <c r="P115" s="75"/>
      <c r="Q115" s="28">
        <v>46370</v>
      </c>
      <c r="R115" s="43"/>
      <c r="S115" s="31"/>
      <c r="T115" s="69" t="s">
        <v>314</v>
      </c>
      <c r="U115" s="47"/>
      <c r="V115" s="28">
        <v>46373</v>
      </c>
      <c r="W115" s="43"/>
      <c r="X115" s="31"/>
      <c r="Y115" s="31"/>
      <c r="Z115" s="36"/>
      <c r="AA115" s="28">
        <v>46386</v>
      </c>
      <c r="AB115" s="43"/>
      <c r="AC115" s="43"/>
      <c r="AD115" s="31" t="s">
        <v>262</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6"/>
      <c r="R116" s="31"/>
      <c r="S116" s="31"/>
      <c r="T116" s="71"/>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6"/>
      <c r="R117" s="31"/>
      <c r="S117" s="31"/>
      <c r="T117" s="71"/>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6"/>
      <c r="R118" s="31"/>
      <c r="S118" s="31"/>
      <c r="T118" s="71"/>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6"/>
      <c r="R119" s="31"/>
      <c r="S119" s="31"/>
      <c r="T119" s="71"/>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6"/>
      <c r="R120" s="31"/>
      <c r="S120" s="31"/>
      <c r="T120" s="71"/>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6"/>
      <c r="R121" s="31"/>
      <c r="S121" s="31"/>
      <c r="T121" s="71"/>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6"/>
      <c r="R122" s="31"/>
      <c r="S122" s="31"/>
      <c r="T122" s="71"/>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6"/>
      <c r="R123" s="31"/>
      <c r="S123" s="31"/>
      <c r="T123" s="71"/>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6"/>
      <c r="R124" s="31"/>
      <c r="S124" s="31"/>
      <c r="T124" s="71"/>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6"/>
      <c r="R125" s="31"/>
      <c r="S125" s="31"/>
      <c r="T125" s="71"/>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6"/>
      <c r="R126" s="31"/>
      <c r="S126" s="31"/>
      <c r="T126" s="71"/>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6"/>
      <c r="R127" s="31"/>
      <c r="S127" s="31"/>
      <c r="T127" s="71"/>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6"/>
      <c r="R128" s="31"/>
      <c r="S128" s="31"/>
      <c r="T128" s="71"/>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6"/>
      <c r="R129" s="31"/>
      <c r="S129" s="31"/>
      <c r="T129" s="71"/>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6"/>
      <c r="R130" s="31"/>
      <c r="S130" s="31"/>
      <c r="T130" s="71"/>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6"/>
      <c r="R131" s="31"/>
      <c r="S131" s="31"/>
      <c r="T131" s="71"/>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6"/>
      <c r="R132" s="31"/>
      <c r="S132" s="31"/>
      <c r="T132" s="71"/>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6"/>
      <c r="R133" s="31"/>
      <c r="S133" s="31"/>
      <c r="T133" s="71"/>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6"/>
      <c r="R134" s="31"/>
      <c r="S134" s="31"/>
      <c r="T134" s="71"/>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6"/>
      <c r="R135" s="31"/>
      <c r="S135" s="31"/>
      <c r="T135" s="71"/>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6"/>
      <c r="R136" s="31"/>
      <c r="S136" s="31"/>
      <c r="T136" s="71"/>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6"/>
      <c r="R137" s="31"/>
      <c r="S137" s="31"/>
      <c r="T137" s="71"/>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6"/>
      <c r="R138" s="31"/>
      <c r="S138" s="31"/>
      <c r="T138" s="71"/>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6"/>
      <c r="R139" s="31"/>
      <c r="S139" s="31"/>
      <c r="T139" s="71"/>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6"/>
      <c r="R140" s="31"/>
      <c r="S140" s="31"/>
      <c r="T140" s="71"/>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6"/>
      <c r="R141" s="31"/>
      <c r="S141" s="31"/>
      <c r="T141" s="71"/>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6"/>
      <c r="R142" s="31"/>
      <c r="S142" s="31"/>
      <c r="T142" s="71"/>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6"/>
      <c r="R143" s="31"/>
      <c r="S143" s="31"/>
      <c r="T143" s="71"/>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6"/>
      <c r="R144" s="31"/>
      <c r="S144" s="31"/>
      <c r="T144" s="71"/>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6"/>
      <c r="R145" s="31"/>
      <c r="S145" s="31"/>
      <c r="T145" s="71"/>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6"/>
      <c r="R146" s="31"/>
      <c r="S146" s="31"/>
      <c r="T146" s="71"/>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6"/>
      <c r="R147" s="31"/>
      <c r="S147" s="31"/>
      <c r="T147" s="71"/>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6"/>
      <c r="R148" s="31"/>
      <c r="S148" s="31"/>
      <c r="T148" s="71"/>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6"/>
      <c r="R149" s="31"/>
      <c r="S149" s="31"/>
      <c r="T149" s="71"/>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6"/>
      <c r="R150" s="31"/>
      <c r="S150" s="31"/>
      <c r="T150" s="71"/>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6"/>
      <c r="R151" s="31"/>
      <c r="S151" s="31"/>
      <c r="T151" s="71"/>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6"/>
      <c r="R152" s="31"/>
      <c r="S152" s="31"/>
      <c r="T152" s="71"/>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6"/>
      <c r="R153" s="31"/>
      <c r="S153" s="31"/>
      <c r="T153" s="71"/>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6"/>
      <c r="R154" s="31"/>
      <c r="S154" s="31"/>
      <c r="T154" s="71"/>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6"/>
      <c r="R155" s="31"/>
      <c r="S155" s="31"/>
      <c r="T155" s="71"/>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6"/>
      <c r="R156" s="31"/>
      <c r="S156" s="31"/>
      <c r="T156" s="71"/>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6"/>
      <c r="R157" s="31"/>
      <c r="S157" s="31"/>
      <c r="T157" s="71"/>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6"/>
      <c r="R158" s="31"/>
      <c r="S158" s="31"/>
      <c r="T158" s="71"/>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6"/>
      <c r="R159" s="31"/>
      <c r="S159" s="31"/>
      <c r="T159" s="71"/>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6"/>
      <c r="R160" s="31"/>
      <c r="S160" s="31"/>
      <c r="T160" s="71"/>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6"/>
      <c r="R161" s="31"/>
      <c r="S161" s="31"/>
      <c r="T161" s="71"/>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6"/>
      <c r="R162" s="31"/>
      <c r="S162" s="31"/>
      <c r="T162" s="71"/>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6"/>
      <c r="R163" s="31"/>
      <c r="S163" s="31"/>
      <c r="T163" s="71"/>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6"/>
      <c r="R164" s="31"/>
      <c r="S164" s="31"/>
      <c r="T164" s="71"/>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6"/>
      <c r="R165" s="31"/>
      <c r="S165" s="31"/>
      <c r="T165" s="71"/>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6"/>
      <c r="R166" s="31"/>
      <c r="S166" s="31"/>
      <c r="T166" s="71"/>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6"/>
      <c r="R167" s="31"/>
      <c r="S167" s="31"/>
      <c r="T167" s="71"/>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6"/>
      <c r="R168" s="31"/>
      <c r="S168" s="31"/>
      <c r="T168" s="71"/>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6"/>
      <c r="R169" s="31"/>
      <c r="S169" s="31"/>
      <c r="T169" s="71"/>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6"/>
      <c r="R170" s="31"/>
      <c r="S170" s="31"/>
      <c r="T170" s="71"/>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6"/>
      <c r="R171" s="31"/>
      <c r="S171" s="31"/>
      <c r="T171" s="71"/>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6"/>
      <c r="R172" s="31"/>
      <c r="S172" s="31"/>
      <c r="T172" s="71"/>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6"/>
      <c r="R173" s="31"/>
      <c r="S173" s="31"/>
      <c r="T173" s="71"/>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6"/>
      <c r="R174" s="31"/>
      <c r="S174" s="31"/>
      <c r="T174" s="71"/>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6"/>
      <c r="R175" s="31"/>
      <c r="S175" s="31"/>
      <c r="T175" s="71"/>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6"/>
      <c r="R176" s="31"/>
      <c r="S176" s="31"/>
      <c r="T176" s="71"/>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6"/>
      <c r="R177" s="31"/>
      <c r="S177" s="31"/>
      <c r="T177" s="71"/>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6"/>
      <c r="R178" s="31"/>
      <c r="S178" s="31"/>
      <c r="T178" s="71"/>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6"/>
      <c r="R179" s="31"/>
      <c r="S179" s="31"/>
      <c r="T179" s="71"/>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6"/>
      <c r="R180" s="31"/>
      <c r="S180" s="31"/>
      <c r="T180" s="71"/>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6"/>
      <c r="R181" s="31"/>
      <c r="S181" s="31"/>
      <c r="T181" s="71"/>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6"/>
      <c r="R182" s="31"/>
      <c r="S182" s="31"/>
      <c r="T182" s="71"/>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6"/>
      <c r="R183" s="31"/>
      <c r="S183" s="31"/>
      <c r="T183" s="71"/>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6"/>
      <c r="R184" s="31"/>
      <c r="S184" s="31"/>
      <c r="T184" s="71"/>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6"/>
      <c r="R185" s="31"/>
      <c r="S185" s="31"/>
      <c r="T185" s="71"/>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6"/>
      <c r="R186" s="31"/>
      <c r="S186" s="31"/>
      <c r="T186" s="71"/>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6"/>
      <c r="R187" s="31"/>
      <c r="S187" s="31"/>
      <c r="T187" s="71"/>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6"/>
      <c r="R188" s="31"/>
      <c r="S188" s="31"/>
      <c r="T188" s="71"/>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6"/>
      <c r="R189" s="31"/>
      <c r="S189" s="31"/>
      <c r="T189" s="71"/>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6"/>
      <c r="R190" s="31"/>
      <c r="S190" s="31"/>
      <c r="T190" s="71"/>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6"/>
      <c r="R191" s="31"/>
      <c r="S191" s="31"/>
      <c r="T191" s="71"/>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6"/>
      <c r="R192" s="31"/>
      <c r="S192" s="31"/>
      <c r="T192" s="71"/>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6"/>
      <c r="R193" s="31"/>
      <c r="S193" s="31"/>
      <c r="T193" s="71"/>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6"/>
      <c r="R194" s="31"/>
      <c r="S194" s="31"/>
      <c r="T194" s="71"/>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6"/>
      <c r="R195" s="31"/>
      <c r="S195" s="31"/>
      <c r="T195" s="71"/>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6"/>
      <c r="R196" s="31"/>
      <c r="S196" s="31"/>
      <c r="T196" s="71"/>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6"/>
      <c r="R197" s="31"/>
      <c r="S197" s="31"/>
      <c r="T197" s="71"/>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6"/>
      <c r="R198" s="31"/>
      <c r="S198" s="31"/>
      <c r="T198" s="71"/>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6"/>
      <c r="R199" s="31"/>
      <c r="S199" s="31"/>
      <c r="T199" s="71"/>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6"/>
      <c r="R200" s="31"/>
      <c r="S200" s="31"/>
      <c r="T200" s="71"/>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6"/>
      <c r="R201" s="31"/>
      <c r="S201" s="31"/>
      <c r="T201" s="71"/>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6"/>
      <c r="R202" s="31"/>
      <c r="S202" s="31"/>
      <c r="T202" s="71"/>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6"/>
      <c r="R203" s="31"/>
      <c r="S203" s="31"/>
      <c r="T203" s="71"/>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6"/>
      <c r="R204" s="31"/>
      <c r="S204" s="31"/>
      <c r="T204" s="71"/>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6"/>
      <c r="R205" s="31"/>
      <c r="S205" s="31"/>
      <c r="T205" s="71"/>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6"/>
      <c r="R206" s="31"/>
      <c r="S206" s="31"/>
      <c r="T206" s="71"/>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6"/>
      <c r="R207" s="31"/>
      <c r="S207" s="31"/>
      <c r="T207" s="71"/>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6"/>
      <c r="R208" s="31"/>
      <c r="S208" s="31"/>
      <c r="T208" s="71"/>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6"/>
      <c r="R209" s="31"/>
      <c r="S209" s="31"/>
      <c r="T209" s="71"/>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6"/>
      <c r="R210" s="31"/>
      <c r="S210" s="31"/>
      <c r="T210" s="71"/>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6"/>
      <c r="R211" s="31"/>
      <c r="S211" s="31"/>
      <c r="T211" s="71"/>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6"/>
      <c r="R212" s="31"/>
      <c r="S212" s="31"/>
      <c r="T212" s="71"/>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6"/>
      <c r="R213" s="31"/>
      <c r="S213" s="31"/>
      <c r="T213" s="71"/>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6"/>
      <c r="R214" s="31"/>
      <c r="S214" s="31"/>
      <c r="T214" s="71"/>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6"/>
      <c r="R215" s="31"/>
      <c r="S215" s="31"/>
      <c r="T215" s="71"/>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6"/>
      <c r="R216" s="31"/>
      <c r="S216" s="31"/>
      <c r="T216" s="71"/>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6"/>
      <c r="R217" s="31"/>
      <c r="S217" s="31"/>
      <c r="T217" s="71"/>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6"/>
      <c r="R218" s="31"/>
      <c r="S218" s="31"/>
      <c r="T218" s="71"/>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6"/>
      <c r="R219" s="31"/>
      <c r="S219" s="31"/>
      <c r="T219" s="71"/>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6"/>
      <c r="R220" s="31"/>
      <c r="S220" s="31"/>
      <c r="T220" s="71"/>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6"/>
      <c r="R221" s="31"/>
      <c r="S221" s="31"/>
      <c r="T221" s="71"/>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6"/>
      <c r="R222" s="31"/>
      <c r="S222" s="31"/>
      <c r="T222" s="71"/>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6"/>
      <c r="R223" s="31"/>
      <c r="S223" s="31"/>
      <c r="T223" s="71"/>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6"/>
      <c r="R224" s="31"/>
      <c r="S224" s="31"/>
      <c r="T224" s="71"/>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6"/>
      <c r="R225" s="31"/>
      <c r="S225" s="31"/>
      <c r="T225" s="71"/>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6"/>
      <c r="R226" s="31"/>
      <c r="S226" s="31"/>
      <c r="T226" s="71"/>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6"/>
      <c r="R227" s="31"/>
      <c r="S227" s="31"/>
      <c r="T227" s="71"/>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6"/>
      <c r="R228" s="31"/>
      <c r="S228" s="31"/>
      <c r="T228" s="71"/>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6"/>
      <c r="R229" s="31"/>
      <c r="S229" s="31"/>
      <c r="T229" s="71"/>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6"/>
      <c r="R230" s="31"/>
      <c r="S230" s="31"/>
      <c r="T230" s="71"/>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6"/>
      <c r="R231" s="31"/>
      <c r="S231" s="31"/>
      <c r="T231" s="71"/>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6"/>
      <c r="R232" s="31"/>
      <c r="S232" s="31"/>
      <c r="T232" s="71"/>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6"/>
      <c r="R233" s="31"/>
      <c r="S233" s="31"/>
      <c r="T233" s="71"/>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6"/>
      <c r="R234" s="31"/>
      <c r="S234" s="31"/>
      <c r="T234" s="71"/>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6"/>
      <c r="R235" s="31"/>
      <c r="S235" s="31"/>
      <c r="T235" s="71"/>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6"/>
      <c r="R236" s="31"/>
      <c r="S236" s="31"/>
      <c r="T236" s="71"/>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6"/>
      <c r="R237" s="31"/>
      <c r="S237" s="31"/>
      <c r="T237" s="71"/>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6"/>
      <c r="R238" s="31"/>
      <c r="S238" s="31"/>
      <c r="T238" s="71"/>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6"/>
      <c r="R239" s="31"/>
      <c r="S239" s="31"/>
      <c r="T239" s="71"/>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6"/>
      <c r="R240" s="31"/>
      <c r="S240" s="31"/>
      <c r="T240" s="71"/>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6"/>
      <c r="R241" s="31"/>
      <c r="S241" s="31"/>
      <c r="T241" s="71"/>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6"/>
      <c r="R242" s="31"/>
      <c r="S242" s="31"/>
      <c r="T242" s="71"/>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6"/>
      <c r="R243" s="31"/>
      <c r="S243" s="31"/>
      <c r="T243" s="71"/>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6"/>
      <c r="R244" s="31"/>
      <c r="S244" s="31"/>
      <c r="T244" s="71"/>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6"/>
      <c r="R245" s="31"/>
      <c r="S245" s="31"/>
      <c r="T245" s="71"/>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6"/>
      <c r="R246" s="31"/>
      <c r="S246" s="31"/>
      <c r="T246" s="71"/>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6"/>
      <c r="R247" s="31"/>
      <c r="S247" s="31"/>
      <c r="T247" s="71"/>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6"/>
      <c r="R248" s="31"/>
      <c r="S248" s="31"/>
      <c r="T248" s="71"/>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6"/>
      <c r="R249" s="31"/>
      <c r="S249" s="31"/>
      <c r="T249" s="71"/>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6"/>
      <c r="R250" s="31"/>
      <c r="S250" s="31"/>
      <c r="T250" s="71"/>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6"/>
      <c r="R251" s="31"/>
      <c r="S251" s="31"/>
      <c r="T251" s="71"/>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6"/>
      <c r="R252" s="31"/>
      <c r="S252" s="31"/>
      <c r="T252" s="71"/>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6"/>
      <c r="R253" s="31"/>
      <c r="S253" s="31"/>
      <c r="T253" s="71"/>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6"/>
      <c r="R254" s="31"/>
      <c r="S254" s="31"/>
      <c r="T254" s="71"/>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6"/>
      <c r="R255" s="31"/>
      <c r="S255" s="31"/>
      <c r="T255" s="71"/>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6"/>
      <c r="R256" s="31"/>
      <c r="S256" s="31"/>
      <c r="T256" s="71"/>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6"/>
      <c r="R257" s="31"/>
      <c r="S257" s="31"/>
      <c r="T257" s="71"/>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6"/>
      <c r="R258" s="31"/>
      <c r="S258" s="31"/>
      <c r="T258" s="71"/>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6"/>
      <c r="R259" s="31"/>
      <c r="S259" s="31"/>
      <c r="T259" s="71"/>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6"/>
      <c r="R260" s="31"/>
      <c r="S260" s="31"/>
      <c r="T260" s="71"/>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6"/>
      <c r="R261" s="31"/>
      <c r="S261" s="31"/>
      <c r="T261" s="71"/>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6"/>
      <c r="R262" s="31"/>
      <c r="S262" s="31"/>
      <c r="T262" s="71"/>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6"/>
      <c r="R263" s="31"/>
      <c r="S263" s="31"/>
      <c r="T263" s="71"/>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6"/>
      <c r="R264" s="31"/>
      <c r="S264" s="31"/>
      <c r="T264" s="71"/>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6"/>
      <c r="R265" s="31"/>
      <c r="S265" s="31"/>
      <c r="T265" s="71"/>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6"/>
      <c r="R266" s="31"/>
      <c r="S266" s="31"/>
      <c r="T266" s="71"/>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6"/>
      <c r="R267" s="31"/>
      <c r="S267" s="31"/>
      <c r="T267" s="71"/>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6"/>
      <c r="R268" s="31"/>
      <c r="S268" s="31"/>
      <c r="T268" s="71"/>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6"/>
      <c r="R269" s="31"/>
      <c r="S269" s="31"/>
      <c r="T269" s="71"/>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6"/>
      <c r="R270" s="31"/>
      <c r="S270" s="31"/>
      <c r="T270" s="71"/>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6"/>
      <c r="R271" s="31"/>
      <c r="S271" s="31"/>
      <c r="T271" s="71"/>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6"/>
      <c r="R272" s="31"/>
      <c r="S272" s="31"/>
      <c r="T272" s="71"/>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6"/>
      <c r="R273" s="31"/>
      <c r="S273" s="31"/>
      <c r="T273" s="71"/>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6"/>
      <c r="R274" s="31"/>
      <c r="S274" s="31"/>
      <c r="T274" s="71"/>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6"/>
      <c r="R275" s="31"/>
      <c r="S275" s="31"/>
      <c r="T275" s="71"/>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6"/>
      <c r="R276" s="31"/>
      <c r="S276" s="31"/>
      <c r="T276" s="71"/>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6"/>
      <c r="R277" s="31"/>
      <c r="S277" s="31"/>
      <c r="T277" s="71"/>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6"/>
      <c r="R278" s="31"/>
      <c r="S278" s="31"/>
      <c r="T278" s="71"/>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6"/>
      <c r="R279" s="31"/>
      <c r="S279" s="31"/>
      <c r="T279" s="71"/>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6"/>
      <c r="R280" s="31"/>
      <c r="S280" s="31"/>
      <c r="T280" s="71"/>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6"/>
      <c r="R281" s="31"/>
      <c r="S281" s="31"/>
      <c r="T281" s="71"/>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6"/>
      <c r="R282" s="31"/>
      <c r="S282" s="31"/>
      <c r="T282" s="71"/>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6"/>
      <c r="R283" s="31"/>
      <c r="S283" s="31"/>
      <c r="T283" s="71"/>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6"/>
      <c r="R284" s="31"/>
      <c r="S284" s="31"/>
      <c r="T284" s="71"/>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6"/>
      <c r="R285" s="31"/>
      <c r="S285" s="31"/>
      <c r="T285" s="71"/>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6"/>
      <c r="R286" s="31"/>
      <c r="S286" s="31"/>
      <c r="T286" s="71"/>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6"/>
      <c r="R287" s="31"/>
      <c r="S287" s="31"/>
      <c r="T287" s="71"/>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6"/>
      <c r="R288" s="31"/>
      <c r="S288" s="31"/>
      <c r="T288" s="71"/>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6"/>
      <c r="R289" s="31"/>
      <c r="S289" s="31"/>
      <c r="T289" s="71"/>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6"/>
      <c r="R290" s="31"/>
      <c r="S290" s="31"/>
      <c r="T290" s="71"/>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6"/>
      <c r="R291" s="31"/>
      <c r="S291" s="31"/>
      <c r="T291" s="71"/>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6"/>
      <c r="R292" s="31"/>
      <c r="S292" s="31"/>
      <c r="T292" s="71"/>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6"/>
      <c r="R293" s="31"/>
      <c r="S293" s="31"/>
      <c r="T293" s="71"/>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6"/>
      <c r="R294" s="31"/>
      <c r="S294" s="31"/>
      <c r="T294" s="71"/>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6"/>
      <c r="R295" s="31"/>
      <c r="S295" s="31"/>
      <c r="T295" s="71"/>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6"/>
      <c r="R296" s="31"/>
      <c r="S296" s="31"/>
      <c r="T296" s="71"/>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6"/>
      <c r="R297" s="31"/>
      <c r="S297" s="31"/>
      <c r="T297" s="71"/>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6"/>
      <c r="R298" s="31"/>
      <c r="S298" s="31"/>
      <c r="T298" s="71"/>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6"/>
      <c r="R299" s="31"/>
      <c r="S299" s="31"/>
      <c r="T299" s="71"/>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6"/>
      <c r="R300" s="31"/>
      <c r="S300" s="31"/>
      <c r="T300" s="71"/>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6"/>
      <c r="R301" s="31"/>
      <c r="S301" s="31"/>
      <c r="T301" s="71"/>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6"/>
      <c r="R302" s="31"/>
      <c r="S302" s="31"/>
      <c r="T302" s="71"/>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6"/>
      <c r="R303" s="31"/>
      <c r="S303" s="31"/>
      <c r="T303" s="71"/>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6"/>
      <c r="R304" s="31"/>
      <c r="S304" s="31"/>
      <c r="T304" s="71"/>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6"/>
      <c r="R305" s="31"/>
      <c r="S305" s="31"/>
      <c r="T305" s="71"/>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6"/>
      <c r="R306" s="31"/>
      <c r="S306" s="31"/>
      <c r="T306" s="71"/>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6"/>
      <c r="R307" s="31"/>
      <c r="S307" s="31"/>
      <c r="T307" s="71"/>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6"/>
      <c r="R308" s="31"/>
      <c r="S308" s="31"/>
      <c r="T308" s="71"/>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6"/>
      <c r="R309" s="31"/>
      <c r="S309" s="31"/>
      <c r="T309" s="71"/>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6"/>
      <c r="R310" s="31"/>
      <c r="S310" s="31"/>
      <c r="T310" s="71"/>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6"/>
      <c r="R311" s="31"/>
      <c r="S311" s="31"/>
      <c r="T311" s="71"/>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6"/>
      <c r="R312" s="31"/>
      <c r="S312" s="31"/>
      <c r="T312" s="71"/>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6"/>
      <c r="R313" s="31"/>
      <c r="S313" s="31"/>
      <c r="T313" s="71"/>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6"/>
      <c r="R314" s="31"/>
      <c r="S314" s="31"/>
      <c r="T314" s="71"/>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6"/>
      <c r="R315" s="31"/>
      <c r="S315" s="31"/>
      <c r="T315" s="71"/>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6"/>
      <c r="R316" s="31"/>
      <c r="S316" s="31"/>
      <c r="T316" s="71"/>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6"/>
      <c r="R317" s="31"/>
      <c r="S317" s="31"/>
      <c r="T317" s="71"/>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6"/>
      <c r="R318" s="31"/>
      <c r="S318" s="31"/>
      <c r="T318" s="71"/>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6"/>
      <c r="R319" s="31"/>
      <c r="S319" s="31"/>
      <c r="T319" s="71"/>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6"/>
      <c r="R320" s="31"/>
      <c r="S320" s="31"/>
      <c r="T320" s="71"/>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6"/>
      <c r="R321" s="31"/>
      <c r="S321" s="31"/>
      <c r="T321" s="71"/>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6"/>
      <c r="R322" s="31"/>
      <c r="S322" s="31"/>
      <c r="T322" s="71"/>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6"/>
      <c r="R323" s="31"/>
      <c r="S323" s="31"/>
      <c r="T323" s="71"/>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6"/>
      <c r="R324" s="31"/>
      <c r="S324" s="31"/>
      <c r="T324" s="71"/>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6"/>
      <c r="R325" s="31"/>
      <c r="S325" s="31"/>
      <c r="T325" s="71"/>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6"/>
      <c r="R326" s="31"/>
      <c r="S326" s="31"/>
      <c r="T326" s="71"/>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6"/>
      <c r="R327" s="31"/>
      <c r="S327" s="31"/>
      <c r="T327" s="71"/>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6"/>
      <c r="R328" s="31"/>
      <c r="S328" s="31"/>
      <c r="T328" s="71"/>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6"/>
      <c r="R329" s="31"/>
      <c r="S329" s="31"/>
      <c r="T329" s="71"/>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6"/>
      <c r="R330" s="31"/>
      <c r="S330" s="31"/>
      <c r="T330" s="71"/>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6"/>
      <c r="R331" s="31"/>
      <c r="S331" s="31"/>
      <c r="T331" s="71"/>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6"/>
      <c r="R332" s="31"/>
      <c r="S332" s="31"/>
      <c r="T332" s="71"/>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6"/>
      <c r="R333" s="31"/>
      <c r="S333" s="31"/>
      <c r="T333" s="71"/>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6"/>
      <c r="R334" s="31"/>
      <c r="S334" s="31"/>
      <c r="T334" s="71"/>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6"/>
      <c r="R335" s="31"/>
      <c r="S335" s="31"/>
      <c r="T335" s="71"/>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6"/>
      <c r="R336" s="31"/>
      <c r="S336" s="31"/>
      <c r="T336" s="71"/>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6"/>
      <c r="R337" s="31"/>
      <c r="S337" s="31"/>
      <c r="T337" s="71"/>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6"/>
      <c r="R338" s="31"/>
      <c r="S338" s="31"/>
      <c r="T338" s="71"/>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6"/>
      <c r="R339" s="31"/>
      <c r="S339" s="31"/>
      <c r="T339" s="71"/>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6"/>
      <c r="R340" s="31"/>
      <c r="S340" s="31"/>
      <c r="T340" s="71"/>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6"/>
      <c r="R341" s="31"/>
      <c r="S341" s="31"/>
      <c r="T341" s="71"/>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6"/>
      <c r="R342" s="31"/>
      <c r="S342" s="31"/>
      <c r="T342" s="71"/>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6"/>
      <c r="R343" s="31"/>
      <c r="S343" s="31"/>
      <c r="T343" s="71"/>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6"/>
      <c r="R344" s="31"/>
      <c r="S344" s="31"/>
      <c r="T344" s="71"/>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6"/>
      <c r="R345" s="31"/>
      <c r="S345" s="31"/>
      <c r="T345" s="71"/>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6"/>
      <c r="R346" s="31"/>
      <c r="S346" s="31"/>
      <c r="T346" s="71"/>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6"/>
      <c r="R347" s="31"/>
      <c r="S347" s="31"/>
      <c r="T347" s="71"/>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6"/>
      <c r="R348" s="31"/>
      <c r="S348" s="31"/>
      <c r="T348" s="71"/>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6"/>
      <c r="R349" s="31"/>
      <c r="S349" s="31"/>
      <c r="T349" s="71"/>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6"/>
      <c r="R350" s="31"/>
      <c r="S350" s="31"/>
      <c r="T350" s="71"/>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6"/>
      <c r="R351" s="31"/>
      <c r="S351" s="31"/>
      <c r="T351" s="71"/>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6"/>
      <c r="R352" s="31"/>
      <c r="S352" s="31"/>
      <c r="T352" s="71"/>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6"/>
      <c r="R353" s="31"/>
      <c r="S353" s="31"/>
      <c r="T353" s="71"/>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6"/>
      <c r="R354" s="31"/>
      <c r="S354" s="31"/>
      <c r="T354" s="71"/>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6"/>
      <c r="R355" s="31"/>
      <c r="S355" s="31"/>
      <c r="T355" s="71"/>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6"/>
      <c r="R356" s="31"/>
      <c r="S356" s="31"/>
      <c r="T356" s="71"/>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6"/>
      <c r="R357" s="31"/>
      <c r="S357" s="31"/>
      <c r="T357" s="71"/>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6"/>
      <c r="R358" s="31"/>
      <c r="S358" s="31"/>
      <c r="T358" s="71"/>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6"/>
      <c r="R359" s="31"/>
      <c r="S359" s="31"/>
      <c r="T359" s="71"/>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6"/>
      <c r="R360" s="31"/>
      <c r="S360" s="31"/>
      <c r="T360" s="71"/>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6"/>
      <c r="R361" s="31"/>
      <c r="S361" s="31"/>
      <c r="T361" s="71"/>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6"/>
      <c r="R362" s="31"/>
      <c r="S362" s="31"/>
      <c r="T362" s="71"/>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6"/>
      <c r="R363" s="31"/>
      <c r="S363" s="31"/>
      <c r="T363" s="71"/>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6"/>
      <c r="R364" s="31"/>
      <c r="S364" s="31"/>
      <c r="T364" s="71"/>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6"/>
      <c r="R365" s="31"/>
      <c r="S365" s="31"/>
      <c r="T365" s="71"/>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6"/>
      <c r="R366" s="31"/>
      <c r="S366" s="31"/>
      <c r="T366" s="71"/>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6"/>
      <c r="R367" s="31"/>
      <c r="S367" s="31"/>
      <c r="T367" s="71"/>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6"/>
      <c r="R368" s="31"/>
      <c r="S368" s="31"/>
      <c r="T368" s="71"/>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6"/>
      <c r="R369" s="31"/>
      <c r="S369" s="31"/>
      <c r="T369" s="71"/>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6"/>
      <c r="R370" s="31"/>
      <c r="S370" s="31"/>
      <c r="T370" s="71"/>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6"/>
      <c r="R371" s="31"/>
      <c r="S371" s="31"/>
      <c r="T371" s="71"/>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6"/>
      <c r="R372" s="31"/>
      <c r="S372" s="31"/>
      <c r="T372" s="71"/>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6"/>
      <c r="R373" s="31"/>
      <c r="S373" s="31"/>
      <c r="T373" s="71"/>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6"/>
      <c r="R374" s="31"/>
      <c r="S374" s="31"/>
      <c r="T374" s="71"/>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6"/>
      <c r="R375" s="31"/>
      <c r="S375" s="31"/>
      <c r="T375" s="71"/>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6"/>
      <c r="R376" s="31"/>
      <c r="S376" s="31"/>
      <c r="T376" s="71"/>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6"/>
      <c r="R377" s="31"/>
      <c r="S377" s="31"/>
      <c r="T377" s="71"/>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6"/>
      <c r="R378" s="31"/>
      <c r="S378" s="31"/>
      <c r="T378" s="71"/>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6"/>
      <c r="R379" s="31"/>
      <c r="S379" s="31"/>
      <c r="T379" s="71"/>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6"/>
      <c r="R380" s="31"/>
      <c r="S380" s="31"/>
      <c r="T380" s="71"/>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6"/>
      <c r="R381" s="31"/>
      <c r="S381" s="31"/>
      <c r="T381" s="71"/>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6"/>
      <c r="R382" s="31"/>
      <c r="S382" s="31"/>
      <c r="T382" s="71"/>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6"/>
      <c r="R383" s="31"/>
      <c r="S383" s="31"/>
      <c r="T383" s="71"/>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6"/>
      <c r="R384" s="31"/>
      <c r="S384" s="31"/>
      <c r="T384" s="71"/>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6"/>
      <c r="R385" s="31"/>
      <c r="S385" s="31"/>
      <c r="T385" s="71"/>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6"/>
      <c r="R386" s="31"/>
      <c r="S386" s="31"/>
      <c r="T386" s="71"/>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6"/>
      <c r="R387" s="31"/>
      <c r="S387" s="31"/>
      <c r="T387" s="71"/>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6"/>
      <c r="R388" s="31"/>
      <c r="S388" s="31"/>
      <c r="T388" s="71"/>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6"/>
      <c r="R389" s="31"/>
      <c r="S389" s="31"/>
      <c r="T389" s="71"/>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6"/>
      <c r="R390" s="31"/>
      <c r="S390" s="31"/>
      <c r="T390" s="71"/>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6"/>
      <c r="R391" s="31"/>
      <c r="S391" s="31"/>
      <c r="T391" s="71"/>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6"/>
      <c r="R392" s="31"/>
      <c r="S392" s="31"/>
      <c r="T392" s="71"/>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6"/>
      <c r="R393" s="31"/>
      <c r="S393" s="31"/>
      <c r="T393" s="71"/>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6"/>
      <c r="R394" s="31"/>
      <c r="S394" s="31"/>
      <c r="T394" s="71"/>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6"/>
      <c r="R395" s="31"/>
      <c r="S395" s="31"/>
      <c r="T395" s="71"/>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6"/>
      <c r="R396" s="31"/>
      <c r="S396" s="31"/>
      <c r="T396" s="71"/>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6"/>
      <c r="R397" s="31"/>
      <c r="S397" s="31"/>
      <c r="T397" s="71"/>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6"/>
      <c r="R398" s="31"/>
      <c r="S398" s="31"/>
      <c r="T398" s="71"/>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6"/>
      <c r="R399" s="31"/>
      <c r="S399" s="31"/>
      <c r="T399" s="71"/>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6"/>
      <c r="R400" s="31"/>
      <c r="S400" s="31"/>
      <c r="T400" s="71"/>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6"/>
      <c r="R401" s="31"/>
      <c r="S401" s="31"/>
      <c r="T401" s="71"/>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6"/>
      <c r="R402" s="31"/>
      <c r="S402" s="31"/>
      <c r="T402" s="71"/>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6"/>
      <c r="R403" s="31"/>
      <c r="S403" s="31"/>
      <c r="T403" s="71"/>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6"/>
      <c r="R404" s="31"/>
      <c r="S404" s="31"/>
      <c r="T404" s="71"/>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6"/>
      <c r="R405" s="31"/>
      <c r="S405" s="31"/>
      <c r="T405" s="71"/>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6"/>
      <c r="R406" s="31"/>
      <c r="S406" s="31"/>
      <c r="T406" s="71"/>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6"/>
      <c r="R407" s="31"/>
      <c r="S407" s="31"/>
      <c r="T407" s="71"/>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6"/>
      <c r="R408" s="31"/>
      <c r="S408" s="31"/>
      <c r="T408" s="71"/>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6"/>
      <c r="R409" s="31"/>
      <c r="S409" s="31"/>
      <c r="T409" s="71"/>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6"/>
      <c r="R410" s="31"/>
      <c r="S410" s="31"/>
      <c r="T410" s="71"/>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6"/>
      <c r="R411" s="31"/>
      <c r="S411" s="31"/>
      <c r="T411" s="71"/>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6"/>
      <c r="R412" s="31"/>
      <c r="S412" s="31"/>
      <c r="T412" s="71"/>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6"/>
      <c r="R413" s="31"/>
      <c r="S413" s="31"/>
      <c r="T413" s="71"/>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6"/>
      <c r="R414" s="31"/>
      <c r="S414" s="31"/>
      <c r="T414" s="71"/>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6"/>
      <c r="R415" s="31"/>
      <c r="S415" s="31"/>
      <c r="T415" s="71"/>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6"/>
      <c r="R416" s="31"/>
      <c r="S416" s="31"/>
      <c r="T416" s="71"/>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6"/>
      <c r="R417" s="31"/>
      <c r="S417" s="31"/>
      <c r="T417" s="71"/>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6"/>
      <c r="R418" s="31"/>
      <c r="S418" s="31"/>
      <c r="T418" s="71"/>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6"/>
      <c r="R419" s="31"/>
      <c r="S419" s="31"/>
      <c r="T419" s="71"/>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6"/>
      <c r="R420" s="31"/>
      <c r="S420" s="31"/>
      <c r="T420" s="71"/>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6"/>
      <c r="R421" s="31"/>
      <c r="S421" s="31"/>
      <c r="T421" s="71"/>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6"/>
      <c r="R422" s="31"/>
      <c r="S422" s="31"/>
      <c r="T422" s="71"/>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6"/>
      <c r="R423" s="31"/>
      <c r="S423" s="31"/>
      <c r="T423" s="71"/>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6"/>
      <c r="R424" s="31"/>
      <c r="S424" s="31"/>
      <c r="T424" s="71"/>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6"/>
      <c r="R425" s="31"/>
      <c r="S425" s="31"/>
      <c r="T425" s="71"/>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6"/>
      <c r="R426" s="31"/>
      <c r="S426" s="31"/>
      <c r="T426" s="71"/>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6"/>
      <c r="R427" s="31"/>
      <c r="S427" s="31"/>
      <c r="T427" s="71"/>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6"/>
      <c r="R428" s="31"/>
      <c r="S428" s="31"/>
      <c r="T428" s="71"/>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6"/>
      <c r="R429" s="31"/>
      <c r="S429" s="31"/>
      <c r="T429" s="71"/>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6"/>
      <c r="R430" s="31"/>
      <c r="S430" s="31"/>
      <c r="T430" s="71"/>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6"/>
      <c r="R431" s="31"/>
      <c r="S431" s="31"/>
      <c r="T431" s="71"/>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6"/>
      <c r="R432" s="31"/>
      <c r="S432" s="31"/>
      <c r="T432" s="71"/>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6"/>
      <c r="R433" s="31"/>
      <c r="S433" s="31"/>
      <c r="T433" s="71"/>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6"/>
      <c r="R434" s="31"/>
      <c r="S434" s="31"/>
      <c r="T434" s="71"/>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6"/>
      <c r="R435" s="31"/>
      <c r="S435" s="31"/>
      <c r="T435" s="71"/>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6"/>
      <c r="R436" s="31"/>
      <c r="S436" s="31"/>
      <c r="T436" s="71"/>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6"/>
      <c r="R437" s="31"/>
      <c r="S437" s="31"/>
      <c r="T437" s="71"/>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6"/>
      <c r="R438" s="31"/>
      <c r="S438" s="31"/>
      <c r="T438" s="71"/>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6"/>
      <c r="R439" s="31"/>
      <c r="S439" s="31"/>
      <c r="T439" s="71"/>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6"/>
      <c r="R440" s="31"/>
      <c r="S440" s="31"/>
      <c r="T440" s="71"/>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6"/>
      <c r="R441" s="31"/>
      <c r="S441" s="31"/>
      <c r="T441" s="71"/>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6"/>
      <c r="R442" s="31"/>
      <c r="S442" s="31"/>
      <c r="T442" s="71"/>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6"/>
      <c r="R443" s="31"/>
      <c r="S443" s="31"/>
      <c r="T443" s="71"/>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6"/>
      <c r="R444" s="31"/>
      <c r="S444" s="31"/>
      <c r="T444" s="71"/>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6"/>
      <c r="R445" s="31"/>
      <c r="S445" s="31"/>
      <c r="T445" s="71"/>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6"/>
      <c r="R446" s="31"/>
      <c r="S446" s="31"/>
      <c r="T446" s="71"/>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6"/>
      <c r="R447" s="31"/>
      <c r="S447" s="31"/>
      <c r="T447" s="71"/>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6"/>
      <c r="R448" s="31"/>
      <c r="S448" s="31"/>
      <c r="T448" s="71"/>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6"/>
      <c r="R449" s="31"/>
      <c r="S449" s="31"/>
      <c r="T449" s="71"/>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6"/>
      <c r="R450" s="31"/>
      <c r="S450" s="31"/>
      <c r="T450" s="71"/>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6"/>
      <c r="R451" s="31"/>
      <c r="S451" s="31"/>
      <c r="T451" s="71"/>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6"/>
      <c r="R452" s="31"/>
      <c r="S452" s="31"/>
      <c r="T452" s="71"/>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6"/>
      <c r="R453" s="31"/>
      <c r="S453" s="31"/>
      <c r="T453" s="71"/>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6"/>
      <c r="R454" s="31"/>
      <c r="S454" s="31"/>
      <c r="T454" s="71"/>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6"/>
      <c r="R455" s="31"/>
      <c r="S455" s="31"/>
      <c r="T455" s="71"/>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6"/>
      <c r="R456" s="31"/>
      <c r="S456" s="31"/>
      <c r="T456" s="71"/>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6"/>
      <c r="R457" s="31"/>
      <c r="S457" s="31"/>
      <c r="T457" s="71"/>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6"/>
      <c r="R458" s="31"/>
      <c r="S458" s="31"/>
      <c r="T458" s="71"/>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6"/>
      <c r="R459" s="31"/>
      <c r="S459" s="31"/>
      <c r="T459" s="71"/>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6"/>
      <c r="R460" s="31"/>
      <c r="S460" s="31"/>
      <c r="T460" s="71"/>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6"/>
      <c r="R461" s="31"/>
      <c r="S461" s="31"/>
      <c r="T461" s="71"/>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6"/>
      <c r="R462" s="31"/>
      <c r="S462" s="31"/>
      <c r="T462" s="71"/>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6"/>
      <c r="R463" s="31"/>
      <c r="S463" s="31"/>
      <c r="T463" s="71"/>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6"/>
      <c r="R464" s="31"/>
      <c r="S464" s="31"/>
      <c r="T464" s="71"/>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6"/>
      <c r="R465" s="31"/>
      <c r="S465" s="31"/>
      <c r="T465" s="71"/>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6"/>
      <c r="R466" s="31"/>
      <c r="S466" s="31"/>
      <c r="T466" s="71"/>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6"/>
      <c r="R467" s="31"/>
      <c r="S467" s="31"/>
      <c r="T467" s="71"/>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6"/>
      <c r="R468" s="31"/>
      <c r="S468" s="31"/>
      <c r="T468" s="71"/>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6"/>
      <c r="R469" s="31"/>
      <c r="S469" s="31"/>
      <c r="T469" s="71"/>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6"/>
      <c r="R470" s="31"/>
      <c r="S470" s="31"/>
      <c r="T470" s="71"/>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6"/>
      <c r="R471" s="31"/>
      <c r="S471" s="31"/>
      <c r="T471" s="71"/>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6"/>
      <c r="R472" s="31"/>
      <c r="S472" s="31"/>
      <c r="T472" s="71"/>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6"/>
      <c r="R473" s="31"/>
      <c r="S473" s="31"/>
      <c r="T473" s="71"/>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6"/>
      <c r="R474" s="31"/>
      <c r="S474" s="31"/>
      <c r="T474" s="71"/>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6"/>
      <c r="R475" s="31"/>
      <c r="S475" s="31"/>
      <c r="T475" s="71"/>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6"/>
      <c r="R476" s="31"/>
      <c r="S476" s="31"/>
      <c r="T476" s="71"/>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6"/>
      <c r="R477" s="31"/>
      <c r="S477" s="31"/>
      <c r="T477" s="71"/>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6"/>
      <c r="R478" s="31"/>
      <c r="S478" s="31"/>
      <c r="T478" s="71"/>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6"/>
      <c r="R479" s="31"/>
      <c r="S479" s="31"/>
      <c r="T479" s="71"/>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6"/>
      <c r="R480" s="31"/>
      <c r="S480" s="31"/>
      <c r="T480" s="71"/>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6"/>
      <c r="R481" s="31"/>
      <c r="S481" s="31"/>
      <c r="T481" s="71"/>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6"/>
      <c r="R482" s="31"/>
      <c r="S482" s="31"/>
      <c r="T482" s="71"/>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6"/>
      <c r="R483" s="31"/>
      <c r="S483" s="31"/>
      <c r="T483" s="71"/>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6"/>
      <c r="R484" s="31"/>
      <c r="S484" s="31"/>
      <c r="T484" s="71"/>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6"/>
      <c r="R485" s="31"/>
      <c r="S485" s="31"/>
      <c r="T485" s="71"/>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6"/>
      <c r="R486" s="31"/>
      <c r="S486" s="31"/>
      <c r="T486" s="71"/>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6"/>
      <c r="R487" s="31"/>
      <c r="S487" s="31"/>
      <c r="T487" s="71"/>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6"/>
      <c r="R488" s="31"/>
      <c r="S488" s="31"/>
      <c r="T488" s="71"/>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6"/>
      <c r="R489" s="31"/>
      <c r="S489" s="31"/>
      <c r="T489" s="71"/>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6"/>
      <c r="R490" s="31"/>
      <c r="S490" s="31"/>
      <c r="T490" s="71"/>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6"/>
      <c r="R491" s="31"/>
      <c r="S491" s="31"/>
      <c r="T491" s="71"/>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6"/>
      <c r="R492" s="31"/>
      <c r="S492" s="31"/>
      <c r="T492" s="71"/>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6"/>
      <c r="R493" s="31"/>
      <c r="S493" s="31"/>
      <c r="T493" s="71"/>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6"/>
      <c r="R494" s="31"/>
      <c r="S494" s="31"/>
      <c r="T494" s="71"/>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6"/>
      <c r="R495" s="31"/>
      <c r="S495" s="31"/>
      <c r="T495" s="71"/>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6"/>
      <c r="R496" s="31"/>
      <c r="S496" s="31"/>
      <c r="T496" s="71"/>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6"/>
      <c r="R497" s="31"/>
      <c r="S497" s="31"/>
      <c r="T497" s="71"/>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6"/>
      <c r="R498" s="31"/>
      <c r="S498" s="31"/>
      <c r="T498" s="71"/>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6"/>
      <c r="R499" s="31"/>
      <c r="S499" s="31"/>
      <c r="T499" s="71"/>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6"/>
      <c r="R500" s="31"/>
      <c r="S500" s="31"/>
      <c r="T500" s="71"/>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6"/>
      <c r="R501" s="31"/>
      <c r="S501" s="31"/>
      <c r="T501" s="71"/>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6"/>
      <c r="R502" s="31"/>
      <c r="S502" s="31"/>
      <c r="T502" s="71"/>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6"/>
      <c r="R503" s="31"/>
      <c r="S503" s="31"/>
      <c r="T503" s="71"/>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6"/>
      <c r="R504" s="31"/>
      <c r="S504" s="31"/>
      <c r="T504" s="71"/>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6"/>
      <c r="R505" s="31"/>
      <c r="S505" s="31"/>
      <c r="T505" s="71"/>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6"/>
      <c r="R506" s="31"/>
      <c r="S506" s="31"/>
      <c r="T506" s="71"/>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6"/>
      <c r="R507" s="31"/>
      <c r="S507" s="31"/>
      <c r="T507" s="71"/>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6"/>
      <c r="R508" s="31"/>
      <c r="S508" s="31"/>
      <c r="T508" s="71"/>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6"/>
      <c r="R509" s="31"/>
      <c r="S509" s="31"/>
      <c r="T509" s="71"/>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6"/>
      <c r="R510" s="31"/>
      <c r="S510" s="31"/>
      <c r="T510" s="71"/>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6"/>
      <c r="R511" s="31"/>
      <c r="S511" s="31"/>
      <c r="T511" s="71"/>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6"/>
      <c r="R512" s="31"/>
      <c r="S512" s="31"/>
      <c r="T512" s="71"/>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6"/>
      <c r="R513" s="31"/>
      <c r="S513" s="31"/>
      <c r="T513" s="71"/>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6"/>
      <c r="R514" s="31"/>
      <c r="S514" s="31"/>
      <c r="T514" s="71"/>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6"/>
      <c r="R515" s="31"/>
      <c r="S515" s="31"/>
      <c r="T515" s="71"/>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6"/>
      <c r="R516" s="31"/>
      <c r="S516" s="31"/>
      <c r="T516" s="71"/>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6"/>
      <c r="R517" s="31"/>
      <c r="S517" s="31"/>
      <c r="T517" s="71"/>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6"/>
      <c r="R518" s="31"/>
      <c r="S518" s="31"/>
      <c r="T518" s="71"/>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6"/>
      <c r="R519" s="31"/>
      <c r="S519" s="31"/>
      <c r="T519" s="71"/>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6"/>
      <c r="R520" s="31"/>
      <c r="S520" s="31"/>
      <c r="T520" s="71"/>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6"/>
      <c r="R521" s="31"/>
      <c r="S521" s="31"/>
      <c r="T521" s="71"/>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6"/>
      <c r="R522" s="31"/>
      <c r="S522" s="31"/>
      <c r="T522" s="71"/>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6"/>
      <c r="R523" s="31"/>
      <c r="S523" s="31"/>
      <c r="T523" s="71"/>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6"/>
      <c r="R524" s="31"/>
      <c r="S524" s="31"/>
      <c r="T524" s="71"/>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6"/>
      <c r="R525" s="31"/>
      <c r="S525" s="31"/>
      <c r="T525" s="71"/>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6"/>
      <c r="R526" s="31"/>
      <c r="S526" s="31"/>
      <c r="T526" s="71"/>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6"/>
      <c r="R527" s="31"/>
      <c r="S527" s="31"/>
      <c r="T527" s="71"/>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36" priority="39">
      <formula>ISNUMBER(SEARCH("Blocked",$D2))</formula>
    </cfRule>
    <cfRule type="expression" dxfId="135" priority="40">
      <formula>ISNUMBER(SEARCH("overdue",$D2))</formula>
    </cfRule>
    <cfRule type="expression" dxfId="134" priority="41">
      <formula>ISNUMBER(SEARCH("no target",$D2))</formula>
    </cfRule>
    <cfRule type="expression" dxfId="133" priority="42">
      <formula>ISNUMBER(SEARCH("Review",$D2))</formula>
    </cfRule>
    <cfRule type="expression" dxfId="132" priority="43">
      <formula>OR($D2="On track",$D2="Delivered")</formula>
    </cfRule>
  </conditionalFormatting>
  <conditionalFormatting sqref="J2:O115">
    <cfRule type="expression" dxfId="131" priority="17">
      <formula>$AJ2="Yes – needs DB Dev to fix"</formula>
    </cfRule>
  </conditionalFormatting>
  <conditionalFormatting sqref="J116:O192">
    <cfRule type="expression" dxfId="130" priority="22">
      <formula>$AH116="Yes – needs DB Dev to fix"</formula>
    </cfRule>
  </conditionalFormatting>
  <conditionalFormatting sqref="K41">
    <cfRule type="expression" dxfId="129" priority="598">
      <formula>AND($B41&lt;&gt;"",MOD(ROW(),2)=0)</formula>
    </cfRule>
    <cfRule type="expression" dxfId="128" priority="599">
      <formula>$AJ41="Yes – needs DB Dev to fix"</formula>
    </cfRule>
  </conditionalFormatting>
  <conditionalFormatting sqref="K42">
    <cfRule type="expression" dxfId="127" priority="600">
      <formula>AND($B41&lt;&gt;"",MOD(ROW(),2)=0)</formula>
    </cfRule>
    <cfRule type="expression" dxfId="126" priority="601">
      <formula>$AJ41="Yes – needs DB Dev to fix"</formula>
    </cfRule>
  </conditionalFormatting>
  <conditionalFormatting sqref="K73:L100">
    <cfRule type="expression" dxfId="125" priority="114">
      <formula>$AF73="Yes – needs DB Dev to fix"</formula>
    </cfRule>
  </conditionalFormatting>
  <conditionalFormatting sqref="K101:L115">
    <cfRule type="expression" dxfId="124" priority="344">
      <formula>$AA101="Yes – needs DB Dev to fix"</formula>
    </cfRule>
  </conditionalFormatting>
  <conditionalFormatting sqref="K116:L527">
    <cfRule type="expression" dxfId="123" priority="571">
      <formula>$X116="Yes – needs DB Dev to fix"</formula>
    </cfRule>
  </conditionalFormatting>
  <conditionalFormatting sqref="M73">
    <cfRule type="expression" dxfId="122" priority="21">
      <formula>$AF73="Yes – needs DB Dev to fix"</formula>
    </cfRule>
  </conditionalFormatting>
  <conditionalFormatting sqref="M79">
    <cfRule type="expression" dxfId="121" priority="8">
      <formula>$AF79="Yes – needs DB Dev to fix"</formula>
    </cfRule>
  </conditionalFormatting>
  <conditionalFormatting sqref="M73:P100">
    <cfRule type="expression" dxfId="120" priority="299">
      <formula>$AD73="Yes – needs PBI Dev to fix"</formula>
    </cfRule>
  </conditionalFormatting>
  <conditionalFormatting sqref="M101:P115">
    <cfRule type="expression" dxfId="119" priority="346">
      <formula>$AA101="Yes – needs PBI Dev to fix"</formula>
    </cfRule>
  </conditionalFormatting>
  <conditionalFormatting sqref="M116:P527">
    <cfRule type="expression" dxfId="118" priority="572">
      <formula>$X116="Yes – needs PBI Dev to fix"</formula>
    </cfRule>
  </conditionalFormatting>
  <conditionalFormatting sqref="O101:O113">
    <cfRule type="expression" dxfId="117" priority="20">
      <formula>$AD101="Yes – needs PBI Dev to fix"</formula>
    </cfRule>
  </conditionalFormatting>
  <conditionalFormatting sqref="Q73:Q100">
    <cfRule type="expression" dxfId="116" priority="15">
      <formula>$AJ73="Yes – needs DB Dev to fix"</formula>
    </cfRule>
    <cfRule type="expression" dxfId="115" priority="16">
      <formula>$AF73="Yes – needs DB Dev to fix"</formula>
    </cfRule>
    <cfRule type="expression" dxfId="114" priority="118">
      <formula>$AF73="Yes – needs PBI Dev to fix"</formula>
    </cfRule>
  </conditionalFormatting>
  <conditionalFormatting sqref="Q101:R115 V101:V115 X101:X115">
    <cfRule type="expression" dxfId="113" priority="14">
      <formula>$AA101="Yes – needs QA to fix"</formula>
    </cfRule>
  </conditionalFormatting>
  <conditionalFormatting sqref="Q116:R527">
    <cfRule type="expression" dxfId="112" priority="573">
      <formula>$X116="Yes – needs QA to fix"</formula>
    </cfRule>
  </conditionalFormatting>
  <conditionalFormatting sqref="U10:V19 X10:X19 J29 M29:P29 J32:J33 M32:P33 K40:K41 M40:P41 Q65 T65:U65 V101:V115 X101:X115 Q66:U115 Q2:U64">
    <cfRule type="expression" dxfId="111" priority="29">
      <formula>$AJ2="Yes – needs PBI Dev to fix"</formula>
    </cfRule>
  </conditionalFormatting>
  <conditionalFormatting sqref="R58">
    <cfRule type="expression" dxfId="110" priority="314">
      <formula>AND($B65&lt;&gt;"",MOD(ROW(),2)=0)</formula>
    </cfRule>
    <cfRule type="expression" dxfId="109" priority="316">
      <formula>$AJ65="Yes – needs PBI Dev to fix"</formula>
    </cfRule>
  </conditionalFormatting>
  <conditionalFormatting sqref="R73:U100 T96:T101">
    <cfRule type="expression" dxfId="108" priority="120">
      <formula>$AF73="Yes – needs QA to fix"</formula>
    </cfRule>
  </conditionalFormatting>
  <conditionalFormatting sqref="S101:U115">
    <cfRule type="expression" dxfId="107" priority="360">
      <formula>$AA101="Yes – needs DPO Approval to fix"</formula>
    </cfRule>
  </conditionalFormatting>
  <conditionalFormatting sqref="S116:U527">
    <cfRule type="expression" dxfId="106" priority="574">
      <formula>$X116="Yes – needs DPO Approval to fix"</formula>
    </cfRule>
  </conditionalFormatting>
  <conditionalFormatting sqref="U101:V527 X101:X527">
    <cfRule type="expression" dxfId="105" priority="47">
      <formula>$V101="Yes"</formula>
    </cfRule>
  </conditionalFormatting>
  <conditionalFormatting sqref="U73:Y100">
    <cfRule type="expression" dxfId="104" priority="122">
      <formula>$AF73="Yes – needs DPO Approval to fix"</formula>
    </cfRule>
  </conditionalFormatting>
  <conditionalFormatting sqref="X116:X527">
    <cfRule type="expression" dxfId="103" priority="575">
      <formula>LEFT($X116,3)="Yes"</formula>
    </cfRule>
  </conditionalFormatting>
  <conditionalFormatting sqref="X73:Z100">
    <cfRule type="expression" dxfId="102" priority="474">
      <formula>$Y73="Yes"</formula>
    </cfRule>
  </conditionalFormatting>
  <conditionalFormatting sqref="Z116:AA527">
    <cfRule type="expression" dxfId="101" priority="52">
      <formula>ISNUMBER(SEARCH("Move old",$Z116))</formula>
    </cfRule>
    <cfRule type="expression" dxfId="100" priority="52">
      <formula>ISNUMBER(SEARCH("log it",$Z116))</formula>
    </cfRule>
    <cfRule type="expression" dxfId="99" priority="52">
      <formula>ISNUMBER(SEARCH("Open rework",$Z116))</formula>
    </cfRule>
    <cfRule type="expression" dxfId="98" priority="53">
      <formula>ISNUMBER(SEARCH("Duplicate",$Z116))</formula>
    </cfRule>
    <cfRule type="expression" dxfId="97" priority="54">
      <formula>$Z116&lt;&gt;""</formula>
    </cfRule>
  </conditionalFormatting>
  <conditionalFormatting sqref="Z116:AC527 W2:Y527 G2:V40 N3:N44 L41:V42 T65:V65 G41:J42 Z2:AL2 Z3 Z4:AL41 Z42:AK42 Z43:AL44 Z45:AK47 Z101:AE115 AB3:AL3 A2:F87 G65:Q65 G66:V73 A74:V527 Z48:AL72 Z73:AH100 G43:V64">
    <cfRule type="expression" dxfId="96" priority="55">
      <formula>AND($B2&lt;&gt;"",MOD(ROW(),2)=0)</formula>
    </cfRule>
  </conditionalFormatting>
  <conditionalFormatting sqref="AA3">
    <cfRule type="expression" dxfId="95" priority="602">
      <formula>AND($B3&lt;&gt;"",MOD(ROW(),2)=0)</formula>
    </cfRule>
    <cfRule type="expression" dxfId="94" priority="603">
      <formula>$AJ3="Yes – needs DPO Approval to fix"</formula>
    </cfRule>
  </conditionalFormatting>
  <conditionalFormatting sqref="AA101:AA115 U2:Z115">
    <cfRule type="expression" dxfId="93" priority="12">
      <formula>$AJ2="Yes – needs QA to fix"</formula>
    </cfRule>
  </conditionalFormatting>
  <conditionalFormatting sqref="AA101:AA115">
    <cfRule type="expression" dxfId="92" priority="9">
      <formula>$AJ101="Yes – needs PBI Dev to fix"</formula>
    </cfRule>
    <cfRule type="expression" dxfId="91" priority="10">
      <formula>$AA101="Yes – needs QA to fix"</formula>
    </cfRule>
    <cfRule type="expression" dxfId="90" priority="11">
      <formula>$V101="Yes"</formula>
    </cfRule>
    <cfRule type="expression" dxfId="89" priority="368">
      <formula>LEFT($AA101,3)="Yes"</formula>
    </cfRule>
  </conditionalFormatting>
  <conditionalFormatting sqref="AA2:AE2 AB3:AE3 AA4:AE100">
    <cfRule type="expression" dxfId="88" priority="96">
      <formula>$AJ2="Yes – needs DPO Approval to fix"</formula>
    </cfRule>
  </conditionalFormatting>
  <conditionalFormatting sqref="AB101:AC115">
    <cfRule type="expression" dxfId="87" priority="376">
      <formula>ISNUMBER(SEARCH("Open rework",$AB101))</formula>
    </cfRule>
    <cfRule type="expression" dxfId="86" priority="377">
      <formula>ISNUMBER(SEARCH("Move old",$AB101))</formula>
    </cfRule>
    <cfRule type="expression" dxfId="85" priority="378">
      <formula>ISNUMBER(SEARCH("log it",$AB101))</formula>
    </cfRule>
    <cfRule type="expression" dxfId="84" priority="379">
      <formula>ISNUMBER(SEARCH("Duplicate",$AB101))</formula>
    </cfRule>
    <cfRule type="expression" dxfId="83" priority="380">
      <formula>$AB101&lt;&gt;""</formula>
    </cfRule>
  </conditionalFormatting>
  <conditionalFormatting sqref="AF2:AF115">
    <cfRule type="expression" dxfId="82" priority="68">
      <formula>$AF2="Yes"</formula>
    </cfRule>
  </conditionalFormatting>
  <conditionalFormatting sqref="AF73:AF100">
    <cfRule type="expression" dxfId="81" priority="126">
      <formula>LEFT($AF73,3)="Yes"</formula>
    </cfRule>
  </conditionalFormatting>
  <conditionalFormatting sqref="AG73:AG100">
    <cfRule type="expression" dxfId="80" priority="132">
      <formula>ISNUMBER(SEARCH("Open rework",$AG73))</formula>
    </cfRule>
    <cfRule type="expression" dxfId="79" priority="133">
      <formula>ISNUMBER(SEARCH("Move old",$AG73))</formula>
    </cfRule>
    <cfRule type="expression" dxfId="78" priority="134">
      <formula>ISNUMBER(SEARCH("log it",$AG73))</formula>
    </cfRule>
    <cfRule type="expression" dxfId="77" priority="135">
      <formula>ISNUMBER(SEARCH("Duplicate",$AG73))</formula>
    </cfRule>
    <cfRule type="expression" dxfId="76" priority="136">
      <formula>$AG73&lt;&gt;""</formula>
    </cfRule>
  </conditionalFormatting>
  <conditionalFormatting sqref="AJ2:AJ115">
    <cfRule type="expression" dxfId="75" priority="70">
      <formula>LEFT($AJ2,3)="Yes"</formula>
    </cfRule>
  </conditionalFormatting>
  <conditionalFormatting sqref="AK2:AK115">
    <cfRule type="expression" dxfId="74" priority="76">
      <formula>ISNUMBER(SEARCH("log it",$AK2))</formula>
    </cfRule>
    <cfRule type="expression" dxfId="73" priority="77">
      <formula>ISNUMBER(SEARCH("Open rework",$AK2))</formula>
    </cfRule>
    <cfRule type="expression" dxfId="72" priority="78">
      <formula>ISNUMBER(SEARCH("Move old",$AK2))</formula>
    </cfRule>
    <cfRule type="expression" dxfId="71" priority="79">
      <formula>ISNUMBER(SEARCH("Duplicate",$AK2))</formula>
    </cfRule>
    <cfRule type="expression" dxfId="70" priority="80">
      <formula>$AK2&lt;&gt;""</formula>
    </cfRule>
  </conditionalFormatting>
  <conditionalFormatting sqref="AL45:AL47">
    <cfRule type="expression" dxfId="69" priority="19">
      <formula>AND($B49&lt;&gt;"",MOD(ROW(),2)=0)</formula>
    </cfRule>
  </conditionalFormatting>
  <conditionalFormatting sqref="D88">
    <cfRule type="expression" dxfId="68" priority="615">
      <formula>AND($B50&lt;&gt;"",MOD(ROW(),2)=0)</formula>
    </cfRule>
  </conditionalFormatting>
  <conditionalFormatting sqref="R60">
    <cfRule type="expression" dxfId="67" priority="6">
      <formula>AND($B67&lt;&gt;"",MOD(ROW(),2)=0)</formula>
    </cfRule>
    <cfRule type="expression" dxfId="66" priority="7">
      <formula>$AJ67="Yes – needs PBI Dev to fix"</formula>
    </cfRule>
  </conditionalFormatting>
  <conditionalFormatting sqref="R60:S60">
    <cfRule type="expression" dxfId="65" priority="4">
      <formula>AND($B67&lt;&gt;"",MOD(ROW(),2)=0)</formula>
    </cfRule>
    <cfRule type="expression" dxfId="64" priority="5">
      <formula>$AJ67="Yes – needs PBI Dev to fix"</formula>
    </cfRule>
  </conditionalFormatting>
  <conditionalFormatting sqref="N70">
    <cfRule type="expression" dxfId="63" priority="3">
      <formula>$AD70="Yes – needs PBI Dev to fix"</formula>
    </cfRule>
  </conditionalFormatting>
  <conditionalFormatting sqref="N58">
    <cfRule type="expression" dxfId="62" priority="2">
      <formula>$AD58="Yes – needs PBI Dev to fix"</formula>
    </cfRule>
  </conditionalFormatting>
  <conditionalFormatting sqref="M91">
    <cfRule type="expression" dxfId="61" priority="1">
      <formula>$AF91="Yes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K2:M527 H2:H527 W2:W72 Y2:Y72 X2:X115 S30:S64"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Validation'!$F$3:$F$8</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325</v>
      </c>
    </row>
    <row r="2" spans="1:5">
      <c r="A2" s="6" t="s">
        <v>326</v>
      </c>
    </row>
    <row r="4" spans="1:5" ht="21.95" customHeight="1">
      <c r="A4" s="5" t="s">
        <v>327</v>
      </c>
      <c r="B4" s="174"/>
      <c r="C4" s="175"/>
      <c r="D4" s="175"/>
      <c r="E4" s="175"/>
    </row>
    <row r="6" spans="1:5" ht="15">
      <c r="A6" s="42" t="s">
        <v>0</v>
      </c>
      <c r="B6" s="172" t="str">
        <f>IF($B$4="","",IFERROR(INDEX('Combined Delivery Data'!$A:$A,MATCH($B$4,'Combined Delivery Data'!$B:$B,0)),""))</f>
        <v/>
      </c>
      <c r="C6" s="176"/>
      <c r="D6" s="176"/>
      <c r="E6" s="177"/>
    </row>
    <row r="7" spans="1:5" ht="15">
      <c r="A7" s="42" t="s">
        <v>328</v>
      </c>
      <c r="B7" s="172" t="str">
        <f>IF($B$4="","",IFERROR(INDEX('Combined Delivery Data'!$C:$C,MATCH($B$4,'Combined Delivery Data'!$B:$B,0)),""))</f>
        <v/>
      </c>
      <c r="C7" s="176"/>
      <c r="D7" s="176"/>
      <c r="E7" s="177"/>
    </row>
    <row r="8" spans="1:5" ht="15">
      <c r="A8" s="42" t="s">
        <v>3</v>
      </c>
      <c r="B8" s="172" t="str">
        <f>IF($B$4="","",IFERROR(INDEX('Combined Delivery Data'!$D:$D,MATCH($B$4,'Combined Delivery Data'!$B:$B,0)),""))</f>
        <v/>
      </c>
      <c r="C8" s="176"/>
      <c r="D8" s="176"/>
      <c r="E8" s="177"/>
    </row>
    <row r="9" spans="1:5" ht="15">
      <c r="A9" s="42" t="s">
        <v>4</v>
      </c>
      <c r="B9" s="172" t="str">
        <f>IF($B$4="","",IFERROR(INDEX('Combined Delivery Data'!$E:$E,MATCH($B$4,'Combined Delivery Data'!$B:$B,0)),""))</f>
        <v/>
      </c>
      <c r="C9" s="176"/>
      <c r="D9" s="176"/>
      <c r="E9" s="177"/>
    </row>
    <row r="10" spans="1:5" ht="15">
      <c r="A10" s="42" t="s">
        <v>5</v>
      </c>
      <c r="B10" s="172" t="str">
        <f>IF($B$4="","",IFERROR(INDEX('Combined Delivery Data'!$F:$F,MATCH($B$4,'Combined Delivery Data'!$B:$B,0)),""))</f>
        <v/>
      </c>
      <c r="C10" s="176"/>
      <c r="D10" s="176"/>
      <c r="E10" s="177"/>
    </row>
    <row r="11" spans="1:5" ht="15">
      <c r="A11" s="42" t="s">
        <v>9</v>
      </c>
      <c r="B11" s="172" t="str">
        <f>IF($B$4="","",IFERROR(INDEX('Combined Delivery Data'!$J:$J,MATCH($B$4,'Combined Delivery Data'!$B:$B,0)),""))</f>
        <v/>
      </c>
      <c r="C11" s="176"/>
      <c r="D11" s="176"/>
      <c r="E11" s="177"/>
    </row>
    <row r="12" spans="1:5" ht="15">
      <c r="A12" s="42" t="s">
        <v>15</v>
      </c>
      <c r="B12" s="172" t="str">
        <f>IF($B$4="","",IFERROR(INDEX('Combined Delivery Data'!$P:$P,MATCH($B$4,'Combined Delivery Data'!$B:$B,0)),""))</f>
        <v/>
      </c>
      <c r="C12" s="176"/>
      <c r="D12" s="176"/>
      <c r="E12" s="177"/>
    </row>
    <row r="13" spans="1:5" ht="15">
      <c r="A13" s="42" t="s">
        <v>20</v>
      </c>
      <c r="B13" s="172" t="str">
        <f>IF($B$4="","",IFERROR(INDEX('Combined Delivery Data'!$U:$U,MATCH($B$4,'Combined Delivery Data'!$B:$B,0)),""))</f>
        <v/>
      </c>
      <c r="C13" s="176"/>
      <c r="D13" s="176"/>
      <c r="E13" s="177"/>
    </row>
    <row r="14" spans="1:5" ht="15">
      <c r="A14" s="42" t="s">
        <v>329</v>
      </c>
      <c r="B14" s="171" t="str">
        <f>IF($B$4="","",IFERROR(INDEX('Combined Delivery Data'!$K:$K,MATCH($B$4,'Combined Delivery Data'!$B:$B,0)),""))</f>
        <v/>
      </c>
      <c r="C14" s="176"/>
      <c r="D14" s="176"/>
      <c r="E14" s="177"/>
    </row>
    <row r="15" spans="1:5" ht="15">
      <c r="A15" s="42" t="s">
        <v>330</v>
      </c>
      <c r="B15" s="171" t="str">
        <f>IF($B$4="","",IFERROR(INDEX('Combined Delivery Data'!$L:$L,MATCH($B$4,'Combined Delivery Data'!$B:$B,0)),""))</f>
        <v/>
      </c>
      <c r="C15" s="176"/>
      <c r="D15" s="176"/>
      <c r="E15" s="177"/>
    </row>
    <row r="16" spans="1:5" ht="15">
      <c r="A16" s="42" t="s">
        <v>331</v>
      </c>
      <c r="B16" s="171" t="str">
        <f>IF($B$4="","",IFERROR(INDEX('Combined Delivery Data'!$M:$M,MATCH($B$4,'Combined Delivery Data'!$B:$B,0)),""))</f>
        <v/>
      </c>
      <c r="C16" s="176"/>
      <c r="D16" s="176"/>
      <c r="E16" s="177"/>
    </row>
    <row r="17" spans="1:5" ht="15">
      <c r="A17" s="42" t="s">
        <v>332</v>
      </c>
      <c r="B17" s="171" t="str">
        <f>IF($B$4="","",IFERROR(INDEX('Combined Delivery Data'!$O:$O,MATCH($B$4,'Combined Delivery Data'!$B:$B,0)),""))</f>
        <v/>
      </c>
      <c r="C17" s="176"/>
      <c r="D17" s="176"/>
      <c r="E17" s="177"/>
    </row>
    <row r="18" spans="1:5" ht="15">
      <c r="A18" s="42" t="s">
        <v>333</v>
      </c>
      <c r="B18" s="171" t="str">
        <f>IF($B$4="","",IFERROR(INDEX('Combined Delivery Data'!$Q:$Q,MATCH($B$4,'Combined Delivery Data'!$B:$B,0)),""))</f>
        <v/>
      </c>
      <c r="C18" s="176"/>
      <c r="D18" s="176"/>
      <c r="E18" s="177"/>
    </row>
    <row r="19" spans="1:5" ht="15">
      <c r="A19" s="42" t="s">
        <v>334</v>
      </c>
      <c r="B19" s="171" t="str">
        <f>IF($B$4="","",IFERROR(INDEX('Combined Delivery Data'!$R:$R,MATCH($B$4,'Combined Delivery Data'!$B:$B,0)),""))</f>
        <v/>
      </c>
      <c r="C19" s="176"/>
      <c r="D19" s="176"/>
      <c r="E19" s="177"/>
    </row>
    <row r="20" spans="1:5" ht="15">
      <c r="A20" s="42" t="s">
        <v>335</v>
      </c>
      <c r="B20" s="171" t="str">
        <f>IF($B$4="","",IFERROR(INDEX('Combined Delivery Data'!$S:$S,MATCH($B$4,'Combined Delivery Data'!$B:$B,0)),""))</f>
        <v/>
      </c>
      <c r="C20" s="176"/>
      <c r="D20" s="176"/>
      <c r="E20" s="177"/>
    </row>
    <row r="21" spans="1:5" ht="15">
      <c r="A21" s="42" t="s">
        <v>29</v>
      </c>
      <c r="B21" s="172" t="str">
        <f>IF($B$4="","",IFERROR(INDEX('Combined Delivery Data'!$T:$T,MATCH($B$4,'Combined Delivery Data'!$B:$B,0)),""))</f>
        <v/>
      </c>
      <c r="C21" s="176"/>
      <c r="D21" s="176"/>
      <c r="E21" s="177"/>
    </row>
    <row r="22" spans="1:5" ht="15">
      <c r="A22" s="42" t="s">
        <v>31</v>
      </c>
      <c r="B22" s="172" t="str">
        <f>IF($B$4="","",IFERROR(INDEX('Combined Delivery Data'!$V:$V,MATCH($B$4,'Combined Delivery Data'!$B:$B,0)),""))</f>
        <v/>
      </c>
      <c r="C22" s="176"/>
      <c r="D22" s="176"/>
      <c r="E22" s="177"/>
    </row>
    <row r="23" spans="1:5" ht="15">
      <c r="A23" s="42" t="s">
        <v>32</v>
      </c>
      <c r="B23" s="171" t="str">
        <f>IF($B$4="","",IFERROR(INDEX('Combined Delivery Data'!$W:$W,MATCH($B$4,'Combined Delivery Data'!$B:$B,0)),""))</f>
        <v/>
      </c>
      <c r="C23" s="176"/>
      <c r="D23" s="176"/>
      <c r="E23" s="177"/>
    </row>
    <row r="24" spans="1:5" ht="15">
      <c r="A24" s="42" t="s">
        <v>35</v>
      </c>
      <c r="B24" s="172" t="str">
        <f>IF($B$4="","",IFERROR(INDEX('Combined Delivery Data'!$X:$X,MATCH($B$4,'Combined Delivery Data'!$B:$B,0)),""))</f>
        <v/>
      </c>
      <c r="C24" s="176"/>
      <c r="D24" s="176"/>
      <c r="E24" s="177"/>
    </row>
    <row r="25" spans="1:5" ht="15">
      <c r="A25" s="42" t="s">
        <v>36</v>
      </c>
      <c r="B25" s="172" t="str">
        <f>IF($B$4="","",IFERROR(INDEX('Combined Delivery Data'!$Z:$Z,MATCH($B$4,'Combined Delivery Data'!$B:$B,0)),""))</f>
        <v/>
      </c>
      <c r="C25" s="176"/>
      <c r="D25" s="176"/>
      <c r="E25" s="177"/>
    </row>
    <row r="26" spans="1:5">
      <c r="A26" s="42" t="s">
        <v>336</v>
      </c>
      <c r="B26" s="172" t="str">
        <f>IF($B$4="","",IFERROR(INDEX('Rework Log'!$Q:$Q,MATCH($B$4,'Rework Log'!$P:$P,0)),""))</f>
        <v/>
      </c>
      <c r="C26" s="176"/>
      <c r="D26" s="176"/>
      <c r="E26" s="177"/>
    </row>
    <row r="27" spans="1:5">
      <c r="A27" s="42" t="s">
        <v>337</v>
      </c>
      <c r="B27" s="172" t="str">
        <f>IF($B$4="","",IFERROR(INDEX('Rework Log'!$R:$R,MATCH($B$4,'Rework Log'!$P:$P,0)),""))</f>
        <v/>
      </c>
      <c r="C27" s="176"/>
      <c r="D27" s="176"/>
      <c r="E27" s="177"/>
    </row>
    <row r="28" spans="1:5">
      <c r="A28" s="42" t="s">
        <v>338</v>
      </c>
      <c r="B28" s="172" t="str">
        <f>IF($B$4="","",IFERROR(INDEX('Rework Log'!$S:$S,MATCH($B$4,'Rework Log'!$P:$P,0)),""))</f>
        <v/>
      </c>
      <c r="C28" s="176"/>
      <c r="D28" s="176"/>
      <c r="E28" s="177"/>
    </row>
    <row r="29" spans="1:5">
      <c r="A29" s="42" t="s">
        <v>339</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workbookViewId="0">
      <pane ySplit="2" topLeftCell="A29" activePane="bottomLeft" state="frozen"/>
      <selection pane="bottomLeft" activeCell="F43" sqref="F43"/>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340</v>
      </c>
      <c r="B1" s="173"/>
      <c r="C1" s="173"/>
      <c r="D1" s="173"/>
      <c r="E1" s="173"/>
      <c r="F1" s="173"/>
      <c r="G1" s="173"/>
      <c r="H1" s="173"/>
      <c r="I1" s="173"/>
      <c r="J1" s="173"/>
      <c r="K1" s="173"/>
      <c r="L1" s="173"/>
      <c r="M1" s="173"/>
      <c r="P1" s="179" t="s">
        <v>341</v>
      </c>
      <c r="Q1" s="179"/>
      <c r="R1" s="179"/>
      <c r="S1" s="179"/>
      <c r="T1" s="179"/>
    </row>
    <row r="2" spans="1:20" ht="30" customHeight="1">
      <c r="A2" s="17" t="s">
        <v>1</v>
      </c>
      <c r="B2" s="17" t="s">
        <v>342</v>
      </c>
      <c r="C2" s="17" t="s">
        <v>343</v>
      </c>
      <c r="D2" s="17" t="s">
        <v>344</v>
      </c>
      <c r="E2" s="17" t="s">
        <v>345</v>
      </c>
      <c r="F2" s="17" t="s">
        <v>346</v>
      </c>
      <c r="G2" s="17" t="s">
        <v>347</v>
      </c>
      <c r="H2" s="30" t="s">
        <v>348</v>
      </c>
      <c r="I2" s="30" t="s">
        <v>349</v>
      </c>
      <c r="J2" s="30" t="s">
        <v>350</v>
      </c>
      <c r="K2" s="30" t="s">
        <v>351</v>
      </c>
      <c r="L2" s="30" t="s">
        <v>352</v>
      </c>
      <c r="M2" s="21" t="s">
        <v>353</v>
      </c>
      <c r="N2" s="21" t="s">
        <v>354</v>
      </c>
      <c r="P2" s="13" t="s">
        <v>1</v>
      </c>
      <c r="Q2" s="13" t="s">
        <v>336</v>
      </c>
      <c r="R2" s="13" t="s">
        <v>337</v>
      </c>
      <c r="S2" s="13" t="s">
        <v>338</v>
      </c>
      <c r="T2" s="13" t="s">
        <v>339</v>
      </c>
    </row>
    <row r="3" spans="1:20">
      <c r="A3" s="33" t="s">
        <v>144</v>
      </c>
      <c r="B3" s="36">
        <v>46230</v>
      </c>
      <c r="C3" s="33" t="s">
        <v>166</v>
      </c>
      <c r="D3" s="33" t="s">
        <v>183</v>
      </c>
      <c r="E3" s="33" t="s">
        <v>145</v>
      </c>
      <c r="F3" s="33" t="s">
        <v>355</v>
      </c>
      <c r="G3" s="33" t="s">
        <v>50</v>
      </c>
      <c r="H3" s="36"/>
      <c r="I3" s="53"/>
      <c r="J3" s="53"/>
      <c r="K3" s="33"/>
      <c r="L3" s="33"/>
      <c r="M3" s="3" t="str">
        <f ca="1">IF($A3="","",IF($G3="Did not pass re-test","Sent back again",IF(NOT(ISNUMBER($B3)),"Missing sent-back date",IF($J3&lt;&gt;"","Fixed",IF($I3="","UNCLAIMED "&amp;(TODAY()-$B3)&amp;" d",IF(TODAY()&gt;$I3,(TODAY()-$I3)&amp;" d LATE","Open "&amp;(TODAY()-$B3)&amp;" d"))))))</f>
        <v>UNCLAIMED 45 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154</v>
      </c>
      <c r="B4" s="32">
        <v>46237</v>
      </c>
      <c r="C4" s="31" t="s">
        <v>166</v>
      </c>
      <c r="D4" s="31" t="s">
        <v>183</v>
      </c>
      <c r="E4" s="31" t="s">
        <v>145</v>
      </c>
      <c r="F4" s="31" t="s">
        <v>356</v>
      </c>
      <c r="G4" s="31" t="s">
        <v>50</v>
      </c>
      <c r="H4" s="32"/>
      <c r="I4" s="32"/>
      <c r="J4" s="32">
        <v>46247</v>
      </c>
      <c r="K4" s="31" t="s">
        <v>60</v>
      </c>
      <c r="L4" s="31" t="s">
        <v>357</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4" t="s">
        <v>127</v>
      </c>
      <c r="B5" s="32">
        <v>46238</v>
      </c>
      <c r="C5" s="31" t="s">
        <v>166</v>
      </c>
      <c r="D5" s="31" t="s">
        <v>183</v>
      </c>
      <c r="E5" s="31" t="s">
        <v>129</v>
      </c>
      <c r="F5" s="31" t="s">
        <v>358</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4" t="s">
        <v>142</v>
      </c>
      <c r="B6" s="32">
        <v>46234</v>
      </c>
      <c r="C6" s="31" t="s">
        <v>166</v>
      </c>
      <c r="D6" s="31" t="s">
        <v>183</v>
      </c>
      <c r="E6" s="31" t="s">
        <v>129</v>
      </c>
      <c r="F6" s="31" t="s">
        <v>359</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4" t="s">
        <v>134</v>
      </c>
      <c r="B7" s="32">
        <v>46239</v>
      </c>
      <c r="C7" s="31" t="s">
        <v>166</v>
      </c>
      <c r="D7" s="31" t="s">
        <v>183</v>
      </c>
      <c r="E7" s="31" t="s">
        <v>129</v>
      </c>
      <c r="F7" s="31" t="s">
        <v>360</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4" t="s">
        <v>134</v>
      </c>
      <c r="B8" s="32">
        <v>46246</v>
      </c>
      <c r="C8" s="31" t="s">
        <v>166</v>
      </c>
      <c r="D8" s="31" t="s">
        <v>183</v>
      </c>
      <c r="E8" s="31" t="s">
        <v>129</v>
      </c>
      <c r="F8" s="31" t="s">
        <v>361</v>
      </c>
      <c r="G8" s="31" t="s">
        <v>50</v>
      </c>
      <c r="H8" s="32"/>
      <c r="I8" s="32"/>
      <c r="J8" s="32">
        <v>46251</v>
      </c>
      <c r="K8" s="31"/>
      <c r="L8" s="31"/>
      <c r="M8" s="3" t="str">
        <f t="shared" ca="1" si="0"/>
        <v>Fixed</v>
      </c>
      <c r="N8" t="s">
        <v>362</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154</v>
      </c>
      <c r="B9" s="32">
        <v>46251</v>
      </c>
      <c r="C9" s="31" t="s">
        <v>166</v>
      </c>
      <c r="D9" s="31" t="s">
        <v>183</v>
      </c>
      <c r="E9" s="31" t="s">
        <v>145</v>
      </c>
      <c r="F9" s="31" t="s">
        <v>363</v>
      </c>
      <c r="G9" s="31" t="s">
        <v>50</v>
      </c>
      <c r="H9" s="32"/>
      <c r="I9" s="32"/>
      <c r="J9" s="32">
        <v>46254</v>
      </c>
      <c r="K9" s="31"/>
      <c r="L9" s="31"/>
      <c r="M9" s="3" t="str">
        <f t="shared" ca="1" si="0"/>
        <v>Fixed</v>
      </c>
      <c r="N9" t="s">
        <v>362</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144</v>
      </c>
      <c r="B10" s="32">
        <v>46237</v>
      </c>
      <c r="C10" s="31" t="s">
        <v>166</v>
      </c>
      <c r="D10" s="31" t="s">
        <v>183</v>
      </c>
      <c r="E10" s="31" t="s">
        <v>145</v>
      </c>
      <c r="F10" s="31" t="s">
        <v>356</v>
      </c>
      <c r="G10" s="31" t="s">
        <v>50</v>
      </c>
      <c r="H10" s="32"/>
      <c r="I10" s="32"/>
      <c r="J10" s="32">
        <v>46252</v>
      </c>
      <c r="K10" s="31"/>
      <c r="L10" s="31"/>
      <c r="M10" s="3" t="str">
        <f t="shared" ca="1" si="0"/>
        <v>Fixed</v>
      </c>
      <c r="N10" t="s">
        <v>362</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4" t="s">
        <v>134</v>
      </c>
      <c r="B11" s="32">
        <v>46254</v>
      </c>
      <c r="C11" s="31" t="s">
        <v>166</v>
      </c>
      <c r="D11" s="31" t="s">
        <v>183</v>
      </c>
      <c r="E11" s="31" t="s">
        <v>129</v>
      </c>
      <c r="F11" s="31" t="s">
        <v>358</v>
      </c>
      <c r="G11" s="31" t="s">
        <v>50</v>
      </c>
      <c r="H11" s="32"/>
      <c r="I11" s="32"/>
      <c r="J11" s="32">
        <v>46255</v>
      </c>
      <c r="K11" s="31"/>
      <c r="L11" s="31"/>
      <c r="M11" s="76"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4" t="s">
        <v>151</v>
      </c>
      <c r="B12" s="32">
        <v>46254</v>
      </c>
      <c r="C12" s="31" t="s">
        <v>166</v>
      </c>
      <c r="D12" s="31" t="s">
        <v>183</v>
      </c>
      <c r="E12" s="31" t="s">
        <v>145</v>
      </c>
      <c r="F12" s="31" t="s">
        <v>364</v>
      </c>
      <c r="G12" s="31" t="s">
        <v>50</v>
      </c>
      <c r="H12" s="32"/>
      <c r="I12" s="32"/>
      <c r="J12" s="32">
        <v>46255</v>
      </c>
      <c r="K12" s="31"/>
      <c r="L12" s="31"/>
      <c r="M12" s="76" t="str">
        <f ca="1">IF($A12="","",IF($G12="Did not pass re-test","Sent back again",IF(NOT(ISNUMBER($B12)),"Missing sent-back date",IF($J12&lt;&gt;"","Fixed",IF($I12="","UNCLAIMED "&amp;(TODAY()-$B12)&amp;" d",IF(TODAY()&gt;$I12,(TODAY()-$I12)&amp;" d LATE","Open "&amp;(TODAY()-$B12)&amp;" d"))))))</f>
        <v>Fixed</v>
      </c>
      <c r="N12" t="s">
        <v>365</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4" t="s">
        <v>139</v>
      </c>
      <c r="B13" s="32">
        <v>46258</v>
      </c>
      <c r="C13" s="31" t="s">
        <v>166</v>
      </c>
      <c r="D13" s="31" t="s">
        <v>183</v>
      </c>
      <c r="E13" s="31" t="s">
        <v>129</v>
      </c>
      <c r="F13" s="31" t="s">
        <v>366</v>
      </c>
      <c r="G13" s="31" t="s">
        <v>50</v>
      </c>
      <c r="H13" s="32"/>
      <c r="I13" s="32"/>
      <c r="J13" s="32">
        <v>46258</v>
      </c>
      <c r="K13" s="31"/>
      <c r="L13" s="31"/>
      <c r="M13" s="76"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147</v>
      </c>
      <c r="B14" s="32">
        <v>46258</v>
      </c>
      <c r="C14" s="31" t="s">
        <v>166</v>
      </c>
      <c r="D14" s="31" t="s">
        <v>206</v>
      </c>
      <c r="E14" s="31" t="s">
        <v>145</v>
      </c>
      <c r="F14" s="31" t="s">
        <v>367</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hidden="1">
      <c r="A15" s="31" t="s">
        <v>157</v>
      </c>
      <c r="B15" s="32">
        <v>46258</v>
      </c>
      <c r="C15" s="31" t="s">
        <v>166</v>
      </c>
      <c r="D15" s="31" t="s">
        <v>206</v>
      </c>
      <c r="E15" s="31" t="s">
        <v>145</v>
      </c>
      <c r="F15" s="31" t="s">
        <v>368</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150</v>
      </c>
      <c r="B16" s="32">
        <v>46258</v>
      </c>
      <c r="C16" s="31" t="s">
        <v>166</v>
      </c>
      <c r="D16" s="31" t="s">
        <v>183</v>
      </c>
      <c r="E16" s="31" t="s">
        <v>145</v>
      </c>
      <c r="F16" s="31" t="s">
        <v>369</v>
      </c>
      <c r="G16" s="31" t="s">
        <v>50</v>
      </c>
      <c r="H16" s="32"/>
      <c r="I16" s="32"/>
      <c r="J16" s="32">
        <v>46258</v>
      </c>
      <c r="K16" s="31"/>
      <c r="L16" s="31"/>
      <c r="M16" s="3" t="str">
        <f t="shared" ca="1" si="0"/>
        <v>Fixed</v>
      </c>
      <c r="N16" t="s">
        <v>365</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hidden="1">
      <c r="A17" s="31" t="s">
        <v>147</v>
      </c>
      <c r="B17" s="32">
        <v>46260</v>
      </c>
      <c r="C17" s="31" t="s">
        <v>166</v>
      </c>
      <c r="D17" s="31" t="s">
        <v>206</v>
      </c>
      <c r="E17" s="31" t="s">
        <v>145</v>
      </c>
      <c r="F17" s="31" t="s">
        <v>370</v>
      </c>
      <c r="G17" s="31" t="s">
        <v>50</v>
      </c>
      <c r="H17" s="32"/>
      <c r="I17" s="32"/>
      <c r="J17" s="32"/>
      <c r="K17" s="31"/>
      <c r="L17" s="31"/>
      <c r="M17" s="3"/>
      <c r="S17" s="28"/>
    </row>
    <row r="18" spans="1:20">
      <c r="A18" s="33" t="s">
        <v>182</v>
      </c>
      <c r="B18" s="32">
        <v>46261</v>
      </c>
      <c r="C18" s="31" t="s">
        <v>166</v>
      </c>
      <c r="D18" s="31" t="s">
        <v>183</v>
      </c>
      <c r="E18" s="31" t="s">
        <v>129</v>
      </c>
      <c r="F18" s="31" t="s">
        <v>371</v>
      </c>
      <c r="G18" s="31" t="s">
        <v>50</v>
      </c>
      <c r="H18" s="32"/>
      <c r="I18" s="32"/>
      <c r="J18" s="32">
        <v>46261</v>
      </c>
      <c r="K18" s="31" t="s">
        <v>156</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147</v>
      </c>
      <c r="B19" s="32">
        <v>46262</v>
      </c>
      <c r="C19" s="31" t="s">
        <v>166</v>
      </c>
      <c r="D19" s="31" t="s">
        <v>206</v>
      </c>
      <c r="E19" s="31" t="s">
        <v>145</v>
      </c>
      <c r="F19" s="31" t="s">
        <v>372</v>
      </c>
      <c r="G19" s="31" t="s">
        <v>50</v>
      </c>
      <c r="H19" s="32"/>
      <c r="I19" s="32"/>
      <c r="J19" s="32">
        <v>46266</v>
      </c>
      <c r="K19" s="31"/>
      <c r="L19" s="31"/>
      <c r="M19" s="3" t="str">
        <f t="shared" ca="1" si="0"/>
        <v>Fixed</v>
      </c>
      <c r="N19" t="s">
        <v>362</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373</v>
      </c>
      <c r="B20" s="32">
        <v>46265</v>
      </c>
      <c r="C20" s="31" t="s">
        <v>166</v>
      </c>
      <c r="D20" s="31" t="s">
        <v>206</v>
      </c>
      <c r="E20" s="31" t="s">
        <v>47</v>
      </c>
      <c r="F20" s="31" t="s">
        <v>374</v>
      </c>
      <c r="G20" s="31" t="s">
        <v>50</v>
      </c>
      <c r="H20" s="32"/>
      <c r="I20" s="32">
        <v>46265</v>
      </c>
      <c r="J20" s="32">
        <v>46265</v>
      </c>
      <c r="K20" s="31" t="s">
        <v>77</v>
      </c>
      <c r="L20" s="31" t="s">
        <v>375</v>
      </c>
      <c r="M20" s="3" t="str">
        <f t="shared" ca="1" si="0"/>
        <v>Fixed</v>
      </c>
      <c r="N20" t="s">
        <v>365</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176</v>
      </c>
      <c r="B21" s="32">
        <v>46265</v>
      </c>
      <c r="C21" s="31" t="s">
        <v>166</v>
      </c>
      <c r="D21" s="31" t="s">
        <v>183</v>
      </c>
      <c r="E21" s="31" t="s">
        <v>47</v>
      </c>
      <c r="F21" s="31" t="s">
        <v>376</v>
      </c>
      <c r="G21" s="31" t="s">
        <v>50</v>
      </c>
      <c r="H21" s="32"/>
      <c r="I21" s="32"/>
      <c r="J21" s="32"/>
      <c r="K21" s="31"/>
      <c r="L21" s="31"/>
      <c r="M21" s="3" t="str">
        <f t="shared" ca="1" si="0"/>
        <v>UNCLAIMED 10 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4" t="s">
        <v>139</v>
      </c>
      <c r="B22" s="32">
        <v>46265</v>
      </c>
      <c r="C22" s="31" t="s">
        <v>166</v>
      </c>
      <c r="D22" s="31" t="s">
        <v>183</v>
      </c>
      <c r="E22" s="31" t="s">
        <v>129</v>
      </c>
      <c r="F22" s="31" t="s">
        <v>377</v>
      </c>
      <c r="G22" s="31" t="s">
        <v>50</v>
      </c>
      <c r="H22" s="32"/>
      <c r="I22" s="32"/>
      <c r="J22" s="32">
        <v>46266</v>
      </c>
      <c r="K22" s="31" t="s">
        <v>59</v>
      </c>
      <c r="L22" s="31"/>
      <c r="M22" s="3" t="str">
        <f t="shared" ca="1" si="0"/>
        <v>Fixed</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171</v>
      </c>
      <c r="B23" s="32">
        <v>46266</v>
      </c>
      <c r="C23" s="31" t="s">
        <v>166</v>
      </c>
      <c r="D23" s="31" t="s">
        <v>206</v>
      </c>
      <c r="E23" s="31" t="s">
        <v>47</v>
      </c>
      <c r="F23" s="31" t="s">
        <v>378</v>
      </c>
      <c r="G23" s="31" t="s">
        <v>50</v>
      </c>
      <c r="H23" s="32"/>
      <c r="I23" s="32"/>
      <c r="J23" s="32"/>
      <c r="K23" s="31" t="s">
        <v>46</v>
      </c>
      <c r="L23" s="31"/>
      <c r="M23" s="3" t="str">
        <f t="shared" ca="1" si="0"/>
        <v>UNCLAIMED 9 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c r="A24" s="31" t="s">
        <v>171</v>
      </c>
      <c r="B24" s="32">
        <v>46266</v>
      </c>
      <c r="C24" s="31" t="s">
        <v>166</v>
      </c>
      <c r="D24" s="31" t="s">
        <v>206</v>
      </c>
      <c r="E24" s="31" t="s">
        <v>47</v>
      </c>
      <c r="F24" s="31" t="s">
        <v>379</v>
      </c>
      <c r="G24" s="31" t="s">
        <v>50</v>
      </c>
      <c r="H24" s="32"/>
      <c r="I24" s="32"/>
      <c r="J24" s="32"/>
      <c r="K24" s="31" t="s">
        <v>46</v>
      </c>
      <c r="L24" s="31"/>
      <c r="M24" s="3" t="str">
        <f t="shared" ca="1" si="0"/>
        <v>UNCLAIMED 9 d</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171</v>
      </c>
      <c r="B25" s="32">
        <v>46267</v>
      </c>
      <c r="C25" s="31" t="s">
        <v>166</v>
      </c>
      <c r="D25" s="31" t="s">
        <v>206</v>
      </c>
      <c r="E25" s="31" t="s">
        <v>47</v>
      </c>
      <c r="F25" s="77" t="s">
        <v>380</v>
      </c>
      <c r="G25" s="31" t="s">
        <v>50</v>
      </c>
      <c r="H25" s="32"/>
      <c r="I25" s="32"/>
      <c r="J25" s="32"/>
      <c r="K25" s="31" t="s">
        <v>46</v>
      </c>
      <c r="L25" s="31"/>
      <c r="M25" s="3" t="str">
        <f t="shared" ca="1" si="0"/>
        <v>UNCLAIMED 8 d</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4" t="s">
        <v>189</v>
      </c>
      <c r="B26" s="32">
        <v>46267</v>
      </c>
      <c r="C26" s="31" t="s">
        <v>166</v>
      </c>
      <c r="D26" s="31" t="s">
        <v>206</v>
      </c>
      <c r="E26" s="31" t="s">
        <v>129</v>
      </c>
      <c r="F26" s="31" t="s">
        <v>381</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8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4" t="s">
        <v>182</v>
      </c>
      <c r="B27" s="32">
        <v>46267</v>
      </c>
      <c r="C27" s="31" t="s">
        <v>166</v>
      </c>
      <c r="D27" s="31" t="s">
        <v>183</v>
      </c>
      <c r="E27" s="31" t="s">
        <v>129</v>
      </c>
      <c r="F27" s="31" t="s">
        <v>371</v>
      </c>
      <c r="G27" s="31" t="s">
        <v>50</v>
      </c>
      <c r="H27" s="32"/>
      <c r="I27" s="32"/>
      <c r="J27" s="32">
        <v>46267</v>
      </c>
      <c r="K27" s="31" t="s">
        <v>156</v>
      </c>
      <c r="L27" s="31"/>
      <c r="M27" s="3" t="str">
        <f ca="1">IF($A27="","",IF($G27="Did not pass re-test","Sent back again",IF(NOT(ISNUMBER($B27)),"Missing sent-back date",IF($J27&lt;&gt;"","Fixed",IF($I27="","UNCLAIMED "&amp;(TODAY()-$B27)&amp;" d",IF(TODAY()&gt;$I27,(TODAY()-$I27)&amp;" d LATE","Open "&amp;(TODAY()-$B27)&amp;" d"))))))</f>
        <v>Fixed</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157</v>
      </c>
      <c r="B28" s="32">
        <v>46267</v>
      </c>
      <c r="C28" s="31" t="s">
        <v>166</v>
      </c>
      <c r="D28" s="31" t="s">
        <v>206</v>
      </c>
      <c r="E28" s="31" t="s">
        <v>145</v>
      </c>
      <c r="F28" s="31" t="s">
        <v>382</v>
      </c>
      <c r="G28" s="31" t="s">
        <v>50</v>
      </c>
      <c r="H28" s="32"/>
      <c r="I28" s="32"/>
      <c r="J28" s="32">
        <v>46267</v>
      </c>
      <c r="K28" s="31" t="s">
        <v>77</v>
      </c>
      <c r="L28" s="31" t="s">
        <v>383</v>
      </c>
      <c r="M28" s="3" t="str">
        <f t="shared" ca="1" si="0"/>
        <v>Fixed</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137</v>
      </c>
      <c r="B29" s="32">
        <v>46267</v>
      </c>
      <c r="C29" s="31" t="s">
        <v>166</v>
      </c>
      <c r="D29" s="31" t="s">
        <v>206</v>
      </c>
      <c r="E29" s="31" t="s">
        <v>129</v>
      </c>
      <c r="F29" s="31" t="s">
        <v>382</v>
      </c>
      <c r="G29" s="31" t="s">
        <v>50</v>
      </c>
      <c r="H29" s="32"/>
      <c r="I29" s="32"/>
      <c r="J29" s="32">
        <v>46267</v>
      </c>
      <c r="K29" s="31" t="s">
        <v>77</v>
      </c>
      <c r="L29" s="115" t="s">
        <v>383</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158</v>
      </c>
      <c r="B30" s="32">
        <v>46267</v>
      </c>
      <c r="C30" s="31" t="s">
        <v>166</v>
      </c>
      <c r="D30" s="31" t="s">
        <v>206</v>
      </c>
      <c r="E30" s="31" t="s">
        <v>129</v>
      </c>
      <c r="F30" s="31" t="s">
        <v>382</v>
      </c>
      <c r="G30" s="31" t="s">
        <v>50</v>
      </c>
      <c r="H30" s="32"/>
      <c r="I30" s="32"/>
      <c r="J30" s="32">
        <v>46267</v>
      </c>
      <c r="K30" s="31" t="s">
        <v>77</v>
      </c>
      <c r="L30" s="115" t="s">
        <v>383</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4" t="s">
        <v>182</v>
      </c>
      <c r="B31" s="32">
        <v>46267</v>
      </c>
      <c r="C31" s="31" t="s">
        <v>166</v>
      </c>
      <c r="D31" s="31" t="s">
        <v>183</v>
      </c>
      <c r="E31" s="31" t="s">
        <v>129</v>
      </c>
      <c r="F31" s="31" t="s">
        <v>384</v>
      </c>
      <c r="G31" s="31" t="s">
        <v>50</v>
      </c>
      <c r="H31" s="32"/>
      <c r="I31" s="32"/>
      <c r="J31" s="32">
        <v>46267</v>
      </c>
      <c r="K31" s="31" t="s">
        <v>156</v>
      </c>
      <c r="L31" s="31"/>
      <c r="M31" s="3" t="str">
        <f t="shared" ca="1" si="0"/>
        <v>Fixed</v>
      </c>
      <c r="N31" t="s">
        <v>365</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165</v>
      </c>
      <c r="B32" s="32">
        <v>46268</v>
      </c>
      <c r="C32" s="31" t="s">
        <v>166</v>
      </c>
      <c r="D32" s="31" t="s">
        <v>183</v>
      </c>
      <c r="E32" s="31" t="s">
        <v>47</v>
      </c>
      <c r="F32" s="31" t="s">
        <v>385</v>
      </c>
      <c r="G32" s="31" t="s">
        <v>50</v>
      </c>
      <c r="H32" s="32"/>
      <c r="I32" s="32"/>
      <c r="J32" s="32"/>
      <c r="K32" s="31"/>
      <c r="L32" s="31"/>
      <c r="M32" s="3" t="str">
        <f t="shared" ca="1" si="0"/>
        <v>UNCLAIMED 7 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184</v>
      </c>
      <c r="B33" s="32">
        <v>46267</v>
      </c>
      <c r="C33" s="31" t="s">
        <v>166</v>
      </c>
      <c r="D33" s="31" t="s">
        <v>183</v>
      </c>
      <c r="E33" s="31" t="s">
        <v>386</v>
      </c>
      <c r="F33" s="31" t="s">
        <v>387</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165</v>
      </c>
      <c r="B34" s="32">
        <v>46273</v>
      </c>
      <c r="C34" s="31" t="s">
        <v>166</v>
      </c>
      <c r="D34" s="31" t="s">
        <v>183</v>
      </c>
      <c r="E34" s="31" t="s">
        <v>47</v>
      </c>
      <c r="F34" s="31" t="s">
        <v>388</v>
      </c>
      <c r="G34" s="31" t="s">
        <v>50</v>
      </c>
      <c r="H34" s="32"/>
      <c r="I34" s="32"/>
      <c r="J34" s="32"/>
      <c r="K34" s="31"/>
      <c r="L34" s="31"/>
      <c r="M34" s="3" t="str">
        <f t="shared" ca="1" si="0"/>
        <v>UNCLAIMED 2 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195</v>
      </c>
      <c r="B35" s="32">
        <v>46274</v>
      </c>
      <c r="C35" s="31" t="s">
        <v>166</v>
      </c>
      <c r="D35" s="31" t="s">
        <v>206</v>
      </c>
      <c r="E35" s="31" t="s">
        <v>47</v>
      </c>
      <c r="F35" s="77" t="s">
        <v>389</v>
      </c>
      <c r="G35" s="31" t="s">
        <v>53</v>
      </c>
      <c r="H35" s="32"/>
      <c r="I35" s="32"/>
      <c r="J35" s="32">
        <v>46275</v>
      </c>
      <c r="K35" s="31" t="s">
        <v>77</v>
      </c>
      <c r="L35" s="31" t="s">
        <v>390</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182</v>
      </c>
      <c r="B36" s="32">
        <v>46275</v>
      </c>
      <c r="C36" s="31" t="s">
        <v>166</v>
      </c>
      <c r="D36" s="31" t="s">
        <v>183</v>
      </c>
      <c r="E36" s="31" t="s">
        <v>129</v>
      </c>
      <c r="F36" s="31" t="s">
        <v>391</v>
      </c>
      <c r="G36" s="31" t="s">
        <v>53</v>
      </c>
      <c r="H36" s="32"/>
      <c r="I36" s="32"/>
      <c r="J36" s="32"/>
      <c r="K36" s="31"/>
      <c r="L36" s="31"/>
      <c r="M36" s="3" t="str">
        <f t="shared" ca="1" si="0"/>
        <v>UNCLAIMED 0 d</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189</v>
      </c>
      <c r="B37" s="32">
        <v>46275</v>
      </c>
      <c r="C37" s="31" t="s">
        <v>166</v>
      </c>
      <c r="D37" s="31"/>
      <c r="E37" s="31" t="s">
        <v>129</v>
      </c>
      <c r="F37" s="31" t="s">
        <v>392</v>
      </c>
      <c r="G37" s="31" t="s">
        <v>53</v>
      </c>
      <c r="H37" s="32"/>
      <c r="I37" s="32"/>
      <c r="J37" s="32"/>
      <c r="K37" s="31"/>
      <c r="L37" s="31"/>
      <c r="M37" s="3" t="str">
        <f t="shared" ca="1" si="0"/>
        <v>UNCLAIMED 0 d</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c r="A38" s="31"/>
      <c r="B38" s="32"/>
      <c r="C38" s="31" t="s">
        <v>166</v>
      </c>
      <c r="D38" s="31"/>
      <c r="E38" s="31"/>
      <c r="F38" s="31"/>
      <c r="G38" s="31" t="s">
        <v>53</v>
      </c>
      <c r="H38" s="32"/>
      <c r="I38" s="32"/>
      <c r="J38" s="32"/>
      <c r="K38" s="31"/>
      <c r="L38" s="31"/>
      <c r="M38" s="3" t="str">
        <f t="shared" ca="1" si="0"/>
        <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c r="B39" s="32"/>
      <c r="C39" s="31" t="s">
        <v>166</v>
      </c>
      <c r="D39" s="31"/>
      <c r="E39" s="31"/>
      <c r="F39" s="31"/>
      <c r="G39" s="31" t="s">
        <v>53</v>
      </c>
      <c r="H39" s="32"/>
      <c r="I39" s="32"/>
      <c r="J39" s="32"/>
      <c r="K39" s="31"/>
      <c r="L39" s="31"/>
      <c r="M39" s="3" t="str">
        <f t="shared" ca="1" si="0"/>
        <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c r="B40" s="32"/>
      <c r="C40" s="31" t="s">
        <v>166</v>
      </c>
      <c r="D40" s="31"/>
      <c r="E40" s="31"/>
      <c r="F40" s="31"/>
      <c r="G40" s="31" t="s">
        <v>53</v>
      </c>
      <c r="H40" s="32"/>
      <c r="I40" s="32"/>
      <c r="J40" s="32"/>
      <c r="K40" s="31"/>
      <c r="L40" s="31"/>
      <c r="M40" s="3" t="str">
        <f t="shared" ca="1" si="0"/>
        <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c r="B41" s="32"/>
      <c r="C41" s="31" t="s">
        <v>166</v>
      </c>
      <c r="D41" s="31"/>
      <c r="E41" s="31"/>
      <c r="F41" s="31"/>
      <c r="G41" s="31" t="s">
        <v>53</v>
      </c>
      <c r="H41" s="32"/>
      <c r="I41" s="32"/>
      <c r="J41" s="32"/>
      <c r="K41" s="31"/>
      <c r="L41" s="31"/>
      <c r="M41" s="3" t="str">
        <f t="shared" ca="1" si="0"/>
        <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c r="B42" s="32"/>
      <c r="C42" s="31" t="s">
        <v>166</v>
      </c>
      <c r="D42" s="31"/>
      <c r="E42" s="31"/>
      <c r="F42" s="31"/>
      <c r="G42" s="31" t="s">
        <v>53</v>
      </c>
      <c r="H42" s="32"/>
      <c r="I42" s="32"/>
      <c r="J42" s="32"/>
      <c r="K42" s="31"/>
      <c r="L42" s="31"/>
      <c r="M42" s="3" t="str">
        <f t="shared" ca="1" si="0"/>
        <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166</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166</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166</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166</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166</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166</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166</v>
      </c>
      <c r="D49" s="31"/>
      <c r="E49" s="31"/>
      <c r="F49" s="31"/>
      <c r="G49" s="31" t="s">
        <v>53</v>
      </c>
      <c r="H49" s="32"/>
      <c r="I49" s="32"/>
      <c r="J49" s="32"/>
      <c r="K49" s="31"/>
      <c r="L49" s="31"/>
      <c r="M49" s="3" t="str">
        <f t="shared" ca="1" si="0"/>
        <v/>
      </c>
      <c r="P49" t="str">
        <f>'Combined Delivery Data'!B49</f>
        <v>RPT_02_Large Gas Outage</v>
      </c>
      <c r="Q49">
        <f>IF($P49="","",COUNTIF($A$3:$A$498,$P49))</f>
        <v>4</v>
      </c>
      <c r="R49">
        <f>IF($P49="","",SUMPRODUCT(($A$3:$A$498=$P49)*($G$3:$G$498&lt;&gt;"Yes")*($G$3:$G$498&lt;&gt;"Did not pass re-test")))</f>
        <v>1</v>
      </c>
      <c r="S49" s="28">
        <f>IF($P49="","",IF(SUMPRODUCT(MAX(($A$3:$A$498=$P49)*ROW($A$3:$A$498)))=0,"",INDEX($B:$B,SUMPRODUCT(MAX(($A$3:$A$498=$P49)*ROW($A$3:$A$498))))))</f>
        <v>46275</v>
      </c>
      <c r="T49" t="str">
        <f>IF($P49="","",IF(SUMPRODUCT(MAX(($A$3:$A$498=$P49)*ROW($A$3:$A$498)))=0,"",INDEX($C:$C,SUMPRODUCT(MAX(($A$3:$A$498=$P49)*ROW($A$3:$A$498))))&amp;" -&gt; "&amp;INDEX($D:$D,SUMPRODUCT(MAX(($A$3:$A$498=$P49)*ROW($A$3:$A$498))))))</f>
        <v>QA -&gt; DB Dev</v>
      </c>
    </row>
    <row r="50" spans="1:20">
      <c r="A50" s="31"/>
      <c r="B50" s="32"/>
      <c r="C50" s="31" t="s">
        <v>166</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166</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166</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 xml:space="preserve">QA -&gt; </v>
      </c>
    </row>
    <row r="53" spans="1:20">
      <c r="A53" s="31"/>
      <c r="B53" s="32"/>
      <c r="C53" s="31" t="s">
        <v>166</v>
      </c>
      <c r="D53" s="31"/>
      <c r="E53" s="31"/>
      <c r="F53" s="31"/>
      <c r="G53" s="31" t="s">
        <v>53</v>
      </c>
      <c r="H53" s="32"/>
      <c r="I53" s="32"/>
      <c r="J53" s="32"/>
      <c r="K53" s="31"/>
      <c r="L53" s="31"/>
      <c r="M53" s="3" t="str">
        <f t="shared" ca="1" si="0"/>
        <v/>
      </c>
      <c r="P53" t="str">
        <f>'Combined Delivery Data'!B53</f>
        <v>RPT_02_Collector Payment Recap</v>
      </c>
      <c r="Q53">
        <f>IF($P53="","",COUNTIF($A$3:$A$498,$P53))</f>
        <v>0</v>
      </c>
      <c r="R53">
        <f>IF($P53="","",SUMPRODUCT(($A$3:$A$498=$P53)*($G$3:$G$498&lt;&gt;"Yes")*($G$3:$G$498&lt;&gt;"Did not pass re-test")))</f>
        <v>0</v>
      </c>
      <c r="S53" s="28" t="str">
        <f>IF($P53="","",IF(SUMPRODUCT(MAX(($A$3:$A$498=$P53)*ROW($A$3:$A$498)))=0,"",INDEX($B:$B,SUMPRODUCT(MAX(($A$3:$A$498=$P53)*ROW($A$3:$A$498))))))</f>
        <v/>
      </c>
      <c r="T53" t="str">
        <f>IF($P53="","",IF(SUMPRODUCT(MAX(($A$3:$A$498=$P53)*ROW($A$3:$A$498)))=0,"",INDEX($C:$C,SUMPRODUCT(MAX(($A$3:$A$498=$P53)*ROW($A$3:$A$498))))&amp;" -&gt; "&amp;INDEX($D:$D,SUMPRODUCT(MAX(($A$3:$A$498=$P53)*ROW($A$3:$A$498))))))</f>
        <v/>
      </c>
    </row>
    <row r="54" spans="1:20">
      <c r="A54" s="31"/>
      <c r="B54" s="32"/>
      <c r="C54" s="31" t="s">
        <v>166</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166</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1</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166</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166</v>
      </c>
      <c r="D57" s="31"/>
      <c r="E57" s="31"/>
      <c r="F57" s="31"/>
      <c r="G57" s="31" t="s">
        <v>53</v>
      </c>
      <c r="H57" s="32"/>
      <c r="I57" s="32"/>
      <c r="J57" s="32"/>
      <c r="K57" s="31"/>
      <c r="L57" s="31"/>
      <c r="M57" s="3" t="str">
        <f t="shared" ca="1" si="0"/>
        <v/>
      </c>
      <c r="P57" t="str">
        <f>'Combined Delivery Data'!B57</f>
        <v>RPT_02_High Bill Investigations</v>
      </c>
      <c r="Q57">
        <f>IF($P57="","",COUNTIF($A$3:$A$498,$P57))</f>
        <v>0</v>
      </c>
      <c r="R57">
        <f>IF($P57="","",SUMPRODUCT(($A$3:$A$498=$P57)*($G$3:$G$498&lt;&gt;"Yes")*($G$3:$G$498&lt;&gt;"Did not pass re-test")))</f>
        <v>0</v>
      </c>
      <c r="S57" s="28" t="str">
        <f>IF($P57="","",IF(SUMPRODUCT(MAX(($A$3:$A$498=$P57)*ROW($A$3:$A$498)))=0,"",INDEX($B:$B,SUMPRODUCT(MAX(($A$3:$A$498=$P57)*ROW($A$3:$A$498))))))</f>
        <v/>
      </c>
      <c r="T57" t="str">
        <f>IF($P57="","",IF(SUMPRODUCT(MAX(($A$3:$A$498=$P57)*ROW($A$3:$A$498)))=0,"",INDEX($C:$C,SUMPRODUCT(MAX(($A$3:$A$498=$P57)*ROW($A$3:$A$498))))&amp;" -&gt; "&amp;INDEX($D:$D,SUMPRODUCT(MAX(($A$3:$A$498=$P57)*ROW($A$3:$A$498))))))</f>
        <v/>
      </c>
    </row>
    <row r="58" spans="1:20">
      <c r="A58" s="31"/>
      <c r="B58" s="32"/>
      <c r="C58" s="31" t="s">
        <v>166</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166</v>
      </c>
      <c r="D59" s="31"/>
      <c r="E59" s="31"/>
      <c r="F59" s="31"/>
      <c r="G59" s="31" t="s">
        <v>53</v>
      </c>
      <c r="H59" s="32"/>
      <c r="I59" s="32"/>
      <c r="J59" s="32"/>
      <c r="K59" s="31"/>
      <c r="L59" s="31"/>
      <c r="M59" s="3" t="str">
        <f t="shared" ca="1" si="0"/>
        <v/>
      </c>
      <c r="P59" t="str">
        <f>'Combined Delivery Data'!B59</f>
        <v>RPT_02_Cut Out Curb Box</v>
      </c>
      <c r="Q59">
        <f>IF($P59="","",COUNTIF($A$3:$A$498,$P59))</f>
        <v>0</v>
      </c>
      <c r="R59">
        <f>IF($P59="","",SUMPRODUCT(($A$3:$A$498=$P59)*($G$3:$G$498&lt;&gt;"Yes")*($G$3:$G$498&lt;&gt;"Did not pass re-test")))</f>
        <v>0</v>
      </c>
      <c r="S59" s="28" t="str">
        <f>IF($P59="","",IF(SUMPRODUCT(MAX(($A$3:$A$498=$P59)*ROW($A$3:$A$498)))=0,"",INDEX($B:$B,SUMPRODUCT(MAX(($A$3:$A$498=$P59)*ROW($A$3:$A$498))))))</f>
        <v/>
      </c>
      <c r="T59" t="str">
        <f>IF($P59="","",IF(SUMPRODUCT(MAX(($A$3:$A$498=$P59)*ROW($A$3:$A$498)))=0,"",INDEX($C:$C,SUMPRODUCT(MAX(($A$3:$A$498=$P59)*ROW($A$3:$A$498))))&amp;" -&gt; "&amp;INDEX($D:$D,SUMPRODUCT(MAX(($A$3:$A$498=$P59)*ROW($A$3:$A$498))))))</f>
        <v/>
      </c>
    </row>
    <row r="60" spans="1:20">
      <c r="A60" s="31"/>
      <c r="B60" s="32"/>
      <c r="C60" s="31" t="s">
        <v>166</v>
      </c>
      <c r="D60" s="31"/>
      <c r="E60" s="31"/>
      <c r="F60" s="31"/>
      <c r="G60" s="31" t="s">
        <v>53</v>
      </c>
      <c r="H60" s="32"/>
      <c r="I60" s="32"/>
      <c r="J60" s="32"/>
      <c r="K60" s="31"/>
      <c r="L60" s="31"/>
      <c r="M60" s="3" t="str">
        <f t="shared" ca="1" si="0"/>
        <v/>
      </c>
      <c r="P60" t="str">
        <f>'Combined Delivery Data'!B60</f>
        <v>RPT_02_New York Incident</v>
      </c>
      <c r="Q60">
        <f>IF($P60="","",COUNTIF($A$3:$A$498,$P60))</f>
        <v>0</v>
      </c>
      <c r="R60">
        <f>IF($P60="","",SUMPRODUCT(($A$3:$A$498=$P60)*($G$3:$G$498&lt;&gt;"Yes")*($G$3:$G$498&lt;&gt;"Did not pass re-test")))</f>
        <v>0</v>
      </c>
      <c r="S60" s="28" t="str">
        <f>IF($P60="","",IF(SUMPRODUCT(MAX(($A$3:$A$498=$P60)*ROW($A$3:$A$498)))=0,"",INDEX($B:$B,SUMPRODUCT(MAX(($A$3:$A$498=$P60)*ROW($A$3:$A$498))))))</f>
        <v/>
      </c>
      <c r="T60" t="str">
        <f>IF($P60="","",IF(SUMPRODUCT(MAX(($A$3:$A$498=$P60)*ROW($A$3:$A$498)))=0,"",INDEX($C:$C,SUMPRODUCT(MAX(($A$3:$A$498=$P60)*ROW($A$3:$A$498))))&amp;" -&gt; "&amp;INDEX($D:$D,SUMPRODUCT(MAX(($A$3:$A$498=$P60)*ROW($A$3:$A$498))))))</f>
        <v/>
      </c>
    </row>
    <row r="61" spans="1:20">
      <c r="A61" s="31"/>
      <c r="B61" s="32"/>
      <c r="C61" s="31" t="s">
        <v>166</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166</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166</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166</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166</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166</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166</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166</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166</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166</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166</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166</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166</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166</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166</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166</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166</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166</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166</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166</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166</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166</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166</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166</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166</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166</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166</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166</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166</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461</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166</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461</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166</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461</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166</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461</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166</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461</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166</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461</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166</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461</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166</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461</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166</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461</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166</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461</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166</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461</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166</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461</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166</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461</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166</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461</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166</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461</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166</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461</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166</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461</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166</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461</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166</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461</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166</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461</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166</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461</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166</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461</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166</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461</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166</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461</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166</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461</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166</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461</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166</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461</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166</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461</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166</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461</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166</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461</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166</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461</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166</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461</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166</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461</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166</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461</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166</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461</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166</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461</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166</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461</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166</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461</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166</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461</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166</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461</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166</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461</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166</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461</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166</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461</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166</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461</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166</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461</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166</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461</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166</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461</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166</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461</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166</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461</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166</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461</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166</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461</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166</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461</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166</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461</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166</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461</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166</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461</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166</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461</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166</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461</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166</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461</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166</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461</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166</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461</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166</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461</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166</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461</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166</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461</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166</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461</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166</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461</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166</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461</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166</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461</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166</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461</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166</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461</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166</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461</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166</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461</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166</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461</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166</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461</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166</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461</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166</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461</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166</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461</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166</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461</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166</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461</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166</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461</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166</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461</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166</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461</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166</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461</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166</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461</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166</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461</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166</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461</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166</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461</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166</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461</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166</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461</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166</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461</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166</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461</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166</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461</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166</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461</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166</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461</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166</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461</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166</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461</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166</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461</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166</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461</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166</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461</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166</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461</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166</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461</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166</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461</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166</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461</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166</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461</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166</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461</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166</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461</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166</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461</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166</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461</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166</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461</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166</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461</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166</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461</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461</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461</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461</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461</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461</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461</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461</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461</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461</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461</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461</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461</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461</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461</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461</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461</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461</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461</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461</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461</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461</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461</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461</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461</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461</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461</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461</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461</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461</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461</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461</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461</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461</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461</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461</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461</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461</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461</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461</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461</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461</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461</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461</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461</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461</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461</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461</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461</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461</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461</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461</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461</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461</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461</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461</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461</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461</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461</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461</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461</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461</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461</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461</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461</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461</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461</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461</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461</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461</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461</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461</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461</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461</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461</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461</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461</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461</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461</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461</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461</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461</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461</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461</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461</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461</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461</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461</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461</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461</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461</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461</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461</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461</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461</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461</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461</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461</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461</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461</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461</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461</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461</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461</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461</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461</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461</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461</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461</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461</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461</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461</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461</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461</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461</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461</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461</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461</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461</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461</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461</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461</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461</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461</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461</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461</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461</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461</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461</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461</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461</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461</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461</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461</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461</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461</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461</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461</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461</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461</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461</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461</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461</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461</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461</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461</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461</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461</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461</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461</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461</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461</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461</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461</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461</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461</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461</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461</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461</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461</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461</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461</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461</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461</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461</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461</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461</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461</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461</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461</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461</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461</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461</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461</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461</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461</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461</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461</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461</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461</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461</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461</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461</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461</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461</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461</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461</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461</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461</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461</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461</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461</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461</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461</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461</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461</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461</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461</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461</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461</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461</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461</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461</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461</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461</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461</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461</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461</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461</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461</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461</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461</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461</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461</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461</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461</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461</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461</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461</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461</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461</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461</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461</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461</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461</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461</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461</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461</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461</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461</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461</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461</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461</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461</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461</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461</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461</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461</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461</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461</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461</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461</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461</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461</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461</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461</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461</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461</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461</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461</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461</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461</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461</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461</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461</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461</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461</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461</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461</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461</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461</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461</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461</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461</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461</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461</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461</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461</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461</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461</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461</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461</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461</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461</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461</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461</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461</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461</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461</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461</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461</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461</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461</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461</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461</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461</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461</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461</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461</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461</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461</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461</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461</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461</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461</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461</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461</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461</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461</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461</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461</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19" priority="13">
      <formula>AND($B5&lt;&gt;"",MOD(ROW(),2)=0)</formula>
    </cfRule>
  </conditionalFormatting>
  <conditionalFormatting sqref="A11:A13">
    <cfRule type="expression" dxfId="18" priority="10">
      <formula>AND($B11&lt;&gt;"",MOD(ROW(),2)=0)</formula>
    </cfRule>
  </conditionalFormatting>
  <conditionalFormatting sqref="A3:H3 K3:M3 A4:M4 M4:M11 B5:M8 A9:M10 B11:M13 A14:M17 A19:M21 B18:M18 B22:M22 A23:M25 B26:M27 A28:M28 A29:K30 M29:M30 B31:M31 A32:M35 A38:M498 B36:M37">
    <cfRule type="expression" dxfId="17" priority="23">
      <formula>AND($A3&lt;&gt;"",$G3="Yes")</formula>
    </cfRule>
    <cfRule type="expression" dxfId="16" priority="24">
      <formula>AND($A3&lt;&gt;"",$J3&lt;&gt;"")</formula>
    </cfRule>
    <cfRule type="expression" dxfId="15" priority="25">
      <formula>$A3&lt;&gt;""</formula>
    </cfRule>
  </conditionalFormatting>
  <conditionalFormatting sqref="C3:C198 G3:G198">
    <cfRule type="expression" dxfId="14" priority="26">
      <formula>$A3=""</formula>
    </cfRule>
  </conditionalFormatting>
  <conditionalFormatting sqref="K3:M3 A4:M4 M4:M11 B5:M8 A9:M10 B11:M13 A14:M17 A3:H3 A19:M21 B18:M18 B22:M22 A23:M25 B26:M27 A28:M28 A29:K30 M29:M30 B31:M31 A32:M35 A38:M498 B36:M37">
    <cfRule type="expression" dxfId="13" priority="22">
      <formula>AND($A3&lt;&gt;"",$G3="Did not pass re-test")</formula>
    </cfRule>
  </conditionalFormatting>
  <conditionalFormatting sqref="M3:M498">
    <cfRule type="expression" dxfId="12" priority="16">
      <formula>ISNUMBER(SEARCH("Sent back again",$M3))</formula>
    </cfRule>
    <cfRule type="expression" dxfId="11" priority="17">
      <formula>ISNUMBER(SEARCH("LATE",$M3))</formula>
    </cfRule>
    <cfRule type="expression" dxfId="10" priority="18">
      <formula>ISNUMBER(SEARCH("UNCLAIMED",$M3))</formula>
    </cfRule>
    <cfRule type="expression" dxfId="9" priority="19">
      <formula>ISNUMBER(SEARCH("Missing",$M3))</formula>
    </cfRule>
    <cfRule type="expression" dxfId="8" priority="20">
      <formula>ISNUMBER(SEARCH("Fixed in",$M3))</formula>
    </cfRule>
    <cfRule type="expression" dxfId="7" priority="21">
      <formula>ISNUMBER(SEARCH("Open",$M3))</formula>
    </cfRule>
  </conditionalFormatting>
  <conditionalFormatting sqref="A18">
    <cfRule type="expression" dxfId="6" priority="9">
      <formula>AND($B18&lt;&gt;"",MOD(ROW(),2)=0)</formula>
    </cfRule>
  </conditionalFormatting>
  <conditionalFormatting sqref="A22">
    <cfRule type="expression" dxfId="5" priority="7">
      <formula>AND($B22&lt;&gt;"",MOD(ROW(),2)=0)</formula>
    </cfRule>
  </conditionalFormatting>
  <conditionalFormatting sqref="A26">
    <cfRule type="expression" dxfId="4" priority="6">
      <formula>AND($B26&lt;&gt;"",MOD(ROW(),2)=0)</formula>
    </cfRule>
  </conditionalFormatting>
  <conditionalFormatting sqref="A27">
    <cfRule type="expression" dxfId="3" priority="5">
      <formula>AND($B27&lt;&gt;"",MOD(ROW(),2)=0)</formula>
    </cfRule>
  </conditionalFormatting>
  <conditionalFormatting sqref="A31">
    <cfRule type="expression" dxfId="2" priority="4">
      <formula>AND($B31&lt;&gt;"",MOD(ROW(),2)=0)</formula>
    </cfRule>
  </conditionalFormatting>
  <conditionalFormatting sqref="A36">
    <cfRule type="expression" dxfId="1" priority="2">
      <formula>AND($B36&lt;&gt;"",MOD(ROW(),2)=0)</formula>
    </cfRule>
  </conditionalFormatting>
  <conditionalFormatting sqref="A37">
    <cfRule type="expression" dxfId="0" priority="1">
      <formula>AND($B37&lt;&gt;"",MOD(ROW(),2)=0)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A38:A498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0" t="s">
        <v>393</v>
      </c>
      <c r="B1" s="175"/>
      <c r="C1" s="175"/>
      <c r="D1" s="175"/>
      <c r="E1" s="175"/>
      <c r="F1" s="175"/>
      <c r="G1" s="175"/>
      <c r="H1" s="175"/>
      <c r="I1" s="175"/>
      <c r="J1" s="175"/>
    </row>
    <row r="2" spans="1:10" ht="27" customHeight="1">
      <c r="A2" s="8" t="s">
        <v>0</v>
      </c>
      <c r="B2" s="8" t="s">
        <v>394</v>
      </c>
      <c r="C2" s="8" t="s">
        <v>1</v>
      </c>
      <c r="D2" s="8" t="s">
        <v>395</v>
      </c>
      <c r="E2" s="8" t="s">
        <v>396</v>
      </c>
      <c r="F2" s="8" t="s">
        <v>6</v>
      </c>
      <c r="G2" s="8" t="s">
        <v>5</v>
      </c>
      <c r="H2" s="8" t="s">
        <v>397</v>
      </c>
      <c r="I2" s="8" t="s">
        <v>398</v>
      </c>
      <c r="J2" s="8" t="s">
        <v>399</v>
      </c>
    </row>
    <row r="3" spans="1:10" ht="14.25" customHeight="1">
      <c r="A3" s="9" t="s">
        <v>40</v>
      </c>
      <c r="B3" s="9" t="s">
        <v>183</v>
      </c>
      <c r="C3" s="9" t="s">
        <v>41</v>
      </c>
      <c r="D3" s="9" t="s">
        <v>44</v>
      </c>
      <c r="E3" s="9" t="s">
        <v>46</v>
      </c>
      <c r="F3" s="9"/>
      <c r="G3" s="9"/>
      <c r="H3" s="9"/>
      <c r="I3" s="10">
        <v>46115</v>
      </c>
      <c r="J3" s="10">
        <v>46115</v>
      </c>
    </row>
    <row r="4" spans="1:10" ht="14.25" customHeight="1">
      <c r="A4" s="9" t="s">
        <v>40</v>
      </c>
      <c r="B4" s="9" t="s">
        <v>206</v>
      </c>
      <c r="C4" s="9" t="s">
        <v>41</v>
      </c>
      <c r="D4" s="9" t="s">
        <v>44</v>
      </c>
      <c r="E4" s="9" t="s">
        <v>46</v>
      </c>
      <c r="F4" s="9"/>
      <c r="G4" s="9"/>
      <c r="H4" s="10">
        <v>46115</v>
      </c>
      <c r="I4" s="10">
        <v>46114</v>
      </c>
      <c r="J4" s="10">
        <v>46114</v>
      </c>
    </row>
    <row r="5" spans="1:10" ht="14.25" customHeight="1">
      <c r="A5" s="9" t="s">
        <v>40</v>
      </c>
      <c r="B5" s="9" t="s">
        <v>166</v>
      </c>
      <c r="C5" s="9" t="s">
        <v>41</v>
      </c>
      <c r="D5" s="9" t="s">
        <v>44</v>
      </c>
      <c r="E5" s="9" t="s">
        <v>46</v>
      </c>
      <c r="F5" s="9"/>
      <c r="G5" s="9"/>
      <c r="H5" s="10">
        <v>46114</v>
      </c>
      <c r="I5" s="10">
        <v>46122</v>
      </c>
      <c r="J5" s="10">
        <v>46122</v>
      </c>
    </row>
    <row r="6" spans="1:10" ht="14.25" customHeight="1">
      <c r="A6" s="9" t="s">
        <v>40</v>
      </c>
      <c r="B6" s="9" t="s">
        <v>128</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183</v>
      </c>
      <c r="C8" s="9" t="s">
        <v>55</v>
      </c>
      <c r="D8" s="9" t="s">
        <v>44</v>
      </c>
      <c r="E8" s="9" t="s">
        <v>46</v>
      </c>
      <c r="F8" s="9"/>
      <c r="G8" s="9"/>
      <c r="H8" s="10"/>
      <c r="I8" s="10">
        <v>46115</v>
      </c>
      <c r="J8" s="10">
        <v>46115</v>
      </c>
    </row>
    <row r="9" spans="1:10" ht="14.25" customHeight="1">
      <c r="A9" s="9" t="s">
        <v>40</v>
      </c>
      <c r="B9" s="9" t="s">
        <v>206</v>
      </c>
      <c r="C9" s="9" t="s">
        <v>55</v>
      </c>
      <c r="D9" s="9" t="s">
        <v>44</v>
      </c>
      <c r="E9" s="9" t="s">
        <v>46</v>
      </c>
      <c r="F9" s="9"/>
      <c r="G9" s="9"/>
      <c r="H9" s="10">
        <v>46115</v>
      </c>
      <c r="I9" s="10">
        <v>46114</v>
      </c>
      <c r="J9" s="10">
        <v>46114</v>
      </c>
    </row>
    <row r="10" spans="1:10" ht="14.25" customHeight="1">
      <c r="A10" s="9" t="s">
        <v>40</v>
      </c>
      <c r="B10" s="9" t="s">
        <v>166</v>
      </c>
      <c r="C10" s="9" t="s">
        <v>55</v>
      </c>
      <c r="D10" s="9" t="s">
        <v>44</v>
      </c>
      <c r="E10" s="9" t="s">
        <v>46</v>
      </c>
      <c r="F10" s="9"/>
      <c r="G10" s="9"/>
      <c r="H10" s="10">
        <v>46114</v>
      </c>
      <c r="I10" s="10">
        <v>46122</v>
      </c>
      <c r="J10" s="10">
        <v>46122</v>
      </c>
    </row>
    <row r="11" spans="1:10" ht="14.25" customHeight="1">
      <c r="A11" s="9" t="s">
        <v>40</v>
      </c>
      <c r="B11" s="9" t="s">
        <v>128</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183</v>
      </c>
      <c r="C13" s="9" t="s">
        <v>400</v>
      </c>
      <c r="D13" s="9" t="s">
        <v>401</v>
      </c>
      <c r="E13" s="9" t="s">
        <v>46</v>
      </c>
      <c r="F13" s="9"/>
      <c r="G13" s="9"/>
      <c r="H13" s="10"/>
      <c r="I13" s="10">
        <v>46115</v>
      </c>
      <c r="J13" s="10">
        <v>46115</v>
      </c>
    </row>
    <row r="14" spans="1:10" ht="14.25" customHeight="1">
      <c r="A14" s="9" t="s">
        <v>40</v>
      </c>
      <c r="B14" s="9" t="s">
        <v>206</v>
      </c>
      <c r="C14" s="9" t="s">
        <v>400</v>
      </c>
      <c r="D14" s="9" t="s">
        <v>401</v>
      </c>
      <c r="E14" s="9" t="s">
        <v>46</v>
      </c>
      <c r="F14" s="9"/>
      <c r="G14" s="9"/>
      <c r="H14" s="10">
        <v>46115</v>
      </c>
      <c r="I14" s="10">
        <v>46120</v>
      </c>
      <c r="J14" s="10">
        <v>46120</v>
      </c>
    </row>
    <row r="15" spans="1:10" ht="14.25" customHeight="1">
      <c r="A15" s="9" t="s">
        <v>40</v>
      </c>
      <c r="B15" s="9" t="s">
        <v>166</v>
      </c>
      <c r="C15" s="9" t="s">
        <v>400</v>
      </c>
      <c r="D15" s="9" t="s">
        <v>401</v>
      </c>
      <c r="E15" s="9" t="s">
        <v>46</v>
      </c>
      <c r="F15" s="9"/>
      <c r="G15" s="9"/>
      <c r="H15" s="10">
        <v>46120</v>
      </c>
      <c r="I15" s="10">
        <v>46122</v>
      </c>
      <c r="J15" s="10">
        <v>46122</v>
      </c>
    </row>
    <row r="16" spans="1:10" ht="14.25" customHeight="1">
      <c r="A16" s="9" t="s">
        <v>40</v>
      </c>
      <c r="B16" s="9" t="s">
        <v>128</v>
      </c>
      <c r="C16" s="9" t="s">
        <v>400</v>
      </c>
      <c r="D16" s="9" t="s">
        <v>401</v>
      </c>
      <c r="E16" s="9" t="s">
        <v>46</v>
      </c>
      <c r="F16" s="9"/>
      <c r="G16" s="9"/>
      <c r="H16" s="10">
        <v>46122</v>
      </c>
      <c r="I16" s="10"/>
      <c r="J16" s="10"/>
    </row>
    <row r="17" spans="1:10" ht="14.25" customHeight="1">
      <c r="A17" s="9" t="s">
        <v>40</v>
      </c>
      <c r="B17" s="9" t="s">
        <v>42</v>
      </c>
      <c r="C17" s="9" t="s">
        <v>400</v>
      </c>
      <c r="D17" s="9" t="s">
        <v>401</v>
      </c>
      <c r="E17" s="9" t="s">
        <v>46</v>
      </c>
      <c r="F17" s="9"/>
      <c r="G17" s="9"/>
      <c r="H17" s="10"/>
      <c r="I17" s="10"/>
      <c r="J17" s="10"/>
    </row>
    <row r="18" spans="1:10" ht="14.25" customHeight="1">
      <c r="A18" s="9" t="s">
        <v>40</v>
      </c>
      <c r="B18" s="9" t="s">
        <v>183</v>
      </c>
      <c r="C18" s="9" t="s">
        <v>58</v>
      </c>
      <c r="D18" s="9" t="s">
        <v>59</v>
      </c>
      <c r="E18" s="9" t="s">
        <v>60</v>
      </c>
      <c r="F18" s="9"/>
      <c r="G18" s="9"/>
      <c r="H18" s="9"/>
      <c r="I18" s="10">
        <v>46115</v>
      </c>
      <c r="J18" s="10">
        <v>46115</v>
      </c>
    </row>
    <row r="19" spans="1:10" ht="14.25" customHeight="1">
      <c r="A19" s="9" t="s">
        <v>40</v>
      </c>
      <c r="B19" s="9" t="s">
        <v>206</v>
      </c>
      <c r="C19" s="9" t="s">
        <v>58</v>
      </c>
      <c r="D19" s="9" t="s">
        <v>59</v>
      </c>
      <c r="E19" s="9" t="s">
        <v>60</v>
      </c>
      <c r="F19" s="9"/>
      <c r="G19" s="9"/>
      <c r="H19" s="10">
        <v>46115</v>
      </c>
      <c r="I19" s="10">
        <v>46126</v>
      </c>
      <c r="J19" s="10">
        <v>46126</v>
      </c>
    </row>
    <row r="20" spans="1:10" ht="14.25" customHeight="1">
      <c r="A20" s="9" t="s">
        <v>40</v>
      </c>
      <c r="B20" s="9" t="s">
        <v>166</v>
      </c>
      <c r="C20" s="9" t="s">
        <v>58</v>
      </c>
      <c r="D20" s="9" t="s">
        <v>59</v>
      </c>
      <c r="E20" s="9" t="s">
        <v>60</v>
      </c>
      <c r="F20" s="9"/>
      <c r="G20" s="9"/>
      <c r="H20" s="10">
        <v>46126</v>
      </c>
      <c r="I20" s="10">
        <v>46122</v>
      </c>
      <c r="J20" s="10">
        <v>46122</v>
      </c>
    </row>
    <row r="21" spans="1:10" ht="14.25" customHeight="1">
      <c r="A21" s="9" t="s">
        <v>40</v>
      </c>
      <c r="B21" s="9" t="s">
        <v>128</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183</v>
      </c>
      <c r="C23" s="9" t="s">
        <v>64</v>
      </c>
      <c r="D23" s="9" t="s">
        <v>401</v>
      </c>
      <c r="E23" s="9" t="s">
        <v>46</v>
      </c>
      <c r="F23" s="9"/>
      <c r="G23" s="9"/>
      <c r="H23" s="10"/>
      <c r="I23" s="10">
        <v>46115</v>
      </c>
      <c r="J23" s="10">
        <v>46115</v>
      </c>
    </row>
    <row r="24" spans="1:10" ht="14.25" customHeight="1">
      <c r="A24" s="9" t="s">
        <v>40</v>
      </c>
      <c r="B24" s="9" t="s">
        <v>206</v>
      </c>
      <c r="C24" s="9" t="s">
        <v>64</v>
      </c>
      <c r="D24" s="9" t="s">
        <v>401</v>
      </c>
      <c r="E24" s="9" t="s">
        <v>46</v>
      </c>
      <c r="F24" s="9"/>
      <c r="G24" s="9"/>
      <c r="H24" s="10">
        <v>46115</v>
      </c>
      <c r="I24" s="10">
        <v>46120</v>
      </c>
      <c r="J24" s="10">
        <v>46120</v>
      </c>
    </row>
    <row r="25" spans="1:10" ht="14.25" customHeight="1">
      <c r="A25" s="9" t="s">
        <v>40</v>
      </c>
      <c r="B25" s="9" t="s">
        <v>166</v>
      </c>
      <c r="C25" s="9" t="s">
        <v>64</v>
      </c>
      <c r="D25" s="9" t="s">
        <v>401</v>
      </c>
      <c r="E25" s="9" t="s">
        <v>46</v>
      </c>
      <c r="F25" s="9"/>
      <c r="G25" s="9"/>
      <c r="H25" s="10">
        <v>46120</v>
      </c>
      <c r="I25" s="10">
        <v>46122</v>
      </c>
      <c r="J25" s="10">
        <v>46122</v>
      </c>
    </row>
    <row r="26" spans="1:10" ht="14.25" customHeight="1">
      <c r="A26" s="9" t="s">
        <v>40</v>
      </c>
      <c r="B26" s="9" t="s">
        <v>128</v>
      </c>
      <c r="C26" s="9" t="s">
        <v>64</v>
      </c>
      <c r="D26" s="9" t="s">
        <v>401</v>
      </c>
      <c r="E26" s="9" t="s">
        <v>46</v>
      </c>
      <c r="F26" s="9"/>
      <c r="G26" s="9"/>
      <c r="H26" s="10">
        <v>46122</v>
      </c>
      <c r="I26" s="10"/>
      <c r="J26" s="10"/>
    </row>
    <row r="27" spans="1:10" ht="14.25" customHeight="1">
      <c r="A27" s="9" t="s">
        <v>40</v>
      </c>
      <c r="B27" s="9" t="s">
        <v>42</v>
      </c>
      <c r="C27" s="9" t="s">
        <v>64</v>
      </c>
      <c r="D27" s="9" t="s">
        <v>401</v>
      </c>
      <c r="E27" s="9" t="s">
        <v>46</v>
      </c>
      <c r="F27" s="9"/>
      <c r="G27" s="9"/>
      <c r="H27" s="10"/>
      <c r="I27" s="10"/>
      <c r="J27" s="10"/>
    </row>
    <row r="28" spans="1:10" ht="14.25" customHeight="1">
      <c r="A28" s="9" t="s">
        <v>40</v>
      </c>
      <c r="B28" s="9" t="s">
        <v>183</v>
      </c>
      <c r="C28" s="9" t="s">
        <v>69</v>
      </c>
      <c r="D28" s="9" t="s">
        <v>76</v>
      </c>
      <c r="E28" s="9" t="s">
        <v>60</v>
      </c>
      <c r="F28" s="9"/>
      <c r="G28" s="9"/>
      <c r="H28" s="10"/>
      <c r="I28" s="10">
        <v>46115</v>
      </c>
      <c r="J28" s="10">
        <v>46115</v>
      </c>
    </row>
    <row r="29" spans="1:10" ht="14.25" customHeight="1">
      <c r="A29" s="9" t="s">
        <v>40</v>
      </c>
      <c r="B29" s="9" t="s">
        <v>206</v>
      </c>
      <c r="C29" s="9" t="s">
        <v>69</v>
      </c>
      <c r="D29" s="9" t="s">
        <v>76</v>
      </c>
      <c r="E29" s="9" t="s">
        <v>60</v>
      </c>
      <c r="F29" s="9"/>
      <c r="G29" s="9"/>
      <c r="H29" s="10">
        <v>46115</v>
      </c>
      <c r="I29" s="10">
        <v>46126</v>
      </c>
      <c r="J29" s="10">
        <v>46126</v>
      </c>
    </row>
    <row r="30" spans="1:10" ht="14.25" customHeight="1">
      <c r="A30" s="9" t="s">
        <v>40</v>
      </c>
      <c r="B30" s="9" t="s">
        <v>166</v>
      </c>
      <c r="C30" s="9" t="s">
        <v>69</v>
      </c>
      <c r="D30" s="9" t="s">
        <v>76</v>
      </c>
      <c r="E30" s="9" t="s">
        <v>60</v>
      </c>
      <c r="F30" s="9"/>
      <c r="G30" s="9"/>
      <c r="H30" s="10">
        <v>46126</v>
      </c>
      <c r="I30" s="10">
        <v>46122</v>
      </c>
      <c r="J30" s="10">
        <v>46122</v>
      </c>
    </row>
    <row r="31" spans="1:10" ht="14.25" customHeight="1">
      <c r="A31" s="9" t="s">
        <v>40</v>
      </c>
      <c r="B31" s="9" t="s">
        <v>128</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183</v>
      </c>
      <c r="C33" s="9" t="s">
        <v>70</v>
      </c>
      <c r="D33" s="9" t="s">
        <v>401</v>
      </c>
      <c r="E33" s="9" t="s">
        <v>60</v>
      </c>
      <c r="F33" s="9"/>
      <c r="G33" s="9"/>
      <c r="H33" s="10"/>
      <c r="I33" s="10">
        <v>46122</v>
      </c>
      <c r="J33" s="10">
        <v>46122</v>
      </c>
    </row>
    <row r="34" spans="1:10" ht="14.25" customHeight="1">
      <c r="A34" s="9" t="s">
        <v>40</v>
      </c>
      <c r="B34" s="9" t="s">
        <v>206</v>
      </c>
      <c r="C34" s="9" t="s">
        <v>70</v>
      </c>
      <c r="D34" s="9" t="s">
        <v>401</v>
      </c>
      <c r="E34" s="9" t="s">
        <v>60</v>
      </c>
      <c r="F34" s="9"/>
      <c r="G34" s="9"/>
      <c r="H34" s="10">
        <v>46122</v>
      </c>
      <c r="I34" s="10">
        <v>46126</v>
      </c>
      <c r="J34" s="10">
        <v>46126</v>
      </c>
    </row>
    <row r="35" spans="1:10" ht="14.25" customHeight="1">
      <c r="A35" s="9" t="s">
        <v>40</v>
      </c>
      <c r="B35" s="9" t="s">
        <v>166</v>
      </c>
      <c r="C35" s="9" t="s">
        <v>70</v>
      </c>
      <c r="D35" s="9" t="s">
        <v>401</v>
      </c>
      <c r="E35" s="9" t="s">
        <v>60</v>
      </c>
      <c r="F35" s="9"/>
      <c r="G35" s="9"/>
      <c r="H35" s="10">
        <v>46126</v>
      </c>
      <c r="I35" s="10">
        <v>46122</v>
      </c>
      <c r="J35" s="10">
        <v>46122</v>
      </c>
    </row>
    <row r="36" spans="1:10" ht="14.25" customHeight="1">
      <c r="A36" s="9" t="s">
        <v>40</v>
      </c>
      <c r="B36" s="9" t="s">
        <v>128</v>
      </c>
      <c r="C36" s="9" t="s">
        <v>70</v>
      </c>
      <c r="D36" s="9" t="s">
        <v>401</v>
      </c>
      <c r="E36" s="9" t="s">
        <v>60</v>
      </c>
      <c r="F36" s="9"/>
      <c r="G36" s="9"/>
      <c r="H36" s="10">
        <v>46122</v>
      </c>
      <c r="I36" s="10"/>
      <c r="J36" s="10"/>
    </row>
    <row r="37" spans="1:10" ht="14.25" customHeight="1">
      <c r="A37" s="9" t="s">
        <v>40</v>
      </c>
      <c r="B37" s="9" t="s">
        <v>42</v>
      </c>
      <c r="C37" s="9" t="s">
        <v>70</v>
      </c>
      <c r="D37" s="9" t="s">
        <v>401</v>
      </c>
      <c r="E37" s="9" t="s">
        <v>60</v>
      </c>
      <c r="F37" s="9"/>
      <c r="G37" s="9"/>
      <c r="H37" s="10"/>
      <c r="I37" s="10"/>
      <c r="J37" s="10"/>
    </row>
    <row r="38" spans="1:10" ht="14.25" customHeight="1">
      <c r="A38" s="9" t="s">
        <v>40</v>
      </c>
      <c r="B38" s="9" t="s">
        <v>183</v>
      </c>
      <c r="C38" s="9" t="s">
        <v>71</v>
      </c>
      <c r="D38" s="9" t="s">
        <v>84</v>
      </c>
      <c r="E38" s="9" t="s">
        <v>60</v>
      </c>
      <c r="F38" s="9"/>
      <c r="G38" s="9"/>
      <c r="H38" s="9"/>
      <c r="I38" s="10">
        <v>46122</v>
      </c>
      <c r="J38" s="10">
        <v>46122</v>
      </c>
    </row>
    <row r="39" spans="1:10" ht="14.25" customHeight="1">
      <c r="A39" s="9" t="s">
        <v>40</v>
      </c>
      <c r="B39" s="9" t="s">
        <v>206</v>
      </c>
      <c r="C39" s="9" t="s">
        <v>71</v>
      </c>
      <c r="D39" s="9" t="s">
        <v>84</v>
      </c>
      <c r="E39" s="9" t="s">
        <v>60</v>
      </c>
      <c r="F39" s="9"/>
      <c r="G39" s="9"/>
      <c r="H39" s="10">
        <v>46122</v>
      </c>
      <c r="I39" s="10">
        <v>46126</v>
      </c>
      <c r="J39" s="10">
        <v>46126</v>
      </c>
    </row>
    <row r="40" spans="1:10" ht="14.25" customHeight="1">
      <c r="A40" s="9" t="s">
        <v>40</v>
      </c>
      <c r="B40" s="9" t="s">
        <v>166</v>
      </c>
      <c r="C40" s="9" t="s">
        <v>71</v>
      </c>
      <c r="D40" s="9" t="s">
        <v>84</v>
      </c>
      <c r="E40" s="9" t="s">
        <v>60</v>
      </c>
      <c r="F40" s="9"/>
      <c r="G40" s="9"/>
      <c r="H40" s="10">
        <v>46126</v>
      </c>
      <c r="I40" s="10">
        <v>46122</v>
      </c>
      <c r="J40" s="10">
        <v>46122</v>
      </c>
    </row>
    <row r="41" spans="1:10" ht="14.25" customHeight="1">
      <c r="A41" s="9" t="s">
        <v>40</v>
      </c>
      <c r="B41" s="9" t="s">
        <v>128</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183</v>
      </c>
      <c r="C43" s="9" t="s">
        <v>73</v>
      </c>
      <c r="D43" s="9" t="s">
        <v>59</v>
      </c>
      <c r="E43" s="9" t="s">
        <v>60</v>
      </c>
      <c r="F43" s="9"/>
      <c r="G43" s="9"/>
      <c r="H43" s="10"/>
      <c r="I43" s="10">
        <v>46127</v>
      </c>
      <c r="J43" s="10">
        <v>46127</v>
      </c>
    </row>
    <row r="44" spans="1:10" ht="14.25" customHeight="1">
      <c r="A44" s="9" t="s">
        <v>40</v>
      </c>
      <c r="B44" s="9" t="s">
        <v>206</v>
      </c>
      <c r="C44" s="9" t="s">
        <v>73</v>
      </c>
      <c r="D44" s="9" t="s">
        <v>59</v>
      </c>
      <c r="E44" s="9" t="s">
        <v>60</v>
      </c>
      <c r="F44" s="9"/>
      <c r="G44" s="9"/>
      <c r="H44" s="10">
        <v>46127</v>
      </c>
      <c r="I44" s="10">
        <v>46126</v>
      </c>
      <c r="J44" s="10">
        <v>46126</v>
      </c>
    </row>
    <row r="45" spans="1:10" ht="14.25" customHeight="1">
      <c r="A45" s="9" t="s">
        <v>40</v>
      </c>
      <c r="B45" s="9" t="s">
        <v>166</v>
      </c>
      <c r="C45" s="9" t="s">
        <v>73</v>
      </c>
      <c r="D45" s="9" t="s">
        <v>59</v>
      </c>
      <c r="E45" s="9" t="s">
        <v>60</v>
      </c>
      <c r="F45" s="9"/>
      <c r="G45" s="9"/>
      <c r="H45" s="10">
        <v>46126</v>
      </c>
      <c r="I45" s="10">
        <v>46122</v>
      </c>
      <c r="J45" s="10">
        <v>46122</v>
      </c>
    </row>
    <row r="46" spans="1:10" ht="14.25" customHeight="1">
      <c r="A46" s="9" t="s">
        <v>40</v>
      </c>
      <c r="B46" s="9" t="s">
        <v>128</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183</v>
      </c>
      <c r="C48" s="9" t="s">
        <v>97</v>
      </c>
      <c r="D48" s="9" t="s">
        <v>401</v>
      </c>
      <c r="E48" s="9" t="s">
        <v>60</v>
      </c>
      <c r="F48" s="9"/>
      <c r="G48" s="9"/>
      <c r="H48" s="10"/>
      <c r="I48" s="10"/>
      <c r="J48" s="10"/>
    </row>
    <row r="49" spans="1:10" ht="14.25" customHeight="1">
      <c r="A49" s="9" t="s">
        <v>40</v>
      </c>
      <c r="B49" s="9" t="s">
        <v>206</v>
      </c>
      <c r="C49" s="9" t="s">
        <v>97</v>
      </c>
      <c r="D49" s="9" t="s">
        <v>401</v>
      </c>
      <c r="E49" s="9" t="s">
        <v>60</v>
      </c>
      <c r="F49" s="9"/>
      <c r="G49" s="9"/>
      <c r="H49" s="10"/>
      <c r="I49" s="10">
        <v>46139</v>
      </c>
      <c r="J49" s="10">
        <v>46139</v>
      </c>
    </row>
    <row r="50" spans="1:10" ht="14.25" customHeight="1">
      <c r="A50" s="9" t="s">
        <v>40</v>
      </c>
      <c r="B50" s="9" t="s">
        <v>166</v>
      </c>
      <c r="C50" s="9" t="s">
        <v>97</v>
      </c>
      <c r="D50" s="9" t="s">
        <v>401</v>
      </c>
      <c r="E50" s="9" t="s">
        <v>60</v>
      </c>
      <c r="F50" s="9"/>
      <c r="G50" s="9"/>
      <c r="H50" s="10">
        <v>46139</v>
      </c>
      <c r="I50" s="10">
        <v>46139</v>
      </c>
      <c r="J50" s="10">
        <v>46139</v>
      </c>
    </row>
    <row r="51" spans="1:10" ht="14.25" customHeight="1">
      <c r="A51" s="9" t="s">
        <v>40</v>
      </c>
      <c r="B51" s="9" t="s">
        <v>128</v>
      </c>
      <c r="C51" s="9" t="s">
        <v>97</v>
      </c>
      <c r="D51" s="9" t="s">
        <v>401</v>
      </c>
      <c r="E51" s="9" t="s">
        <v>60</v>
      </c>
      <c r="F51" s="9"/>
      <c r="G51" s="9"/>
      <c r="H51" s="10">
        <v>46139</v>
      </c>
      <c r="I51" s="10"/>
      <c r="J51" s="10"/>
    </row>
    <row r="52" spans="1:10" ht="14.25" customHeight="1">
      <c r="A52" s="9" t="s">
        <v>40</v>
      </c>
      <c r="B52" s="9" t="s">
        <v>42</v>
      </c>
      <c r="C52" s="9" t="s">
        <v>97</v>
      </c>
      <c r="D52" s="9" t="s">
        <v>401</v>
      </c>
      <c r="E52" s="9" t="s">
        <v>60</v>
      </c>
      <c r="F52" s="9"/>
      <c r="G52" s="9"/>
      <c r="H52" s="10"/>
      <c r="I52" s="10"/>
      <c r="J52" s="10"/>
    </row>
    <row r="53" spans="1:10" ht="14.25" customHeight="1">
      <c r="A53" s="9" t="s">
        <v>40</v>
      </c>
      <c r="B53" s="9" t="s">
        <v>183</v>
      </c>
      <c r="C53" s="9" t="s">
        <v>98</v>
      </c>
      <c r="D53" s="9" t="s">
        <v>401</v>
      </c>
      <c r="E53" s="9" t="s">
        <v>60</v>
      </c>
      <c r="F53" s="9"/>
      <c r="G53" s="9"/>
      <c r="H53" s="10"/>
      <c r="I53" s="10"/>
      <c r="J53" s="10"/>
    </row>
    <row r="54" spans="1:10" ht="14.25" customHeight="1">
      <c r="A54" s="9" t="s">
        <v>40</v>
      </c>
      <c r="B54" s="9" t="s">
        <v>206</v>
      </c>
      <c r="C54" s="9" t="s">
        <v>98</v>
      </c>
      <c r="D54" s="9" t="s">
        <v>401</v>
      </c>
      <c r="E54" s="9" t="s">
        <v>60</v>
      </c>
      <c r="F54" s="9"/>
      <c r="G54" s="9"/>
      <c r="H54" s="9"/>
      <c r="I54" s="10">
        <v>46141</v>
      </c>
      <c r="J54" s="10">
        <v>46141</v>
      </c>
    </row>
    <row r="55" spans="1:10" ht="14.25" customHeight="1">
      <c r="A55" s="9" t="s">
        <v>40</v>
      </c>
      <c r="B55" s="9" t="s">
        <v>166</v>
      </c>
      <c r="C55" s="9" t="s">
        <v>98</v>
      </c>
      <c r="D55" s="9" t="s">
        <v>401</v>
      </c>
      <c r="E55" s="9" t="s">
        <v>60</v>
      </c>
      <c r="F55" s="9"/>
      <c r="G55" s="9"/>
      <c r="H55" s="10">
        <v>46141</v>
      </c>
      <c r="I55" s="10">
        <v>46141</v>
      </c>
      <c r="J55" s="10">
        <v>46141</v>
      </c>
    </row>
    <row r="56" spans="1:10" ht="14.25" customHeight="1">
      <c r="A56" s="9" t="s">
        <v>40</v>
      </c>
      <c r="B56" s="9" t="s">
        <v>128</v>
      </c>
      <c r="C56" s="9" t="s">
        <v>98</v>
      </c>
      <c r="D56" s="9" t="s">
        <v>401</v>
      </c>
      <c r="E56" s="9" t="s">
        <v>60</v>
      </c>
      <c r="F56" s="9"/>
      <c r="G56" s="9"/>
      <c r="H56" s="10">
        <v>46141</v>
      </c>
      <c r="I56" s="10"/>
      <c r="J56" s="10"/>
    </row>
    <row r="57" spans="1:10" ht="14.25" customHeight="1">
      <c r="A57" s="9" t="s">
        <v>40</v>
      </c>
      <c r="B57" s="9" t="s">
        <v>42</v>
      </c>
      <c r="C57" s="9" t="s">
        <v>98</v>
      </c>
      <c r="D57" s="9" t="s">
        <v>401</v>
      </c>
      <c r="E57" s="9" t="s">
        <v>60</v>
      </c>
      <c r="F57" s="9"/>
      <c r="G57" s="9"/>
      <c r="H57" s="10"/>
      <c r="I57" s="10"/>
      <c r="J57" s="10"/>
    </row>
    <row r="58" spans="1:10" ht="14.25" customHeight="1">
      <c r="A58" s="9" t="s">
        <v>40</v>
      </c>
      <c r="B58" s="9" t="s">
        <v>183</v>
      </c>
      <c r="C58" s="9" t="s">
        <v>99</v>
      </c>
      <c r="D58" s="9" t="s">
        <v>401</v>
      </c>
      <c r="E58" s="9" t="s">
        <v>46</v>
      </c>
      <c r="F58" s="9"/>
      <c r="G58" s="9"/>
      <c r="H58" s="9"/>
      <c r="I58" s="10"/>
      <c r="J58" s="10"/>
    </row>
    <row r="59" spans="1:10" ht="14.25" customHeight="1">
      <c r="A59" s="9" t="s">
        <v>40</v>
      </c>
      <c r="B59" s="9" t="s">
        <v>206</v>
      </c>
      <c r="C59" s="9" t="s">
        <v>99</v>
      </c>
      <c r="D59" s="9" t="s">
        <v>401</v>
      </c>
      <c r="E59" s="9" t="s">
        <v>46</v>
      </c>
      <c r="F59" s="9"/>
      <c r="G59" s="9"/>
      <c r="H59" s="10"/>
      <c r="I59" s="10">
        <v>46161</v>
      </c>
      <c r="J59" s="10">
        <v>46161</v>
      </c>
    </row>
    <row r="60" spans="1:10" ht="14.25" customHeight="1">
      <c r="A60" s="9" t="s">
        <v>40</v>
      </c>
      <c r="B60" s="9" t="s">
        <v>166</v>
      </c>
      <c r="C60" s="9" t="s">
        <v>99</v>
      </c>
      <c r="D60" s="9" t="s">
        <v>401</v>
      </c>
      <c r="E60" s="9" t="s">
        <v>46</v>
      </c>
      <c r="F60" s="9"/>
      <c r="G60" s="9"/>
      <c r="H60" s="10">
        <v>46161</v>
      </c>
      <c r="I60" s="10">
        <v>46161</v>
      </c>
      <c r="J60" s="10">
        <v>46161</v>
      </c>
    </row>
    <row r="61" spans="1:10" ht="14.25" customHeight="1">
      <c r="A61" s="9" t="s">
        <v>40</v>
      </c>
      <c r="B61" s="9" t="s">
        <v>128</v>
      </c>
      <c r="C61" s="9" t="s">
        <v>99</v>
      </c>
      <c r="D61" s="9" t="s">
        <v>401</v>
      </c>
      <c r="E61" s="9" t="s">
        <v>46</v>
      </c>
      <c r="F61" s="9"/>
      <c r="G61" s="9"/>
      <c r="H61" s="10">
        <v>46161</v>
      </c>
      <c r="I61" s="10"/>
      <c r="J61" s="10"/>
    </row>
    <row r="62" spans="1:10" ht="14.25" customHeight="1">
      <c r="A62" s="9" t="s">
        <v>40</v>
      </c>
      <c r="B62" s="9" t="s">
        <v>42</v>
      </c>
      <c r="C62" s="9" t="s">
        <v>99</v>
      </c>
      <c r="D62" s="9" t="s">
        <v>401</v>
      </c>
      <c r="E62" s="9" t="s">
        <v>46</v>
      </c>
      <c r="F62" s="9"/>
      <c r="G62" s="9"/>
      <c r="H62" s="9"/>
      <c r="I62" s="10"/>
      <c r="J62" s="10"/>
    </row>
    <row r="63" spans="1:10" ht="14.25" customHeight="1">
      <c r="A63" s="9" t="s">
        <v>40</v>
      </c>
      <c r="B63" s="9" t="s">
        <v>183</v>
      </c>
      <c r="C63" s="9" t="s">
        <v>100</v>
      </c>
      <c r="D63" s="9" t="s">
        <v>103</v>
      </c>
      <c r="E63" s="9" t="s">
        <v>46</v>
      </c>
      <c r="F63" s="9"/>
      <c r="G63" s="9"/>
      <c r="H63" s="10"/>
      <c r="I63" s="10"/>
      <c r="J63" s="10"/>
    </row>
    <row r="64" spans="1:10" ht="14.25" customHeight="1">
      <c r="A64" s="9" t="s">
        <v>40</v>
      </c>
      <c r="B64" s="9" t="s">
        <v>206</v>
      </c>
      <c r="C64" s="9" t="s">
        <v>100</v>
      </c>
      <c r="D64" s="9" t="s">
        <v>103</v>
      </c>
      <c r="E64" s="9" t="s">
        <v>46</v>
      </c>
      <c r="F64" s="9"/>
      <c r="G64" s="9"/>
      <c r="H64" s="10"/>
      <c r="I64" s="10">
        <v>46175</v>
      </c>
      <c r="J64" s="10">
        <v>46175</v>
      </c>
    </row>
    <row r="65" spans="1:10" ht="14.25" customHeight="1">
      <c r="A65" s="9" t="s">
        <v>40</v>
      </c>
      <c r="B65" s="9" t="s">
        <v>166</v>
      </c>
      <c r="C65" s="9" t="s">
        <v>100</v>
      </c>
      <c r="D65" s="9" t="s">
        <v>103</v>
      </c>
      <c r="E65" s="9" t="s">
        <v>46</v>
      </c>
      <c r="F65" s="9"/>
      <c r="G65" s="9"/>
      <c r="H65" s="10">
        <v>46175</v>
      </c>
      <c r="I65" s="10">
        <v>46175</v>
      </c>
      <c r="J65" s="10">
        <v>46175</v>
      </c>
    </row>
    <row r="66" spans="1:10" ht="14.25" customHeight="1">
      <c r="A66" s="9" t="s">
        <v>40</v>
      </c>
      <c r="B66" s="9" t="s">
        <v>128</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183</v>
      </c>
      <c r="C68" s="9" t="s">
        <v>74</v>
      </c>
      <c r="D68" s="9" t="s">
        <v>76</v>
      </c>
      <c r="E68" s="9" t="s">
        <v>77</v>
      </c>
      <c r="F68" s="9"/>
      <c r="G68" s="9"/>
      <c r="H68" s="10"/>
      <c r="I68" s="10"/>
      <c r="J68" s="9"/>
    </row>
    <row r="69" spans="1:10" ht="14.25" customHeight="1">
      <c r="A69" s="9" t="s">
        <v>40</v>
      </c>
      <c r="B69" s="9" t="s">
        <v>206</v>
      </c>
      <c r="C69" s="9" t="s">
        <v>74</v>
      </c>
      <c r="D69" s="9" t="s">
        <v>76</v>
      </c>
      <c r="E69" s="9" t="s">
        <v>77</v>
      </c>
      <c r="F69" s="9"/>
      <c r="G69" s="9"/>
      <c r="H69" s="9"/>
      <c r="I69" s="10">
        <v>46134</v>
      </c>
      <c r="J69" s="10">
        <v>46134</v>
      </c>
    </row>
    <row r="70" spans="1:10" ht="14.25" customHeight="1">
      <c r="A70" s="9" t="s">
        <v>40</v>
      </c>
      <c r="B70" s="9" t="s">
        <v>166</v>
      </c>
      <c r="C70" s="9" t="s">
        <v>74</v>
      </c>
      <c r="D70" s="9" t="s">
        <v>76</v>
      </c>
      <c r="E70" s="9" t="s">
        <v>77</v>
      </c>
      <c r="F70" s="9"/>
      <c r="G70" s="9"/>
      <c r="H70" s="10">
        <v>46134</v>
      </c>
      <c r="I70" s="10">
        <v>46134</v>
      </c>
      <c r="J70" s="10">
        <v>46134</v>
      </c>
    </row>
    <row r="71" spans="1:10" ht="14.25" customHeight="1">
      <c r="A71" s="9" t="s">
        <v>40</v>
      </c>
      <c r="B71" s="9" t="s">
        <v>128</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183</v>
      </c>
      <c r="C73" s="9" t="s">
        <v>80</v>
      </c>
      <c r="D73" s="9" t="s">
        <v>59</v>
      </c>
      <c r="E73" s="9" t="s">
        <v>77</v>
      </c>
      <c r="F73" s="9"/>
      <c r="G73" s="9"/>
      <c r="H73" s="9"/>
      <c r="I73" s="10"/>
      <c r="J73" s="10"/>
    </row>
    <row r="74" spans="1:10" ht="14.25" customHeight="1">
      <c r="A74" s="9" t="s">
        <v>40</v>
      </c>
      <c r="B74" s="9" t="s">
        <v>206</v>
      </c>
      <c r="C74" s="9" t="s">
        <v>80</v>
      </c>
      <c r="D74" s="9" t="s">
        <v>59</v>
      </c>
      <c r="E74" s="9" t="s">
        <v>77</v>
      </c>
      <c r="F74" s="9"/>
      <c r="G74" s="9"/>
      <c r="H74" s="10"/>
      <c r="I74" s="10">
        <v>46139</v>
      </c>
      <c r="J74" s="10">
        <v>46139</v>
      </c>
    </row>
    <row r="75" spans="1:10" ht="14.25" customHeight="1">
      <c r="A75" s="9" t="s">
        <v>40</v>
      </c>
      <c r="B75" s="9" t="s">
        <v>166</v>
      </c>
      <c r="C75" s="9" t="s">
        <v>80</v>
      </c>
      <c r="D75" s="9" t="s">
        <v>59</v>
      </c>
      <c r="E75" s="9" t="s">
        <v>77</v>
      </c>
      <c r="F75" s="9"/>
      <c r="G75" s="9"/>
      <c r="H75" s="10">
        <v>46139</v>
      </c>
      <c r="I75" s="10">
        <v>46139</v>
      </c>
      <c r="J75" s="10">
        <v>46139</v>
      </c>
    </row>
    <row r="76" spans="1:10" ht="14.25" customHeight="1">
      <c r="A76" s="9" t="s">
        <v>40</v>
      </c>
      <c r="B76" s="9" t="s">
        <v>128</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183</v>
      </c>
      <c r="C78" s="9" t="s">
        <v>83</v>
      </c>
      <c r="D78" s="9" t="s">
        <v>84</v>
      </c>
      <c r="E78" s="9" t="s">
        <v>60</v>
      </c>
      <c r="F78" s="9"/>
      <c r="G78" s="9"/>
      <c r="H78" s="10"/>
      <c r="I78" s="10"/>
      <c r="J78" s="9"/>
    </row>
    <row r="79" spans="1:10" ht="14.25" customHeight="1">
      <c r="A79" s="9" t="s">
        <v>40</v>
      </c>
      <c r="B79" s="9" t="s">
        <v>206</v>
      </c>
      <c r="C79" s="9" t="s">
        <v>83</v>
      </c>
      <c r="D79" s="9" t="s">
        <v>84</v>
      </c>
      <c r="E79" s="9" t="s">
        <v>60</v>
      </c>
      <c r="F79" s="9"/>
      <c r="G79" s="9"/>
      <c r="H79" s="9"/>
      <c r="I79" s="10">
        <v>46147</v>
      </c>
      <c r="J79" s="10">
        <v>46147</v>
      </c>
    </row>
    <row r="80" spans="1:10" ht="14.25" customHeight="1">
      <c r="A80" s="9" t="s">
        <v>40</v>
      </c>
      <c r="B80" s="9" t="s">
        <v>166</v>
      </c>
      <c r="C80" s="9" t="s">
        <v>83</v>
      </c>
      <c r="D80" s="9" t="s">
        <v>84</v>
      </c>
      <c r="E80" s="9" t="s">
        <v>60</v>
      </c>
      <c r="F80" s="9"/>
      <c r="G80" s="9"/>
      <c r="H80" s="10">
        <v>46147</v>
      </c>
      <c r="I80" s="10">
        <v>46147</v>
      </c>
      <c r="J80" s="10">
        <v>46147</v>
      </c>
    </row>
    <row r="81" spans="1:10" ht="14.25" customHeight="1">
      <c r="A81" s="9" t="s">
        <v>40</v>
      </c>
      <c r="B81" s="9" t="s">
        <v>128</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183</v>
      </c>
      <c r="C83" s="9" t="s">
        <v>87</v>
      </c>
      <c r="D83" s="9" t="s">
        <v>84</v>
      </c>
      <c r="E83" s="9" t="s">
        <v>46</v>
      </c>
      <c r="F83" s="9"/>
      <c r="G83" s="9"/>
      <c r="H83" s="9"/>
      <c r="I83" s="10"/>
      <c r="J83" s="10"/>
    </row>
    <row r="84" spans="1:10" ht="14.25" customHeight="1">
      <c r="A84" s="9" t="s">
        <v>40</v>
      </c>
      <c r="B84" s="9" t="s">
        <v>206</v>
      </c>
      <c r="C84" s="9" t="s">
        <v>87</v>
      </c>
      <c r="D84" s="9" t="s">
        <v>84</v>
      </c>
      <c r="E84" s="9" t="s">
        <v>46</v>
      </c>
      <c r="F84" s="9"/>
      <c r="G84" s="9"/>
      <c r="H84" s="10"/>
      <c r="I84" s="10">
        <v>46175</v>
      </c>
      <c r="J84" s="10">
        <v>46175</v>
      </c>
    </row>
    <row r="85" spans="1:10" ht="14.25" customHeight="1">
      <c r="A85" s="9" t="s">
        <v>40</v>
      </c>
      <c r="B85" s="9" t="s">
        <v>166</v>
      </c>
      <c r="C85" s="9" t="s">
        <v>87</v>
      </c>
      <c r="D85" s="9" t="s">
        <v>84</v>
      </c>
      <c r="E85" s="9" t="s">
        <v>46</v>
      </c>
      <c r="F85" s="9"/>
      <c r="G85" s="9"/>
      <c r="H85" s="10">
        <v>46175</v>
      </c>
      <c r="I85" s="10">
        <v>46179</v>
      </c>
      <c r="J85" s="10">
        <v>46179</v>
      </c>
    </row>
    <row r="86" spans="1:10" ht="14.25" customHeight="1">
      <c r="A86" s="9" t="s">
        <v>40</v>
      </c>
      <c r="B86" s="9" t="s">
        <v>128</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183</v>
      </c>
      <c r="C88" s="9" t="s">
        <v>90</v>
      </c>
      <c r="D88" s="9" t="s">
        <v>44</v>
      </c>
      <c r="E88" s="9" t="s">
        <v>60</v>
      </c>
      <c r="F88" s="9"/>
      <c r="G88" s="9"/>
      <c r="H88" s="10"/>
      <c r="I88" s="10"/>
      <c r="J88" s="9"/>
    </row>
    <row r="89" spans="1:10" ht="14.25" customHeight="1">
      <c r="A89" s="9" t="s">
        <v>40</v>
      </c>
      <c r="B89" s="9" t="s">
        <v>206</v>
      </c>
      <c r="C89" s="9" t="s">
        <v>90</v>
      </c>
      <c r="D89" s="9" t="s">
        <v>44</v>
      </c>
      <c r="E89" s="9" t="s">
        <v>60</v>
      </c>
      <c r="F89" s="9"/>
      <c r="G89" s="9"/>
      <c r="H89" s="9"/>
      <c r="I89" s="10">
        <v>46143</v>
      </c>
      <c r="J89" s="10">
        <v>46143</v>
      </c>
    </row>
    <row r="90" spans="1:10" ht="14.25" customHeight="1">
      <c r="A90" s="9" t="s">
        <v>40</v>
      </c>
      <c r="B90" s="9" t="s">
        <v>166</v>
      </c>
      <c r="C90" s="9" t="s">
        <v>90</v>
      </c>
      <c r="D90" s="9" t="s">
        <v>44</v>
      </c>
      <c r="E90" s="9" t="s">
        <v>60</v>
      </c>
      <c r="F90" s="9"/>
      <c r="G90" s="9"/>
      <c r="H90" s="10">
        <v>46143</v>
      </c>
      <c r="I90" s="10">
        <v>46175</v>
      </c>
      <c r="J90" s="10">
        <v>46175</v>
      </c>
    </row>
    <row r="91" spans="1:10" ht="14.25" customHeight="1">
      <c r="A91" s="9" t="s">
        <v>40</v>
      </c>
      <c r="B91" s="9" t="s">
        <v>128</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183</v>
      </c>
      <c r="C93" s="9" t="s">
        <v>93</v>
      </c>
      <c r="D93" s="9" t="s">
        <v>44</v>
      </c>
      <c r="E93" s="9" t="s">
        <v>77</v>
      </c>
      <c r="F93" s="9"/>
      <c r="G93" s="9"/>
      <c r="H93" s="9"/>
      <c r="I93" s="10">
        <v>46175</v>
      </c>
      <c r="J93" s="10">
        <v>46175</v>
      </c>
    </row>
    <row r="94" spans="1:10" ht="14.25" customHeight="1">
      <c r="A94" s="9" t="s">
        <v>40</v>
      </c>
      <c r="B94" s="9" t="s">
        <v>206</v>
      </c>
      <c r="C94" s="9" t="s">
        <v>93</v>
      </c>
      <c r="D94" s="9" t="s">
        <v>44</v>
      </c>
      <c r="E94" s="9" t="s">
        <v>77</v>
      </c>
      <c r="F94" s="9"/>
      <c r="G94" s="9"/>
      <c r="H94" s="10">
        <v>46175</v>
      </c>
      <c r="I94" s="10">
        <v>46178</v>
      </c>
      <c r="J94" s="10">
        <v>46178</v>
      </c>
    </row>
    <row r="95" spans="1:10" ht="14.25" customHeight="1">
      <c r="A95" s="9" t="s">
        <v>40</v>
      </c>
      <c r="B95" s="9" t="s">
        <v>166</v>
      </c>
      <c r="C95" s="9" t="s">
        <v>93</v>
      </c>
      <c r="D95" s="9" t="s">
        <v>44</v>
      </c>
      <c r="E95" s="9" t="s">
        <v>77</v>
      </c>
      <c r="F95" s="9"/>
      <c r="G95" s="9"/>
      <c r="H95" s="10">
        <v>46178</v>
      </c>
      <c r="I95" s="10">
        <v>46175</v>
      </c>
      <c r="J95" s="10">
        <v>46175</v>
      </c>
    </row>
    <row r="96" spans="1:10" ht="14.25" customHeight="1">
      <c r="A96" s="9" t="s">
        <v>40</v>
      </c>
      <c r="B96" s="9" t="s">
        <v>128</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183</v>
      </c>
      <c r="C98" s="9" t="s">
        <v>101</v>
      </c>
      <c r="D98" s="9" t="s">
        <v>103</v>
      </c>
      <c r="E98" s="9" t="s">
        <v>60</v>
      </c>
      <c r="F98" s="9"/>
      <c r="G98" s="9"/>
      <c r="H98" s="10"/>
      <c r="I98" s="10">
        <v>46148</v>
      </c>
      <c r="J98" s="10">
        <v>46148</v>
      </c>
    </row>
    <row r="99" spans="1:10" ht="14.25" customHeight="1">
      <c r="A99" s="9" t="s">
        <v>40</v>
      </c>
      <c r="B99" s="9" t="s">
        <v>206</v>
      </c>
      <c r="C99" s="9" t="s">
        <v>101</v>
      </c>
      <c r="D99" s="9" t="s">
        <v>103</v>
      </c>
      <c r="E99" s="9" t="s">
        <v>60</v>
      </c>
      <c r="F99" s="9"/>
      <c r="G99" s="9"/>
      <c r="H99" s="10">
        <v>46148</v>
      </c>
      <c r="I99" s="10">
        <v>46183</v>
      </c>
      <c r="J99" s="10">
        <v>46183</v>
      </c>
    </row>
    <row r="100" spans="1:10" ht="14.25" customHeight="1">
      <c r="A100" s="9" t="s">
        <v>40</v>
      </c>
      <c r="B100" s="9" t="s">
        <v>166</v>
      </c>
      <c r="C100" s="9" t="s">
        <v>101</v>
      </c>
      <c r="D100" s="9" t="s">
        <v>103</v>
      </c>
      <c r="E100" s="9" t="s">
        <v>60</v>
      </c>
      <c r="F100" s="9"/>
      <c r="G100" s="9"/>
      <c r="H100" s="10">
        <v>46183</v>
      </c>
      <c r="I100" s="10">
        <v>46195</v>
      </c>
      <c r="J100" s="10">
        <v>46195</v>
      </c>
    </row>
    <row r="101" spans="1:10" ht="14.25" customHeight="1">
      <c r="A101" s="9" t="s">
        <v>40</v>
      </c>
      <c r="B101" s="9" t="s">
        <v>128</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183</v>
      </c>
      <c r="C103" s="9" t="s">
        <v>105</v>
      </c>
      <c r="D103" s="9" t="s">
        <v>103</v>
      </c>
      <c r="E103" s="9" t="s">
        <v>77</v>
      </c>
      <c r="F103" s="9"/>
      <c r="G103" s="9"/>
      <c r="H103" s="9"/>
      <c r="I103" s="10">
        <v>46162</v>
      </c>
      <c r="J103" s="10">
        <v>46162</v>
      </c>
    </row>
    <row r="104" spans="1:10" ht="14.25" customHeight="1">
      <c r="A104" s="9" t="s">
        <v>40</v>
      </c>
      <c r="B104" s="9" t="s">
        <v>206</v>
      </c>
      <c r="C104" s="9" t="s">
        <v>105</v>
      </c>
      <c r="D104" s="9" t="s">
        <v>103</v>
      </c>
      <c r="E104" s="9" t="s">
        <v>77</v>
      </c>
      <c r="F104" s="9"/>
      <c r="G104" s="9"/>
      <c r="H104" s="10">
        <v>46162</v>
      </c>
      <c r="I104" s="10">
        <v>46182</v>
      </c>
      <c r="J104" s="10">
        <v>46182</v>
      </c>
    </row>
    <row r="105" spans="1:10" ht="14.25" customHeight="1">
      <c r="A105" s="9" t="s">
        <v>40</v>
      </c>
      <c r="B105" s="9" t="s">
        <v>166</v>
      </c>
      <c r="C105" s="9" t="s">
        <v>105</v>
      </c>
      <c r="D105" s="9" t="s">
        <v>103</v>
      </c>
      <c r="E105" s="9" t="s">
        <v>77</v>
      </c>
      <c r="F105" s="9"/>
      <c r="G105" s="9"/>
      <c r="H105" s="10">
        <v>46182</v>
      </c>
      <c r="I105" s="10">
        <v>46198</v>
      </c>
      <c r="J105" s="10">
        <v>46198</v>
      </c>
    </row>
    <row r="106" spans="1:10" ht="14.25" customHeight="1">
      <c r="A106" s="9" t="s">
        <v>40</v>
      </c>
      <c r="B106" s="9" t="s">
        <v>128</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183</v>
      </c>
      <c r="C108" s="9" t="s">
        <v>108</v>
      </c>
      <c r="D108" s="9" t="s">
        <v>44</v>
      </c>
      <c r="E108" s="9" t="s">
        <v>60</v>
      </c>
      <c r="F108" s="9"/>
      <c r="G108" s="9"/>
      <c r="H108" s="10"/>
      <c r="I108" s="10">
        <v>46168</v>
      </c>
      <c r="J108" s="10">
        <v>46168</v>
      </c>
    </row>
    <row r="109" spans="1:10" ht="14.25" customHeight="1">
      <c r="A109" s="9" t="s">
        <v>40</v>
      </c>
      <c r="B109" s="9" t="s">
        <v>206</v>
      </c>
      <c r="C109" s="9" t="s">
        <v>108</v>
      </c>
      <c r="D109" s="9" t="s">
        <v>44</v>
      </c>
      <c r="E109" s="9" t="s">
        <v>60</v>
      </c>
      <c r="F109" s="9"/>
      <c r="G109" s="9"/>
      <c r="H109" s="10">
        <v>46168</v>
      </c>
      <c r="I109" s="10">
        <v>46183</v>
      </c>
      <c r="J109" s="10">
        <v>46183</v>
      </c>
    </row>
    <row r="110" spans="1:10" ht="14.25" customHeight="1">
      <c r="A110" s="9" t="s">
        <v>40</v>
      </c>
      <c r="B110" s="9" t="s">
        <v>166</v>
      </c>
      <c r="C110" s="9" t="s">
        <v>108</v>
      </c>
      <c r="D110" s="9" t="s">
        <v>44</v>
      </c>
      <c r="E110" s="9" t="s">
        <v>60</v>
      </c>
      <c r="F110" s="9"/>
      <c r="G110" s="9"/>
      <c r="H110" s="10">
        <v>46183</v>
      </c>
      <c r="I110" s="10">
        <v>46198</v>
      </c>
      <c r="J110" s="10">
        <v>46198</v>
      </c>
    </row>
    <row r="111" spans="1:10" ht="14.25" customHeight="1">
      <c r="A111" s="9" t="s">
        <v>40</v>
      </c>
      <c r="B111" s="9" t="s">
        <v>128</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183</v>
      </c>
      <c r="C113" s="9" t="s">
        <v>109</v>
      </c>
      <c r="D113" s="9" t="s">
        <v>44</v>
      </c>
      <c r="E113" s="9" t="s">
        <v>60</v>
      </c>
      <c r="F113" s="9"/>
      <c r="G113" s="9"/>
      <c r="H113" s="9"/>
      <c r="I113" s="10">
        <v>46165</v>
      </c>
      <c r="J113" s="10">
        <v>46165</v>
      </c>
    </row>
    <row r="114" spans="1:10" ht="14.25" customHeight="1">
      <c r="A114" s="9" t="s">
        <v>40</v>
      </c>
      <c r="B114" s="9" t="s">
        <v>206</v>
      </c>
      <c r="C114" s="9" t="s">
        <v>109</v>
      </c>
      <c r="D114" s="9" t="s">
        <v>44</v>
      </c>
      <c r="E114" s="9" t="s">
        <v>60</v>
      </c>
      <c r="F114" s="9"/>
      <c r="G114" s="9"/>
      <c r="H114" s="10">
        <v>46165</v>
      </c>
      <c r="I114" s="10">
        <v>46153</v>
      </c>
      <c r="J114" s="10">
        <v>46153</v>
      </c>
    </row>
    <row r="115" spans="1:10" ht="14.25" customHeight="1">
      <c r="A115" s="9" t="s">
        <v>40</v>
      </c>
      <c r="B115" s="9" t="s">
        <v>166</v>
      </c>
      <c r="C115" s="9" t="s">
        <v>109</v>
      </c>
      <c r="D115" s="9" t="s">
        <v>44</v>
      </c>
      <c r="E115" s="9" t="s">
        <v>60</v>
      </c>
      <c r="F115" s="9"/>
      <c r="G115" s="9"/>
      <c r="H115" s="10">
        <v>46153</v>
      </c>
      <c r="I115" s="10">
        <v>46154</v>
      </c>
      <c r="J115" s="10">
        <v>46154</v>
      </c>
    </row>
    <row r="116" spans="1:10" ht="14.25" customHeight="1">
      <c r="A116" s="9" t="s">
        <v>40</v>
      </c>
      <c r="B116" s="9" t="s">
        <v>128</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183</v>
      </c>
      <c r="C118" s="9" t="s">
        <v>113</v>
      </c>
      <c r="D118" s="9" t="s">
        <v>59</v>
      </c>
      <c r="E118" s="9" t="s">
        <v>46</v>
      </c>
      <c r="F118" s="9"/>
      <c r="G118" s="9"/>
      <c r="H118" s="10"/>
      <c r="I118" s="10">
        <v>46162</v>
      </c>
      <c r="J118" s="10">
        <v>46162</v>
      </c>
    </row>
    <row r="119" spans="1:10" ht="14.25" customHeight="1">
      <c r="A119" s="9" t="s">
        <v>40</v>
      </c>
      <c r="B119" s="9" t="s">
        <v>206</v>
      </c>
      <c r="C119" s="9" t="s">
        <v>113</v>
      </c>
      <c r="D119" s="9" t="s">
        <v>59</v>
      </c>
      <c r="E119" s="9" t="s">
        <v>46</v>
      </c>
      <c r="F119" s="9"/>
      <c r="G119" s="9"/>
      <c r="H119" s="10">
        <v>46162</v>
      </c>
      <c r="I119" s="10">
        <v>46186</v>
      </c>
      <c r="J119" s="10">
        <v>46186</v>
      </c>
    </row>
    <row r="120" spans="1:10" ht="14.25" customHeight="1">
      <c r="A120" s="9" t="s">
        <v>40</v>
      </c>
      <c r="B120" s="9" t="s">
        <v>166</v>
      </c>
      <c r="C120" s="9" t="s">
        <v>113</v>
      </c>
      <c r="D120" s="9" t="s">
        <v>59</v>
      </c>
      <c r="E120" s="9" t="s">
        <v>46</v>
      </c>
      <c r="F120" s="9"/>
      <c r="G120" s="9"/>
      <c r="H120" s="10">
        <v>46186</v>
      </c>
      <c r="I120" s="10">
        <v>46188</v>
      </c>
      <c r="J120" s="10">
        <v>46188</v>
      </c>
    </row>
    <row r="121" spans="1:10" ht="14.25" customHeight="1">
      <c r="A121" s="9" t="s">
        <v>40</v>
      </c>
      <c r="B121" s="9" t="s">
        <v>183</v>
      </c>
      <c r="C121" s="9" t="s">
        <v>116</v>
      </c>
      <c r="D121" s="9" t="s">
        <v>59</v>
      </c>
      <c r="E121" s="9" t="s">
        <v>77</v>
      </c>
      <c r="F121" s="9"/>
      <c r="G121" s="9"/>
      <c r="H121" s="9"/>
      <c r="I121" s="10">
        <v>46162</v>
      </c>
      <c r="J121" s="10">
        <v>46162</v>
      </c>
    </row>
    <row r="122" spans="1:10" ht="14.25" customHeight="1">
      <c r="A122" s="9" t="s">
        <v>40</v>
      </c>
      <c r="B122" s="9" t="s">
        <v>206</v>
      </c>
      <c r="C122" s="9" t="s">
        <v>116</v>
      </c>
      <c r="D122" s="9" t="s">
        <v>59</v>
      </c>
      <c r="E122" s="9" t="s">
        <v>77</v>
      </c>
      <c r="F122" s="9"/>
      <c r="G122" s="9"/>
      <c r="H122" s="10">
        <v>46162</v>
      </c>
      <c r="I122" s="10">
        <v>46164</v>
      </c>
      <c r="J122" s="10">
        <v>46164</v>
      </c>
    </row>
    <row r="123" spans="1:10" ht="14.25" customHeight="1">
      <c r="A123" s="9" t="s">
        <v>40</v>
      </c>
      <c r="B123" s="9" t="s">
        <v>166</v>
      </c>
      <c r="C123" s="9" t="s">
        <v>116</v>
      </c>
      <c r="D123" s="9" t="s">
        <v>59</v>
      </c>
      <c r="E123" s="9" t="s">
        <v>77</v>
      </c>
      <c r="F123" s="9"/>
      <c r="G123" s="9"/>
      <c r="H123" s="10">
        <v>46164</v>
      </c>
      <c r="I123" s="10">
        <v>46204</v>
      </c>
      <c r="J123" s="10">
        <v>46204</v>
      </c>
    </row>
    <row r="124" spans="1:10" ht="14.25" customHeight="1">
      <c r="A124" s="9" t="s">
        <v>40</v>
      </c>
      <c r="B124" s="9" t="s">
        <v>128</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183</v>
      </c>
      <c r="C126" s="9" t="s">
        <v>117</v>
      </c>
      <c r="D126" s="9" t="s">
        <v>65</v>
      </c>
      <c r="E126" s="9" t="s">
        <v>60</v>
      </c>
      <c r="F126" s="9"/>
      <c r="G126" s="9"/>
      <c r="H126" s="10"/>
      <c r="I126" s="10">
        <v>46169</v>
      </c>
      <c r="J126" s="10">
        <v>46169</v>
      </c>
    </row>
    <row r="127" spans="1:10" ht="14.25" customHeight="1">
      <c r="A127" s="9" t="s">
        <v>40</v>
      </c>
      <c r="B127" s="9" t="s">
        <v>206</v>
      </c>
      <c r="C127" s="9" t="s">
        <v>117</v>
      </c>
      <c r="D127" s="9" t="s">
        <v>65</v>
      </c>
      <c r="E127" s="9" t="s">
        <v>60</v>
      </c>
      <c r="F127" s="9"/>
      <c r="G127" s="9"/>
      <c r="H127" s="10">
        <v>46169</v>
      </c>
      <c r="I127" s="10">
        <v>46191</v>
      </c>
      <c r="J127" s="10">
        <v>46191</v>
      </c>
    </row>
    <row r="128" spans="1:10" ht="14.25" customHeight="1">
      <c r="A128" s="9" t="s">
        <v>40</v>
      </c>
      <c r="B128" s="9" t="s">
        <v>166</v>
      </c>
      <c r="C128" s="9" t="s">
        <v>117</v>
      </c>
      <c r="D128" s="9" t="s">
        <v>65</v>
      </c>
      <c r="E128" s="9" t="s">
        <v>60</v>
      </c>
      <c r="F128" s="9"/>
      <c r="G128" s="9"/>
      <c r="H128" s="10">
        <v>46191</v>
      </c>
      <c r="I128" s="10">
        <v>46196</v>
      </c>
      <c r="J128" s="10">
        <v>46196</v>
      </c>
    </row>
    <row r="129" spans="1:10" ht="14.25" customHeight="1">
      <c r="A129" s="9" t="s">
        <v>40</v>
      </c>
      <c r="B129" s="9" t="s">
        <v>128</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183</v>
      </c>
      <c r="C131" s="9" t="s">
        <v>121</v>
      </c>
      <c r="D131" s="9" t="s">
        <v>103</v>
      </c>
      <c r="E131" s="9" t="s">
        <v>77</v>
      </c>
      <c r="F131" s="9"/>
      <c r="G131" s="9"/>
      <c r="H131" s="9"/>
      <c r="I131" s="10">
        <v>46168</v>
      </c>
      <c r="J131" s="10">
        <v>46168</v>
      </c>
    </row>
    <row r="132" spans="1:10" ht="14.25" customHeight="1">
      <c r="A132" s="9" t="s">
        <v>40</v>
      </c>
      <c r="B132" s="9" t="s">
        <v>206</v>
      </c>
      <c r="C132" s="9" t="s">
        <v>121</v>
      </c>
      <c r="D132" s="9" t="s">
        <v>103</v>
      </c>
      <c r="E132" s="9" t="s">
        <v>77</v>
      </c>
      <c r="F132" s="9"/>
      <c r="G132" s="9"/>
      <c r="H132" s="10">
        <v>46168</v>
      </c>
      <c r="I132" s="10">
        <v>46189</v>
      </c>
      <c r="J132" s="10">
        <v>46189</v>
      </c>
    </row>
    <row r="133" spans="1:10" ht="14.25" customHeight="1">
      <c r="A133" s="9" t="s">
        <v>40</v>
      </c>
      <c r="B133" s="9" t="s">
        <v>166</v>
      </c>
      <c r="C133" s="9" t="s">
        <v>121</v>
      </c>
      <c r="D133" s="9" t="s">
        <v>103</v>
      </c>
      <c r="E133" s="9" t="s">
        <v>77</v>
      </c>
      <c r="F133" s="9"/>
      <c r="G133" s="9"/>
      <c r="H133" s="10">
        <v>46189</v>
      </c>
      <c r="I133" s="10">
        <v>46189</v>
      </c>
      <c r="J133" s="10">
        <v>46189</v>
      </c>
    </row>
    <row r="134" spans="1:10" ht="14.25" customHeight="1">
      <c r="A134" s="9" t="s">
        <v>40</v>
      </c>
      <c r="B134" s="9" t="s">
        <v>128</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183</v>
      </c>
      <c r="C136" s="9" t="s">
        <v>123</v>
      </c>
      <c r="D136" s="9" t="s">
        <v>84</v>
      </c>
      <c r="E136" s="9" t="s">
        <v>77</v>
      </c>
      <c r="F136" s="9"/>
      <c r="G136" s="9"/>
      <c r="H136" s="9"/>
      <c r="I136" s="10">
        <v>46169</v>
      </c>
      <c r="J136" s="10">
        <v>46169</v>
      </c>
    </row>
    <row r="137" spans="1:10" ht="14.25" customHeight="1">
      <c r="A137" s="9" t="s">
        <v>40</v>
      </c>
      <c r="B137" s="9" t="s">
        <v>206</v>
      </c>
      <c r="C137" s="9" t="s">
        <v>123</v>
      </c>
      <c r="D137" s="9" t="s">
        <v>84</v>
      </c>
      <c r="E137" s="9" t="s">
        <v>77</v>
      </c>
      <c r="F137" s="9"/>
      <c r="G137" s="9"/>
      <c r="H137" s="10">
        <v>46169</v>
      </c>
      <c r="I137" s="10">
        <v>46195</v>
      </c>
      <c r="J137" s="10">
        <v>46195</v>
      </c>
    </row>
    <row r="138" spans="1:10" ht="14.25" customHeight="1">
      <c r="A138" s="9" t="s">
        <v>40</v>
      </c>
      <c r="B138" s="9" t="s">
        <v>166</v>
      </c>
      <c r="C138" s="9" t="s">
        <v>123</v>
      </c>
      <c r="D138" s="9" t="s">
        <v>84</v>
      </c>
      <c r="E138" s="9" t="s">
        <v>77</v>
      </c>
      <c r="F138" s="9"/>
      <c r="G138" s="9"/>
      <c r="H138" s="10">
        <v>46195</v>
      </c>
      <c r="I138" s="10">
        <v>46197</v>
      </c>
      <c r="J138" s="10">
        <v>46197</v>
      </c>
    </row>
    <row r="139" spans="1:10" ht="14.25" customHeight="1">
      <c r="A139" s="9" t="s">
        <v>40</v>
      </c>
      <c r="B139" s="9" t="s">
        <v>128</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183</v>
      </c>
      <c r="C141" s="9" t="s">
        <v>127</v>
      </c>
      <c r="D141" s="9" t="s">
        <v>76</v>
      </c>
      <c r="E141" s="9" t="s">
        <v>60</v>
      </c>
      <c r="F141" s="9"/>
      <c r="G141" s="9" t="s">
        <v>129</v>
      </c>
      <c r="H141" s="9"/>
      <c r="I141" s="9"/>
      <c r="J141" s="9"/>
    </row>
    <row r="142" spans="1:10" ht="14.25" customHeight="1">
      <c r="A142" s="9" t="s">
        <v>126</v>
      </c>
      <c r="B142" s="9" t="s">
        <v>206</v>
      </c>
      <c r="C142" s="9" t="s">
        <v>127</v>
      </c>
      <c r="D142" s="9" t="s">
        <v>76</v>
      </c>
      <c r="E142" s="9" t="s">
        <v>60</v>
      </c>
      <c r="F142" s="9"/>
      <c r="G142" s="9" t="s">
        <v>129</v>
      </c>
      <c r="H142" s="9"/>
      <c r="I142" s="10">
        <v>46213</v>
      </c>
      <c r="J142" s="10">
        <v>46213</v>
      </c>
    </row>
    <row r="143" spans="1:10" ht="14.25" customHeight="1">
      <c r="A143" s="9" t="s">
        <v>126</v>
      </c>
      <c r="B143" s="9" t="s">
        <v>166</v>
      </c>
      <c r="C143" s="9" t="s">
        <v>127</v>
      </c>
      <c r="D143" s="9" t="s">
        <v>76</v>
      </c>
      <c r="E143" s="9" t="s">
        <v>60</v>
      </c>
      <c r="F143" s="9"/>
      <c r="G143" s="9" t="s">
        <v>129</v>
      </c>
      <c r="H143" s="10">
        <v>46213</v>
      </c>
      <c r="I143" s="10">
        <v>46223</v>
      </c>
      <c r="J143" s="10">
        <v>46223</v>
      </c>
    </row>
    <row r="144" spans="1:10" ht="14.25" customHeight="1">
      <c r="A144" s="9" t="s">
        <v>126</v>
      </c>
      <c r="B144" s="9" t="s">
        <v>183</v>
      </c>
      <c r="C144" s="9" t="s">
        <v>134</v>
      </c>
      <c r="D144" s="9" t="s">
        <v>65</v>
      </c>
      <c r="E144" s="9" t="s">
        <v>77</v>
      </c>
      <c r="F144" s="9"/>
      <c r="G144" s="9" t="s">
        <v>129</v>
      </c>
      <c r="H144" s="9"/>
      <c r="I144" s="9"/>
      <c r="J144" s="9"/>
    </row>
    <row r="145" spans="1:10" ht="14.25" customHeight="1">
      <c r="A145" s="9" t="s">
        <v>126</v>
      </c>
      <c r="B145" s="9" t="s">
        <v>206</v>
      </c>
      <c r="C145" s="9" t="s">
        <v>134</v>
      </c>
      <c r="D145" s="9" t="s">
        <v>65</v>
      </c>
      <c r="E145" s="9" t="s">
        <v>77</v>
      </c>
      <c r="F145" s="9"/>
      <c r="G145" s="9" t="s">
        <v>129</v>
      </c>
      <c r="H145" s="9"/>
      <c r="I145" s="10">
        <v>46218</v>
      </c>
      <c r="J145" s="10">
        <v>46218</v>
      </c>
    </row>
    <row r="146" spans="1:10" ht="14.25" customHeight="1">
      <c r="A146" s="9" t="s">
        <v>126</v>
      </c>
      <c r="B146" s="9" t="s">
        <v>166</v>
      </c>
      <c r="C146" s="9" t="s">
        <v>134</v>
      </c>
      <c r="D146" s="9" t="s">
        <v>65</v>
      </c>
      <c r="E146" s="9" t="s">
        <v>77</v>
      </c>
      <c r="F146" s="9"/>
      <c r="G146" s="9" t="s">
        <v>129</v>
      </c>
      <c r="H146" s="10">
        <v>46218</v>
      </c>
      <c r="I146" s="10">
        <v>46223</v>
      </c>
      <c r="J146" s="10">
        <v>46223</v>
      </c>
    </row>
    <row r="147" spans="1:10" ht="14.25" customHeight="1">
      <c r="A147" s="9" t="s">
        <v>126</v>
      </c>
      <c r="B147" s="9" t="s">
        <v>183</v>
      </c>
      <c r="C147" s="9" t="s">
        <v>137</v>
      </c>
      <c r="D147" s="9" t="s">
        <v>65</v>
      </c>
      <c r="E147" s="9" t="s">
        <v>77</v>
      </c>
      <c r="F147" s="9"/>
      <c r="G147" s="9" t="s">
        <v>129</v>
      </c>
      <c r="H147" s="9"/>
      <c r="I147" s="9"/>
      <c r="J147" s="9"/>
    </row>
    <row r="148" spans="1:10" ht="14.25" customHeight="1">
      <c r="A148" s="9" t="s">
        <v>126</v>
      </c>
      <c r="B148" s="9" t="s">
        <v>206</v>
      </c>
      <c r="C148" s="9" t="s">
        <v>137</v>
      </c>
      <c r="D148" s="9" t="s">
        <v>65</v>
      </c>
      <c r="E148" s="9" t="s">
        <v>77</v>
      </c>
      <c r="F148" s="9"/>
      <c r="G148" s="9" t="s">
        <v>129</v>
      </c>
      <c r="H148" s="9"/>
      <c r="I148" s="10">
        <v>46225</v>
      </c>
      <c r="J148" s="10">
        <v>46225</v>
      </c>
    </row>
    <row r="149" spans="1:10" ht="14.25" customHeight="1">
      <c r="A149" s="9" t="s">
        <v>126</v>
      </c>
      <c r="B149" s="9" t="s">
        <v>166</v>
      </c>
      <c r="C149" s="9" t="s">
        <v>137</v>
      </c>
      <c r="D149" s="9" t="s">
        <v>65</v>
      </c>
      <c r="E149" s="9" t="s">
        <v>77</v>
      </c>
      <c r="F149" s="9"/>
      <c r="G149" s="9" t="s">
        <v>129</v>
      </c>
      <c r="H149" s="10">
        <v>46225</v>
      </c>
      <c r="I149" s="10">
        <v>46223</v>
      </c>
      <c r="J149" s="10">
        <v>46223</v>
      </c>
    </row>
    <row r="150" spans="1:10" ht="14.25" customHeight="1">
      <c r="A150" s="9" t="s">
        <v>126</v>
      </c>
      <c r="B150" s="9" t="s">
        <v>183</v>
      </c>
      <c r="C150" s="9" t="s">
        <v>139</v>
      </c>
      <c r="D150" s="9" t="s">
        <v>59</v>
      </c>
      <c r="E150" s="9" t="s">
        <v>46</v>
      </c>
      <c r="F150" s="9"/>
      <c r="G150" s="9" t="s">
        <v>129</v>
      </c>
      <c r="H150" s="9"/>
      <c r="I150" s="9"/>
      <c r="J150" s="9"/>
    </row>
    <row r="151" spans="1:10" ht="14.25" customHeight="1">
      <c r="A151" s="9" t="s">
        <v>126</v>
      </c>
      <c r="B151" s="9" t="s">
        <v>206</v>
      </c>
      <c r="C151" s="9" t="s">
        <v>139</v>
      </c>
      <c r="D151" s="9" t="s">
        <v>59</v>
      </c>
      <c r="E151" s="9" t="s">
        <v>46</v>
      </c>
      <c r="F151" s="9"/>
      <c r="G151" s="9" t="s">
        <v>129</v>
      </c>
      <c r="H151" s="9"/>
      <c r="I151" s="10">
        <v>46227</v>
      </c>
      <c r="J151" s="10">
        <v>46227</v>
      </c>
    </row>
    <row r="152" spans="1:10" ht="14.25" customHeight="1">
      <c r="A152" s="9" t="s">
        <v>126</v>
      </c>
      <c r="B152" s="9" t="s">
        <v>166</v>
      </c>
      <c r="C152" s="9" t="s">
        <v>139</v>
      </c>
      <c r="D152" s="9" t="s">
        <v>59</v>
      </c>
      <c r="E152" s="9" t="s">
        <v>46</v>
      </c>
      <c r="F152" s="9"/>
      <c r="G152" s="9" t="s">
        <v>129</v>
      </c>
      <c r="H152" s="10">
        <v>46227</v>
      </c>
      <c r="I152" s="10">
        <v>46223</v>
      </c>
      <c r="J152" s="10">
        <v>46223</v>
      </c>
    </row>
    <row r="153" spans="1:10" ht="14.25" customHeight="1">
      <c r="A153" s="9" t="s">
        <v>126</v>
      </c>
      <c r="B153" s="9" t="s">
        <v>183</v>
      </c>
      <c r="C153" s="9" t="s">
        <v>142</v>
      </c>
      <c r="D153" s="9" t="s">
        <v>103</v>
      </c>
      <c r="E153" s="9" t="s">
        <v>77</v>
      </c>
      <c r="F153" s="9"/>
      <c r="G153" s="9" t="s">
        <v>129</v>
      </c>
      <c r="H153" s="9"/>
      <c r="I153" s="9"/>
      <c r="J153" s="9"/>
    </row>
    <row r="154" spans="1:10" ht="14.25" customHeight="1">
      <c r="A154" s="9" t="s">
        <v>126</v>
      </c>
      <c r="B154" s="9" t="s">
        <v>206</v>
      </c>
      <c r="C154" s="9" t="s">
        <v>142</v>
      </c>
      <c r="D154" s="9" t="s">
        <v>103</v>
      </c>
      <c r="E154" s="9" t="s">
        <v>77</v>
      </c>
      <c r="F154" s="9"/>
      <c r="G154" s="9" t="s">
        <v>129</v>
      </c>
      <c r="H154" s="9"/>
      <c r="I154" s="10">
        <v>46216</v>
      </c>
      <c r="J154" s="10">
        <v>46216</v>
      </c>
    </row>
    <row r="155" spans="1:10" ht="14.25" customHeight="1">
      <c r="A155" s="9" t="s">
        <v>126</v>
      </c>
      <c r="B155" s="9" t="s">
        <v>166</v>
      </c>
      <c r="C155" s="9" t="s">
        <v>142</v>
      </c>
      <c r="D155" s="9" t="s">
        <v>103</v>
      </c>
      <c r="E155" s="9" t="s">
        <v>77</v>
      </c>
      <c r="F155" s="9"/>
      <c r="G155" s="9" t="s">
        <v>129</v>
      </c>
      <c r="H155" s="10">
        <v>46216</v>
      </c>
      <c r="I155" s="10">
        <v>46225</v>
      </c>
      <c r="J155" s="10">
        <v>46225</v>
      </c>
    </row>
    <row r="156" spans="1:10" ht="14.25" customHeight="1">
      <c r="A156" s="9" t="s">
        <v>126</v>
      </c>
      <c r="B156" s="9" t="s">
        <v>183</v>
      </c>
      <c r="C156" s="9" t="s">
        <v>144</v>
      </c>
      <c r="D156" s="9" t="s">
        <v>84</v>
      </c>
      <c r="E156" s="9" t="s">
        <v>60</v>
      </c>
      <c r="F156" s="9"/>
      <c r="G156" s="9" t="s">
        <v>145</v>
      </c>
      <c r="H156" s="9"/>
      <c r="I156" s="9"/>
      <c r="J156" s="9"/>
    </row>
    <row r="157" spans="1:10">
      <c r="A157" s="3" t="s">
        <v>126</v>
      </c>
      <c r="B157" s="3" t="s">
        <v>183</v>
      </c>
      <c r="C157" s="3" t="s">
        <v>147</v>
      </c>
      <c r="D157" s="3" t="s">
        <v>65</v>
      </c>
      <c r="E157" s="3" t="s">
        <v>46</v>
      </c>
      <c r="F157" s="3"/>
      <c r="G157" s="3" t="s">
        <v>145</v>
      </c>
      <c r="H157" s="3"/>
      <c r="I157" s="3"/>
      <c r="J157" s="3"/>
    </row>
    <row r="158" spans="1:10">
      <c r="A158" s="3" t="s">
        <v>126</v>
      </c>
      <c r="B158" s="3" t="s">
        <v>183</v>
      </c>
      <c r="C158" s="3" t="s">
        <v>150</v>
      </c>
      <c r="D158" s="3" t="s">
        <v>65</v>
      </c>
      <c r="E158" s="3" t="s">
        <v>46</v>
      </c>
      <c r="F158" s="3"/>
      <c r="G158" s="3" t="s">
        <v>145</v>
      </c>
      <c r="H158" s="3"/>
      <c r="I158" s="3"/>
      <c r="J158" s="3"/>
    </row>
    <row r="159" spans="1:10">
      <c r="A159" s="3" t="s">
        <v>126</v>
      </c>
      <c r="B159" s="3" t="s">
        <v>206</v>
      </c>
      <c r="C159" s="3" t="s">
        <v>150</v>
      </c>
      <c r="D159" s="3" t="s">
        <v>65</v>
      </c>
      <c r="E159" s="3" t="s">
        <v>46</v>
      </c>
      <c r="F159" s="3"/>
      <c r="G159" s="3" t="s">
        <v>145</v>
      </c>
      <c r="H159" s="3"/>
      <c r="I159" s="4">
        <v>46221</v>
      </c>
      <c r="J159" s="4">
        <v>46221</v>
      </c>
    </row>
    <row r="160" spans="1:10">
      <c r="A160" s="3" t="s">
        <v>126</v>
      </c>
      <c r="B160" s="3" t="s">
        <v>166</v>
      </c>
      <c r="C160" s="3" t="s">
        <v>150</v>
      </c>
      <c r="D160" s="3" t="s">
        <v>65</v>
      </c>
      <c r="E160" s="3" t="s">
        <v>46</v>
      </c>
      <c r="F160" s="3"/>
      <c r="G160" s="3" t="s">
        <v>145</v>
      </c>
      <c r="H160" s="4">
        <v>46221</v>
      </c>
      <c r="I160" s="4">
        <v>46223</v>
      </c>
      <c r="J160" s="4">
        <v>46223</v>
      </c>
    </row>
    <row r="161" spans="1:10">
      <c r="A161" s="3" t="s">
        <v>126</v>
      </c>
      <c r="B161" s="3" t="s">
        <v>183</v>
      </c>
      <c r="C161" s="3" t="s">
        <v>151</v>
      </c>
      <c r="D161" s="3" t="s">
        <v>84</v>
      </c>
      <c r="E161" s="3" t="s">
        <v>60</v>
      </c>
      <c r="F161" s="3"/>
      <c r="G161" s="3" t="s">
        <v>145</v>
      </c>
      <c r="H161" s="3"/>
      <c r="I161" s="3"/>
      <c r="J161" s="3"/>
    </row>
    <row r="162" spans="1:10">
      <c r="A162" s="3" t="s">
        <v>126</v>
      </c>
      <c r="B162" s="3" t="s">
        <v>206</v>
      </c>
      <c r="C162" s="3" t="s">
        <v>151</v>
      </c>
      <c r="D162" s="3" t="s">
        <v>84</v>
      </c>
      <c r="E162" s="3" t="s">
        <v>60</v>
      </c>
      <c r="F162" s="3"/>
      <c r="G162" s="3" t="s">
        <v>145</v>
      </c>
      <c r="H162" s="3"/>
      <c r="I162" s="4">
        <v>46220</v>
      </c>
      <c r="J162" s="4">
        <v>46220</v>
      </c>
    </row>
    <row r="163" spans="1:10">
      <c r="A163" s="3" t="s">
        <v>126</v>
      </c>
      <c r="B163" s="3" t="s">
        <v>166</v>
      </c>
      <c r="C163" s="3" t="s">
        <v>151</v>
      </c>
      <c r="D163" s="3" t="s">
        <v>84</v>
      </c>
      <c r="E163" s="3" t="s">
        <v>60</v>
      </c>
      <c r="F163" s="3"/>
      <c r="G163" s="3" t="s">
        <v>145</v>
      </c>
      <c r="H163" s="4">
        <v>46220</v>
      </c>
      <c r="I163" s="4">
        <v>46223</v>
      </c>
      <c r="J163" s="4">
        <v>46223</v>
      </c>
    </row>
    <row r="164" spans="1:10">
      <c r="A164" s="3" t="s">
        <v>126</v>
      </c>
      <c r="B164" s="3" t="s">
        <v>183</v>
      </c>
      <c r="C164" s="3" t="s">
        <v>154</v>
      </c>
      <c r="D164" s="3" t="s">
        <v>156</v>
      </c>
      <c r="E164" s="3" t="s">
        <v>60</v>
      </c>
      <c r="F164" s="3"/>
      <c r="G164" s="3" t="s">
        <v>145</v>
      </c>
      <c r="H164" s="3"/>
      <c r="I164" s="3"/>
      <c r="J164" s="3"/>
    </row>
    <row r="165" spans="1:10">
      <c r="A165" s="3" t="s">
        <v>126</v>
      </c>
      <c r="B165" s="3" t="s">
        <v>206</v>
      </c>
      <c r="C165" s="3" t="s">
        <v>154</v>
      </c>
      <c r="D165" s="3" t="s">
        <v>156</v>
      </c>
      <c r="E165" s="3" t="s">
        <v>60</v>
      </c>
      <c r="F165" s="3"/>
      <c r="G165" s="3" t="s">
        <v>145</v>
      </c>
      <c r="H165" s="3"/>
      <c r="I165" s="4">
        <v>46224</v>
      </c>
      <c r="J165" s="4">
        <v>46224</v>
      </c>
    </row>
    <row r="166" spans="1:10">
      <c r="A166" s="3" t="s">
        <v>126</v>
      </c>
      <c r="B166" s="3" t="s">
        <v>166</v>
      </c>
      <c r="C166" s="3" t="s">
        <v>154</v>
      </c>
      <c r="D166" s="3" t="s">
        <v>156</v>
      </c>
      <c r="E166" s="3" t="s">
        <v>60</v>
      </c>
      <c r="F166" s="3"/>
      <c r="G166" s="3" t="s">
        <v>145</v>
      </c>
      <c r="H166" s="4">
        <v>46224</v>
      </c>
      <c r="I166" s="4">
        <v>46223</v>
      </c>
      <c r="J166" s="4">
        <v>46223</v>
      </c>
    </row>
    <row r="167" spans="1:10">
      <c r="A167" s="3" t="s">
        <v>126</v>
      </c>
      <c r="B167" s="3" t="s">
        <v>183</v>
      </c>
      <c r="C167" s="3" t="s">
        <v>157</v>
      </c>
      <c r="D167" s="3" t="s">
        <v>156</v>
      </c>
      <c r="E167" s="3" t="s">
        <v>77</v>
      </c>
      <c r="F167" s="3"/>
      <c r="G167" s="3" t="s">
        <v>145</v>
      </c>
      <c r="H167" s="3"/>
      <c r="I167" s="3"/>
      <c r="J167" s="3"/>
    </row>
    <row r="168" spans="1:10">
      <c r="A168" s="3" t="s">
        <v>126</v>
      </c>
      <c r="B168" s="3" t="s">
        <v>206</v>
      </c>
      <c r="C168" s="3" t="s">
        <v>157</v>
      </c>
      <c r="D168" s="3" t="s">
        <v>156</v>
      </c>
      <c r="E168" s="3" t="s">
        <v>77</v>
      </c>
      <c r="F168" s="3"/>
      <c r="G168" s="3" t="s">
        <v>145</v>
      </c>
      <c r="H168" s="3"/>
      <c r="I168" s="4">
        <v>46225</v>
      </c>
      <c r="J168" s="4">
        <v>46225</v>
      </c>
    </row>
    <row r="169" spans="1:10">
      <c r="A169" s="3" t="s">
        <v>126</v>
      </c>
      <c r="B169" s="3" t="s">
        <v>166</v>
      </c>
      <c r="C169" s="3" t="s">
        <v>157</v>
      </c>
      <c r="D169" s="3" t="s">
        <v>156</v>
      </c>
      <c r="E169" s="3" t="s">
        <v>77</v>
      </c>
      <c r="F169" s="3"/>
      <c r="G169" s="3" t="s">
        <v>145</v>
      </c>
      <c r="H169" s="4">
        <v>46225</v>
      </c>
      <c r="I169" s="4">
        <v>46223</v>
      </c>
      <c r="J169" s="4">
        <v>46223</v>
      </c>
    </row>
    <row r="170" spans="1:10">
      <c r="A170" s="3" t="s">
        <v>126</v>
      </c>
      <c r="B170" s="3" t="s">
        <v>183</v>
      </c>
      <c r="C170" s="3" t="s">
        <v>158</v>
      </c>
      <c r="D170" s="3" t="s">
        <v>76</v>
      </c>
      <c r="E170" s="3" t="s">
        <v>46</v>
      </c>
      <c r="F170" s="3"/>
      <c r="G170" s="3" t="s">
        <v>129</v>
      </c>
      <c r="H170" s="3"/>
      <c r="I170" s="3"/>
      <c r="J170" s="3"/>
    </row>
    <row r="171" spans="1:10">
      <c r="A171" s="3" t="s">
        <v>126</v>
      </c>
      <c r="B171" s="3" t="s">
        <v>206</v>
      </c>
      <c r="C171" s="3" t="s">
        <v>158</v>
      </c>
      <c r="D171" s="3" t="s">
        <v>76</v>
      </c>
      <c r="E171" s="3" t="s">
        <v>46</v>
      </c>
      <c r="F171" s="3"/>
      <c r="G171" s="3" t="s">
        <v>129</v>
      </c>
      <c r="H171" s="3"/>
      <c r="I171" s="4">
        <v>46226</v>
      </c>
      <c r="J171" s="4">
        <v>46226</v>
      </c>
    </row>
    <row r="172" spans="1:10">
      <c r="A172" s="3" t="s">
        <v>126</v>
      </c>
      <c r="B172" s="3" t="s">
        <v>166</v>
      </c>
      <c r="C172" s="3" t="s">
        <v>158</v>
      </c>
      <c r="D172" s="3" t="s">
        <v>76</v>
      </c>
      <c r="E172" s="3" t="s">
        <v>46</v>
      </c>
      <c r="F172" s="3"/>
      <c r="G172" s="3" t="s">
        <v>129</v>
      </c>
      <c r="H172" s="4">
        <v>46226</v>
      </c>
      <c r="I172" s="4">
        <v>46223</v>
      </c>
      <c r="J172" s="4">
        <v>46223</v>
      </c>
    </row>
    <row r="173" spans="1:10">
      <c r="A173" s="3" t="s">
        <v>126</v>
      </c>
      <c r="B173" s="3" t="s">
        <v>183</v>
      </c>
      <c r="C173" s="3" t="s">
        <v>160</v>
      </c>
      <c r="D173" s="3" t="s">
        <v>59</v>
      </c>
      <c r="E173" s="3" t="s">
        <v>60</v>
      </c>
      <c r="F173" s="3"/>
      <c r="G173" s="3" t="s">
        <v>129</v>
      </c>
      <c r="H173" s="3"/>
      <c r="I173" s="3"/>
      <c r="J173" s="3"/>
    </row>
    <row r="174" spans="1:10">
      <c r="A174" s="3" t="s">
        <v>126</v>
      </c>
      <c r="B174" s="3" t="s">
        <v>206</v>
      </c>
      <c r="C174" s="3" t="s">
        <v>160</v>
      </c>
      <c r="D174" s="3" t="s">
        <v>59</v>
      </c>
      <c r="E174" s="3" t="s">
        <v>60</v>
      </c>
      <c r="F174" s="3"/>
      <c r="G174" s="3" t="s">
        <v>129</v>
      </c>
      <c r="H174" s="3"/>
      <c r="I174" s="4">
        <v>46225</v>
      </c>
      <c r="J174" s="4">
        <v>46225</v>
      </c>
    </row>
    <row r="175" spans="1:10">
      <c r="A175" s="3" t="s">
        <v>126</v>
      </c>
      <c r="B175" s="3" t="s">
        <v>166</v>
      </c>
      <c r="C175" s="3" t="s">
        <v>160</v>
      </c>
      <c r="D175" s="3" t="s">
        <v>59</v>
      </c>
      <c r="E175" s="3" t="s">
        <v>60</v>
      </c>
      <c r="F175" s="3"/>
      <c r="G175" s="3" t="s">
        <v>129</v>
      </c>
      <c r="H175" s="4">
        <v>46225</v>
      </c>
      <c r="I175" s="4">
        <v>46223</v>
      </c>
      <c r="J175" s="4">
        <v>46223</v>
      </c>
    </row>
    <row r="176" spans="1:10">
      <c r="A176" s="3" t="s">
        <v>126</v>
      </c>
      <c r="B176" s="3" t="s">
        <v>183</v>
      </c>
      <c r="C176" s="3" t="s">
        <v>162</v>
      </c>
      <c r="D176" s="3" t="s">
        <v>76</v>
      </c>
      <c r="E176" s="3" t="s">
        <v>77</v>
      </c>
      <c r="F176" s="3"/>
      <c r="G176" s="3" t="s">
        <v>145</v>
      </c>
      <c r="H176" s="3"/>
      <c r="I176" s="3"/>
      <c r="J176" s="3"/>
    </row>
    <row r="177" spans="1:10">
      <c r="A177" s="3" t="s">
        <v>126</v>
      </c>
      <c r="B177" s="3" t="s">
        <v>206</v>
      </c>
      <c r="C177" s="3" t="s">
        <v>162</v>
      </c>
      <c r="D177" s="3" t="s">
        <v>76</v>
      </c>
      <c r="E177" s="3" t="s">
        <v>77</v>
      </c>
      <c r="F177" s="3"/>
      <c r="G177" s="3" t="s">
        <v>145</v>
      </c>
      <c r="H177" s="3"/>
      <c r="I177" s="4">
        <v>46225</v>
      </c>
      <c r="J177" s="4">
        <v>46225</v>
      </c>
    </row>
    <row r="178" spans="1:10">
      <c r="A178" s="3" t="s">
        <v>126</v>
      </c>
      <c r="B178" s="3" t="s">
        <v>166</v>
      </c>
      <c r="C178" s="3" t="s">
        <v>162</v>
      </c>
      <c r="D178" s="3" t="s">
        <v>76</v>
      </c>
      <c r="E178" s="3" t="s">
        <v>77</v>
      </c>
      <c r="F178" s="3"/>
      <c r="G178" s="3" t="s">
        <v>145</v>
      </c>
      <c r="H178" s="4">
        <v>46225</v>
      </c>
      <c r="I178" s="4">
        <v>46230</v>
      </c>
      <c r="J178" s="4">
        <v>46230</v>
      </c>
    </row>
    <row r="179" spans="1:10">
      <c r="A179" s="3" t="s">
        <v>126</v>
      </c>
      <c r="B179" s="3" t="s">
        <v>183</v>
      </c>
      <c r="C179" s="3" t="s">
        <v>165</v>
      </c>
      <c r="D179" s="3" t="s">
        <v>103</v>
      </c>
      <c r="E179" s="3"/>
      <c r="F179" s="3"/>
      <c r="G179" s="3"/>
      <c r="H179" s="3"/>
      <c r="I179" s="3"/>
      <c r="J179" s="3"/>
    </row>
    <row r="180" spans="1:10">
      <c r="A180" s="3" t="s">
        <v>126</v>
      </c>
      <c r="B180" s="3" t="s">
        <v>206</v>
      </c>
      <c r="C180" s="3" t="s">
        <v>165</v>
      </c>
      <c r="D180" s="3" t="s">
        <v>103</v>
      </c>
      <c r="E180" s="3"/>
      <c r="F180" s="3"/>
      <c r="G180" s="3"/>
      <c r="H180" s="3"/>
      <c r="I180" s="3"/>
      <c r="J180" s="3"/>
    </row>
    <row r="181" spans="1:10">
      <c r="A181" s="3" t="s">
        <v>126</v>
      </c>
      <c r="B181" s="3" t="s">
        <v>166</v>
      </c>
      <c r="C181" s="3" t="s">
        <v>165</v>
      </c>
      <c r="D181" s="3" t="s">
        <v>103</v>
      </c>
      <c r="E181" s="3"/>
      <c r="F181" s="3"/>
      <c r="G181" s="3"/>
      <c r="H181" s="3"/>
      <c r="I181" s="3"/>
      <c r="J181" s="3"/>
    </row>
    <row r="182" spans="1:10">
      <c r="A182" s="3" t="s">
        <v>126</v>
      </c>
      <c r="B182" s="3" t="s">
        <v>183</v>
      </c>
      <c r="C182" s="3" t="s">
        <v>176</v>
      </c>
      <c r="D182" s="3" t="s">
        <v>84</v>
      </c>
      <c r="E182" s="3"/>
      <c r="F182" s="3"/>
      <c r="G182" s="3"/>
      <c r="H182" s="3"/>
      <c r="I182" s="3"/>
      <c r="J182" s="3"/>
    </row>
    <row r="183" spans="1:10">
      <c r="A183" s="3" t="s">
        <v>126</v>
      </c>
      <c r="B183" s="3" t="s">
        <v>206</v>
      </c>
      <c r="C183" s="3" t="s">
        <v>176</v>
      </c>
      <c r="D183" s="3" t="s">
        <v>84</v>
      </c>
      <c r="E183" s="3"/>
      <c r="F183" s="3"/>
      <c r="G183" s="3"/>
      <c r="H183" s="3"/>
      <c r="I183" s="3"/>
      <c r="J183" s="3"/>
    </row>
    <row r="184" spans="1:10">
      <c r="A184" s="3" t="s">
        <v>126</v>
      </c>
      <c r="B184" s="3" t="s">
        <v>166</v>
      </c>
      <c r="C184" s="3" t="s">
        <v>176</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C15"/>
  <sheetViews>
    <sheetView zoomScaleNormal="100" workbookViewId="0">
      <pane ySplit="2" topLeftCell="A6" activePane="bottomLeft" state="frozen"/>
      <selection pane="bottomLeft" activeCell="G13" sqref="G13"/>
    </sheetView>
  </sheetViews>
  <sheetFormatPr defaultColWidth="8.7109375" defaultRowHeight="14.45"/>
  <cols>
    <col min="1" max="3" width="22" customWidth="1"/>
  </cols>
  <sheetData>
    <row r="1" spans="1:3" ht="14.25" hidden="1" customHeight="1">
      <c r="A1" s="181" t="s">
        <v>402</v>
      </c>
      <c r="B1" s="175"/>
      <c r="C1" s="175"/>
    </row>
    <row r="2" spans="1:3" ht="14.25" customHeight="1">
      <c r="A2" s="8" t="s">
        <v>0</v>
      </c>
      <c r="B2" s="8" t="s">
        <v>403</v>
      </c>
      <c r="C2" s="8" t="s">
        <v>398</v>
      </c>
    </row>
    <row r="3" spans="1:3" ht="14.25" customHeight="1">
      <c r="A3" s="11" t="s">
        <v>40</v>
      </c>
      <c r="B3" s="11">
        <v>8</v>
      </c>
      <c r="C3" s="12">
        <v>46142</v>
      </c>
    </row>
    <row r="4" spans="1:3" ht="14.25" customHeight="1">
      <c r="A4" s="11" t="s">
        <v>40</v>
      </c>
      <c r="B4" s="11">
        <v>10</v>
      </c>
      <c r="C4" s="12">
        <v>46172</v>
      </c>
    </row>
    <row r="5" spans="1:3" ht="14.25" customHeight="1">
      <c r="A5" s="11" t="s">
        <v>40</v>
      </c>
      <c r="B5" s="11">
        <v>9</v>
      </c>
      <c r="C5" s="12">
        <v>46203</v>
      </c>
    </row>
    <row r="6" spans="1:3" ht="14.25" customHeight="1">
      <c r="A6" s="11" t="s">
        <v>126</v>
      </c>
      <c r="B6" s="11">
        <v>15</v>
      </c>
      <c r="C6" s="12">
        <v>46233</v>
      </c>
    </row>
    <row r="7" spans="1:3" ht="14.25" customHeight="1">
      <c r="A7" s="11" t="s">
        <v>126</v>
      </c>
      <c r="B7" s="11">
        <v>15</v>
      </c>
      <c r="C7" s="12">
        <v>46264</v>
      </c>
    </row>
    <row r="8" spans="1:3" ht="14.25" customHeight="1">
      <c r="A8" s="11" t="s">
        <v>126</v>
      </c>
      <c r="B8" s="11">
        <v>17</v>
      </c>
      <c r="C8" s="12">
        <v>46295</v>
      </c>
    </row>
    <row r="9" spans="1:3" ht="14.25" customHeight="1">
      <c r="A9" s="11" t="s">
        <v>126</v>
      </c>
      <c r="B9" s="11">
        <v>20</v>
      </c>
      <c r="C9" s="12">
        <v>46325</v>
      </c>
    </row>
    <row r="10" spans="1:3" ht="14.25" customHeight="1">
      <c r="A10" s="11" t="s">
        <v>126</v>
      </c>
      <c r="B10" s="11">
        <v>20</v>
      </c>
      <c r="C10" s="12">
        <v>46356</v>
      </c>
    </row>
    <row r="11" spans="1:3" ht="14.25" customHeight="1">
      <c r="A11" s="11" t="s">
        <v>404</v>
      </c>
      <c r="B11" s="11">
        <v>18</v>
      </c>
      <c r="C11" s="12">
        <v>46417</v>
      </c>
    </row>
    <row r="12" spans="1:3" ht="14.25" customHeight="1">
      <c r="A12" s="11" t="s">
        <v>404</v>
      </c>
      <c r="B12" s="11">
        <v>18</v>
      </c>
      <c r="C12" s="12">
        <v>46446</v>
      </c>
    </row>
    <row r="13" spans="1:3" ht="14.25" customHeight="1">
      <c r="A13" s="11" t="s">
        <v>404</v>
      </c>
      <c r="B13" s="11">
        <v>19</v>
      </c>
      <c r="C13" s="12">
        <v>46477</v>
      </c>
    </row>
    <row r="14" spans="1:3" ht="14.25" customHeight="1">
      <c r="A14" s="11" t="s">
        <v>301</v>
      </c>
      <c r="B14" s="11">
        <v>9</v>
      </c>
      <c r="C14" s="12">
        <v>46387</v>
      </c>
    </row>
    <row r="15" spans="1:3" ht="14.25" customHeight="1">
      <c r="A15" s="11" t="s">
        <v>291</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8"/>
  <sheetViews>
    <sheetView zoomScaleNormal="100" workbookViewId="0">
      <selection activeCell="T2" sqref="T2:T4"/>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405</v>
      </c>
      <c r="F1" s="1" t="s">
        <v>328</v>
      </c>
      <c r="G1" s="5" t="s">
        <v>406</v>
      </c>
      <c r="H1" s="5" t="s">
        <v>20</v>
      </c>
      <c r="I1" t="s">
        <v>35</v>
      </c>
      <c r="J1" s="5" t="s">
        <v>407</v>
      </c>
      <c r="K1" s="5" t="s">
        <v>128</v>
      </c>
      <c r="L1" s="5" t="s">
        <v>347</v>
      </c>
      <c r="M1" s="1" t="s">
        <v>408</v>
      </c>
      <c r="N1" s="1" t="s">
        <v>409</v>
      </c>
      <c r="R1" t="s">
        <v>13</v>
      </c>
      <c r="T1" t="s">
        <v>410</v>
      </c>
    </row>
    <row r="2" spans="1:20" ht="13.5" customHeight="1">
      <c r="A2" s="2" t="s">
        <v>411</v>
      </c>
      <c r="B2" s="2" t="s">
        <v>412</v>
      </c>
      <c r="C2" s="2" t="s">
        <v>413</v>
      </c>
      <c r="D2" s="2" t="s">
        <v>414</v>
      </c>
      <c r="E2" s="2" t="s">
        <v>415</v>
      </c>
      <c r="F2" s="2" t="s">
        <v>416</v>
      </c>
      <c r="G2" t="s">
        <v>417</v>
      </c>
      <c r="H2" t="s">
        <v>418</v>
      </c>
      <c r="I2" t="s">
        <v>419</v>
      </c>
      <c r="J2" s="29" t="s">
        <v>420</v>
      </c>
      <c r="K2" s="29" t="s">
        <v>421</v>
      </c>
      <c r="L2" s="29" t="s">
        <v>422</v>
      </c>
      <c r="M2" t="s">
        <v>145</v>
      </c>
      <c r="N2" s="45" t="s">
        <v>423</v>
      </c>
      <c r="R2" t="s">
        <v>248</v>
      </c>
      <c r="T2" t="s">
        <v>49</v>
      </c>
    </row>
    <row r="3" spans="1:20" ht="15" customHeight="1">
      <c r="A3" t="s">
        <v>40</v>
      </c>
      <c r="B3" t="s">
        <v>44</v>
      </c>
      <c r="C3" t="s">
        <v>60</v>
      </c>
      <c r="D3" t="s">
        <v>129</v>
      </c>
      <c r="E3" t="s">
        <v>50</v>
      </c>
      <c r="F3" t="s">
        <v>215</v>
      </c>
      <c r="G3" t="s">
        <v>44</v>
      </c>
      <c r="H3" t="s">
        <v>47</v>
      </c>
      <c r="I3" t="s">
        <v>53</v>
      </c>
      <c r="J3" t="s">
        <v>183</v>
      </c>
      <c r="K3" t="s">
        <v>48</v>
      </c>
      <c r="L3" t="s">
        <v>53</v>
      </c>
      <c r="M3" t="s">
        <v>44</v>
      </c>
      <c r="N3" s="45" t="s">
        <v>424</v>
      </c>
      <c r="R3" t="s">
        <v>45</v>
      </c>
      <c r="T3" t="s">
        <v>94</v>
      </c>
    </row>
    <row r="4" spans="1:20" ht="15" customHeight="1">
      <c r="A4" t="s">
        <v>126</v>
      </c>
      <c r="B4" t="s">
        <v>59</v>
      </c>
      <c r="C4" t="s">
        <v>46</v>
      </c>
      <c r="D4" t="s">
        <v>145</v>
      </c>
      <c r="E4" t="s">
        <v>53</v>
      </c>
      <c r="F4" t="s">
        <v>183</v>
      </c>
      <c r="G4" t="s">
        <v>59</v>
      </c>
      <c r="H4" t="s">
        <v>88</v>
      </c>
      <c r="I4" t="s">
        <v>425</v>
      </c>
      <c r="J4" t="s">
        <v>206</v>
      </c>
      <c r="L4" t="s">
        <v>50</v>
      </c>
      <c r="M4" t="s">
        <v>103</v>
      </c>
      <c r="N4" s="45" t="s">
        <v>424</v>
      </c>
      <c r="R4" t="s">
        <v>186</v>
      </c>
      <c r="T4" t="s">
        <v>72</v>
      </c>
    </row>
    <row r="5" spans="1:20" ht="15" customHeight="1">
      <c r="A5" t="s">
        <v>404</v>
      </c>
      <c r="B5" t="s">
        <v>401</v>
      </c>
      <c r="C5" t="s">
        <v>77</v>
      </c>
      <c r="F5" t="s">
        <v>206</v>
      </c>
      <c r="G5" t="s">
        <v>401</v>
      </c>
      <c r="H5" t="s">
        <v>129</v>
      </c>
      <c r="I5" t="s">
        <v>234</v>
      </c>
      <c r="J5" t="s">
        <v>166</v>
      </c>
      <c r="L5" t="s">
        <v>426</v>
      </c>
      <c r="M5" t="s">
        <v>88</v>
      </c>
      <c r="N5" s="45" t="s">
        <v>424</v>
      </c>
    </row>
    <row r="6" spans="1:20" ht="15" customHeight="1">
      <c r="A6" t="s">
        <v>301</v>
      </c>
      <c r="B6" t="s">
        <v>84</v>
      </c>
      <c r="F6" t="s">
        <v>166</v>
      </c>
      <c r="G6" t="s">
        <v>84</v>
      </c>
      <c r="H6" t="s">
        <v>145</v>
      </c>
      <c r="I6" t="s">
        <v>200</v>
      </c>
      <c r="J6" t="s">
        <v>128</v>
      </c>
      <c r="M6" t="s">
        <v>48</v>
      </c>
      <c r="N6" s="45" t="s">
        <v>424</v>
      </c>
    </row>
    <row r="7" spans="1:20" ht="15" customHeight="1">
      <c r="A7" t="s">
        <v>291</v>
      </c>
      <c r="B7" t="s">
        <v>65</v>
      </c>
      <c r="F7" t="s">
        <v>128</v>
      </c>
      <c r="G7" t="s">
        <v>65</v>
      </c>
      <c r="H7" t="s">
        <v>386</v>
      </c>
      <c r="I7" t="s">
        <v>427</v>
      </c>
      <c r="M7" t="s">
        <v>129</v>
      </c>
      <c r="N7" s="45" t="s">
        <v>424</v>
      </c>
    </row>
    <row r="8" spans="1:20" ht="15" customHeight="1">
      <c r="B8" t="s">
        <v>76</v>
      </c>
      <c r="F8" t="s">
        <v>42</v>
      </c>
      <c r="G8" t="s">
        <v>76</v>
      </c>
      <c r="I8" t="s">
        <v>428</v>
      </c>
      <c r="M8" t="s">
        <v>60</v>
      </c>
      <c r="N8" s="45" t="s">
        <v>424</v>
      </c>
    </row>
    <row r="9" spans="1:20" ht="15" customHeight="1">
      <c r="B9" t="s">
        <v>103</v>
      </c>
      <c r="G9" t="s">
        <v>103</v>
      </c>
      <c r="I9" t="s">
        <v>429</v>
      </c>
      <c r="M9" t="s">
        <v>156</v>
      </c>
      <c r="N9" s="45" t="s">
        <v>424</v>
      </c>
    </row>
    <row r="10" spans="1:20" ht="15" customHeight="1">
      <c r="B10" t="s">
        <v>156</v>
      </c>
      <c r="G10" t="s">
        <v>156</v>
      </c>
      <c r="M10" t="s">
        <v>47</v>
      </c>
      <c r="N10" s="45" t="s">
        <v>424</v>
      </c>
    </row>
    <row r="11" spans="1:20">
      <c r="B11" t="s">
        <v>430</v>
      </c>
      <c r="G11" t="s">
        <v>60</v>
      </c>
      <c r="M11" t="s">
        <v>76</v>
      </c>
      <c r="N11" s="45" t="s">
        <v>424</v>
      </c>
    </row>
    <row r="12" spans="1:20">
      <c r="B12" t="s">
        <v>431</v>
      </c>
      <c r="G12" t="s">
        <v>46</v>
      </c>
      <c r="M12" t="s">
        <v>46</v>
      </c>
      <c r="N12" s="45" t="s">
        <v>424</v>
      </c>
    </row>
    <row r="13" spans="1:20">
      <c r="G13" t="s">
        <v>77</v>
      </c>
      <c r="M13" t="s">
        <v>77</v>
      </c>
      <c r="N13" s="45" t="s">
        <v>424</v>
      </c>
    </row>
    <row r="14" spans="1:20">
      <c r="M14" t="s">
        <v>84</v>
      </c>
      <c r="N14" s="45" t="s">
        <v>432</v>
      </c>
    </row>
    <row r="15" spans="1:20">
      <c r="M15" t="s">
        <v>59</v>
      </c>
      <c r="N15" s="45" t="s">
        <v>424</v>
      </c>
    </row>
    <row r="16" spans="1:20">
      <c r="M16" t="s">
        <v>65</v>
      </c>
      <c r="N16" s="45" t="s">
        <v>424</v>
      </c>
    </row>
    <row r="17" spans="13:14">
      <c r="M17" t="s">
        <v>401</v>
      </c>
      <c r="N17" s="45" t="s">
        <v>424</v>
      </c>
    </row>
    <row r="18" spans="13:14">
      <c r="N18" s="46"/>
    </row>
  </sheetData>
  <hyperlinks>
    <hyperlink ref="N3:N17" r:id="rId1" display="bezawit.getaneh1@nationalgrid.com" xr:uid="{EE1258F0-A5FB-4FD7-9100-94CF03EBBD35}"/>
    <hyperlink ref="N2" r:id="rId2" xr:uid="{448254B4-1D98-4CA3-A63F-26E4EDE8A261}"/>
    <hyperlink ref="N14" r:id="rId3" xr:uid="{086D8108-7AFD-4680-AE61-76FBB3327748}"/>
  </hyperlinks>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4"/>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2026-09-11T00:44:04Z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