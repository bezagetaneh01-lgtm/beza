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63" documentId="13_ncr:1_{52745E9B-3AA1-4770-AAD3-E6166BFC13AE}" xr6:coauthVersionLast="47" xr6:coauthVersionMax="47" xr10:uidLastSave="{9B5D64EE-2C04-4168-9E7A-4BC06C113D87}"/>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9" i="2" l="1" a="1"/>
  <c r="D59" i="2" s="1"/>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<sst xmlns="http://schemas.openxmlformats.org/spreadsheetml/2006/main" count="3249" uniqueCount="474">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</sst>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Octo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K50" activePane="topRight" state="frozen"/>
      <selection pane="topRight" activeCell="AL64" sqref="AL6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217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v>46293</v>
      </c>
      <c r="Y71" s="36">
        <v>46296</v>
      </c>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v>46300</v>
      </c>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v>46304</v>
      </c>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v>46294</v>
      </c>
      <c r="S83" s="44">
        <v>46294</v>
      </c>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A51" sqref="A51"/>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217</v>
      </c>
      <c r="D43" s="31" t="s">
        <v>257</v>
      </c>
      <c r="E43" s="31" t="s">
        <v>129</v>
      </c>
      <c r="F43" s="31" t="s">
        <v>406</v>
      </c>
      <c r="G43" s="31" t="s">
        <v>53</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43">
    <cfRule type="expression" dxfId="13" priority="1">
      <formula>AND($B43&lt;&gt;"",MOD(ROW(),2)=0)</formula>
    </cfRule>
  </conditionalFormatting>
  <conditionalFormatting sqref="A3:H3 K3:M3 A4:M4 M4:M11 B5:M8 A9:M10 B11:M13 A14:M17 B18:M18 A19:M21 B22:M22 A23:M25 B26:M27 A28:M28 A29:K30 M29:M30 B31:M31 A32:M35 B36:M38 A39:M42 B43:M43 A44:M498">
    <cfRule type="expression" dxfId="12" priority="26">
      <formula>AND($A3&lt;&gt;"",$G3="Yes")</formula>
    </cfRule>
    <cfRule type="expression" dxfId="11" priority="27">
      <formula>AND($A3&lt;&gt;"",$J3&lt;&gt;"")</formula>
    </cfRule>
    <cfRule type="expression" dxfId="10" priority="28">
      <formula>$A3&lt;&gt;""</formula>
    </cfRule>
  </conditionalFormatting>
  <conditionalFormatting sqref="C3:C198 G3:G198">
    <cfRule type="expression" dxfId="9" priority="29">
      <formula>$A3=""</formula>
    </cfRule>
  </conditionalFormatting>
  <conditionalFormatting sqref="K3:M3 A4:M4 M4:M11 B5:M8 A9:M10 B11:M13 A14:M17 B18:M18 A19:M21 B22:M22 A23:M25 B26:M27 A28:M28 M29:M30 B31:M31 A32:M35 B36:M38 A39:M42 B43:M43 A44:M498 A3:H3 A29:K30">
    <cfRule type="expression" dxfId="8" priority="25">
      <formula>AND($A3&lt;&gt;"",$G3="Did not pass re-test")</formula>
    </cfRule>
  </conditionalFormatting>
  <conditionalFormatting sqref="M3:M498">
    <cfRule type="expression" dxfId="7" priority="19">
      <formula>ISNUMBER(SEARCH("Sent back again",$M3))</formula>
    </cfRule>
    <cfRule type="expression" dxfId="6" priority="20">
      <formula>ISNUMBER(SEARCH("LATE",$M3))</formula>
    </cfRule>
    <cfRule type="expression" dxfId="5" priority="21">
      <formula>ISNUMBER(SEARCH("UNCLAIMED",$M3))</formula>
    </cfRule>
    <cfRule type="expression" dxfId="4" priority="22">
      <formula>ISNUMBER(SEARCH("Missing",$M3))</formula>
    </cfRule>
    <cfRule type="expression" dxfId="3" priority="23">
      <formula>ISNUMBER(SEARCH("Fixed in",$M3))</formula>
    </cfRule>
    <cfRule type="expression" dxfId="2" priority="24">
      <formula>ISNUMBER(SEARCH("Open",$M3))</formula>
    </cfRule>
  </conditionalFormatting>
  <conditionalFormatting sqref="N25">
    <cfRule type="expression" dxfId="1" priority="2">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2026-09-30T16:46:00Z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