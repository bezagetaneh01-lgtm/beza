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07" documentId="13_ncr:1_{52745E9B-3AA1-4770-AAD3-E6166BFC13AE}" xr6:coauthVersionLast="47" xr6:coauthVersionMax="47" xr10:uidLastSave="{71AB02DD-4B50-4DEC-BA37-8F76CC60BD2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<sst xmlns="http://schemas.openxmlformats.org/spreadsheetml/2006/main" count="3663" uniqueCount="528">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</sst>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2</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79">
  <autoFilter ref="A1:AN119" xr:uid="{00000000-0009-0000-0100-000001000000}">
    <filterColumn colId="8">
      <filters>
        <filter val="August"/>
        <filter val="November"/>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1" activePane="bottomLeft" state="frozen"/>
      <selection pane="bottomLeft" activeCell="C74" sqref="C74"/>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224</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224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224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224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224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224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224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337</v>
      </c>
      <c r="B117" s="31" t="s">
        <v>340</v>
      </c>
      <c r="C117" s="31" t="s">
        <v>235</v>
      </c>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337</v>
      </c>
      <c r="B118" s="31" t="s">
        <v>341</v>
      </c>
      <c r="C118" s="31" t="s">
        <v>235</v>
      </c>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337</v>
      </c>
      <c r="B119" s="31" t="s">
        <v>342</v>
      </c>
      <c r="C119" s="31" t="s">
        <v>235</v>
      </c>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528 G116:AE116 A116:F119 G117:AC119">
    <cfRule type="expression" dxfId="169" priority="72">
      <formula>AND($B2&lt;&gt;"",MOD(ROW(),2)=0)</formula>
    </cfRule>
  </conditionalFormatting>
  <conditionalFormatting sqref="C2:C119">
    <cfRule type="expression" dxfId="168" priority="633">
      <formula>LEFT($AK2,4)="Move"</formula>
    </cfRule>
  </conditionalFormatting>
  <conditionalFormatting sqref="D2:D528">
    <cfRule type="expression" dxfId="167" priority="56">
      <formula>ISNUMBER(SEARCH("Blocked",$D2))</formula>
    </cfRule>
    <cfRule type="expression" dxfId="166" priority="57">
      <formula>ISNUMBER(SEARCH("overdue",$D2))</formula>
    </cfRule>
    <cfRule type="expression" dxfId="165" priority="58">
      <formula>ISNUMBER(SEARCH("no target",$D2))</formula>
    </cfRule>
    <cfRule type="expression" dxfId="164" priority="59">
      <formula>ISNUMBER(SEARCH("Review",$D2))</formula>
    </cfRule>
    <cfRule type="expression" dxfId="163" priority="60">
      <formula>OR($D2="On track",$D2="Delivered")</formula>
    </cfRule>
  </conditionalFormatting>
  <conditionalFormatting sqref="D88">
    <cfRule type="expression" dxfId="162" priority="632">
      <formula>AND($B50&lt;&gt;"",MOD(ROW(),2)=0)</formula>
    </cfRule>
  </conditionalFormatting>
  <conditionalFormatting sqref="J2:O119">
    <cfRule type="expression" dxfId="161" priority="34">
      <formula>$AJ2="Yes – needs DB Dev to fix"</formula>
    </cfRule>
  </conditionalFormatting>
  <conditionalFormatting sqref="J117:O193">
    <cfRule type="expression" dxfId="160" priority="39">
      <formula>$AH117="Yes – needs DB Dev to fix"</formula>
    </cfRule>
  </conditionalFormatting>
  <conditionalFormatting sqref="K41">
    <cfRule type="expression" dxfId="159" priority="615">
      <formula>AND($B41&lt;&gt;"",MOD(ROW(),2)=0)</formula>
    </cfRule>
    <cfRule type="expression" dxfId="158" priority="616">
      <formula>$AJ41="Yes – needs DB Dev to fix"</formula>
    </cfRule>
  </conditionalFormatting>
  <conditionalFormatting sqref="K42">
    <cfRule type="expression" dxfId="157" priority="618">
      <formula>$AJ41="Yes – needs DB Dev to fix"</formula>
    </cfRule>
    <cfRule type="expression" dxfId="156" priority="617">
      <formula>AND($B41&lt;&gt;"",MOD(ROW(),2)=0)</formula>
    </cfRule>
  </conditionalFormatting>
  <conditionalFormatting sqref="K73:L100">
    <cfRule type="expression" dxfId="155" priority="131">
      <formula>$AF73="Yes – needs DB Dev to fix"</formula>
    </cfRule>
  </conditionalFormatting>
  <conditionalFormatting sqref="K101:L116">
    <cfRule type="expression" dxfId="154" priority="361">
      <formula>$AA101="Yes – needs DB Dev to fix"</formula>
    </cfRule>
  </conditionalFormatting>
  <conditionalFormatting sqref="K117:L528">
    <cfRule type="expression" dxfId="153" priority="588">
      <formula>$X117="Yes – needs DB Dev to fix"</formula>
    </cfRule>
  </conditionalFormatting>
  <conditionalFormatting sqref="M73">
    <cfRule type="expression" dxfId="152" priority="38">
      <formula>$AF73="Yes – needs DB Dev to fix"</formula>
    </cfRule>
  </conditionalFormatting>
  <conditionalFormatting sqref="M79:M81">
    <cfRule type="expression" dxfId="151" priority="12">
      <formula>$AF79="Yes – needs DB Dev to fix"</formula>
    </cfRule>
  </conditionalFormatting>
  <conditionalFormatting sqref="M83:M84">
    <cfRule type="expression" dxfId="150" priority="14">
      <formula>$AF83="Yes – needs DB Dev to fix"</formula>
    </cfRule>
  </conditionalFormatting>
  <conditionalFormatting sqref="M91">
    <cfRule type="expression" dxfId="149" priority="18">
      <formula>$AF91="Yes – needs DB Dev to fix"</formula>
    </cfRule>
  </conditionalFormatting>
  <conditionalFormatting sqref="M93:M94">
    <cfRule type="expression" dxfId="148" priority="11">
      <formula>$AF93="Yes – needs DB Dev to fix"</formula>
    </cfRule>
  </conditionalFormatting>
  <conditionalFormatting sqref="M73:P100">
    <cfRule type="expression" dxfId="147" priority="316">
      <formula>$AD73="Yes – needs PBI Dev to fix"</formula>
    </cfRule>
  </conditionalFormatting>
  <conditionalFormatting sqref="M101:P116">
    <cfRule type="expression" dxfId="146" priority="363">
      <formula>$AA101="Yes – needs PBI Dev to fix"</formula>
    </cfRule>
  </conditionalFormatting>
  <conditionalFormatting sqref="M117:P528">
    <cfRule type="expression" dxfId="145" priority="589">
      <formula>$X117="Yes – needs PBI Dev to fix"</formula>
    </cfRule>
  </conditionalFormatting>
  <conditionalFormatting sqref="N58">
    <cfRule type="expression" dxfId="144" priority="19">
      <formula>$AD58="Yes – needs PBI Dev to fix"</formula>
    </cfRule>
  </conditionalFormatting>
  <conditionalFormatting sqref="N70">
    <cfRule type="expression" dxfId="143" priority="20">
      <formula>$AD70="Yes – needs PBI Dev to fix"</formula>
    </cfRule>
  </conditionalFormatting>
  <conditionalFormatting sqref="N82">
    <cfRule type="expression" dxfId="142" priority="16">
      <formula>$AD82="Yes – needs PBI Dev to fix"</formula>
    </cfRule>
  </conditionalFormatting>
  <conditionalFormatting sqref="O101:O113">
    <cfRule type="expression" dxfId="141" priority="13">
      <formula>$AD101="Yes – needs PBI Dev to fix"</formula>
    </cfRule>
  </conditionalFormatting>
  <conditionalFormatting sqref="Q73:Q100">
    <cfRule type="expression" dxfId="140" priority="32">
      <formula>$AJ73="Yes – needs DB Dev to fix"</formula>
    </cfRule>
    <cfRule type="expression" dxfId="139" priority="33">
      <formula>$AF73="Yes – needs DB Dev to fix"</formula>
    </cfRule>
    <cfRule type="expression" dxfId="138" priority="135">
      <formula>$AF73="Yes – needs PBI Dev to fix"</formula>
    </cfRule>
  </conditionalFormatting>
  <conditionalFormatting sqref="Q101:R116 X101:X116 V101:V119">
    <cfRule type="expression" dxfId="137" priority="31">
      <formula>$AA101="Yes – needs QA to fix"</formula>
    </cfRule>
  </conditionalFormatting>
  <conditionalFormatting sqref="Q117:R528">
    <cfRule type="expression" dxfId="136" priority="590">
      <formula>$X117="Yes – needs QA to fix"</formula>
    </cfRule>
  </conditionalFormatting>
  <conditionalFormatting sqref="Q2:U64 U10:V19 X10:X19 J29 M29:P29 J32:J33 M32:P33 K40:K41 M40:P41 Q65 T65:U65 Q66:U115 V101:V115 X101:X116 Q116:V116">
    <cfRule type="expression" dxfId="135" priority="46">
      <formula>$AJ2="Yes – needs PBI Dev to fix"</formula>
    </cfRule>
  </conditionalFormatting>
  <conditionalFormatting sqref="R58">
    <cfRule type="expression" dxfId="134" priority="333">
      <formula>$AJ65="Yes – needs PBI Dev to fix"</formula>
    </cfRule>
    <cfRule type="expression" dxfId="133" priority="331">
      <formula>AND($B65&lt;&gt;"",MOD(ROW(),2)=0)</formula>
    </cfRule>
  </conditionalFormatting>
  <conditionalFormatting sqref="R60">
    <cfRule type="expression" dxfId="132" priority="24">
      <formula>$AJ67="Yes – needs PBI Dev to fix"</formula>
    </cfRule>
    <cfRule type="expression" dxfId="131" priority="23">
      <formula>AND($B67&lt;&gt;"",MOD(ROW(),2)=0)</formula>
    </cfRule>
  </conditionalFormatting>
  <conditionalFormatting sqref="R60:S60">
    <cfRule type="expression" dxfId="130" priority="21">
      <formula>AND($B67&lt;&gt;"",MOD(ROW(),2)=0)</formula>
    </cfRule>
    <cfRule type="expression" dxfId="129" priority="22">
      <formula>$AJ67="Yes – needs PBI Dev to fix"</formula>
    </cfRule>
  </conditionalFormatting>
  <conditionalFormatting sqref="R73:U100 T96:T101">
    <cfRule type="expression" dxfId="128" priority="137">
      <formula>$AF73="Yes – needs QA to fix"</formula>
    </cfRule>
  </conditionalFormatting>
  <conditionalFormatting sqref="S101:U116">
    <cfRule type="expression" dxfId="127" priority="377">
      <formula>$AA101="Yes – needs DPO Approval to fix"</formula>
    </cfRule>
  </conditionalFormatting>
  <conditionalFormatting sqref="S117:U528">
    <cfRule type="expression" dxfId="126" priority="591">
      <formula>$X117="Yes – needs DPO Approval to fix"</formula>
    </cfRule>
  </conditionalFormatting>
  <conditionalFormatting sqref="X101:X528 U101:V528">
    <cfRule type="expression" dxfId="125" priority="64">
      <formula>$V101="Yes"</formula>
    </cfRule>
  </conditionalFormatting>
  <conditionalFormatting sqref="U73:Y100">
    <cfRule type="expression" dxfId="124" priority="139">
      <formula>$AF73="Yes – needs DPO Approval to fix"</formula>
    </cfRule>
  </conditionalFormatting>
  <conditionalFormatting sqref="X117:X528">
    <cfRule type="expression" dxfId="123" priority="592">
      <formula>LEFT($X117,3)="Yes"</formula>
    </cfRule>
  </conditionalFormatting>
  <conditionalFormatting sqref="X73:Z100">
    <cfRule type="expression" dxfId="122" priority="491">
      <formula>$Y73="Yes"</formula>
    </cfRule>
  </conditionalFormatting>
  <conditionalFormatting sqref="Z117:AA528">
    <cfRule type="expression" dxfId="121" priority="69">
      <formula>ISNUMBER(SEARCH("log it",$Z117))</formula>
    </cfRule>
    <cfRule type="expression" dxfId="120" priority="69">
      <formula>ISNUMBER(SEARCH("Open rework",$Z117))</formula>
    </cfRule>
    <cfRule type="expression" dxfId="119" priority="71">
      <formula>$Z117&lt;&gt;""</formula>
    </cfRule>
    <cfRule type="expression" dxfId="118" priority="70">
      <formula>ISNUMBER(SEARCH("Duplicate",$Z117))</formula>
    </cfRule>
    <cfRule type="expression" dxfId="117" priority="69">
      <formula>ISNUMBER(SEARCH("Move old",$Z117))</formula>
    </cfRule>
  </conditionalFormatting>
  <conditionalFormatting sqref="AA3">
    <cfRule type="expression" dxfId="116" priority="620">
      <formula>$AJ3="Yes – needs DPO Approval to fix"</formula>
    </cfRule>
    <cfRule type="expression" dxfId="115" priority="619">
      <formula>AND($B3&lt;&gt;"",MOD(ROW(),2)=0)</formula>
    </cfRule>
  </conditionalFormatting>
  <conditionalFormatting sqref="AA101:AA115 U116:AA116 U2:Z54 U55:X55 Z55 U56:Z58 U59:X59 Z59 U60:Z70 U71:W71 Z71 U72:Z116">
    <cfRule type="expression" dxfId="114" priority="29">
      <formula>$AJ2="Yes – needs QA to fix"</formula>
    </cfRule>
  </conditionalFormatting>
  <conditionalFormatting sqref="AA101:AA116">
    <cfRule type="expression" dxfId="113" priority="26">
      <formula>$AJ101="Yes – needs PBI Dev to fix"</formula>
    </cfRule>
    <cfRule type="expression" dxfId="112" priority="27">
      <formula>$AA101="Yes – needs QA to fix"</formula>
    </cfRule>
    <cfRule type="expression" dxfId="111" priority="28">
      <formula>$V101="Yes"</formula>
    </cfRule>
    <cfRule type="expression" dxfId="110" priority="385">
      <formula>LEFT($AA101,3)="Yes"</formula>
    </cfRule>
  </conditionalFormatting>
  <conditionalFormatting sqref="AA2:AE2 AB3:AE3 AA4:AE100">
    <cfRule type="expression" dxfId="109" priority="113">
      <formula>$AJ2="Yes – needs DPO Approval to fix"</formula>
    </cfRule>
  </conditionalFormatting>
  <conditionalFormatting sqref="AB101:AC116">
    <cfRule type="expression" dxfId="108" priority="393">
      <formula>ISNUMBER(SEARCH("Open rework",$AB101))</formula>
    </cfRule>
    <cfRule type="expression" dxfId="107" priority="394">
      <formula>ISNUMBER(SEARCH("Move old",$AB101))</formula>
    </cfRule>
    <cfRule type="expression" dxfId="106" priority="395">
      <formula>ISNUMBER(SEARCH("log it",$AB101))</formula>
    </cfRule>
    <cfRule type="expression" dxfId="105" priority="396">
      <formula>ISNUMBER(SEARCH("Duplicate",$AB101))</formula>
    </cfRule>
    <cfRule type="expression" dxfId="104" priority="397">
      <formula>$AB101&lt;&gt;""</formula>
    </cfRule>
  </conditionalFormatting>
  <conditionalFormatting sqref="AF2:AF119">
    <cfRule type="expression" dxfId="103" priority="85">
      <formula>$AF2="Yes"</formula>
    </cfRule>
  </conditionalFormatting>
  <conditionalFormatting sqref="AF73:AF100">
    <cfRule type="expression" dxfId="102" priority="143">
      <formula>LEFT($AF73,3)="Yes"</formula>
    </cfRule>
  </conditionalFormatting>
  <conditionalFormatting sqref="AG73:AG100">
    <cfRule type="expression" dxfId="101" priority="153">
      <formula>$AG73&lt;&gt;""</formula>
    </cfRule>
    <cfRule type="expression" dxfId="100" priority="150">
      <formula>ISNUMBER(SEARCH("Move old",$AG73))</formula>
    </cfRule>
    <cfRule type="expression" dxfId="99" priority="152">
      <formula>ISNUMBER(SEARCH("Duplicate",$AG73))</formula>
    </cfRule>
    <cfRule type="expression" dxfId="98" priority="151">
      <formula>ISNUMBER(SEARCH("log it",$AG73))</formula>
    </cfRule>
    <cfRule type="expression" dxfId="97" priority="149">
      <formula>ISNUMBER(SEARCH("Open rework",$AG73))</formula>
    </cfRule>
  </conditionalFormatting>
  <conditionalFormatting sqref="AJ2:AJ119">
    <cfRule type="expression" dxfId="96" priority="87">
      <formula>LEFT($AJ2,3)="Yes"</formula>
    </cfRule>
  </conditionalFormatting>
  <conditionalFormatting sqref="AK2:AK119">
    <cfRule type="expression" dxfId="95" priority="95">
      <formula>ISNUMBER(SEARCH("Move old",$AK2))</formula>
    </cfRule>
    <cfRule type="expression" dxfId="94" priority="93">
      <formula>ISNUMBER(SEARCH("log it",$AK2))</formula>
    </cfRule>
    <cfRule type="expression" dxfId="93" priority="94">
      <formula>ISNUMBER(SEARCH("Open rework",$AK2))</formula>
    </cfRule>
    <cfRule type="expression" dxfId="92" priority="97">
      <formula>$AK2&lt;&gt;""</formula>
    </cfRule>
    <cfRule type="expression" dxfId="91" priority="96">
      <formula>ISNUMBER(SEARCH("Duplicate",$AK2))</formula>
    </cfRule>
  </conditionalFormatting>
  <conditionalFormatting sqref="AL45:AL47">
    <cfRule type="expression" dxfId="90" priority="36">
      <formula>AND($B49&lt;&gt;"",MOD(ROW(),2)=0)</formula>
    </cfRule>
  </conditionalFormatting>
  <conditionalFormatting sqref="L110">
    <cfRule type="expression" dxfId="89" priority="10">
      <formula>$AA110="Yes – needs PBI Dev to fix"</formula>
    </cfRule>
  </conditionalFormatting>
  <conditionalFormatting sqref="N110">
    <cfRule type="expression" dxfId="88" priority="9">
      <formula>$AD110="Yes – needs PBI Dev to fix"</formula>
    </cfRule>
  </conditionalFormatting>
  <conditionalFormatting sqref="K117:K119">
    <cfRule type="expression" dxfId="87" priority="8">
      <formula>$AA117="Yes – needs DB Dev to fix"</formula>
    </cfRule>
  </conditionalFormatting>
  <conditionalFormatting sqref="Q117:Q119">
    <cfRule type="expression" dxfId="86" priority="6">
      <formula>$AA117="Yes – needs QA to fix"</formula>
    </cfRule>
  </conditionalFormatting>
  <conditionalFormatting sqref="Q117:Q119">
    <cfRule type="expression" dxfId="85" priority="7">
      <formula>$AJ117="Yes – needs PBI Dev to fix"</formula>
    </cfRule>
  </conditionalFormatting>
  <conditionalFormatting sqref="K117:K119">
    <cfRule type="expression" dxfId="84" priority="5">
      <formula>$AA117="Yes – needs DB Dev to fix"</formula>
    </cfRule>
  </conditionalFormatting>
  <conditionalFormatting sqref="Q117:Q119">
    <cfRule type="expression" dxfId="83" priority="3">
      <formula>$AA117="Yes – needs QA to fix"</formula>
    </cfRule>
  </conditionalFormatting>
  <conditionalFormatting sqref="Q117:Q119">
    <cfRule type="expression" dxfId="82" priority="4">
      <formula>$AJ117="Yes – needs PBI Dev to fix"</formula>
    </cfRule>
  </conditionalFormatting>
  <conditionalFormatting sqref="V117:V119">
    <cfRule type="expression" dxfId="81" priority="2">
      <formula>$AJ117="Yes – needs PBI Dev to fix"</formula>
    </cfRule>
  </conditionalFormatting>
  <conditionalFormatting sqref="V117:V119">
    <cfRule type="expression" dxfId="80"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5"/>
      <c r="C4" s="266"/>
      <c r="D4" s="266"/>
      <c r="E4" s="266"/>
    </row>
    <row r="6" spans="1:5">
      <c r="A6" s="42" t="s">
        <v>0</v>
      </c>
      <c r="B6" s="221" t="str">
        <f>IF($B$4="","",IFERROR(INDEX('Combined Delivery Data'!$A:$A,MATCH($B$4,'Combined Delivery Data'!$B:$B,0)),""))</f>
        <v/>
      </c>
      <c r="C6" s="267"/>
      <c r="D6" s="267"/>
      <c r="E6" s="268"/>
    </row>
    <row r="7" spans="1:5">
      <c r="A7" s="42" t="s">
        <v>346</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347</v>
      </c>
      <c r="B14" s="220" t="str">
        <f>IF($B$4="","",IFERROR(INDEX('Combined Delivery Data'!$K:$K,MATCH($B$4,'Combined Delivery Data'!$B:$B,0)),""))</f>
        <v/>
      </c>
      <c r="C14" s="267"/>
      <c r="D14" s="267"/>
      <c r="E14" s="268"/>
    </row>
    <row r="15" spans="1:5">
      <c r="A15" s="42" t="s">
        <v>348</v>
      </c>
      <c r="B15" s="220" t="str">
        <f>IF($B$4="","",IFERROR(INDEX('Combined Delivery Data'!$L:$L,MATCH($B$4,'Combined Delivery Data'!$B:$B,0)),""))</f>
        <v/>
      </c>
      <c r="C15" s="267"/>
      <c r="D15" s="267"/>
      <c r="E15" s="268"/>
    </row>
    <row r="16" spans="1:5">
      <c r="A16" s="42" t="s">
        <v>349</v>
      </c>
      <c r="B16" s="220" t="str">
        <f>IF($B$4="","",IFERROR(INDEX('Combined Delivery Data'!$M:$M,MATCH($B$4,'Combined Delivery Data'!$B:$B,0)),""))</f>
        <v/>
      </c>
      <c r="C16" s="267"/>
      <c r="D16" s="267"/>
      <c r="E16" s="268"/>
    </row>
    <row r="17" spans="1:5">
      <c r="A17" s="42" t="s">
        <v>350</v>
      </c>
      <c r="B17" s="220" t="str">
        <f>IF($B$4="","",IFERROR(INDEX('Combined Delivery Data'!$O:$O,MATCH($B$4,'Combined Delivery Data'!$B:$B,0)),""))</f>
        <v/>
      </c>
      <c r="C17" s="267"/>
      <c r="D17" s="267"/>
      <c r="E17" s="268"/>
    </row>
    <row r="18" spans="1:5">
      <c r="A18" s="42" t="s">
        <v>351</v>
      </c>
      <c r="B18" s="220" t="str">
        <f>IF($B$4="","",IFERROR(INDEX('Combined Delivery Data'!$Q:$Q,MATCH($B$4,'Combined Delivery Data'!$B:$B,0)),""))</f>
        <v/>
      </c>
      <c r="C18" s="267"/>
      <c r="D18" s="267"/>
      <c r="E18" s="268"/>
    </row>
    <row r="19" spans="1:5">
      <c r="A19" s="42" t="s">
        <v>352</v>
      </c>
      <c r="B19" s="220" t="str">
        <f>IF($B$4="","",IFERROR(INDEX('Combined Delivery Data'!$R:$R,MATCH($B$4,'Combined Delivery Data'!$B:$B,0)),""))</f>
        <v/>
      </c>
      <c r="C19" s="267"/>
      <c r="D19" s="267"/>
      <c r="E19" s="268"/>
    </row>
    <row r="20" spans="1:5">
      <c r="A20" s="42" t="s">
        <v>353</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354</v>
      </c>
      <c r="B26" s="221" t="str">
        <f>IF($B$4="","",IFERROR(INDEX('Rework Log'!$Q:$Q,MATCH($B$4,'Rework Log'!$P:$P,0)),""))</f>
        <v/>
      </c>
      <c r="C26" s="267"/>
      <c r="D26" s="267"/>
      <c r="E26" s="268"/>
    </row>
    <row r="27" spans="1:5">
      <c r="A27" s="42" t="s">
        <v>355</v>
      </c>
      <c r="B27" s="221" t="str">
        <f>IF($B$4="","",IFERROR(INDEX('Rework Log'!$R:$R,MATCH($B$4,'Rework Log'!$P:$P,0)),""))</f>
        <v/>
      </c>
      <c r="C27" s="267"/>
      <c r="D27" s="267"/>
      <c r="E27" s="268"/>
    </row>
    <row r="28" spans="1:5">
      <c r="A28" s="42" t="s">
        <v>356</v>
      </c>
      <c r="B28" s="221" t="str">
        <f>IF($B$4="","",IFERROR(INDEX('Rework Log'!$S:$S,MATCH($B$4,'Rework Log'!$P:$P,0)),""))</f>
        <v/>
      </c>
      <c r="C28" s="267"/>
      <c r="D28" s="267"/>
      <c r="E28" s="268"/>
    </row>
    <row r="29" spans="1:5">
      <c r="A29" s="42" t="s">
        <v>357</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0"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206</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224</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224</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224</v>
      </c>
      <c r="E16" s="31" t="s">
        <v>144</v>
      </c>
      <c r="F16" s="31" t="s">
        <v>386</v>
      </c>
      <c r="G16" s="31" t="s">
        <v>50</v>
      </c>
      <c r="H16" s="32" t="s">
        <v>46</v>
      </c>
      <c r="I16" s="32"/>
      <c r="J16" s="32"/>
      <c r="K16" s="31"/>
      <c r="L16" s="31"/>
      <c r="M16" s="3"/>
      <c r="S16" s="28"/>
    </row>
    <row r="17" spans="1:20">
      <c r="A17" s="33" t="s">
        <v>181</v>
      </c>
      <c r="B17" s="32">
        <v>46261</v>
      </c>
      <c r="C17" s="31" t="s">
        <v>206</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224</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224</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224</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224</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224</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224</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224</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224</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224</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224</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224</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206</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224</v>
      </c>
      <c r="E40" s="31" t="s">
        <v>201</v>
      </c>
      <c r="F40" s="31" t="s">
        <v>414</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206</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206</v>
      </c>
      <c r="D42" s="31" t="s">
        <v>264</v>
      </c>
      <c r="E42" s="31" t="s">
        <v>129</v>
      </c>
      <c r="F42" s="31" t="s">
        <v>417</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224</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206</v>
      </c>
      <c r="D44" s="31" t="s">
        <v>264</v>
      </c>
      <c r="E44" s="31" t="s">
        <v>129</v>
      </c>
      <c r="F44" s="31" t="s">
        <v>420</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206</v>
      </c>
      <c r="D45" s="31" t="s">
        <v>264</v>
      </c>
      <c r="E45" s="31" t="s">
        <v>201</v>
      </c>
      <c r="F45" s="31" t="s">
        <v>421</v>
      </c>
      <c r="G45" s="31" t="s">
        <v>50</v>
      </c>
      <c r="H45" s="32" t="s">
        <v>84</v>
      </c>
      <c r="I45" s="32"/>
      <c r="J45" s="32">
        <v>46300</v>
      </c>
      <c r="K45" s="31" t="s">
        <v>84</v>
      </c>
      <c r="L45" s="31"/>
      <c r="M45" s="3" t="s">
        <v>422</v>
      </c>
      <c r="N45" t="s">
        <v>50</v>
      </c>
      <c r="S45" s="28"/>
    </row>
    <row r="46" spans="1:20">
      <c r="A46" s="31"/>
      <c r="B46" s="32"/>
      <c r="C46" s="31" t="s">
        <v>206</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423</v>
      </c>
      <c r="B1" s="266"/>
      <c r="C1" s="266"/>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337</v>
      </c>
      <c r="B11" s="11">
        <v>18</v>
      </c>
      <c r="C11" s="12">
        <v>46417</v>
      </c>
      <c r="E11" t="s">
        <v>438</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439</v>
      </c>
      <c r="B1" s="266"/>
      <c r="C1" s="266"/>
      <c r="D1" s="266"/>
      <c r="E1" s="266"/>
      <c r="F1" s="266"/>
      <c r="G1" s="266"/>
      <c r="H1" s="266"/>
      <c r="I1" s="266"/>
      <c r="J1" s="266"/>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224</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224</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445</v>
      </c>
      <c r="D13" s="9" t="s">
        <v>446</v>
      </c>
      <c r="E13" s="9" t="s">
        <v>46</v>
      </c>
      <c r="F13" s="9"/>
      <c r="G13" s="9"/>
      <c r="H13" s="10"/>
      <c r="I13" s="10">
        <v>46115</v>
      </c>
      <c r="J13" s="10">
        <v>46115</v>
      </c>
    </row>
    <row r="14" spans="1:10" ht="14.25" customHeight="1">
      <c r="A14" s="9" t="s">
        <v>40</v>
      </c>
      <c r="B14" s="9" t="s">
        <v>224</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224</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446</v>
      </c>
      <c r="E23" s="9" t="s">
        <v>46</v>
      </c>
      <c r="F23" s="9"/>
      <c r="G23" s="9"/>
      <c r="H23" s="10"/>
      <c r="I23" s="10">
        <v>46115</v>
      </c>
      <c r="J23" s="10">
        <v>46115</v>
      </c>
    </row>
    <row r="24" spans="1:10" ht="14.25" customHeight="1">
      <c r="A24" s="9" t="s">
        <v>40</v>
      </c>
      <c r="B24" s="9" t="s">
        <v>224</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224</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446</v>
      </c>
      <c r="E33" s="9" t="s">
        <v>60</v>
      </c>
      <c r="F33" s="9"/>
      <c r="G33" s="9"/>
      <c r="H33" s="10"/>
      <c r="I33" s="10">
        <v>46122</v>
      </c>
      <c r="J33" s="10">
        <v>46122</v>
      </c>
    </row>
    <row r="34" spans="1:10" ht="14.25" customHeight="1">
      <c r="A34" s="9" t="s">
        <v>40</v>
      </c>
      <c r="B34" s="9" t="s">
        <v>224</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224</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224</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446</v>
      </c>
      <c r="E48" s="9" t="s">
        <v>60</v>
      </c>
      <c r="F48" s="9"/>
      <c r="G48" s="9"/>
      <c r="H48" s="10"/>
      <c r="I48" s="10"/>
      <c r="J48" s="10"/>
    </row>
    <row r="49" spans="1:10" ht="14.25" customHeight="1">
      <c r="A49" s="9" t="s">
        <v>40</v>
      </c>
      <c r="B49" s="9" t="s">
        <v>224</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264</v>
      </c>
      <c r="C53" s="9" t="s">
        <v>98</v>
      </c>
      <c r="D53" s="9" t="s">
        <v>446</v>
      </c>
      <c r="E53" s="9" t="s">
        <v>60</v>
      </c>
      <c r="F53" s="9"/>
      <c r="G53" s="9"/>
      <c r="H53" s="10"/>
      <c r="I53" s="10"/>
      <c r="J53" s="10"/>
    </row>
    <row r="54" spans="1:10" ht="14.25" customHeight="1">
      <c r="A54" s="9" t="s">
        <v>40</v>
      </c>
      <c r="B54" s="9" t="s">
        <v>224</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264</v>
      </c>
      <c r="C58" s="9" t="s">
        <v>99</v>
      </c>
      <c r="D58" s="9" t="s">
        <v>446</v>
      </c>
      <c r="E58" s="9" t="s">
        <v>46</v>
      </c>
      <c r="F58" s="9"/>
      <c r="G58" s="9"/>
      <c r="H58" s="9"/>
      <c r="I58" s="10"/>
      <c r="J58" s="10"/>
    </row>
    <row r="59" spans="1:10" ht="14.25" customHeight="1">
      <c r="A59" s="9" t="s">
        <v>40</v>
      </c>
      <c r="B59" s="9" t="s">
        <v>224</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224</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224</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224</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224</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224</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224</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224</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224</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224</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224</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224</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224</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224</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224</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224</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224</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224</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224</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224</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224</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224</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224</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224</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224</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224</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224</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224</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224</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224</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224</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346</v>
      </c>
      <c r="G1" s="5" t="s">
        <v>448</v>
      </c>
      <c r="H1" s="5" t="s">
        <v>20</v>
      </c>
      <c r="I1" t="s">
        <v>35</v>
      </c>
      <c r="J1" s="5" t="s">
        <v>449</v>
      </c>
      <c r="K1" s="5" t="s">
        <v>187</v>
      </c>
      <c r="L1" s="5" t="s">
        <v>363</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466</v>
      </c>
      <c r="R3" t="s">
        <v>45</v>
      </c>
      <c r="T3" t="s">
        <v>94</v>
      </c>
    </row>
    <row r="4" spans="1:20" ht="15" customHeight="1">
      <c r="A4" t="s">
        <v>126</v>
      </c>
      <c r="B4" t="s">
        <v>59</v>
      </c>
      <c r="C4" t="s">
        <v>46</v>
      </c>
      <c r="D4" t="s">
        <v>144</v>
      </c>
      <c r="E4" t="s">
        <v>53</v>
      </c>
      <c r="F4" t="s">
        <v>264</v>
      </c>
      <c r="G4" t="s">
        <v>59</v>
      </c>
      <c r="H4" t="s">
        <v>88</v>
      </c>
      <c r="I4" t="s">
        <v>207</v>
      </c>
      <c r="J4" t="s">
        <v>224</v>
      </c>
      <c r="L4" t="s">
        <v>50</v>
      </c>
      <c r="M4" t="s">
        <v>103</v>
      </c>
      <c r="N4" t="s">
        <v>467</v>
      </c>
      <c r="R4" t="s">
        <v>468</v>
      </c>
      <c r="T4" t="s">
        <v>72</v>
      </c>
    </row>
    <row r="5" spans="1:20" ht="15" customHeight="1">
      <c r="A5" t="s">
        <v>337</v>
      </c>
      <c r="B5" t="s">
        <v>446</v>
      </c>
      <c r="C5" t="s">
        <v>77</v>
      </c>
      <c r="F5" t="s">
        <v>224</v>
      </c>
      <c r="G5" t="s">
        <v>446</v>
      </c>
      <c r="H5" t="s">
        <v>129</v>
      </c>
      <c r="I5" t="s">
        <v>255</v>
      </c>
      <c r="J5" t="s">
        <v>206</v>
      </c>
      <c r="L5" t="s">
        <v>469</v>
      </c>
      <c r="M5" t="s">
        <v>88</v>
      </c>
      <c r="N5" t="s">
        <v>470</v>
      </c>
    </row>
    <row r="6" spans="1:20" ht="15" customHeight="1">
      <c r="A6" t="s">
        <v>312</v>
      </c>
      <c r="B6" t="s">
        <v>84</v>
      </c>
      <c r="F6" t="s">
        <v>206</v>
      </c>
      <c r="G6" t="s">
        <v>84</v>
      </c>
      <c r="H6" t="s">
        <v>144</v>
      </c>
      <c r="I6" t="s">
        <v>471</v>
      </c>
      <c r="J6" t="s">
        <v>187</v>
      </c>
      <c r="M6" t="s">
        <v>48</v>
      </c>
      <c r="N6" t="s">
        <v>470</v>
      </c>
    </row>
    <row r="7" spans="1:20" ht="15" customHeight="1">
      <c r="A7" t="s">
        <v>303</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446</v>
      </c>
      <c r="N17" t="s">
        <v>485</v>
      </c>
    </row>
    <row r="18" spans="13:14">
      <c r="M18" t="s">
        <v>230</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489</v>
      </c>
      <c r="N7" s="262"/>
      <c r="O7" s="263"/>
      <c r="P7" s="142"/>
      <c r="Q7" s="142"/>
      <c r="R7" s="142"/>
      <c r="S7" s="142"/>
      <c r="T7" s="142"/>
      <c r="U7" s="142"/>
      <c r="V7" s="142"/>
      <c r="W7" s="142"/>
      <c r="X7" s="142"/>
      <c r="Y7" s="142"/>
      <c r="Z7" s="142"/>
    </row>
    <row r="8" spans="1:26" ht="30" customHeight="1">
      <c r="A8" s="142"/>
      <c r="B8" s="142"/>
      <c r="C8" s="251" t="s">
        <v>490</v>
      </c>
      <c r="D8" s="252"/>
      <c r="E8" s="251" t="s">
        <v>491</v>
      </c>
      <c r="F8" s="252"/>
      <c r="G8" s="251" t="s">
        <v>492</v>
      </c>
      <c r="H8" s="252"/>
      <c r="I8" s="251" t="s">
        <v>493</v>
      </c>
      <c r="J8" s="252"/>
      <c r="K8" s="251" t="s">
        <v>494</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25" t="s">
        <v>496</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224</v>
      </c>
      <c r="H11" s="156" t="s">
        <v>264</v>
      </c>
      <c r="I11" s="156" t="s">
        <v>493</v>
      </c>
      <c r="J11" s="156" t="s">
        <v>500</v>
      </c>
      <c r="K11" s="156" t="s">
        <v>501</v>
      </c>
      <c r="L11" s="156" t="s">
        <v>502</v>
      </c>
      <c r="M11" s="241" t="s">
        <v>503</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2</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5</v>
      </c>
      <c r="E17" s="169">
        <f t="shared" si="0"/>
        <v>9</v>
      </c>
      <c r="F17" s="169">
        <f t="shared" si="0"/>
        <v>4</v>
      </c>
      <c r="G17" s="169">
        <f t="shared" si="0"/>
        <v>8</v>
      </c>
      <c r="H17" s="169">
        <f t="shared" si="0"/>
        <v>3</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25" t="s">
        <v>506</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25" t="s">
        <v>507</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508</v>
      </c>
      <c r="C36" s="170" t="s">
        <v>497</v>
      </c>
      <c r="D36" s="170" t="s">
        <v>509</v>
      </c>
      <c r="E36" s="170" t="s">
        <v>440</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497</v>
      </c>
      <c r="D49" s="228"/>
      <c r="E49" s="228" t="s">
        <v>440</v>
      </c>
      <c r="F49" s="228"/>
      <c r="G49" s="228" t="s">
        <v>450</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511</v>
      </c>
      <c r="D50" s="230"/>
      <c r="E50" s="229" t="s">
        <v>511</v>
      </c>
      <c r="F50" s="230"/>
      <c r="G50" s="229" t="s">
        <v>511</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224</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224</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206</v>
      </c>
      <c r="D36" t="s">
        <v>53</v>
      </c>
      <c r="E36" t="str">
        <f t="shared" si="1"/>
        <v>QA</v>
      </c>
    </row>
    <row r="37" spans="1:5">
      <c r="A37" t="s">
        <v>220</v>
      </c>
      <c r="B37" t="s">
        <v>194</v>
      </c>
      <c r="C37" t="s">
        <v>206</v>
      </c>
      <c r="D37" t="s">
        <v>53</v>
      </c>
      <c r="E37" t="str">
        <f t="shared" si="1"/>
        <v>QA</v>
      </c>
    </row>
    <row r="38" spans="1:5">
      <c r="A38" t="s">
        <v>222</v>
      </c>
      <c r="B38" t="s">
        <v>194</v>
      </c>
      <c r="C38" t="s">
        <v>187</v>
      </c>
      <c r="D38" t="s">
        <v>53</v>
      </c>
      <c r="E38" t="str">
        <f t="shared" si="1"/>
        <v>DPO Approval</v>
      </c>
    </row>
    <row r="39" spans="1:5">
      <c r="A39" t="s">
        <v>223</v>
      </c>
      <c r="B39" t="s">
        <v>194</v>
      </c>
      <c r="C39" t="s">
        <v>224</v>
      </c>
      <c r="D39" t="s">
        <v>53</v>
      </c>
      <c r="E39" t="str">
        <f t="shared" si="1"/>
        <v>PBI Dev</v>
      </c>
    </row>
    <row r="40" spans="1:5">
      <c r="A40" t="s">
        <v>225</v>
      </c>
      <c r="B40" t="s">
        <v>194</v>
      </c>
      <c r="C40" t="s">
        <v>264</v>
      </c>
      <c r="D40" t="s">
        <v>53</v>
      </c>
      <c r="E40" t="str">
        <f t="shared" si="1"/>
        <v>DB Dev</v>
      </c>
    </row>
    <row r="41" spans="1:5">
      <c r="A41" t="s">
        <v>229</v>
      </c>
      <c r="B41" t="s">
        <v>194</v>
      </c>
      <c r="C41" t="s">
        <v>224</v>
      </c>
      <c r="D41" t="s">
        <v>53</v>
      </c>
      <c r="E41" t="str">
        <f t="shared" si="1"/>
        <v>PBI Dev</v>
      </c>
    </row>
    <row r="42" spans="1:5">
      <c r="A42" t="s">
        <v>234</v>
      </c>
      <c r="B42" t="s">
        <v>194</v>
      </c>
      <c r="C42" t="s">
        <v>235</v>
      </c>
      <c r="D42" t="s">
        <v>53</v>
      </c>
      <c r="E42" t="str">
        <f t="shared" si="1"/>
        <v>Not Started</v>
      </c>
    </row>
    <row r="43" spans="1:5">
      <c r="A43" t="s">
        <v>238</v>
      </c>
      <c r="B43" t="s">
        <v>194</v>
      </c>
      <c r="C43" t="s">
        <v>224</v>
      </c>
      <c r="D43" t="s">
        <v>207</v>
      </c>
      <c r="E43" t="str">
        <f t="shared" si="1"/>
        <v>Blocked - Build/QA</v>
      </c>
    </row>
    <row r="44" spans="1:5">
      <c r="A44" t="s">
        <v>240</v>
      </c>
      <c r="B44" t="s">
        <v>194</v>
      </c>
      <c r="C44" t="s">
        <v>187</v>
      </c>
      <c r="D44" t="s">
        <v>53</v>
      </c>
      <c r="E44" t="str">
        <f t="shared" si="1"/>
        <v>DPO Approval</v>
      </c>
    </row>
    <row r="45" spans="1:5">
      <c r="A45" t="s">
        <v>243</v>
      </c>
      <c r="B45" t="s">
        <v>194</v>
      </c>
      <c r="C45" t="s">
        <v>224</v>
      </c>
      <c r="D45" t="s">
        <v>53</v>
      </c>
      <c r="E45" t="str">
        <f t="shared" si="1"/>
        <v>PBI Dev</v>
      </c>
    </row>
    <row r="46" spans="1:5">
      <c r="A46" t="s">
        <v>244</v>
      </c>
      <c r="B46" t="s">
        <v>245</v>
      </c>
      <c r="C46" t="s">
        <v>206</v>
      </c>
      <c r="E46" t="str">
        <f t="shared" si="1"/>
        <v>QA</v>
      </c>
    </row>
    <row r="47" spans="1:5">
      <c r="A47" t="s">
        <v>248</v>
      </c>
      <c r="B47" t="s">
        <v>245</v>
      </c>
      <c r="C47" t="s">
        <v>224</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224</v>
      </c>
      <c r="D51" t="s">
        <v>255</v>
      </c>
      <c r="E51" t="str">
        <f t="shared" si="1"/>
        <v>Blocked - Build/QA</v>
      </c>
    </row>
    <row r="52" spans="1:5">
      <c r="A52" t="s">
        <v>257</v>
      </c>
      <c r="B52" t="s">
        <v>245</v>
      </c>
      <c r="C52" t="s">
        <v>224</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224</v>
      </c>
      <c r="E56" t="str">
        <f t="shared" si="1"/>
        <v>PBI Dev</v>
      </c>
    </row>
    <row r="57" spans="1:5">
      <c r="A57" t="s">
        <v>269</v>
      </c>
      <c r="B57" t="s">
        <v>245</v>
      </c>
      <c r="C57" t="s">
        <v>224</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224</v>
      </c>
      <c r="C7" t="str">
        <v>Kushal</v>
      </c>
    </row>
    <row r="8" spans="1:3">
      <c r="B8" t="s">
        <v>264</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Fetwi Hayelom</cp:lastModifiedBy>
  <cp:revision>0</cp:revision>
  <dcterms:created xsi:type="dcterms:W3CDTF">2026-07-21T14:32:59Z</dcterms:created>
  <dcterms:modified xsi:type="dcterms:W3CDTF">2026-10-14T01:06:56Z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