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71" documentId="13_ncr:1_{52745E9B-3AA1-4770-AAD3-E6166BFC13AE}" xr6:coauthVersionLast="47" xr6:coauthVersionMax="47" xr10:uidLastSave="{539B7AF6-F841-49AB-A5B1-E4A78DE478DE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<sst xmlns="http://schemas.openxmlformats.org/spreadsheetml/2006/main" count="2183" uniqueCount="266">
  <si>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</si>
  <si>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</si>
  <si>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</si>
  <si>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</si>
  <si>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</si>
  <si>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</si>
  <si>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</si>
  <si>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</si>
  <si>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</si>
  <si>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</si>
  <si>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</si>
  <si>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</si>
  <si>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</si>
  <si>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</si>
  <si>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</si>
  <si>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</si>
  <si>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</si>
  <si>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</si>
  <si>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</si>
  <si>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</si>
  <si>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</si>
  <si>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</si>
  <si>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</si>
  <si>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</si>
  <si>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</si>
  <si>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</si>
  <si>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</si>
  <si>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</si>
  <si>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</si>
  <si>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</si>
  <si>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</si>
  <si>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</si>
  <si>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</si>
  <si>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</si>
  <si>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</si>
  <si>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</si>
  <si>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</si>
  <si>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</si>
  <si>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</si>
  <si>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</si>
  <si>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</si>
  <si>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</si>
  <si>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</si>
  <si>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</si>
  <si>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</si>
  <si>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</si>
  <si>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</si>
  <si>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</si>
  <si>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</si>
  <si>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</si>
  <si>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</si>
  <si>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</si>
  <si>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</si>
  <si>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</si>
  <si>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</si>
  <si>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</si>
  <si>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</si>
  <si>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</si>
  <si>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</si>
  <si>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</si>
  <si>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</si>
  <si>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</si>
  <si>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</si>
  <si>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</si>
  <si>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</si>
  <si>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</si>
  <si>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</si>
  <si>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</si>
  <si>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</si>
  <si>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</si>
  <si>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</si>
  <si>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</si>
  <si>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</si>
  <si>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</si>
  <si>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</si>
  <si>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</si>
  <si>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</si>
  <si>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</si>
  <si>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</si>
  <si>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</si>
  <si>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</si>
  <si>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</si>
  <si>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</si>
  <si>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</si>
  <si>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</si>
  <si>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</si>
  <si>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</si>
  <si>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</si>
  <si>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</si>
  <si>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</si>
  <si>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</si>
  <si>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</si>
  <si>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</si>
  <si>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</si>
  <si>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</si>
  <si>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</si>
  <si>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</si>
  <si>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</si>
  <si>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</si>
  <si>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</si>
  <si>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</si>
  <si>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</si>
  <si>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</si>
  <si>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</si>
  <si>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</si>
  <si>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</si>
  <si>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</si>
  <si>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</si>
  <si>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</si>
  <si>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</si>
  <si>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</si>
  <si>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</si>
  <si>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</si>
  <si>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</si>
  <si>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</si>
  <si>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</si>
  <si>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</si>
  <si>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</si>
  <si>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</si>
  <si>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</si>
  <si>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</si>
  <si>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</si>
  <si>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</si>
  <si>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</si>
  <si>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</si>
  <si>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</si>
  <si>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</si>
  <si>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</si>
  <si>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</si>
  <si>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</si>
  <si>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</si>
  <si>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</si>
  <si>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</si>
  <si>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</si>
  <si>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</si>
  <si>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</si>
  <si>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</si>
  <si>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</si>
  <si>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</si>
  <si>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</si>
  <si>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</si>
  <si>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</si>
  <si>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</si>
  <si>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</si>
  <si>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</si>
  <si>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</si>
  <si>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</si>
  <si>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</si>
  <si>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</si>
  <si>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</si>
  <si>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</si>
  <si>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</si>
  <si>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</si>
  <si>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</si>
  <si>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</si>
  <si>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</si>
  <si>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</si>
  <si>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</si>
  <si>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</si>
  <si>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</si>
  <si>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</si>
  <si>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</si>
  <si>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</si>
  <si>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</si>
  <si>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</si>
  <si>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</si>
  <si>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</si>
  <si>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</si>
  <si>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</si>
  <si>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</si>
  <si>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</si>
  <si>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</si>
  <si>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</si>
  <si>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</si>
  <si>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</si>
  <si>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</si>
  <si>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</si>
  <si>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</si>
  <si>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</si>
  <si>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</si>
  <si>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</si>
  <si>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</si>
  <si>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</si>
  <si>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</si>
  <si>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</si>
  <si>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</si>
  <si>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</si>
  <si>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</si>
  <si>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</si>
  <si>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</si>
  <si>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</si>
  <si>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</si>
  <si>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</si>
  <si>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</si>
  <si>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</si>
  <si>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</si>
  <si>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</si>
  <si>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</si>
  <si>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</si>
  <si>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</si>
  <si>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</si>
  <si>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</si>
  <si>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</si>
  <si>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</si>
  <si>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</si>
  <si>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</si>
  <si>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</si>
  <si>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</si>
  <si>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</si>
  <si>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</si>
  <si>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</si>
  <si>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</si>
  <si>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</si>
  <si>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</si>
  <si>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</si>
  <si>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</si>
  <si>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</si>
  <si>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</si>
  <si>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</si>
  <si>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</si>
  <si>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</si>
  <si>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</si>
  <si>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</si>
  <si>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</si>
  <si>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</si>
  <si>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</si>
  <si>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</si>
  <si>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</si>
  <si>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</si>
  <si>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</si>
  <si>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</si>
  <si>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</si>
  <si>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</si>
  <si>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</si>
  <si>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</si>
  <si>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</si>
  <si>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</si>
  <si>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</si>
  <si>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</si>
  <si>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</si>
  <si>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</si>
  <si>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</si>
  <si>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</si>
  <si>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</si>
  <si>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</si>
  <si>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</si>
  <si>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</si>
  <si>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</si>
  <si>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</si>
  <si>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</si>
  <si>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</si>
  <si>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</si>
  <si>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</si>
  <si>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</si>
  <si>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</si>
  <si>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</si>
  <si>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</si>
  <si>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</si>
  <si>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</si>
  <si>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</si>
  <si>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</si>
  <si>
    <t>S4</t>
  </si>
  <si>
    <t>Count mismatch</t>
  </si>
  <si>
    <t xml:space="preserve">SF/MX Comments field mismatch </t>
  </si>
  <si>
    <t xml:space="preserve">Yes </t>
  </si>
  <si>
    <t xml:space="preserve">SF/MX Comments and Lettering Status Mismatch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</si>
</sst>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15" fillId="0" borderId="0" xfId="0" applyFont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0" fillId="15" borderId="0" xfId="0" applyFont="1" applyFill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20" fillId="0" borderId="0" xfId="0" applyFont="1" applyProtection="1">
      <protection locked="0"/>
    </xf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I43" activePane="bottomRight" state="frozen"/>
      <selection pane="topRight"/>
      <selection pane="bottomLeft"/>
      <selection pane="bottomRight" activeCell="I94" sqref="I94"/>
    </sheetView>
  </sheetViews>
  <sheetFormatPr defaultRowHeight="15" customHeight="1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8671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" hidden="1" x14ac:dyDescent="0.3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" hidden="1" x14ac:dyDescent="0.3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" hidden="1" x14ac:dyDescent="0.3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" hidden="1" x14ac:dyDescent="0.3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" hidden="1" x14ac:dyDescent="0.3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" hidden="1" x14ac:dyDescent="0.3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" hidden="1" x14ac:dyDescent="0.3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" hidden="1" x14ac:dyDescent="0.3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" hidden="1" x14ac:dyDescent="0.3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" hidden="1" x14ac:dyDescent="0.3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" hidden="1" x14ac:dyDescent="0.3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" hidden="1" x14ac:dyDescent="0.3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" hidden="1" x14ac:dyDescent="0.3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" hidden="1" x14ac:dyDescent="0.3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" hidden="1" x14ac:dyDescent="0.3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" hidden="1" x14ac:dyDescent="0.3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" hidden="1" x14ac:dyDescent="0.3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" hidden="1" x14ac:dyDescent="0.3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" hidden="1" x14ac:dyDescent="0.3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" hidden="1" x14ac:dyDescent="0.3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" hidden="1" x14ac:dyDescent="0.3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" hidden="1" x14ac:dyDescent="0.3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" hidden="1" x14ac:dyDescent="0.3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" hidden="1" x14ac:dyDescent="0.3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" hidden="1" x14ac:dyDescent="0.3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" hidden="1" x14ac:dyDescent="0.3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" hidden="1" x14ac:dyDescent="0.3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" hidden="1" x14ac:dyDescent="0.3">
      <c r="A29" s="33" t="s">
        <v>112</v>
      </c>
      <c r="B29" s="33" t="s">
        <v>113</v>
      </c>
      <c r="C29" s="33" t="s">
        <v>131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261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255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" hidden="1" x14ac:dyDescent="0.3">
      <c r="A30" s="33" t="s">
        <v>112</v>
      </c>
      <c r="B30" s="33" t="s">
        <v>119</v>
      </c>
      <c r="C30" s="33" t="s">
        <v>131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120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255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" hidden="1" x14ac:dyDescent="0.3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120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" hidden="1" x14ac:dyDescent="0.3">
      <c r="A32" s="33" t="s">
        <v>112</v>
      </c>
      <c r="B32" s="33" t="s">
        <v>125</v>
      </c>
      <c r="C32" s="33" t="s">
        <v>131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126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 ht="14.4" hidden="1" x14ac:dyDescent="0.3">
      <c r="A33" s="33" t="s">
        <v>112</v>
      </c>
      <c r="B33" s="33" t="s">
        <v>128</v>
      </c>
      <c r="C33" s="33" t="s">
        <v>131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255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" hidden="1" x14ac:dyDescent="0.3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120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 ht="14.4" hidden="1" x14ac:dyDescent="0.3">
      <c r="A35" s="33" t="s">
        <v>112</v>
      </c>
      <c r="B35" s="33" t="s">
        <v>135</v>
      </c>
      <c r="C35" s="33" t="s">
        <v>136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120</v>
      </c>
      <c r="Q35" s="54">
        <v>46220</v>
      </c>
      <c r="R35" s="36">
        <v>46245</v>
      </c>
      <c r="S35" s="36"/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 ht="14.4" hidden="1" x14ac:dyDescent="0.3">
      <c r="A36" s="33" t="s">
        <v>112</v>
      </c>
      <c r="B36" s="33" t="s">
        <v>138</v>
      </c>
      <c r="C36" s="33" t="s">
        <v>136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46245</v>
      </c>
      <c r="S36" s="36"/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 ht="14.4" hidden="1" x14ac:dyDescent="0.3">
      <c r="A37" s="33" t="s">
        <v>112</v>
      </c>
      <c r="B37" s="33" t="s">
        <v>140</v>
      </c>
      <c r="C37" s="33" t="s">
        <v>136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126</v>
      </c>
      <c r="Q37" s="54">
        <v>46220</v>
      </c>
      <c r="R37" s="36">
        <v>46247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 ht="14.4" hidden="1" x14ac:dyDescent="0.3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46241</v>
      </c>
      <c r="O38" s="35"/>
      <c r="P38" s="36" t="s">
        <v>145</v>
      </c>
      <c r="Q38" s="54">
        <v>46220</v>
      </c>
      <c r="R38" s="36">
        <v>46244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" hidden="1" x14ac:dyDescent="0.3">
      <c r="A39" s="33" t="s">
        <v>112</v>
      </c>
      <c r="B39" s="33" t="s">
        <v>146</v>
      </c>
      <c r="C39" s="33" t="s">
        <v>136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46241</v>
      </c>
      <c r="O39" s="36"/>
      <c r="P39" s="36" t="s">
        <v>147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 ht="14.4" hidden="1" x14ac:dyDescent="0.3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" hidden="1" x14ac:dyDescent="0.3">
      <c r="A41" s="33" t="s">
        <v>112</v>
      </c>
      <c r="B41" s="33" t="s">
        <v>152</v>
      </c>
      <c r="C41" s="33" t="s">
        <v>131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145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" hidden="1" x14ac:dyDescent="0.3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154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" x14ac:dyDescent="0.3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" x14ac:dyDescent="0.3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" x14ac:dyDescent="0.3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" x14ac:dyDescent="0.3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" x14ac:dyDescent="0.3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" x14ac:dyDescent="0.3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" x14ac:dyDescent="0.3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" x14ac:dyDescent="0.3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" x14ac:dyDescent="0.3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" x14ac:dyDescent="0.3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" x14ac:dyDescent="0.3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" x14ac:dyDescent="0.3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" hidden="1" x14ac:dyDescent="0.3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" hidden="1" x14ac:dyDescent="0.3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" hidden="1" x14ac:dyDescent="0.3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" hidden="1" x14ac:dyDescent="0.3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" hidden="1" x14ac:dyDescent="0.3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" hidden="1" x14ac:dyDescent="0.3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" hidden="1" x14ac:dyDescent="0.3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" hidden="1" x14ac:dyDescent="0.3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" hidden="1" x14ac:dyDescent="0.3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" hidden="1" x14ac:dyDescent="0.3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" hidden="1" x14ac:dyDescent="0.3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" hidden="1" x14ac:dyDescent="0.3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" hidden="1" x14ac:dyDescent="0.3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" hidden="1" x14ac:dyDescent="0.3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" hidden="1" x14ac:dyDescent="0.3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" hidden="1" x14ac:dyDescent="0.3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" hidden="1" x14ac:dyDescent="0.3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" hidden="1" x14ac:dyDescent="0.3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" hidden="1" x14ac:dyDescent="0.3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" x14ac:dyDescent="0.3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" x14ac:dyDescent="0.3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" x14ac:dyDescent="0.3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" x14ac:dyDescent="0.3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" x14ac:dyDescent="0.3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" x14ac:dyDescent="0.3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" x14ac:dyDescent="0.3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" x14ac:dyDescent="0.3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" x14ac:dyDescent="0.3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" x14ac:dyDescent="0.3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" x14ac:dyDescent="0.3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" x14ac:dyDescent="0.3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" x14ac:dyDescent="0.3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" x14ac:dyDescent="0.3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" x14ac:dyDescent="0.3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" x14ac:dyDescent="0.3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" x14ac:dyDescent="0.3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" x14ac:dyDescent="0.3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" x14ac:dyDescent="0.3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" x14ac:dyDescent="0.3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" x14ac:dyDescent="0.3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" x14ac:dyDescent="0.3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" x14ac:dyDescent="0.3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" x14ac:dyDescent="0.3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" x14ac:dyDescent="0.3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" x14ac:dyDescent="0.3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" x14ac:dyDescent="0.3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" x14ac:dyDescent="0.3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" x14ac:dyDescent="0.3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" x14ac:dyDescent="0.3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" x14ac:dyDescent="0.3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" x14ac:dyDescent="0.3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" x14ac:dyDescent="0.3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" x14ac:dyDescent="0.3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" x14ac:dyDescent="0.3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" x14ac:dyDescent="0.3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" x14ac:dyDescent="0.3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" x14ac:dyDescent="0.3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" x14ac:dyDescent="0.3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" x14ac:dyDescent="0.3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" x14ac:dyDescent="0.3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" x14ac:dyDescent="0.3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" x14ac:dyDescent="0.3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" x14ac:dyDescent="0.3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" x14ac:dyDescent="0.3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" x14ac:dyDescent="0.3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" x14ac:dyDescent="0.3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" x14ac:dyDescent="0.3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" x14ac:dyDescent="0.3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" x14ac:dyDescent="0.3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" x14ac:dyDescent="0.3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" x14ac:dyDescent="0.3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" x14ac:dyDescent="0.3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" x14ac:dyDescent="0.3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" x14ac:dyDescent="0.3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" x14ac:dyDescent="0.3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" x14ac:dyDescent="0.3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" x14ac:dyDescent="0.3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" x14ac:dyDescent="0.3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" x14ac:dyDescent="0.3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" x14ac:dyDescent="0.3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" x14ac:dyDescent="0.3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" x14ac:dyDescent="0.3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" x14ac:dyDescent="0.3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" x14ac:dyDescent="0.3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" x14ac:dyDescent="0.3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" x14ac:dyDescent="0.3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" x14ac:dyDescent="0.3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" x14ac:dyDescent="0.3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" x14ac:dyDescent="0.3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" x14ac:dyDescent="0.3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" x14ac:dyDescent="0.3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" x14ac:dyDescent="0.3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" x14ac:dyDescent="0.3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" x14ac:dyDescent="0.3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" x14ac:dyDescent="0.3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" x14ac:dyDescent="0.3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" x14ac:dyDescent="0.3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" x14ac:dyDescent="0.3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" x14ac:dyDescent="0.3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" x14ac:dyDescent="0.3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" x14ac:dyDescent="0.3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" x14ac:dyDescent="0.3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" x14ac:dyDescent="0.3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" x14ac:dyDescent="0.3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" x14ac:dyDescent="0.3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" x14ac:dyDescent="0.3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" x14ac:dyDescent="0.3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" x14ac:dyDescent="0.3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" x14ac:dyDescent="0.3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" x14ac:dyDescent="0.3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" x14ac:dyDescent="0.3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" x14ac:dyDescent="0.3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" x14ac:dyDescent="0.3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" x14ac:dyDescent="0.3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" x14ac:dyDescent="0.3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" x14ac:dyDescent="0.3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" x14ac:dyDescent="0.3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" x14ac:dyDescent="0.3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" x14ac:dyDescent="0.3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" x14ac:dyDescent="0.3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" x14ac:dyDescent="0.3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" x14ac:dyDescent="0.3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" x14ac:dyDescent="0.3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" x14ac:dyDescent="0.3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" x14ac:dyDescent="0.3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" x14ac:dyDescent="0.3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" x14ac:dyDescent="0.3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" x14ac:dyDescent="0.3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" x14ac:dyDescent="0.3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" x14ac:dyDescent="0.3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" x14ac:dyDescent="0.3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" x14ac:dyDescent="0.3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" x14ac:dyDescent="0.3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" x14ac:dyDescent="0.3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" x14ac:dyDescent="0.3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" x14ac:dyDescent="0.3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" x14ac:dyDescent="0.3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" x14ac:dyDescent="0.3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" x14ac:dyDescent="0.3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" x14ac:dyDescent="0.3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" x14ac:dyDescent="0.3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" x14ac:dyDescent="0.3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" x14ac:dyDescent="0.3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" x14ac:dyDescent="0.3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" x14ac:dyDescent="0.3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" x14ac:dyDescent="0.3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" x14ac:dyDescent="0.3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" x14ac:dyDescent="0.3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" x14ac:dyDescent="0.3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" x14ac:dyDescent="0.3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" x14ac:dyDescent="0.3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" x14ac:dyDescent="0.3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" x14ac:dyDescent="0.3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" x14ac:dyDescent="0.3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" x14ac:dyDescent="0.3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" x14ac:dyDescent="0.3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" x14ac:dyDescent="0.3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" x14ac:dyDescent="0.3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" x14ac:dyDescent="0.3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" x14ac:dyDescent="0.3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" x14ac:dyDescent="0.3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" x14ac:dyDescent="0.3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" x14ac:dyDescent="0.3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" x14ac:dyDescent="0.3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" x14ac:dyDescent="0.3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" x14ac:dyDescent="0.3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" x14ac:dyDescent="0.3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" x14ac:dyDescent="0.3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" x14ac:dyDescent="0.3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" x14ac:dyDescent="0.3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" x14ac:dyDescent="0.3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" x14ac:dyDescent="0.3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" x14ac:dyDescent="0.3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" x14ac:dyDescent="0.3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" x14ac:dyDescent="0.3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" x14ac:dyDescent="0.3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" x14ac:dyDescent="0.3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" x14ac:dyDescent="0.3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" x14ac:dyDescent="0.3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" x14ac:dyDescent="0.3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" x14ac:dyDescent="0.3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" x14ac:dyDescent="0.3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" x14ac:dyDescent="0.3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" x14ac:dyDescent="0.3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" x14ac:dyDescent="0.3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" x14ac:dyDescent="0.3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" x14ac:dyDescent="0.3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" x14ac:dyDescent="0.3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" x14ac:dyDescent="0.3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" x14ac:dyDescent="0.3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" x14ac:dyDescent="0.3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" x14ac:dyDescent="0.3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" x14ac:dyDescent="0.3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" x14ac:dyDescent="0.3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" x14ac:dyDescent="0.3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" x14ac:dyDescent="0.3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" x14ac:dyDescent="0.3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" x14ac:dyDescent="0.3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" x14ac:dyDescent="0.3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" x14ac:dyDescent="0.3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" x14ac:dyDescent="0.3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" x14ac:dyDescent="0.3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" x14ac:dyDescent="0.3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" x14ac:dyDescent="0.3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" x14ac:dyDescent="0.3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" x14ac:dyDescent="0.3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" x14ac:dyDescent="0.3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" x14ac:dyDescent="0.3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" x14ac:dyDescent="0.3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" x14ac:dyDescent="0.3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" x14ac:dyDescent="0.3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" x14ac:dyDescent="0.3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" x14ac:dyDescent="0.3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" x14ac:dyDescent="0.3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" x14ac:dyDescent="0.3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" x14ac:dyDescent="0.3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" x14ac:dyDescent="0.3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" x14ac:dyDescent="0.3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" x14ac:dyDescent="0.3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" x14ac:dyDescent="0.3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" x14ac:dyDescent="0.3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" x14ac:dyDescent="0.3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" x14ac:dyDescent="0.3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" x14ac:dyDescent="0.3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" x14ac:dyDescent="0.3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" x14ac:dyDescent="0.3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" x14ac:dyDescent="0.3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" x14ac:dyDescent="0.3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" x14ac:dyDescent="0.3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" x14ac:dyDescent="0.3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" x14ac:dyDescent="0.3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" x14ac:dyDescent="0.3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" x14ac:dyDescent="0.3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" x14ac:dyDescent="0.3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" x14ac:dyDescent="0.3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" x14ac:dyDescent="0.3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" x14ac:dyDescent="0.3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" x14ac:dyDescent="0.3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" x14ac:dyDescent="0.3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" x14ac:dyDescent="0.3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" x14ac:dyDescent="0.3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" x14ac:dyDescent="0.3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" x14ac:dyDescent="0.3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" x14ac:dyDescent="0.3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" x14ac:dyDescent="0.3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" x14ac:dyDescent="0.3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" x14ac:dyDescent="0.3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" x14ac:dyDescent="0.3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" x14ac:dyDescent="0.3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" x14ac:dyDescent="0.3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" x14ac:dyDescent="0.3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" x14ac:dyDescent="0.3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" x14ac:dyDescent="0.3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" x14ac:dyDescent="0.3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" x14ac:dyDescent="0.3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" x14ac:dyDescent="0.3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" x14ac:dyDescent="0.3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" x14ac:dyDescent="0.3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" x14ac:dyDescent="0.3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" x14ac:dyDescent="0.3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" x14ac:dyDescent="0.3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" x14ac:dyDescent="0.3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" x14ac:dyDescent="0.3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" x14ac:dyDescent="0.3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" x14ac:dyDescent="0.3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" x14ac:dyDescent="0.3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" x14ac:dyDescent="0.3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" x14ac:dyDescent="0.3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" x14ac:dyDescent="0.3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" x14ac:dyDescent="0.3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" x14ac:dyDescent="0.3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" x14ac:dyDescent="0.3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" x14ac:dyDescent="0.3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" x14ac:dyDescent="0.3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" x14ac:dyDescent="0.3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" x14ac:dyDescent="0.3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" x14ac:dyDescent="0.3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" x14ac:dyDescent="0.3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" x14ac:dyDescent="0.3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" x14ac:dyDescent="0.3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" x14ac:dyDescent="0.3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" x14ac:dyDescent="0.3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" x14ac:dyDescent="0.3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" x14ac:dyDescent="0.3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" x14ac:dyDescent="0.3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" x14ac:dyDescent="0.3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" x14ac:dyDescent="0.3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" x14ac:dyDescent="0.3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" x14ac:dyDescent="0.3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" x14ac:dyDescent="0.3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" x14ac:dyDescent="0.3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" x14ac:dyDescent="0.3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" x14ac:dyDescent="0.3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" x14ac:dyDescent="0.3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" x14ac:dyDescent="0.3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" x14ac:dyDescent="0.3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" x14ac:dyDescent="0.3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" x14ac:dyDescent="0.3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" x14ac:dyDescent="0.3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" x14ac:dyDescent="0.3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" x14ac:dyDescent="0.3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" x14ac:dyDescent="0.3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" x14ac:dyDescent="0.3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" x14ac:dyDescent="0.3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" x14ac:dyDescent="0.3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" x14ac:dyDescent="0.3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" x14ac:dyDescent="0.3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" x14ac:dyDescent="0.3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" x14ac:dyDescent="0.3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" x14ac:dyDescent="0.3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" x14ac:dyDescent="0.3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" x14ac:dyDescent="0.3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" x14ac:dyDescent="0.3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" x14ac:dyDescent="0.3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" x14ac:dyDescent="0.3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" x14ac:dyDescent="0.3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" x14ac:dyDescent="0.3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" x14ac:dyDescent="0.3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" x14ac:dyDescent="0.3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" x14ac:dyDescent="0.3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" x14ac:dyDescent="0.3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" x14ac:dyDescent="0.3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" x14ac:dyDescent="0.3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" x14ac:dyDescent="0.3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" x14ac:dyDescent="0.3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" x14ac:dyDescent="0.3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" x14ac:dyDescent="0.3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" x14ac:dyDescent="0.3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" x14ac:dyDescent="0.3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" x14ac:dyDescent="0.3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" x14ac:dyDescent="0.3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" x14ac:dyDescent="0.3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" x14ac:dyDescent="0.3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" x14ac:dyDescent="0.3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" x14ac:dyDescent="0.3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" x14ac:dyDescent="0.3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" x14ac:dyDescent="0.3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" x14ac:dyDescent="0.3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" x14ac:dyDescent="0.3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" x14ac:dyDescent="0.3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" x14ac:dyDescent="0.3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" x14ac:dyDescent="0.3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" x14ac:dyDescent="0.3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" x14ac:dyDescent="0.3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" x14ac:dyDescent="0.3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" x14ac:dyDescent="0.3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" x14ac:dyDescent="0.3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" x14ac:dyDescent="0.3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" x14ac:dyDescent="0.3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" x14ac:dyDescent="0.3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" x14ac:dyDescent="0.3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" x14ac:dyDescent="0.3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" x14ac:dyDescent="0.3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" x14ac:dyDescent="0.3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" x14ac:dyDescent="0.3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" x14ac:dyDescent="0.3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" x14ac:dyDescent="0.3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" x14ac:dyDescent="0.3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" x14ac:dyDescent="0.3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" x14ac:dyDescent="0.3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" x14ac:dyDescent="0.3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" x14ac:dyDescent="0.3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" x14ac:dyDescent="0.3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" x14ac:dyDescent="0.3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" x14ac:dyDescent="0.3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" x14ac:dyDescent="0.3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" x14ac:dyDescent="0.3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" x14ac:dyDescent="0.3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" x14ac:dyDescent="0.3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" x14ac:dyDescent="0.3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" x14ac:dyDescent="0.3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" x14ac:dyDescent="0.3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" x14ac:dyDescent="0.3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" x14ac:dyDescent="0.3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" x14ac:dyDescent="0.3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" x14ac:dyDescent="0.3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" x14ac:dyDescent="0.3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" x14ac:dyDescent="0.3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" x14ac:dyDescent="0.3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" x14ac:dyDescent="0.3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" x14ac:dyDescent="0.3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" x14ac:dyDescent="0.3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" x14ac:dyDescent="0.3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" x14ac:dyDescent="0.3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" x14ac:dyDescent="0.3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" x14ac:dyDescent="0.3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" x14ac:dyDescent="0.3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" x14ac:dyDescent="0.3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" x14ac:dyDescent="0.3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" x14ac:dyDescent="0.3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" x14ac:dyDescent="0.3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" x14ac:dyDescent="0.3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" x14ac:dyDescent="0.3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" x14ac:dyDescent="0.3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" x14ac:dyDescent="0.3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" x14ac:dyDescent="0.3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" x14ac:dyDescent="0.3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" x14ac:dyDescent="0.3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" x14ac:dyDescent="0.3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" x14ac:dyDescent="0.3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" x14ac:dyDescent="0.3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" x14ac:dyDescent="0.3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" x14ac:dyDescent="0.3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" x14ac:dyDescent="0.3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" x14ac:dyDescent="0.3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" x14ac:dyDescent="0.3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" x14ac:dyDescent="0.3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" x14ac:dyDescent="0.3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" x14ac:dyDescent="0.3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" x14ac:dyDescent="0.3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" x14ac:dyDescent="0.3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" x14ac:dyDescent="0.3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" x14ac:dyDescent="0.3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" x14ac:dyDescent="0.3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" x14ac:dyDescent="0.3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" x14ac:dyDescent="0.3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" x14ac:dyDescent="0.3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" x14ac:dyDescent="0.3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" x14ac:dyDescent="0.3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" x14ac:dyDescent="0.3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" x14ac:dyDescent="0.3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" x14ac:dyDescent="0.3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" x14ac:dyDescent="0.3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" x14ac:dyDescent="0.3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" x14ac:dyDescent="0.3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" x14ac:dyDescent="0.3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" x14ac:dyDescent="0.3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" x14ac:dyDescent="0.3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" x14ac:dyDescent="0.3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" x14ac:dyDescent="0.3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" x14ac:dyDescent="0.3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" x14ac:dyDescent="0.3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" x14ac:dyDescent="0.3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" x14ac:dyDescent="0.3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" x14ac:dyDescent="0.3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" x14ac:dyDescent="0.3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" x14ac:dyDescent="0.3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" x14ac:dyDescent="0.3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" x14ac:dyDescent="0.3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" x14ac:dyDescent="0.3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" x14ac:dyDescent="0.3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" x14ac:dyDescent="0.3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" x14ac:dyDescent="0.3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" x14ac:dyDescent="0.3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" x14ac:dyDescent="0.3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191</v>
      </c>
    </row>
    <row r="2" spans="1:5" x14ac:dyDescent="0.3">
      <c r="A2" s="6" t="s">
        <v>192</v>
      </c>
    </row>
    <row r="4" spans="1:5" ht="21.9" customHeight="1" x14ac:dyDescent="0.3">
      <c r="A4" s="5" t="s">
        <v>193</v>
      </c>
      <c r="B4" s="68"/>
      <c r="C4" s="63"/>
      <c r="D4" s="63"/>
      <c r="E4" s="63"/>
    </row>
    <row r="6" spans="1:5" x14ac:dyDescent="0.3">
      <c r="A6" s="42" t="s">
        <v>0</v>
      </c>
      <c r="B6" s="67" t="str">
        <f>IF($B$4="","",IFERROR(INDEX('Combined Delivery Data'!$A:$A,MATCH($B$4,'Combined Delivery Data'!$B:$B,0)),""))</f>
        <v/>
      </c>
      <c r="C6" s="65"/>
      <c r="D6" s="65"/>
      <c r="E6" s="66"/>
    </row>
    <row r="7" spans="1:5" x14ac:dyDescent="0.3">
      <c r="A7" s="42" t="s">
        <v>2</v>
      </c>
      <c r="B7" s="67" t="str">
        <f>IF($B$4="","",IFERROR(INDEX('Combined Delivery Data'!$C:$C,MATCH($B$4,'Combined Delivery Data'!$B:$B,0)),""))</f>
        <v/>
      </c>
      <c r="C7" s="65"/>
      <c r="D7" s="65"/>
      <c r="E7" s="66"/>
    </row>
    <row r="8" spans="1:5" x14ac:dyDescent="0.3">
      <c r="A8" s="42" t="s">
        <v>3</v>
      </c>
      <c r="B8" s="67" t="str">
        <f>IF($B$4="","",IFERROR(INDEX('Combined Delivery Data'!$D:$D,MATCH($B$4,'Combined Delivery Data'!$B:$B,0)),""))</f>
        <v/>
      </c>
      <c r="C8" s="65"/>
      <c r="D8" s="65"/>
      <c r="E8" s="66"/>
    </row>
    <row r="9" spans="1:5" x14ac:dyDescent="0.3">
      <c r="A9" s="42" t="s">
        <v>4</v>
      </c>
      <c r="B9" s="67" t="str">
        <f>IF($B$4="","",IFERROR(INDEX('Combined Delivery Data'!$E:$E,MATCH($B$4,'Combined Delivery Data'!$B:$B,0)),""))</f>
        <v/>
      </c>
      <c r="C9" s="65"/>
      <c r="D9" s="65"/>
      <c r="E9" s="66"/>
    </row>
    <row r="10" spans="1:5" x14ac:dyDescent="0.3">
      <c r="A10" s="42" t="s">
        <v>5</v>
      </c>
      <c r="B10" s="67" t="str">
        <f>IF($B$4="","",IFERROR(INDEX('Combined Delivery Data'!$F:$F,MATCH($B$4,'Combined Delivery Data'!$B:$B,0)),""))</f>
        <v/>
      </c>
      <c r="C10" s="65"/>
      <c r="D10" s="65"/>
      <c r="E10" s="66"/>
    </row>
    <row r="11" spans="1:5" x14ac:dyDescent="0.3">
      <c r="A11" s="42" t="s">
        <v>6</v>
      </c>
      <c r="B11" s="67" t="str">
        <f>IF($B$4="","",IFERROR(INDEX('Combined Delivery Data'!$G:$G,MATCH($B$4,'Combined Delivery Data'!$B:$B,0)),""))</f>
        <v/>
      </c>
      <c r="C11" s="65"/>
      <c r="D11" s="65"/>
      <c r="E11" s="66"/>
    </row>
    <row r="12" spans="1:5" x14ac:dyDescent="0.3">
      <c r="A12" s="42" t="s">
        <v>7</v>
      </c>
      <c r="B12" s="67" t="str">
        <f>IF($B$4="","",IFERROR(INDEX('Combined Delivery Data'!$H:$H,MATCH($B$4,'Combined Delivery Data'!$B:$B,0)),""))</f>
        <v/>
      </c>
      <c r="C12" s="65"/>
      <c r="D12" s="65"/>
      <c r="E12" s="66"/>
    </row>
    <row r="13" spans="1:5" x14ac:dyDescent="0.3">
      <c r="A13" s="42" t="s">
        <v>8</v>
      </c>
      <c r="B13" s="67" t="str">
        <f>IF($B$4="","",IFERROR(INDEX('Combined Delivery Data'!$I:$I,MATCH($B$4,'Combined Delivery Data'!$B:$B,0)),""))</f>
        <v/>
      </c>
      <c r="C13" s="65"/>
      <c r="D13" s="65"/>
      <c r="E13" s="66"/>
    </row>
    <row r="14" spans="1:5" x14ac:dyDescent="0.3">
      <c r="A14" s="42" t="s">
        <v>194</v>
      </c>
      <c r="B14" s="64" t="str">
        <f>IF($B$4="","",IFERROR(INDEX('Combined Delivery Data'!$M:$M,MATCH($B$4,'Combined Delivery Data'!$B:$B,0)),""))</f>
        <v/>
      </c>
      <c r="C14" s="65"/>
      <c r="D14" s="65"/>
      <c r="E14" s="66"/>
    </row>
    <row r="15" spans="1:5" x14ac:dyDescent="0.3">
      <c r="A15" s="42" t="s">
        <v>195</v>
      </c>
      <c r="B15" s="64" t="str">
        <f>IF($B$4="","",IFERROR(INDEX('Combined Delivery Data'!$N:$N,MATCH($B$4,'Combined Delivery Data'!$B:$B,0)),""))</f>
        <v/>
      </c>
      <c r="C15" s="65"/>
      <c r="D15" s="65"/>
      <c r="E15" s="66"/>
    </row>
    <row r="16" spans="1:5" x14ac:dyDescent="0.3">
      <c r="A16" s="42" t="s">
        <v>196</v>
      </c>
      <c r="B16" s="64" t="str">
        <f>IF($B$4="","",IFERROR(INDEX('Combined Delivery Data'!$O:$O,MATCH($B$4,'Combined Delivery Data'!$B:$B,0)),""))</f>
        <v/>
      </c>
      <c r="C16" s="65"/>
      <c r="D16" s="65"/>
      <c r="E16" s="66"/>
    </row>
    <row r="17" spans="1:5" x14ac:dyDescent="0.3">
      <c r="A17" s="42" t="s">
        <v>197</v>
      </c>
      <c r="B17" s="64" t="str">
        <f>IF($B$4="","",IFERROR(INDEX('Combined Delivery Data'!$P:$P,MATCH($B$4,'Combined Delivery Data'!$B:$B,0)),""))</f>
        <v/>
      </c>
      <c r="C17" s="65"/>
      <c r="D17" s="65"/>
      <c r="E17" s="66"/>
    </row>
    <row r="18" spans="1:5" x14ac:dyDescent="0.3">
      <c r="A18" s="42" t="s">
        <v>198</v>
      </c>
      <c r="B18" s="64" t="str">
        <f>IF($B$4="","",IFERROR(INDEX('Combined Delivery Data'!$Q:$Q,MATCH($B$4,'Combined Delivery Data'!$B:$B,0)),""))</f>
        <v/>
      </c>
      <c r="C18" s="65"/>
      <c r="D18" s="65"/>
      <c r="E18" s="66"/>
    </row>
    <row r="19" spans="1:5" x14ac:dyDescent="0.3">
      <c r="A19" s="42" t="s">
        <v>199</v>
      </c>
      <c r="B19" s="64" t="str">
        <f>IF($B$4="","",IFERROR(INDEX('Combined Delivery Data'!$R:$R,MATCH($B$4,'Combined Delivery Data'!$B:$B,0)),""))</f>
        <v/>
      </c>
      <c r="C19" s="65"/>
      <c r="D19" s="65"/>
      <c r="E19" s="66"/>
    </row>
    <row r="20" spans="1:5" x14ac:dyDescent="0.3">
      <c r="A20" s="42" t="s">
        <v>200</v>
      </c>
      <c r="B20" s="64" t="str">
        <f>IF($B$4="","",IFERROR(INDEX('Combined Delivery Data'!$S:$S,MATCH($B$4,'Combined Delivery Data'!$B:$B,0)),""))</f>
        <v/>
      </c>
      <c r="C20" s="65"/>
      <c r="D20" s="65"/>
      <c r="E20" s="66"/>
    </row>
    <row r="21" spans="1:5" x14ac:dyDescent="0.3">
      <c r="A21" s="42" t="s">
        <v>26</v>
      </c>
      <c r="B21" s="67" t="str">
        <f>IF($B$4="","",IFERROR(INDEX('Combined Delivery Data'!$T:$T,MATCH($B$4,'Combined Delivery Data'!$B:$B,0)),""))</f>
        <v/>
      </c>
      <c r="C21" s="65"/>
      <c r="D21" s="65"/>
      <c r="E21" s="66"/>
    </row>
    <row r="22" spans="1:5" x14ac:dyDescent="0.3">
      <c r="A22" s="42" t="s">
        <v>27</v>
      </c>
      <c r="B22" s="67" t="str">
        <f>IF($B$4="","",IFERROR(INDEX('Combined Delivery Data'!$U:$U,MATCH($B$4,'Combined Delivery Data'!$B:$B,0)),""))</f>
        <v/>
      </c>
      <c r="C22" s="65"/>
      <c r="D22" s="65"/>
      <c r="E22" s="66"/>
    </row>
    <row r="23" spans="1:5" x14ac:dyDescent="0.3">
      <c r="A23" s="42" t="s">
        <v>28</v>
      </c>
      <c r="B23" s="64" t="str">
        <f>IF($B$4="","",IFERROR(INDEX('Combined Delivery Data'!$V:$V,MATCH($B$4,'Combined Delivery Data'!$B:$B,0)),""))</f>
        <v/>
      </c>
      <c r="C23" s="65"/>
      <c r="D23" s="65"/>
      <c r="E23" s="66"/>
    </row>
    <row r="24" spans="1:5" x14ac:dyDescent="0.3">
      <c r="A24" s="42" t="s">
        <v>31</v>
      </c>
      <c r="B24" s="67" t="str">
        <f>IF($B$4="","",IFERROR(INDEX('Combined Delivery Data'!$Y:$Y,MATCH($B$4,'Combined Delivery Data'!$B:$B,0)),""))</f>
        <v/>
      </c>
      <c r="C24" s="65"/>
      <c r="D24" s="65"/>
      <c r="E24" s="66"/>
    </row>
    <row r="25" spans="1:5" x14ac:dyDescent="0.3">
      <c r="A25" s="42" t="s">
        <v>32</v>
      </c>
      <c r="B25" s="67" t="str">
        <f>IF($B$4="","",IFERROR(INDEX('Combined Delivery Data'!$Z:$Z,MATCH($B$4,'Combined Delivery Data'!$B:$B,0)),""))</f>
        <v/>
      </c>
      <c r="C25" s="65"/>
      <c r="D25" s="65"/>
      <c r="E25" s="66"/>
    </row>
    <row r="26" spans="1:5" x14ac:dyDescent="0.3">
      <c r="A26" s="42" t="s">
        <v>201</v>
      </c>
      <c r="B26" s="67" t="str">
        <f>IF($B$4="","",IFERROR(INDEX('Rework Log'!$Q:$Q,MATCH($B$4,'Rework Log'!$P:$P,0)),""))</f>
        <v/>
      </c>
      <c r="C26" s="65"/>
      <c r="D26" s="65"/>
      <c r="E26" s="66"/>
    </row>
    <row r="27" spans="1:5" x14ac:dyDescent="0.3">
      <c r="A27" s="42" t="s">
        <v>202</v>
      </c>
      <c r="B27" s="67" t="str">
        <f>IF($B$4="","",IFERROR(INDEX('Rework Log'!$R:$R,MATCH($B$4,'Rework Log'!$P:$P,0)),""))</f>
        <v/>
      </c>
      <c r="C27" s="65"/>
      <c r="D27" s="65"/>
      <c r="E27" s="66"/>
    </row>
    <row r="28" spans="1:5" x14ac:dyDescent="0.3">
      <c r="A28" s="42" t="s">
        <v>203</v>
      </c>
      <c r="B28" s="67" t="str">
        <f>IF($B$4="","",IFERROR(INDEX('Rework Log'!$S:$S,MATCH($B$4,'Rework Log'!$P:$P,0)),""))</f>
        <v/>
      </c>
      <c r="C28" s="65"/>
      <c r="D28" s="65"/>
      <c r="E28" s="66"/>
    </row>
    <row r="29" spans="1:5" x14ac:dyDescent="0.3">
      <c r="A29" s="42" t="s">
        <v>204</v>
      </c>
      <c r="B29" s="67" t="str">
        <f>IF($B$4="","",IFERROR(INDEX('Rework Log'!$T:$T,MATCH($B$4,'Rework Log'!$P:$P,0)),""))</f>
        <v/>
      </c>
      <c r="C29" s="65"/>
      <c r="D29" s="65"/>
      <c r="E29" s="66"/>
    </row>
    <row r="30" spans="1:5" ht="15.6" customHeight="1" x14ac:dyDescent="0.3">
      <c r="A30" s="42"/>
      <c r="B30" s="67"/>
      <c r="C30" s="65"/>
      <c r="D30" s="65"/>
      <c r="E30" s="66"/>
    </row>
    <row r="31" spans="1:5" ht="15.6" customHeight="1" x14ac:dyDescent="0.3">
      <c r="A31" s="5" t="s">
        <v>33</v>
      </c>
      <c r="B31" s="62" t="str">
        <f>IF($B$4="","",IFERROR(INDEX('Combined Delivery Data'!$AA:$AA,MATCH($B$4,'Combined Delivery Data'!$B:$B,0)),""))</f>
        <v/>
      </c>
      <c r="C31" s="63"/>
      <c r="D31" s="63"/>
      <c r="E31" s="6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6640625" customWidth="1"/>
    <col min="8" max="8" width="1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9" t="s">
        <v>205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P1" s="70" t="s">
        <v>206</v>
      </c>
      <c r="Q1" s="63"/>
      <c r="R1" s="63"/>
      <c r="S1" s="63"/>
      <c r="T1" s="63"/>
    </row>
    <row r="2" spans="1:20" ht="30" customHeight="1" x14ac:dyDescent="0.3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x14ac:dyDescent="0.3">
      <c r="A3" s="33" t="s">
        <v>130</v>
      </c>
      <c r="B3" s="36">
        <v>46230</v>
      </c>
      <c r="C3" s="33" t="s">
        <v>136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1" t="s">
        <v>142</v>
      </c>
      <c r="B4" s="32">
        <v>46237</v>
      </c>
      <c r="C4" s="31" t="s">
        <v>136</v>
      </c>
      <c r="D4" s="31" t="s">
        <v>131</v>
      </c>
      <c r="E4" s="31" t="s">
        <v>132</v>
      </c>
      <c r="F4" s="31" t="s">
        <v>221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222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x14ac:dyDescent="0.3">
      <c r="A5" s="73" t="s">
        <v>113</v>
      </c>
      <c r="B5" s="32">
        <v>46238</v>
      </c>
      <c r="C5" s="31" t="s">
        <v>136</v>
      </c>
      <c r="D5" s="31" t="s">
        <v>131</v>
      </c>
      <c r="E5" s="31" t="s">
        <v>115</v>
      </c>
      <c r="F5" s="31" t="s">
        <v>262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264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x14ac:dyDescent="0.3">
      <c r="A6" s="73" t="s">
        <v>128</v>
      </c>
      <c r="B6" s="32">
        <v>46234</v>
      </c>
      <c r="C6" s="31" t="s">
        <v>136</v>
      </c>
      <c r="D6" s="31" t="s">
        <v>131</v>
      </c>
      <c r="E6" s="31" t="s">
        <v>115</v>
      </c>
      <c r="F6" s="31" t="s">
        <v>263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264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x14ac:dyDescent="0.3">
      <c r="A7" s="73" t="s">
        <v>119</v>
      </c>
      <c r="B7" s="32">
        <v>46239</v>
      </c>
      <c r="C7" s="31" t="s">
        <v>136</v>
      </c>
      <c r="D7" s="31" t="s">
        <v>131</v>
      </c>
      <c r="E7" s="31" t="s">
        <v>115</v>
      </c>
      <c r="F7" s="31" t="s">
        <v>265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264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 x14ac:dyDescent="0.3">
      <c r="A8" s="31"/>
      <c r="B8" s="32"/>
      <c r="C8" s="31" t="s">
        <v>136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 x14ac:dyDescent="0.3">
      <c r="A9" s="31"/>
      <c r="B9" s="32"/>
      <c r="C9" s="31" t="s">
        <v>136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 x14ac:dyDescent="0.3">
      <c r="A10" s="31"/>
      <c r="B10" s="32"/>
      <c r="C10" s="31" t="s">
        <v>136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 x14ac:dyDescent="0.3">
      <c r="A11" s="31"/>
      <c r="B11" s="32"/>
      <c r="C11" s="31" t="s">
        <v>136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 x14ac:dyDescent="0.3">
      <c r="A12" s="31"/>
      <c r="B12" s="32"/>
      <c r="C12" s="31" t="s">
        <v>136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 x14ac:dyDescent="0.3">
      <c r="A13" s="31"/>
      <c r="B13" s="32"/>
      <c r="C13" s="31" t="s">
        <v>136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 x14ac:dyDescent="0.3">
      <c r="A14" s="31"/>
      <c r="B14" s="32"/>
      <c r="C14" s="31" t="s">
        <v>136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 x14ac:dyDescent="0.3">
      <c r="A15" s="31"/>
      <c r="B15" s="32"/>
      <c r="C15" s="31" t="s">
        <v>136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 x14ac:dyDescent="0.3">
      <c r="A16" s="31"/>
      <c r="B16" s="32"/>
      <c r="C16" s="31" t="s">
        <v>136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 x14ac:dyDescent="0.3">
      <c r="A17" s="31"/>
      <c r="B17" s="32"/>
      <c r="C17" s="31" t="s">
        <v>136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 x14ac:dyDescent="0.3">
      <c r="A18" s="31"/>
      <c r="B18" s="32"/>
      <c r="C18" s="31" t="s">
        <v>136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 x14ac:dyDescent="0.3">
      <c r="A19" s="31"/>
      <c r="B19" s="32"/>
      <c r="C19" s="31" t="s">
        <v>136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 x14ac:dyDescent="0.3">
      <c r="A20" s="31"/>
      <c r="B20" s="32"/>
      <c r="C20" s="31" t="s">
        <v>136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 x14ac:dyDescent="0.3">
      <c r="A21" s="31"/>
      <c r="B21" s="32"/>
      <c r="C21" s="31" t="s">
        <v>136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 x14ac:dyDescent="0.3">
      <c r="A22" s="31"/>
      <c r="B22" s="32"/>
      <c r="C22" s="31" t="s">
        <v>136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 x14ac:dyDescent="0.3">
      <c r="A23" s="31"/>
      <c r="B23" s="32"/>
      <c r="C23" s="31" t="s">
        <v>136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 x14ac:dyDescent="0.3">
      <c r="A24" s="31"/>
      <c r="B24" s="32"/>
      <c r="C24" s="31" t="s">
        <v>136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 x14ac:dyDescent="0.3">
      <c r="A25" s="31"/>
      <c r="B25" s="32"/>
      <c r="C25" s="31" t="s">
        <v>136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 x14ac:dyDescent="0.3">
      <c r="A26" s="31"/>
      <c r="B26" s="32"/>
      <c r="C26" s="31" t="s">
        <v>136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 x14ac:dyDescent="0.3">
      <c r="A27" s="31"/>
      <c r="B27" s="32"/>
      <c r="C27" s="31" t="s">
        <v>136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 x14ac:dyDescent="0.3">
      <c r="A28" s="31"/>
      <c r="B28" s="32"/>
      <c r="C28" s="31" t="s">
        <v>136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 x14ac:dyDescent="0.3">
      <c r="A29" s="31"/>
      <c r="B29" s="32"/>
      <c r="C29" s="31" t="s">
        <v>136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 x14ac:dyDescent="0.3">
      <c r="A30" s="31"/>
      <c r="B30" s="32"/>
      <c r="C30" s="31" t="s">
        <v>136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 x14ac:dyDescent="0.3">
      <c r="A31" s="31"/>
      <c r="B31" s="32"/>
      <c r="C31" s="31" t="s">
        <v>136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 x14ac:dyDescent="0.3">
      <c r="A32" s="31"/>
      <c r="B32" s="32"/>
      <c r="C32" s="31" t="s">
        <v>136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 x14ac:dyDescent="0.3">
      <c r="A33" s="31"/>
      <c r="B33" s="32"/>
      <c r="C33" s="31" t="s">
        <v>136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 x14ac:dyDescent="0.3">
      <c r="A34" s="31"/>
      <c r="B34" s="32"/>
      <c r="C34" s="31" t="s">
        <v>136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 x14ac:dyDescent="0.3">
      <c r="A35" s="31"/>
      <c r="B35" s="32"/>
      <c r="C35" s="31" t="s">
        <v>136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 x14ac:dyDescent="0.3">
      <c r="A36" s="31"/>
      <c r="B36" s="32"/>
      <c r="C36" s="31" t="s">
        <v>136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 x14ac:dyDescent="0.3">
      <c r="A37" s="31"/>
      <c r="B37" s="32"/>
      <c r="C37" s="31" t="s">
        <v>136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 x14ac:dyDescent="0.3">
      <c r="A38" s="31"/>
      <c r="B38" s="32"/>
      <c r="C38" s="31" t="s">
        <v>136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 x14ac:dyDescent="0.3">
      <c r="A39" s="31"/>
      <c r="B39" s="32"/>
      <c r="C39" s="31" t="s">
        <v>136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 x14ac:dyDescent="0.3">
      <c r="A40" s="31"/>
      <c r="B40" s="32"/>
      <c r="C40" s="31" t="s">
        <v>136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 x14ac:dyDescent="0.3">
      <c r="A41" s="31"/>
      <c r="B41" s="32"/>
      <c r="C41" s="31" t="s">
        <v>136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 x14ac:dyDescent="0.3">
      <c r="A42" s="31"/>
      <c r="B42" s="32"/>
      <c r="C42" s="31" t="s">
        <v>136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 x14ac:dyDescent="0.3">
      <c r="A43" s="31"/>
      <c r="B43" s="32"/>
      <c r="C43" s="31" t="s">
        <v>136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 x14ac:dyDescent="0.3">
      <c r="A44" s="31"/>
      <c r="B44" s="32"/>
      <c r="C44" s="31" t="s">
        <v>136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 x14ac:dyDescent="0.3">
      <c r="A45" s="31"/>
      <c r="B45" s="32"/>
      <c r="C45" s="31" t="s">
        <v>136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 x14ac:dyDescent="0.3">
      <c r="A46" s="31"/>
      <c r="B46" s="32"/>
      <c r="C46" s="31" t="s">
        <v>136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 x14ac:dyDescent="0.3">
      <c r="A47" s="31"/>
      <c r="B47" s="32"/>
      <c r="C47" s="31" t="s">
        <v>136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 x14ac:dyDescent="0.3">
      <c r="A48" s="31"/>
      <c r="B48" s="32"/>
      <c r="C48" s="31" t="s">
        <v>136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 x14ac:dyDescent="0.3">
      <c r="A49" s="31"/>
      <c r="B49" s="32"/>
      <c r="C49" s="31" t="s">
        <v>136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 x14ac:dyDescent="0.3">
      <c r="A50" s="31"/>
      <c r="B50" s="32"/>
      <c r="C50" s="31" t="s">
        <v>136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 x14ac:dyDescent="0.3">
      <c r="A51" s="31"/>
      <c r="B51" s="32"/>
      <c r="C51" s="31" t="s">
        <v>136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 x14ac:dyDescent="0.3">
      <c r="A52" s="31"/>
      <c r="B52" s="32"/>
      <c r="C52" s="31" t="s">
        <v>136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 x14ac:dyDescent="0.3">
      <c r="A53" s="31"/>
      <c r="B53" s="32"/>
      <c r="C53" s="31" t="s">
        <v>136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 x14ac:dyDescent="0.3">
      <c r="A54" s="31"/>
      <c r="B54" s="32"/>
      <c r="C54" s="31" t="s">
        <v>136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 x14ac:dyDescent="0.3">
      <c r="A55" s="31"/>
      <c r="B55" s="32"/>
      <c r="C55" s="31" t="s">
        <v>136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 x14ac:dyDescent="0.3">
      <c r="A56" s="31"/>
      <c r="B56" s="32"/>
      <c r="C56" s="31" t="s">
        <v>136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 x14ac:dyDescent="0.3">
      <c r="A57" s="31"/>
      <c r="B57" s="32"/>
      <c r="C57" s="31" t="s">
        <v>136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 x14ac:dyDescent="0.3">
      <c r="A58" s="31"/>
      <c r="B58" s="32"/>
      <c r="C58" s="31" t="s">
        <v>136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 x14ac:dyDescent="0.3">
      <c r="A59" s="31"/>
      <c r="B59" s="32"/>
      <c r="C59" s="31" t="s">
        <v>136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 x14ac:dyDescent="0.3">
      <c r="A60" s="31"/>
      <c r="B60" s="32"/>
      <c r="C60" s="31" t="s">
        <v>136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 x14ac:dyDescent="0.3">
      <c r="A61" s="31"/>
      <c r="B61" s="32"/>
      <c r="C61" s="31" t="s">
        <v>136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 x14ac:dyDescent="0.3">
      <c r="A62" s="31"/>
      <c r="B62" s="32"/>
      <c r="C62" s="31" t="s">
        <v>136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 x14ac:dyDescent="0.3">
      <c r="A63" s="31"/>
      <c r="B63" s="32"/>
      <c r="C63" s="31" t="s">
        <v>136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 x14ac:dyDescent="0.3">
      <c r="A64" s="31"/>
      <c r="B64" s="32"/>
      <c r="C64" s="31" t="s">
        <v>136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 x14ac:dyDescent="0.3">
      <c r="A65" s="31"/>
      <c r="B65" s="32"/>
      <c r="C65" s="31" t="s">
        <v>136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 x14ac:dyDescent="0.3">
      <c r="A66" s="31"/>
      <c r="B66" s="32"/>
      <c r="C66" s="31" t="s">
        <v>136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 x14ac:dyDescent="0.3">
      <c r="A67" s="31"/>
      <c r="B67" s="32"/>
      <c r="C67" s="31" t="s">
        <v>136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1"/>
      <c r="B68" s="32"/>
      <c r="C68" s="31" t="s">
        <v>136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 x14ac:dyDescent="0.3">
      <c r="A69" s="31"/>
      <c r="B69" s="32"/>
      <c r="C69" s="31" t="s">
        <v>136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 x14ac:dyDescent="0.3">
      <c r="A70" s="31"/>
      <c r="B70" s="32"/>
      <c r="C70" s="31" t="s">
        <v>136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 x14ac:dyDescent="0.3">
      <c r="A71" s="31"/>
      <c r="B71" s="32"/>
      <c r="C71" s="31" t="s">
        <v>136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 x14ac:dyDescent="0.3">
      <c r="A72" s="31"/>
      <c r="B72" s="32"/>
      <c r="C72" s="31" t="s">
        <v>136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 x14ac:dyDescent="0.3">
      <c r="A73" s="31"/>
      <c r="B73" s="32"/>
      <c r="C73" s="31" t="s">
        <v>136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 x14ac:dyDescent="0.3">
      <c r="A74" s="31"/>
      <c r="B74" s="32"/>
      <c r="C74" s="31" t="s">
        <v>136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 x14ac:dyDescent="0.3">
      <c r="A75" s="31"/>
      <c r="B75" s="32"/>
      <c r="C75" s="31" t="s">
        <v>136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 x14ac:dyDescent="0.3">
      <c r="A76" s="31"/>
      <c r="B76" s="32"/>
      <c r="C76" s="31" t="s">
        <v>136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 x14ac:dyDescent="0.3">
      <c r="A77" s="31"/>
      <c r="B77" s="32"/>
      <c r="C77" s="31" t="s">
        <v>136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 x14ac:dyDescent="0.3">
      <c r="A78" s="31"/>
      <c r="B78" s="32"/>
      <c r="C78" s="31" t="s">
        <v>136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 x14ac:dyDescent="0.3">
      <c r="A79" s="31"/>
      <c r="B79" s="32"/>
      <c r="C79" s="31" t="s">
        <v>136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 x14ac:dyDescent="0.3">
      <c r="A80" s="31"/>
      <c r="B80" s="32"/>
      <c r="C80" s="31" t="s">
        <v>136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 x14ac:dyDescent="0.3">
      <c r="A81" s="31"/>
      <c r="B81" s="32"/>
      <c r="C81" s="31" t="s">
        <v>136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 x14ac:dyDescent="0.3">
      <c r="A82" s="31"/>
      <c r="B82" s="32"/>
      <c r="C82" s="31" t="s">
        <v>136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 x14ac:dyDescent="0.3">
      <c r="A83" s="31"/>
      <c r="B83" s="32"/>
      <c r="C83" s="31" t="s">
        <v>136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 x14ac:dyDescent="0.3">
      <c r="A84" s="31"/>
      <c r="B84" s="32"/>
      <c r="C84" s="31" t="s">
        <v>136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 x14ac:dyDescent="0.3">
      <c r="A85" s="31"/>
      <c r="B85" s="32"/>
      <c r="C85" s="31" t="s">
        <v>136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 x14ac:dyDescent="0.3">
      <c r="A86" s="31"/>
      <c r="B86" s="32"/>
      <c r="C86" s="31" t="s">
        <v>136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 x14ac:dyDescent="0.3">
      <c r="A87" s="31"/>
      <c r="B87" s="32"/>
      <c r="C87" s="31" t="s">
        <v>136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 x14ac:dyDescent="0.3">
      <c r="A88" s="31"/>
      <c r="B88" s="32"/>
      <c r="C88" s="31" t="s">
        <v>136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 x14ac:dyDescent="0.3">
      <c r="A89" s="31"/>
      <c r="B89" s="32"/>
      <c r="C89" s="31" t="s">
        <v>136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 x14ac:dyDescent="0.3">
      <c r="A90" s="31"/>
      <c r="B90" s="32"/>
      <c r="C90" s="31" t="s">
        <v>136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 x14ac:dyDescent="0.3">
      <c r="A91" s="31"/>
      <c r="B91" s="32"/>
      <c r="C91" s="31" t="s">
        <v>136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 x14ac:dyDescent="0.3">
      <c r="A92" s="31"/>
      <c r="B92" s="32"/>
      <c r="C92" s="31" t="s">
        <v>136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 x14ac:dyDescent="0.3">
      <c r="A93" s="31"/>
      <c r="B93" s="32"/>
      <c r="C93" s="31" t="s">
        <v>136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 x14ac:dyDescent="0.3">
      <c r="A94" s="31"/>
      <c r="B94" s="32"/>
      <c r="C94" s="31" t="s">
        <v>136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 x14ac:dyDescent="0.3">
      <c r="A95" s="31"/>
      <c r="B95" s="32"/>
      <c r="C95" s="31" t="s">
        <v>136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 x14ac:dyDescent="0.3">
      <c r="A96" s="31"/>
      <c r="B96" s="32"/>
      <c r="C96" s="31" t="s">
        <v>136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 x14ac:dyDescent="0.3">
      <c r="A97" s="31"/>
      <c r="B97" s="32"/>
      <c r="C97" s="31" t="s">
        <v>136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 x14ac:dyDescent="0.3">
      <c r="A98" s="31"/>
      <c r="B98" s="32"/>
      <c r="C98" s="31" t="s">
        <v>136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 x14ac:dyDescent="0.3">
      <c r="A99" s="31"/>
      <c r="B99" s="32"/>
      <c r="C99" s="31" t="s">
        <v>136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 x14ac:dyDescent="0.3">
      <c r="A100" s="31"/>
      <c r="B100" s="32"/>
      <c r="C100" s="31" t="s">
        <v>136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 x14ac:dyDescent="0.3">
      <c r="A101" s="31"/>
      <c r="B101" s="32"/>
      <c r="C101" s="31" t="s">
        <v>136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 x14ac:dyDescent="0.3">
      <c r="A102" s="31"/>
      <c r="B102" s="32"/>
      <c r="C102" s="31" t="s">
        <v>136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 x14ac:dyDescent="0.3">
      <c r="A103" s="31"/>
      <c r="B103" s="32"/>
      <c r="C103" s="31" t="s">
        <v>136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 x14ac:dyDescent="0.3">
      <c r="A104" s="31"/>
      <c r="B104" s="32"/>
      <c r="C104" s="31" t="s">
        <v>136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 x14ac:dyDescent="0.3">
      <c r="A105" s="31"/>
      <c r="B105" s="32"/>
      <c r="C105" s="31" t="s">
        <v>136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 x14ac:dyDescent="0.3">
      <c r="A106" s="31"/>
      <c r="B106" s="32"/>
      <c r="C106" s="31" t="s">
        <v>136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 x14ac:dyDescent="0.3">
      <c r="A107" s="31"/>
      <c r="B107" s="32"/>
      <c r="C107" s="31" t="s">
        <v>136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 x14ac:dyDescent="0.3">
      <c r="A108" s="31"/>
      <c r="B108" s="32"/>
      <c r="C108" s="31" t="s">
        <v>136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 x14ac:dyDescent="0.3">
      <c r="A109" s="31"/>
      <c r="B109" s="32"/>
      <c r="C109" s="31" t="s">
        <v>136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 x14ac:dyDescent="0.3">
      <c r="A110" s="31"/>
      <c r="B110" s="32"/>
      <c r="C110" s="31" t="s">
        <v>136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 x14ac:dyDescent="0.3">
      <c r="A111" s="31"/>
      <c r="B111" s="32"/>
      <c r="C111" s="31" t="s">
        <v>136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 x14ac:dyDescent="0.3">
      <c r="A112" s="31"/>
      <c r="B112" s="32"/>
      <c r="C112" s="31" t="s">
        <v>136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 x14ac:dyDescent="0.3">
      <c r="A113" s="31"/>
      <c r="B113" s="32"/>
      <c r="C113" s="31" t="s">
        <v>136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 x14ac:dyDescent="0.3">
      <c r="A114" s="31"/>
      <c r="B114" s="32"/>
      <c r="C114" s="31" t="s">
        <v>136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 x14ac:dyDescent="0.3">
      <c r="A115" s="31"/>
      <c r="B115" s="32"/>
      <c r="C115" s="31" t="s">
        <v>136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 x14ac:dyDescent="0.3">
      <c r="A116" s="31"/>
      <c r="B116" s="32"/>
      <c r="C116" s="31" t="s">
        <v>136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 x14ac:dyDescent="0.3">
      <c r="A117" s="31"/>
      <c r="B117" s="32"/>
      <c r="C117" s="31" t="s">
        <v>136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 x14ac:dyDescent="0.3">
      <c r="A118" s="31"/>
      <c r="B118" s="32"/>
      <c r="C118" s="31" t="s">
        <v>136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 x14ac:dyDescent="0.3">
      <c r="A119" s="31"/>
      <c r="B119" s="32"/>
      <c r="C119" s="31" t="s">
        <v>136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 x14ac:dyDescent="0.3">
      <c r="A120" s="31"/>
      <c r="B120" s="32"/>
      <c r="C120" s="31" t="s">
        <v>136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 x14ac:dyDescent="0.3">
      <c r="A121" s="31"/>
      <c r="B121" s="32"/>
      <c r="C121" s="31" t="s">
        <v>136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 x14ac:dyDescent="0.3">
      <c r="A122" s="31"/>
      <c r="B122" s="32"/>
      <c r="C122" s="31" t="s">
        <v>136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 x14ac:dyDescent="0.3">
      <c r="A123" s="31"/>
      <c r="B123" s="32"/>
      <c r="C123" s="31" t="s">
        <v>136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 x14ac:dyDescent="0.3">
      <c r="A124" s="31"/>
      <c r="B124" s="32"/>
      <c r="C124" s="31" t="s">
        <v>136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 x14ac:dyDescent="0.3">
      <c r="A125" s="31"/>
      <c r="B125" s="32"/>
      <c r="C125" s="31" t="s">
        <v>136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 x14ac:dyDescent="0.3">
      <c r="A126" s="31"/>
      <c r="B126" s="32"/>
      <c r="C126" s="31" t="s">
        <v>136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 x14ac:dyDescent="0.3">
      <c r="A127" s="31"/>
      <c r="B127" s="32"/>
      <c r="C127" s="31" t="s">
        <v>136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 x14ac:dyDescent="0.3">
      <c r="A128" s="31"/>
      <c r="B128" s="32"/>
      <c r="C128" s="31" t="s">
        <v>136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 x14ac:dyDescent="0.3">
      <c r="A129" s="31"/>
      <c r="B129" s="32"/>
      <c r="C129" s="31" t="s">
        <v>136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 x14ac:dyDescent="0.3">
      <c r="A130" s="31"/>
      <c r="B130" s="32"/>
      <c r="C130" s="31" t="s">
        <v>136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 x14ac:dyDescent="0.3">
      <c r="A131" s="31"/>
      <c r="B131" s="32"/>
      <c r="C131" s="31" t="s">
        <v>136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1"/>
      <c r="B132" s="32"/>
      <c r="C132" s="31" t="s">
        <v>136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 x14ac:dyDescent="0.3">
      <c r="A133" s="31"/>
      <c r="B133" s="32"/>
      <c r="C133" s="31" t="s">
        <v>136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 x14ac:dyDescent="0.3">
      <c r="A134" s="31"/>
      <c r="B134" s="32"/>
      <c r="C134" s="31" t="s">
        <v>136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 x14ac:dyDescent="0.3">
      <c r="A135" s="31"/>
      <c r="B135" s="32"/>
      <c r="C135" s="31" t="s">
        <v>136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 x14ac:dyDescent="0.3">
      <c r="A136" s="31"/>
      <c r="B136" s="32"/>
      <c r="C136" s="31" t="s">
        <v>136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 x14ac:dyDescent="0.3">
      <c r="A137" s="31"/>
      <c r="B137" s="32"/>
      <c r="C137" s="31" t="s">
        <v>136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 x14ac:dyDescent="0.3">
      <c r="A138" s="31"/>
      <c r="B138" s="32"/>
      <c r="C138" s="31" t="s">
        <v>136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 x14ac:dyDescent="0.3">
      <c r="A139" s="31"/>
      <c r="B139" s="32"/>
      <c r="C139" s="31" t="s">
        <v>136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 x14ac:dyDescent="0.3">
      <c r="A140" s="31"/>
      <c r="B140" s="32"/>
      <c r="C140" s="31" t="s">
        <v>136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 x14ac:dyDescent="0.3">
      <c r="A141" s="31"/>
      <c r="B141" s="32"/>
      <c r="C141" s="31" t="s">
        <v>136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 x14ac:dyDescent="0.3">
      <c r="A142" s="31"/>
      <c r="B142" s="32"/>
      <c r="C142" s="31" t="s">
        <v>136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 x14ac:dyDescent="0.3">
      <c r="A143" s="31"/>
      <c r="B143" s="32"/>
      <c r="C143" s="31" t="s">
        <v>136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 x14ac:dyDescent="0.3">
      <c r="A144" s="31"/>
      <c r="B144" s="32"/>
      <c r="C144" s="31" t="s">
        <v>136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 x14ac:dyDescent="0.3">
      <c r="A145" s="31"/>
      <c r="B145" s="32"/>
      <c r="C145" s="31" t="s">
        <v>136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 x14ac:dyDescent="0.3">
      <c r="A146" s="31"/>
      <c r="B146" s="32"/>
      <c r="C146" s="31" t="s">
        <v>136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 x14ac:dyDescent="0.3">
      <c r="A147" s="31"/>
      <c r="B147" s="32"/>
      <c r="C147" s="31" t="s">
        <v>136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 x14ac:dyDescent="0.3">
      <c r="A148" s="31"/>
      <c r="B148" s="32"/>
      <c r="C148" s="31" t="s">
        <v>136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 x14ac:dyDescent="0.3">
      <c r="A149" s="31"/>
      <c r="B149" s="32"/>
      <c r="C149" s="31" t="s">
        <v>136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 x14ac:dyDescent="0.3">
      <c r="A150" s="31"/>
      <c r="B150" s="32"/>
      <c r="C150" s="31" t="s">
        <v>136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 x14ac:dyDescent="0.3">
      <c r="A151" s="31"/>
      <c r="B151" s="32"/>
      <c r="C151" s="31" t="s">
        <v>136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 x14ac:dyDescent="0.3">
      <c r="A152" s="31"/>
      <c r="B152" s="32"/>
      <c r="C152" s="31" t="s">
        <v>136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 x14ac:dyDescent="0.3">
      <c r="A153" s="31"/>
      <c r="B153" s="32"/>
      <c r="C153" s="31" t="s">
        <v>136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 x14ac:dyDescent="0.3">
      <c r="A154" s="31"/>
      <c r="B154" s="32"/>
      <c r="C154" s="31" t="s">
        <v>136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 x14ac:dyDescent="0.3">
      <c r="A155" s="31"/>
      <c r="B155" s="32"/>
      <c r="C155" s="31" t="s">
        <v>136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 x14ac:dyDescent="0.3">
      <c r="A156" s="31"/>
      <c r="B156" s="32"/>
      <c r="C156" s="31" t="s">
        <v>136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 x14ac:dyDescent="0.3">
      <c r="A157" s="31"/>
      <c r="B157" s="32"/>
      <c r="C157" s="31" t="s">
        <v>136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 x14ac:dyDescent="0.3">
      <c r="A158" s="31"/>
      <c r="B158" s="32"/>
      <c r="C158" s="31" t="s">
        <v>136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 x14ac:dyDescent="0.3">
      <c r="A159" s="31"/>
      <c r="B159" s="32"/>
      <c r="C159" s="31" t="s">
        <v>136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 x14ac:dyDescent="0.3">
      <c r="A160" s="31"/>
      <c r="B160" s="32"/>
      <c r="C160" s="31" t="s">
        <v>136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 x14ac:dyDescent="0.3">
      <c r="A161" s="31"/>
      <c r="B161" s="32"/>
      <c r="C161" s="31" t="s">
        <v>136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 x14ac:dyDescent="0.3">
      <c r="A162" s="31"/>
      <c r="B162" s="32"/>
      <c r="C162" s="31" t="s">
        <v>136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 x14ac:dyDescent="0.3">
      <c r="A163" s="31"/>
      <c r="B163" s="32"/>
      <c r="C163" s="31" t="s">
        <v>136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 x14ac:dyDescent="0.3">
      <c r="A164" s="31"/>
      <c r="B164" s="32"/>
      <c r="C164" s="31" t="s">
        <v>136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 x14ac:dyDescent="0.3">
      <c r="A165" s="31"/>
      <c r="B165" s="32"/>
      <c r="C165" s="31" t="s">
        <v>136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 x14ac:dyDescent="0.3">
      <c r="A166" s="31"/>
      <c r="B166" s="32"/>
      <c r="C166" s="31" t="s">
        <v>136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 x14ac:dyDescent="0.3">
      <c r="A167" s="31"/>
      <c r="B167" s="32"/>
      <c r="C167" s="31" t="s">
        <v>136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 x14ac:dyDescent="0.3">
      <c r="A168" s="31"/>
      <c r="B168" s="32"/>
      <c r="C168" s="31" t="s">
        <v>136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 x14ac:dyDescent="0.3">
      <c r="A169" s="31"/>
      <c r="B169" s="32"/>
      <c r="C169" s="31" t="s">
        <v>136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 x14ac:dyDescent="0.3">
      <c r="A170" s="31"/>
      <c r="B170" s="32"/>
      <c r="C170" s="31" t="s">
        <v>136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 x14ac:dyDescent="0.3">
      <c r="A171" s="31"/>
      <c r="B171" s="32"/>
      <c r="C171" s="31" t="s">
        <v>136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 x14ac:dyDescent="0.3">
      <c r="A172" s="31"/>
      <c r="B172" s="32"/>
      <c r="C172" s="31" t="s">
        <v>136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 x14ac:dyDescent="0.3">
      <c r="A173" s="31"/>
      <c r="B173" s="32"/>
      <c r="C173" s="31" t="s">
        <v>136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 x14ac:dyDescent="0.3">
      <c r="A174" s="31"/>
      <c r="B174" s="32"/>
      <c r="C174" s="31" t="s">
        <v>136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 x14ac:dyDescent="0.3">
      <c r="A175" s="31"/>
      <c r="B175" s="32"/>
      <c r="C175" s="31" t="s">
        <v>136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 x14ac:dyDescent="0.3">
      <c r="A176" s="31"/>
      <c r="B176" s="32"/>
      <c r="C176" s="31" t="s">
        <v>136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 x14ac:dyDescent="0.3">
      <c r="A177" s="31"/>
      <c r="B177" s="32"/>
      <c r="C177" s="31" t="s">
        <v>136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 x14ac:dyDescent="0.3">
      <c r="A178" s="31"/>
      <c r="B178" s="32"/>
      <c r="C178" s="31" t="s">
        <v>136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 x14ac:dyDescent="0.3">
      <c r="A179" s="31"/>
      <c r="B179" s="32"/>
      <c r="C179" s="31" t="s">
        <v>136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 x14ac:dyDescent="0.3">
      <c r="A180" s="31"/>
      <c r="B180" s="32"/>
      <c r="C180" s="31" t="s">
        <v>136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 x14ac:dyDescent="0.3">
      <c r="A181" s="31"/>
      <c r="B181" s="32"/>
      <c r="C181" s="31" t="s">
        <v>136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 x14ac:dyDescent="0.3">
      <c r="A182" s="31"/>
      <c r="B182" s="32"/>
      <c r="C182" s="31" t="s">
        <v>136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 x14ac:dyDescent="0.3">
      <c r="A183" s="31"/>
      <c r="B183" s="32"/>
      <c r="C183" s="31" t="s">
        <v>136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 x14ac:dyDescent="0.3">
      <c r="A184" s="31"/>
      <c r="B184" s="32"/>
      <c r="C184" s="31" t="s">
        <v>136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 x14ac:dyDescent="0.3">
      <c r="A185" s="31"/>
      <c r="B185" s="32"/>
      <c r="C185" s="31" t="s">
        <v>136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 x14ac:dyDescent="0.3">
      <c r="A186" s="31"/>
      <c r="B186" s="32"/>
      <c r="C186" s="31" t="s">
        <v>136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 x14ac:dyDescent="0.3">
      <c r="A187" s="31"/>
      <c r="B187" s="32"/>
      <c r="C187" s="31" t="s">
        <v>136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 x14ac:dyDescent="0.3">
      <c r="A188" s="31"/>
      <c r="B188" s="32"/>
      <c r="C188" s="31" t="s">
        <v>136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 x14ac:dyDescent="0.3">
      <c r="A189" s="31"/>
      <c r="B189" s="32"/>
      <c r="C189" s="31" t="s">
        <v>136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 x14ac:dyDescent="0.3">
      <c r="A190" s="31"/>
      <c r="B190" s="32"/>
      <c r="C190" s="31" t="s">
        <v>136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 x14ac:dyDescent="0.3">
      <c r="A191" s="31"/>
      <c r="B191" s="32"/>
      <c r="C191" s="31" t="s">
        <v>136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 x14ac:dyDescent="0.3">
      <c r="A192" s="31"/>
      <c r="B192" s="32"/>
      <c r="C192" s="31" t="s">
        <v>136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 x14ac:dyDescent="0.3">
      <c r="A193" s="31"/>
      <c r="B193" s="32"/>
      <c r="C193" s="31" t="s">
        <v>136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 x14ac:dyDescent="0.3">
      <c r="A194" s="31"/>
      <c r="B194" s="32"/>
      <c r="C194" s="31" t="s">
        <v>136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 x14ac:dyDescent="0.3">
      <c r="A195" s="31"/>
      <c r="B195" s="32"/>
      <c r="C195" s="31" t="s">
        <v>136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1"/>
      <c r="B196" s="32"/>
      <c r="C196" s="31" t="s">
        <v>136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 x14ac:dyDescent="0.3">
      <c r="A197" s="31"/>
      <c r="B197" s="32"/>
      <c r="C197" s="31" t="s">
        <v>136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 x14ac:dyDescent="0.3">
      <c r="A198" s="31"/>
      <c r="B198" s="32"/>
      <c r="C198" s="31" t="s">
        <v>136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 x14ac:dyDescent="0.3">
      <c r="A199" s="31"/>
      <c r="B199" s="32"/>
      <c r="C199" s="31" t="s">
        <v>136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 x14ac:dyDescent="0.3">
      <c r="A200" s="31"/>
      <c r="B200" s="32"/>
      <c r="C200" s="31" t="s">
        <v>136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 x14ac:dyDescent="0.3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71" t="s">
        <v>223</v>
      </c>
      <c r="B1" s="63"/>
      <c r="C1" s="63"/>
      <c r="D1" s="63"/>
      <c r="E1" s="63"/>
      <c r="F1" s="63"/>
      <c r="G1" s="63"/>
      <c r="H1" s="63"/>
      <c r="I1" s="63"/>
      <c r="J1" s="63"/>
    </row>
    <row r="2" spans="1:10" ht="27" customHeight="1" x14ac:dyDescent="0.3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 x14ac:dyDescent="0.3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136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136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131</v>
      </c>
      <c r="C13" s="9" t="s">
        <v>230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123</v>
      </c>
      <c r="C14" s="9" t="s">
        <v>230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136</v>
      </c>
      <c r="C15" s="9" t="s">
        <v>230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114</v>
      </c>
      <c r="C16" s="9" t="s">
        <v>230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136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136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136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136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136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136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136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136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136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136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136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136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136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136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136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136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136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136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136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136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136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136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136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136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136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 x14ac:dyDescent="0.3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112</v>
      </c>
      <c r="B143" s="9" t="s">
        <v>136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 x14ac:dyDescent="0.3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112</v>
      </c>
      <c r="B146" s="9" t="s">
        <v>136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 x14ac:dyDescent="0.3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112</v>
      </c>
      <c r="B149" s="9" t="s">
        <v>136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 x14ac:dyDescent="0.3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112</v>
      </c>
      <c r="B152" s="9" t="s">
        <v>136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 x14ac:dyDescent="0.3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112</v>
      </c>
      <c r="B155" s="9" t="s">
        <v>136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 x14ac:dyDescent="0.3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 x14ac:dyDescent="0.3">
      <c r="A158" s="3" t="s">
        <v>112</v>
      </c>
      <c r="B158" s="3" t="s">
        <v>131</v>
      </c>
      <c r="C158" s="3" t="s">
        <v>138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 x14ac:dyDescent="0.3">
      <c r="A159" s="3" t="s">
        <v>112</v>
      </c>
      <c r="B159" s="3" t="s">
        <v>123</v>
      </c>
      <c r="C159" s="3" t="s">
        <v>138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 x14ac:dyDescent="0.3">
      <c r="A160" s="3" t="s">
        <v>112</v>
      </c>
      <c r="B160" s="3" t="s">
        <v>136</v>
      </c>
      <c r="C160" s="3" t="s">
        <v>138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 x14ac:dyDescent="0.3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 x14ac:dyDescent="0.3">
      <c r="A163" s="3" t="s">
        <v>112</v>
      </c>
      <c r="B163" s="3" t="s">
        <v>136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 x14ac:dyDescent="0.3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 x14ac:dyDescent="0.3">
      <c r="A166" s="3" t="s">
        <v>112</v>
      </c>
      <c r="B166" s="3" t="s">
        <v>136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 x14ac:dyDescent="0.3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 x14ac:dyDescent="0.3">
      <c r="A169" s="3" t="s">
        <v>112</v>
      </c>
      <c r="B169" s="3" t="s">
        <v>136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 x14ac:dyDescent="0.3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 x14ac:dyDescent="0.3">
      <c r="A172" s="3" t="s">
        <v>112</v>
      </c>
      <c r="B172" s="3" t="s">
        <v>136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 x14ac:dyDescent="0.3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 x14ac:dyDescent="0.3">
      <c r="A175" s="3" t="s">
        <v>112</v>
      </c>
      <c r="B175" s="3" t="s">
        <v>136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 x14ac:dyDescent="0.3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 x14ac:dyDescent="0.3">
      <c r="A178" s="3" t="s">
        <v>112</v>
      </c>
      <c r="B178" s="3" t="s">
        <v>136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 x14ac:dyDescent="0.3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 x14ac:dyDescent="0.3">
      <c r="A181" s="3" t="s">
        <v>112</v>
      </c>
      <c r="B181" s="3" t="s">
        <v>136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 x14ac:dyDescent="0.3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 x14ac:dyDescent="0.3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 x14ac:dyDescent="0.3">
      <c r="A184" s="3" t="s">
        <v>112</v>
      </c>
      <c r="B184" s="3" t="s">
        <v>136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72" t="s">
        <v>231</v>
      </c>
      <c r="B1" s="63"/>
      <c r="C1" s="63"/>
    </row>
    <row r="2" spans="1:3" ht="14.25" customHeight="1" x14ac:dyDescent="0.3">
      <c r="A2" s="8" t="s">
        <v>0</v>
      </c>
      <c r="B2" s="8" t="s">
        <v>232</v>
      </c>
      <c r="C2" s="8" t="s">
        <v>228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112</v>
      </c>
      <c r="B6" s="11">
        <v>15</v>
      </c>
      <c r="C6" s="12">
        <v>46233</v>
      </c>
    </row>
    <row r="7" spans="1:3" ht="14.25" customHeight="1" x14ac:dyDescent="0.3">
      <c r="A7" s="11" t="s">
        <v>112</v>
      </c>
      <c r="B7" s="11">
        <v>15</v>
      </c>
      <c r="C7" s="12">
        <v>46264</v>
      </c>
    </row>
    <row r="8" spans="1:3" ht="14.25" customHeight="1" x14ac:dyDescent="0.3">
      <c r="A8" s="11" t="s">
        <v>112</v>
      </c>
      <c r="B8" s="11">
        <v>17</v>
      </c>
      <c r="C8" s="12">
        <v>46295</v>
      </c>
    </row>
    <row r="9" spans="1:3" ht="14.25" customHeight="1" x14ac:dyDescent="0.3">
      <c r="A9" s="11" t="s">
        <v>112</v>
      </c>
      <c r="B9" s="11">
        <v>20</v>
      </c>
      <c r="C9" s="12">
        <v>46325</v>
      </c>
    </row>
    <row r="10" spans="1:3" ht="14.25" customHeight="1" x14ac:dyDescent="0.3">
      <c r="A10" s="11" t="s">
        <v>112</v>
      </c>
      <c r="B10" s="11">
        <v>20</v>
      </c>
      <c r="C10" s="12">
        <v>46356</v>
      </c>
    </row>
    <row r="11" spans="1:3" ht="14.25" customHeight="1" x14ac:dyDescent="0.3">
      <c r="A11" s="11" t="s">
        <v>233</v>
      </c>
      <c r="B11" s="11">
        <v>18</v>
      </c>
      <c r="C11" s="12">
        <v>46386</v>
      </c>
    </row>
    <row r="12" spans="1:3" ht="14.25" customHeight="1" x14ac:dyDescent="0.3">
      <c r="A12" s="11" t="s">
        <v>233</v>
      </c>
      <c r="B12" s="11">
        <v>18</v>
      </c>
      <c r="C12" s="12">
        <v>46417</v>
      </c>
    </row>
    <row r="13" spans="1:3" ht="14.25" customHeight="1" x14ac:dyDescent="0.3">
      <c r="A13" s="11" t="s">
        <v>233</v>
      </c>
      <c r="B13" s="11">
        <v>19</v>
      </c>
      <c r="C13" s="12">
        <v>46446</v>
      </c>
    </row>
    <row r="14" spans="1:3" ht="14.25" customHeight="1" x14ac:dyDescent="0.3">
      <c r="A14" s="11" t="s">
        <v>234</v>
      </c>
      <c r="B14" s="11">
        <v>9</v>
      </c>
      <c r="C14" s="12">
        <v>46476</v>
      </c>
    </row>
    <row r="15" spans="1:3" ht="14.25" customHeight="1" x14ac:dyDescent="0.3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8</v>
      </c>
      <c r="I1" t="s">
        <v>31</v>
      </c>
      <c r="J1" s="5" t="s">
        <v>238</v>
      </c>
      <c r="K1" s="5" t="s">
        <v>114</v>
      </c>
      <c r="L1" s="5" t="s">
        <v>212</v>
      </c>
      <c r="M1" s="1" t="s">
        <v>239</v>
      </c>
      <c r="N1" s="1" t="s">
        <v>240</v>
      </c>
    </row>
    <row r="2" spans="1:14" ht="13.5" customHeight="1" x14ac:dyDescent="0.3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 x14ac:dyDescent="0.3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254</v>
      </c>
    </row>
    <row r="4" spans="1:14" ht="15" customHeight="1" x14ac:dyDescent="0.3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254</v>
      </c>
    </row>
    <row r="5" spans="1:14" ht="15" customHeight="1" x14ac:dyDescent="0.3">
      <c r="A5" t="s">
        <v>233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255</v>
      </c>
      <c r="J5" t="s">
        <v>136</v>
      </c>
      <c r="L5" t="s">
        <v>256</v>
      </c>
      <c r="M5" t="s">
        <v>80</v>
      </c>
      <c r="N5" s="45" t="s">
        <v>254</v>
      </c>
    </row>
    <row r="6" spans="1:14" ht="15" customHeight="1" x14ac:dyDescent="0.3">
      <c r="A6" t="s">
        <v>234</v>
      </c>
      <c r="B6" t="s">
        <v>76</v>
      </c>
      <c r="F6" t="s">
        <v>136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254</v>
      </c>
    </row>
    <row r="7" spans="1:14" ht="15" customHeight="1" x14ac:dyDescent="0.3">
      <c r="A7" t="s">
        <v>235</v>
      </c>
      <c r="B7" t="s">
        <v>105</v>
      </c>
      <c r="F7" t="s">
        <v>114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 x14ac:dyDescent="0.3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254</v>
      </c>
    </row>
    <row r="9" spans="1:14" ht="15" customHeight="1" x14ac:dyDescent="0.3">
      <c r="B9" t="s">
        <v>93</v>
      </c>
      <c r="G9" t="s">
        <v>93</v>
      </c>
      <c r="I9" t="s">
        <v>259</v>
      </c>
      <c r="M9" t="s">
        <v>144</v>
      </c>
      <c r="N9" s="45" t="s">
        <v>254</v>
      </c>
    </row>
    <row r="10" spans="1:14" ht="15" customHeight="1" x14ac:dyDescent="0.3">
      <c r="B10" t="s">
        <v>144</v>
      </c>
      <c r="G10" t="s">
        <v>144</v>
      </c>
      <c r="M10" t="s">
        <v>39</v>
      </c>
      <c r="N10" s="45" t="s">
        <v>254</v>
      </c>
    </row>
    <row r="11" spans="1:14" x14ac:dyDescent="0.3">
      <c r="G11" t="s">
        <v>52</v>
      </c>
      <c r="M11" t="s">
        <v>67</v>
      </c>
      <c r="N11" s="45" t="s">
        <v>254</v>
      </c>
    </row>
    <row r="12" spans="1:14" x14ac:dyDescent="0.3">
      <c r="G12" t="s">
        <v>38</v>
      </c>
      <c r="M12" t="s">
        <v>38</v>
      </c>
      <c r="N12" s="45" t="s">
        <v>254</v>
      </c>
    </row>
    <row r="13" spans="1:14" x14ac:dyDescent="0.3">
      <c r="G13" t="s">
        <v>68</v>
      </c>
      <c r="M13" t="s">
        <v>68</v>
      </c>
      <c r="N13" s="45" t="s">
        <v>254</v>
      </c>
    </row>
    <row r="14" spans="1:14" x14ac:dyDescent="0.3">
      <c r="M14" t="s">
        <v>76</v>
      </c>
      <c r="N14" s="45" t="s">
        <v>260</v>
      </c>
    </row>
    <row r="15" spans="1:14" x14ac:dyDescent="0.3">
      <c r="M15" t="s">
        <v>51</v>
      </c>
      <c r="N15" s="45" t="s">
        <v>254</v>
      </c>
    </row>
    <row r="16" spans="1:14" x14ac:dyDescent="0.3">
      <c r="M16" t="s">
        <v>105</v>
      </c>
      <c r="N16" s="45" t="s">
        <v>254</v>
      </c>
    </row>
    <row r="17" spans="13:14" x14ac:dyDescent="0.3">
      <c r="M17" t="s">
        <v>57</v>
      </c>
      <c r="N17" s="45" t="s">
        <v>254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AD54C7CB-11A4-40CF-B95E-1D5833A38355}">
  <ds:schemaRefs>
    <ds:schemaRef ds:uri="6d32ee4e-79d4-4fe0-ad34-1cbae873c51e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5b9cbbf0-fbbf-4687-be4c-62cb1159071c"/>
    <ds:schemaRef ds:uri="http://schemas.microsoft.com/office/infopath/2007/PartnerControls"/>
    <ds:schemaRef ds:uri="cadce026-d35b-4a62-a2ee-1436bb44fb55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2026-08-05T15:31:35Z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