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61" documentId="13_ncr:1_{52745E9B-3AA1-4770-AAD3-E6166BFC13AE}" xr6:coauthVersionLast="47" xr6:coauthVersionMax="47" xr10:uidLastSave="{BAF200C2-911A-4865-A191-0A5F6AAE89A2}"/>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<sst xmlns="http://schemas.openxmlformats.org/spreadsheetml/2006/main" count="3608" uniqueCount="522">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</sst>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5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C61" activePane="topRight" state="frozen"/>
      <selection pane="topRight" activeCell="C71" sqref="C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hidden="1">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hidden="1">
      <c r="A71" s="33" t="s">
        <v>126</v>
      </c>
      <c r="B71" s="33" t="s">
        <v>238</v>
      </c>
      <c r="C71" s="33" t="s">
        <v>128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8" priority="61">
      <formula>AND($B2&lt;&gt;"",MOD(ROW(),2)=0)</formula>
    </cfRule>
  </conditionalFormatting>
  <conditionalFormatting sqref="C2:C116">
    <cfRule type="expression" dxfId="157" priority="622">
      <formula>LEFT($AK2,4)="Move"</formula>
    </cfRule>
  </conditionalFormatting>
  <conditionalFormatting sqref="D2:D528">
    <cfRule type="expression" dxfId="156" priority="45">
      <formula>ISNUMBER(SEARCH("Blocked",$D2))</formula>
    </cfRule>
    <cfRule type="expression" dxfId="155" priority="46">
      <formula>ISNUMBER(SEARCH("overdue",$D2))</formula>
    </cfRule>
    <cfRule type="expression" dxfId="154" priority="47">
      <formula>ISNUMBER(SEARCH("no target",$D2))</formula>
    </cfRule>
    <cfRule type="expression" dxfId="153" priority="48">
      <formula>ISNUMBER(SEARCH("Review",$D2))</formula>
    </cfRule>
    <cfRule type="expression" dxfId="152" priority="49">
      <formula>OR($D2="On track",$D2="Delivered")</formula>
    </cfRule>
  </conditionalFormatting>
  <conditionalFormatting sqref="D88">
    <cfRule type="expression" dxfId="151" priority="621">
      <formula>AND($B50&lt;&gt;"",MOD(ROW(),2)=0)</formula>
    </cfRule>
  </conditionalFormatting>
  <conditionalFormatting sqref="J2:O116">
    <cfRule type="expression" dxfId="150" priority="23">
      <formula>$AJ2="Yes – needs DB Dev to fix"</formula>
    </cfRule>
  </conditionalFormatting>
  <conditionalFormatting sqref="J117:O193">
    <cfRule type="expression" dxfId="149" priority="28">
      <formula>$AH117="Yes – needs DB Dev to fix"</formula>
    </cfRule>
  </conditionalFormatting>
  <conditionalFormatting sqref="K41">
    <cfRule type="expression" dxfId="148" priority="605">
      <formula>$AJ41="Yes – needs DB Dev to fix"</formula>
    </cfRule>
    <cfRule type="expression" dxfId="147" priority="604">
      <formula>AND($B41&lt;&gt;"",MOD(ROW(),2)=0)</formula>
    </cfRule>
  </conditionalFormatting>
  <conditionalFormatting sqref="K42">
    <cfRule type="expression" dxfId="146" priority="607">
      <formula>$AJ41="Yes – needs DB Dev to fix"</formula>
    </cfRule>
    <cfRule type="expression" dxfId="145" priority="606">
      <formula>AND($B41&lt;&gt;"",MOD(ROW(),2)=0)</formula>
    </cfRule>
  </conditionalFormatting>
  <conditionalFormatting sqref="K73:L100">
    <cfRule type="expression" dxfId="144" priority="120">
      <formula>$AF73="Yes – needs DB Dev to fix"</formula>
    </cfRule>
  </conditionalFormatting>
  <conditionalFormatting sqref="K101:L116">
    <cfRule type="expression" dxfId="143" priority="350">
      <formula>$AA101="Yes – needs DB Dev to fix"</formula>
    </cfRule>
  </conditionalFormatting>
  <conditionalFormatting sqref="K117:L528">
    <cfRule type="expression" dxfId="142" priority="577">
      <formula>$X117="Yes – needs DB Dev to fix"</formula>
    </cfRule>
  </conditionalFormatting>
  <conditionalFormatting sqref="M73">
    <cfRule type="expression" dxfId="141" priority="27">
      <formula>$AF73="Yes – needs DB Dev to fix"</formula>
    </cfRule>
  </conditionalFormatting>
  <conditionalFormatting sqref="M79:M81">
    <cfRule type="expression" dxfId="140" priority="1">
      <formula>$AF79="Yes – needs DB Dev to fix"</formula>
    </cfRule>
  </conditionalFormatting>
  <conditionalFormatting sqref="M83:M84">
    <cfRule type="expression" dxfId="139" priority="3">
      <formula>$AF83="Yes – needs DB Dev to fix"</formula>
    </cfRule>
  </conditionalFormatting>
  <conditionalFormatting sqref="M91">
    <cfRule type="expression" dxfId="138" priority="7">
      <formula>$AF91="Yes – needs DB Dev to fix"</formula>
    </cfRule>
  </conditionalFormatting>
  <conditionalFormatting sqref="M73:P100">
    <cfRule type="expression" dxfId="137" priority="305">
      <formula>$AD73="Yes – needs PBI Dev to fix"</formula>
    </cfRule>
  </conditionalFormatting>
  <conditionalFormatting sqref="M101:P116">
    <cfRule type="expression" dxfId="136" priority="352">
      <formula>$AA101="Yes – needs PBI Dev to fix"</formula>
    </cfRule>
  </conditionalFormatting>
  <conditionalFormatting sqref="M117:P528">
    <cfRule type="expression" dxfId="135" priority="578">
      <formula>$X117="Yes – needs PBI Dev to fix"</formula>
    </cfRule>
  </conditionalFormatting>
  <conditionalFormatting sqref="N58">
    <cfRule type="expression" dxfId="134" priority="8">
      <formula>$AD58="Yes – needs PBI Dev to fix"</formula>
    </cfRule>
  </conditionalFormatting>
  <conditionalFormatting sqref="N70">
    <cfRule type="expression" dxfId="133" priority="9">
      <formula>$AD70="Yes – needs PBI Dev to fix"</formula>
    </cfRule>
  </conditionalFormatting>
  <conditionalFormatting sqref="N82">
    <cfRule type="expression" dxfId="132" priority="5">
      <formula>$AD82="Yes – needs PBI Dev to fix"</formula>
    </cfRule>
  </conditionalFormatting>
  <conditionalFormatting sqref="O101:O113">
    <cfRule type="expression" dxfId="131" priority="2">
      <formula>$AD101="Yes – needs PBI Dev to fix"</formula>
    </cfRule>
  </conditionalFormatting>
  <conditionalFormatting sqref="Q73:Q100">
    <cfRule type="expression" dxfId="130" priority="22">
      <formula>$AF73="Yes – needs DB Dev to fix"</formula>
    </cfRule>
    <cfRule type="expression" dxfId="129" priority="124">
      <formula>$AF73="Yes – needs PBI Dev to fix"</formula>
    </cfRule>
    <cfRule type="expression" dxfId="128" priority="21">
      <formula>$AJ73="Yes – needs DB Dev to fix"</formula>
    </cfRule>
  </conditionalFormatting>
  <conditionalFormatting sqref="Q101:R116 V101:V116 X101:X116">
    <cfRule type="expression" dxfId="127" priority="20">
      <formula>$AA101="Yes – needs QA to fix"</formula>
    </cfRule>
  </conditionalFormatting>
  <conditionalFormatting sqref="Q117:R528">
    <cfRule type="expression" dxfId="126" priority="579">
      <formula>$X117="Yes – needs QA to fix"</formula>
    </cfRule>
  </conditionalFormatting>
  <conditionalFormatting sqref="Q2:U64 U10:V19 X10:X19 J29 M29:P29 J32:J33 M32:P33 K40:K41 M40:P41 Q65 T65:U65 Q66:U115 V101:V115 X101:X116 Q116:V116">
    <cfRule type="expression" dxfId="125" priority="35">
      <formula>$AJ2="Yes – needs PBI Dev to fix"</formula>
    </cfRule>
  </conditionalFormatting>
  <conditionalFormatting sqref="R58">
    <cfRule type="expression" dxfId="124" priority="320">
      <formula>AND($B65&lt;&gt;"",MOD(ROW(),2)=0)</formula>
    </cfRule>
    <cfRule type="expression" dxfId="123" priority="322">
      <formula>$AJ65="Yes – needs PBI Dev to fix"</formula>
    </cfRule>
  </conditionalFormatting>
  <conditionalFormatting sqref="R60">
    <cfRule type="expression" dxfId="122" priority="12">
      <formula>AND($B67&lt;&gt;"",MOD(ROW(),2)=0)</formula>
    </cfRule>
    <cfRule type="expression" dxfId="121" priority="13">
      <formula>$AJ67="Yes – needs PBI Dev to fix"</formula>
    </cfRule>
  </conditionalFormatting>
  <conditionalFormatting sqref="R60:S60">
    <cfRule type="expression" dxfId="120" priority="10">
      <formula>AND($B67&lt;&gt;"",MOD(ROW(),2)=0)</formula>
    </cfRule>
    <cfRule type="expression" dxfId="119" priority="11">
      <formula>$AJ67="Yes – needs PBI Dev to fix"</formula>
    </cfRule>
  </conditionalFormatting>
  <conditionalFormatting sqref="R73:U100 T96:T101">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ISNUMBER(SEARCH("log it",$Z117))</formula>
    </cfRule>
    <cfRule type="expression" dxfId="110" priority="58">
      <formula>ISNUMBER(SEARCH("Move old",$Z117))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AA3">
    <cfRule type="expression" dxfId="106" priority="608">
      <formula>AND($B3&lt;&gt;"",MOD(ROW(),2)=0)</formula>
    </cfRule>
    <cfRule type="expression" dxfId="105" priority="609">
      <formula>$AJ3="Yes – needs DPO Approval to fix"</formula>
    </cfRule>
  </conditionalFormatting>
  <conditionalFormatting sqref="AA101:AA115 U116:AA116 U2:Z54 U55:X55 Z55 U56:Z58 U59:X59 Z59 U60:Z70 U71:W71 Z71 U72:Z116">
    <cfRule type="expression" dxfId="104" priority="18">
      <formula>$AJ2="Yes – needs QA to fix"</formula>
    </cfRule>
  </conditionalFormatting>
  <conditionalFormatting sqref="AA101:AA116">
    <cfRule type="expression" dxfId="103" priority="15">
      <formula>$AJ101="Yes – needs PBI Dev to fix"</formula>
    </cfRule>
    <cfRule type="expression" dxfId="102" priority="16">
      <formula>$AA101="Yes – needs QA to fix"</formula>
    </cfRule>
    <cfRule type="expression" dxfId="101" priority="17">
      <formula>$V101="Yes"</formula>
    </cfRule>
    <cfRule type="expression" dxfId="100" priority="374">
      <formula>LEFT($AA101,3)="Yes"</formula>
    </cfRule>
  </conditionalFormatting>
  <conditionalFormatting sqref="AA2:AE2 AB3:AE3 AA4:AE100">
    <cfRule type="expression" dxfId="99" priority="102">
      <formula>$AJ2="Yes – needs DPO Approval to fix"</formula>
    </cfRule>
  </conditionalFormatting>
  <conditionalFormatting sqref="AB101:AC116">
    <cfRule type="expression" dxfId="98" priority="384">
      <formula>ISNUMBER(SEARCH("log it",$AB101))</formula>
    </cfRule>
    <cfRule type="expression" dxfId="97" priority="385">
      <formula>ISNUMBER(SEARCH("Duplicate",$AB101))</formula>
    </cfRule>
    <cfRule type="expression" dxfId="96" priority="386">
      <formula>$AB101&lt;&gt;""</formula>
    </cfRule>
    <cfRule type="expression" dxfId="95" priority="382">
      <formula>ISNUMBER(SEARCH("Open rework",$AB101))</formula>
    </cfRule>
    <cfRule type="expression" dxfId="94" priority="383">
      <formula>ISNUMBER(SEARCH("Move old",$AB101))</formula>
    </cfRule>
  </conditionalFormatting>
  <conditionalFormatting sqref="AF2:AF116">
    <cfRule type="expression" dxfId="93" priority="74">
      <formula>$AF2="Yes"</formula>
    </cfRule>
  </conditionalFormatting>
  <conditionalFormatting sqref="AF73:AF100">
    <cfRule type="expression" dxfId="92" priority="132">
      <formula>LEFT($AF73,3)="Yes"</formula>
    </cfRule>
  </conditionalFormatting>
  <conditionalFormatting sqref="AG73:AG100">
    <cfRule type="expression" dxfId="91" priority="142">
      <formula>$AG73&lt;&gt;""</formula>
    </cfRule>
    <cfRule type="expression" dxfId="90" priority="141">
      <formula>ISNUMBER(SEARCH("Duplicate",$AG73))</formula>
    </cfRule>
    <cfRule type="expression" dxfId="89" priority="140">
      <formula>ISNUMBER(SEARCH("log it",$AG73))</formula>
    </cfRule>
    <cfRule type="expression" dxfId="88" priority="139">
      <formula>ISNUMBER(SEARCH("Move old",$AG73))</formula>
    </cfRule>
    <cfRule type="expression" dxfId="87" priority="138">
      <formula>ISNUMBER(SEARCH("Open rework",$AG73))</formula>
    </cfRule>
  </conditionalFormatting>
  <conditionalFormatting sqref="AJ2:AJ116">
    <cfRule type="expression" dxfId="86" priority="76">
      <formula>LEFT($AJ2,3)="Yes"</formula>
    </cfRule>
  </conditionalFormatting>
  <conditionalFormatting sqref="AK2:AK116">
    <cfRule type="expression" dxfId="85" priority="85">
      <formula>ISNUMBER(SEARCH("Duplicate",$AK2))</formula>
    </cfRule>
    <cfRule type="expression" dxfId="84" priority="84">
      <formula>ISNUMBER(SEARCH("Move old",$AK2))</formula>
    </cfRule>
    <cfRule type="expression" dxfId="83" priority="83">
      <formula>ISNUMBER(SEARCH("Open rework",$AK2))</formula>
    </cfRule>
    <cfRule type="expression" dxfId="82" priority="86">
      <formula>$AK2&lt;&gt;""</formula>
    </cfRule>
    <cfRule type="expression" dxfId="81" priority="82">
      <formula>ISNUMBER(SEARCH("log it",$AK2))</formula>
    </cfRule>
  </conditionalFormatting>
  <conditionalFormatting sqref="AL45:AL47">
    <cfRule type="expression" dxfId="80"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8" priority="19">
      <formula>AND($B5&lt;&gt;"",MOD(ROW(),2)=0)</formula>
    </cfRule>
  </conditionalFormatting>
  <conditionalFormatting sqref="A11:A13">
    <cfRule type="expression" dxfId="37" priority="16">
      <formula>AND($B11&lt;&gt;"",MOD(ROW(),2)=0)</formula>
    </cfRule>
  </conditionalFormatting>
  <conditionalFormatting sqref="A18">
    <cfRule type="expression" dxfId="36" priority="15">
      <formula>AND($B18&lt;&gt;"",MOD(ROW(),2)=0)</formula>
    </cfRule>
  </conditionalFormatting>
  <conditionalFormatting sqref="A22">
    <cfRule type="expression" dxfId="35" priority="13">
      <formula>AND($B22&lt;&gt;"",MOD(ROW(),2)=0)</formula>
    </cfRule>
  </conditionalFormatting>
  <conditionalFormatting sqref="A26:A27">
    <cfRule type="expression" dxfId="34" priority="11">
      <formula>AND($B26&lt;&gt;"",MOD(ROW(),2)=0)</formula>
    </cfRule>
  </conditionalFormatting>
  <conditionalFormatting sqref="A31">
    <cfRule type="expression" dxfId="33" priority="10">
      <formula>AND($B31&lt;&gt;"",MOD(ROW(),2)=0)</formula>
    </cfRule>
  </conditionalFormatting>
  <conditionalFormatting sqref="A36:A38">
    <cfRule type="expression" dxfId="32" priority="6">
      <formula>AND($B36&lt;&gt;"",MOD(ROW(),2)=0)</formula>
    </cfRule>
  </conditionalFormatting>
  <conditionalFormatting sqref="A43">
    <cfRule type="expression" dxfId="31" priority="4">
      <formula>AND($B43&lt;&gt;"",MOD(ROW(),2)=0)</formula>
    </cfRule>
  </conditionalFormatting>
  <conditionalFormatting sqref="A45:A46">
    <cfRule type="expression" dxfId="30" priority="1">
      <formula>AND($B45&lt;&gt;"",MOD(ROW(),2)=0)</formula>
    </cfRule>
  </conditionalFormatting>
  <conditionalFormatting sqref="A3:H3 K3:M3 A4:M4 M4:M11 B5:M8 A9:M10 B11:M13 A14:M17 B18:M18 A19:M21 B22:M22 A23:M25 B26:M27 A28:M28 A29:K30 M29:M30 B31:M31 A32:M35 B36:M38 A39:M42 B43:M43 A44:M44 B45:M46 A47:M498">
    <cfRule type="expression" dxfId="29" priority="29">
      <formula>AND($A3&lt;&gt;"",$G3="Yes")</formula>
    </cfRule>
    <cfRule type="expression" dxfId="28" priority="30">
      <formula>AND($A3&lt;&gt;"",$J3&lt;&gt;"")</formula>
    </cfRule>
    <cfRule type="expression" dxfId="27" priority="31">
      <formula>$A3&lt;&gt;""</formula>
    </cfRule>
  </conditionalFormatting>
  <conditionalFormatting sqref="C3:C198 G3:G198">
    <cfRule type="expression" dxfId="26" priority="32">
      <formula>$A3=""</formula>
    </cfRule>
  </conditionalFormatting>
  <conditionalFormatting sqref="K3:M3 A4:M4 M4:M11 B5:M8 A9:M10 B11:M13 A14:M17 B18:M18 A19:M21 B22:M22 A23:M25 B26:M27 A28:M28 M29:M30 B31:M31 A32:M35 B36:M38 A39:M42 B43:M43 A44:M44 B45:M46 A47:M498 A3:H3 A29:K30">
    <cfRule type="expression" dxfId="25" priority="28">
      <formula>AND($A3&lt;&gt;"",$G3="Did not pass re-test")</formula>
    </cfRule>
  </conditionalFormatting>
  <conditionalFormatting sqref="M3:M498">
    <cfRule type="expression" dxfId="24" priority="22">
      <formula>ISNUMBER(SEARCH("Sent back again",$M3))</formula>
    </cfRule>
    <cfRule type="expression" dxfId="23" priority="23">
      <formula>ISNUMBER(SEARCH("LATE",$M3))</formula>
    </cfRule>
    <cfRule type="expression" dxfId="22" priority="24">
      <formula>ISNUMBER(SEARCH("UNCLAIMED",$M3))</formula>
    </cfRule>
    <cfRule type="expression" dxfId="21" priority="25">
      <formula>ISNUMBER(SEARCH("Missing",$M3))</formula>
    </cfRule>
    <cfRule type="expression" dxfId="20" priority="26">
      <formula>ISNUMBER(SEARCH("Fixed in",$M3))</formula>
    </cfRule>
    <cfRule type="expression" dxfId="19" priority="27">
      <formula>ISNUMBER(SEARCH("Open",$M3))</formula>
    </cfRule>
  </conditionalFormatting>
  <conditionalFormatting sqref="N25">
    <cfRule type="expression" dxfId="18" priority="5">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439</v>
      </c>
      <c r="N17" t="s">
        <v>479</v>
      </c>
    </row>
    <row r="18" spans="13:14">
      <c r="M18" t="s">
        <v>228</v>
      </c>
      <c r="N18" t="s">
        <v>480</v>
      </c>
    </row>
    <row r="19" spans="13:14">
      <c r="M19" t="s">
        <v>198</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5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30 of 72</v>
      </c>
      <c r="C5" s="244" t="str">
        <f>IF(C7+E7=0,"No CMS reports are blocked.","reports are blocked. "&amp;C7&amp;" are approved and waiting for a production release, "&amp;E7&amp;" are blocked in build or QA.")</f>
        <v>reports are blocked. 26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26</v>
      </c>
      <c r="D7" s="246"/>
      <c r="E7" s="249" cm="1">
        <f t="array" ref="E7">COUNTIFS(cmsDom,"CMS",cmsBlocked,"Yes*",cmsStatus,"&lt;&gt;Ready for Release in Prod",cmsStatus,"&lt;&gt;RELEASED IN PROD")</f>
        <v>4</v>
      </c>
      <c r="F7" s="250"/>
      <c r="G7" s="251" cm="1">
        <f t="array" ref="G7">SUM(COUNTIFS(cmsDom,"CMS",cmsBlocked,"&lt;&gt;Yes*",cmsStatus,{"DB Dev","PBI Dev","QA","DPO Approval"}))</f>
        <v>25</v>
      </c>
      <c r="H7" s="252"/>
      <c r="I7" s="253" cm="1">
        <f t="array" ref="I7">COUNTIFS(cmsDom,"CMS",cmsBlocked,"&lt;&gt;Yes*",cmsStatus,"NOT STARTED")</f>
        <v>17</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26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5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6</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25 days to milestone, 3 blocked</v>
      </c>
      <c r="N14" s="232"/>
      <c r="O14" s="233"/>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56 days to milestone, 1 blocked</v>
      </c>
      <c r="N15" s="232"/>
      <c r="O15" s="233"/>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87 days to milestone</v>
      </c>
      <c r="N16" s="235"/>
      <c r="O16" s="236"/>
      <c r="P16" s="171"/>
      <c r="Q16" s="171"/>
      <c r="R16" s="171"/>
      <c r="S16" s="171"/>
      <c r="T16" s="171"/>
      <c r="U16" s="171"/>
      <c r="V16" s="171"/>
      <c r="W16" s="171"/>
      <c r="X16" s="171"/>
      <c r="Y16" s="171"/>
      <c r="Z16" s="171"/>
    </row>
    <row r="17" spans="1:26" ht="24" customHeight="1">
      <c r="A17" s="171"/>
      <c r="B17" s="186" t="s">
        <v>498</v>
      </c>
      <c r="C17" s="198">
        <f t="shared" ref="C17:K17" si="0">SUM(C12:C16)</f>
        <v>26</v>
      </c>
      <c r="D17" s="198">
        <f t="shared" si="0"/>
        <v>4</v>
      </c>
      <c r="E17" s="198">
        <f t="shared" si="0"/>
        <v>8</v>
      </c>
      <c r="F17" s="198">
        <f t="shared" si="0"/>
        <v>4</v>
      </c>
      <c r="G17" s="198">
        <f t="shared" si="0"/>
        <v>8</v>
      </c>
      <c r="H17" s="198">
        <f t="shared" si="0"/>
        <v>5</v>
      </c>
      <c r="I17" s="198">
        <f t="shared" si="0"/>
        <v>17</v>
      </c>
      <c r="J17" s="198">
        <f t="shared" si="0"/>
        <v>0</v>
      </c>
      <c r="K17" s="198">
        <f t="shared" si="0"/>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No</v>
      </c>
      <c r="F95" s="202" t="str">
        <v>Fetwi</v>
      </c>
      <c r="G95" s="202" t="str">
        <v>Navya</v>
      </c>
      <c r="H95" s="202" t="str">
        <v>Preety</v>
      </c>
      <c r="I95" s="202" t="str">
        <v>Zishan Momin</v>
      </c>
      <c r="J95" s="213">
        <v>46259</v>
      </c>
      <c r="K95" s="213">
        <v>46281</v>
      </c>
      <c r="L95" s="213">
        <v>46293</v>
      </c>
      <c r="M95" s="213">
        <v>46297</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 t="shared" ref="E2:E33" si="0">IF(C2="Ready for Release in Prod","Blocked in Prod",IF(C2="RELEASED IN PROD","Released",IF(LEFT(D2,3)="Yes","Blocked - Build/QA",IF(C2="NOT STARTED","Not Started",C2))))</f>
        <v>Blocked in Prod</v>
      </c>
    </row>
    <row r="3" spans="1:5">
      <c r="A3" t="s">
        <v>134</v>
      </c>
      <c r="B3" t="s">
        <v>130</v>
      </c>
      <c r="C3" t="s">
        <v>128</v>
      </c>
      <c r="D3" t="s">
        <v>333</v>
      </c>
      <c r="E3" t="str">
        <f t="shared" si="0"/>
        <v>Blocked in Prod</v>
      </c>
    </row>
    <row r="4" spans="1:5">
      <c r="A4" t="s">
        <v>136</v>
      </c>
      <c r="B4" t="s">
        <v>130</v>
      </c>
      <c r="C4" t="s">
        <v>128</v>
      </c>
      <c r="D4" t="s">
        <v>333</v>
      </c>
      <c r="E4" t="str">
        <f t="shared" si="0"/>
        <v>Blocked in Prod</v>
      </c>
    </row>
    <row r="5" spans="1:5">
      <c r="A5" t="s">
        <v>138</v>
      </c>
      <c r="B5" t="s">
        <v>130</v>
      </c>
      <c r="C5" t="s">
        <v>128</v>
      </c>
      <c r="D5" t="s">
        <v>333</v>
      </c>
      <c r="E5" t="str">
        <f t="shared" si="0"/>
        <v>Blocked in Prod</v>
      </c>
    </row>
    <row r="6" spans="1:5">
      <c r="A6" t="s">
        <v>140</v>
      </c>
      <c r="B6" t="s">
        <v>130</v>
      </c>
      <c r="C6" t="s">
        <v>128</v>
      </c>
      <c r="D6" t="s">
        <v>333</v>
      </c>
      <c r="E6" t="str">
        <f t="shared" si="0"/>
        <v>Blocked in Prod</v>
      </c>
    </row>
    <row r="7" spans="1:5">
      <c r="A7" t="s">
        <v>142</v>
      </c>
      <c r="B7" t="s">
        <v>130</v>
      </c>
      <c r="C7" t="s">
        <v>128</v>
      </c>
      <c r="D7" t="s">
        <v>333</v>
      </c>
      <c r="E7" t="str">
        <f t="shared" si="0"/>
        <v>Blocked in Prod</v>
      </c>
    </row>
    <row r="8" spans="1:5">
      <c r="A8" t="s">
        <v>145</v>
      </c>
      <c r="B8" t="s">
        <v>130</v>
      </c>
      <c r="C8" t="s">
        <v>128</v>
      </c>
      <c r="D8" t="s">
        <v>333</v>
      </c>
      <c r="E8" t="str">
        <f t="shared" si="0"/>
        <v>Blocked in Prod</v>
      </c>
    </row>
    <row r="9" spans="1:5">
      <c r="A9" t="s">
        <v>148</v>
      </c>
      <c r="B9" t="s">
        <v>130</v>
      </c>
      <c r="C9" t="s">
        <v>128</v>
      </c>
      <c r="D9" t="s">
        <v>333</v>
      </c>
      <c r="E9" t="str">
        <f t="shared" si="0"/>
        <v>Blocked in Prod</v>
      </c>
    </row>
    <row r="10" spans="1:5">
      <c r="A10" t="s">
        <v>149</v>
      </c>
      <c r="B10" t="s">
        <v>130</v>
      </c>
      <c r="C10" t="s">
        <v>128</v>
      </c>
      <c r="D10" t="s">
        <v>333</v>
      </c>
      <c r="E10" t="str">
        <f t="shared" si="0"/>
        <v>Blocked in Prod</v>
      </c>
    </row>
    <row r="11" spans="1:5">
      <c r="A11" t="s">
        <v>152</v>
      </c>
      <c r="B11" t="s">
        <v>130</v>
      </c>
      <c r="C11" t="s">
        <v>128</v>
      </c>
      <c r="D11" t="s">
        <v>333</v>
      </c>
      <c r="E11" t="str">
        <f t="shared" si="0"/>
        <v>Blocked in Prod</v>
      </c>
    </row>
    <row r="12" spans="1:5">
      <c r="A12" t="s">
        <v>155</v>
      </c>
      <c r="B12" t="s">
        <v>130</v>
      </c>
      <c r="C12" t="s">
        <v>128</v>
      </c>
      <c r="D12" t="s">
        <v>333</v>
      </c>
      <c r="E12" t="str">
        <f t="shared" si="0"/>
        <v>Blocked in Prod</v>
      </c>
    </row>
    <row r="13" spans="1:5">
      <c r="A13" t="s">
        <v>157</v>
      </c>
      <c r="B13" t="s">
        <v>130</v>
      </c>
      <c r="C13" t="s">
        <v>128</v>
      </c>
      <c r="D13" t="s">
        <v>333</v>
      </c>
      <c r="E13" t="str">
        <f t="shared" si="0"/>
        <v>Blocked in Prod</v>
      </c>
    </row>
    <row r="14" spans="1:5">
      <c r="A14" t="s">
        <v>159</v>
      </c>
      <c r="B14" t="s">
        <v>130</v>
      </c>
      <c r="C14" t="s">
        <v>128</v>
      </c>
      <c r="D14" t="s">
        <v>333</v>
      </c>
      <c r="E14" t="str">
        <f t="shared" si="0"/>
        <v>Blocked in Prod</v>
      </c>
    </row>
    <row r="15" spans="1:5">
      <c r="A15" t="s">
        <v>161</v>
      </c>
      <c r="B15" t="s">
        <v>130</v>
      </c>
      <c r="C15" t="s">
        <v>128</v>
      </c>
      <c r="D15" t="s">
        <v>333</v>
      </c>
      <c r="E15" t="str">
        <f t="shared" si="0"/>
        <v>Blocked in Prod</v>
      </c>
    </row>
    <row r="16" spans="1:5">
      <c r="A16" t="s">
        <v>164</v>
      </c>
      <c r="B16" t="s">
        <v>166</v>
      </c>
      <c r="C16" t="s">
        <v>203</v>
      </c>
      <c r="D16" t="s">
        <v>464</v>
      </c>
      <c r="E16" t="str">
        <f t="shared" si="0"/>
        <v>Blocked - Build/QA</v>
      </c>
    </row>
    <row r="17" spans="1:5">
      <c r="A17" t="s">
        <v>169</v>
      </c>
      <c r="B17" t="s">
        <v>166</v>
      </c>
      <c r="C17" t="s">
        <v>128</v>
      </c>
      <c r="D17" t="s">
        <v>333</v>
      </c>
      <c r="E17" t="str">
        <f t="shared" si="0"/>
        <v>Blocked in Prod</v>
      </c>
    </row>
    <row r="18" spans="1:5">
      <c r="A18" t="s">
        <v>172</v>
      </c>
      <c r="B18" t="s">
        <v>166</v>
      </c>
      <c r="C18" t="s">
        <v>128</v>
      </c>
      <c r="D18" t="s">
        <v>333</v>
      </c>
      <c r="E18" t="str">
        <f t="shared" si="0"/>
        <v>Blocked in Prod</v>
      </c>
    </row>
    <row r="19" spans="1:5">
      <c r="A19" t="s">
        <v>174</v>
      </c>
      <c r="B19" t="s">
        <v>166</v>
      </c>
      <c r="C19" t="s">
        <v>128</v>
      </c>
      <c r="D19" t="s">
        <v>333</v>
      </c>
      <c r="E19" t="str">
        <f t="shared" si="0"/>
        <v>Blocked in Prod</v>
      </c>
    </row>
    <row r="20" spans="1:5">
      <c r="A20" t="s">
        <v>176</v>
      </c>
      <c r="B20" t="s">
        <v>166</v>
      </c>
      <c r="C20" t="s">
        <v>128</v>
      </c>
      <c r="D20" t="s">
        <v>333</v>
      </c>
      <c r="E20" t="str">
        <f t="shared" si="0"/>
        <v>Blocked in Prod</v>
      </c>
    </row>
    <row r="21" spans="1:5">
      <c r="A21" t="s">
        <v>178</v>
      </c>
      <c r="B21" t="s">
        <v>166</v>
      </c>
      <c r="C21" t="s">
        <v>128</v>
      </c>
      <c r="D21" t="s">
        <v>333</v>
      </c>
      <c r="E21" t="str">
        <f t="shared" si="0"/>
        <v>Blocked in Prod</v>
      </c>
    </row>
    <row r="22" spans="1:5">
      <c r="A22" t="s">
        <v>180</v>
      </c>
      <c r="B22" t="s">
        <v>166</v>
      </c>
      <c r="C22" t="s">
        <v>181</v>
      </c>
      <c r="D22" t="s">
        <v>53</v>
      </c>
      <c r="E22" t="str">
        <f t="shared" si="0"/>
        <v>DPO Approval</v>
      </c>
    </row>
    <row r="23" spans="1:5">
      <c r="A23" t="s">
        <v>182</v>
      </c>
      <c r="B23" t="s">
        <v>166</v>
      </c>
      <c r="C23" t="s">
        <v>128</v>
      </c>
      <c r="D23" t="s">
        <v>333</v>
      </c>
      <c r="E23" t="str">
        <f t="shared" si="0"/>
        <v>Blocked in Prod</v>
      </c>
    </row>
    <row r="24" spans="1:5">
      <c r="A24" t="s">
        <v>183</v>
      </c>
      <c r="B24" t="s">
        <v>166</v>
      </c>
      <c r="C24" t="s">
        <v>128</v>
      </c>
      <c r="D24" t="s">
        <v>333</v>
      </c>
      <c r="E24" t="str">
        <f t="shared" si="0"/>
        <v>Blocked in Prod</v>
      </c>
    </row>
    <row r="25" spans="1:5">
      <c r="A25" t="s">
        <v>185</v>
      </c>
      <c r="B25" t="s">
        <v>166</v>
      </c>
      <c r="C25" t="s">
        <v>181</v>
      </c>
      <c r="D25" t="s">
        <v>53</v>
      </c>
      <c r="E25" t="str">
        <f t="shared" si="0"/>
        <v>DPO Approval</v>
      </c>
    </row>
    <row r="26" spans="1:5">
      <c r="A26" t="s">
        <v>188</v>
      </c>
      <c r="B26" t="s">
        <v>166</v>
      </c>
      <c r="C26" t="s">
        <v>128</v>
      </c>
      <c r="D26" t="s">
        <v>333</v>
      </c>
      <c r="E26" t="str">
        <f t="shared" si="0"/>
        <v>Blocked in Prod</v>
      </c>
    </row>
    <row r="27" spans="1:5">
      <c r="A27" t="s">
        <v>189</v>
      </c>
      <c r="B27" t="s">
        <v>166</v>
      </c>
      <c r="C27" t="s">
        <v>128</v>
      </c>
      <c r="D27" t="s">
        <v>333</v>
      </c>
      <c r="E27" t="str">
        <f t="shared" si="0"/>
        <v>Blocked in Prod</v>
      </c>
    </row>
    <row r="28" spans="1:5">
      <c r="A28" t="s">
        <v>191</v>
      </c>
      <c r="B28" t="s">
        <v>192</v>
      </c>
      <c r="C28" t="s">
        <v>181</v>
      </c>
      <c r="D28" t="s">
        <v>53</v>
      </c>
      <c r="E28" t="str">
        <f t="shared" si="0"/>
        <v>DPO Approval</v>
      </c>
    </row>
    <row r="29" spans="1:5">
      <c r="A29" t="s">
        <v>197</v>
      </c>
      <c r="B29" t="s">
        <v>192</v>
      </c>
      <c r="C29" t="s">
        <v>181</v>
      </c>
      <c r="D29" t="s">
        <v>53</v>
      </c>
      <c r="E29" t="str">
        <f t="shared" si="0"/>
        <v>DPO Approval</v>
      </c>
    </row>
    <row r="30" spans="1:5">
      <c r="A30" t="s">
        <v>201</v>
      </c>
      <c r="B30" t="s">
        <v>192</v>
      </c>
      <c r="C30" t="s">
        <v>128</v>
      </c>
      <c r="D30" t="s">
        <v>333</v>
      </c>
      <c r="E30" t="str">
        <f t="shared" si="0"/>
        <v>Blocked in Prod</v>
      </c>
    </row>
    <row r="31" spans="1:5">
      <c r="A31" t="s">
        <v>202</v>
      </c>
      <c r="B31" t="s">
        <v>192</v>
      </c>
      <c r="C31" t="s">
        <v>203</v>
      </c>
      <c r="D31" t="s">
        <v>204</v>
      </c>
      <c r="E31" t="str">
        <f t="shared" si="0"/>
        <v>Blocked - Build/QA</v>
      </c>
    </row>
    <row r="32" spans="1:5">
      <c r="A32" t="s">
        <v>206</v>
      </c>
      <c r="B32" t="s">
        <v>192</v>
      </c>
      <c r="C32" t="s">
        <v>181</v>
      </c>
      <c r="D32" t="s">
        <v>53</v>
      </c>
      <c r="E32" t="str">
        <f t="shared" si="0"/>
        <v>DPO Approval</v>
      </c>
    </row>
    <row r="33" spans="1:5">
      <c r="A33" t="s">
        <v>208</v>
      </c>
      <c r="B33" t="s">
        <v>192</v>
      </c>
      <c r="C33" t="s">
        <v>128</v>
      </c>
      <c r="D33" t="s">
        <v>333</v>
      </c>
      <c r="E33" t="str">
        <f t="shared" si="0"/>
        <v>Blocked in Prod</v>
      </c>
    </row>
    <row r="34" spans="1:5">
      <c r="A34" t="s">
        <v>210</v>
      </c>
      <c r="B34" t="s">
        <v>192</v>
      </c>
      <c r="C34" t="s">
        <v>181</v>
      </c>
      <c r="D34" t="s">
        <v>217</v>
      </c>
      <c r="E34" t="str">
        <f t="shared" ref="E34:E65" si="1">IF(C34="Ready for Release in Prod","Blocked in Prod",IF(C34="RELEASED IN PROD","Released",IF(LEFT(D34,3)="Yes","Blocked - Build/QA",IF(C34="NOT STARTED","Not Started",C34))))</f>
        <v>Blocked - Build/QA</v>
      </c>
    </row>
    <row r="35" spans="1:5">
      <c r="A35" t="s">
        <v>213</v>
      </c>
      <c r="B35" t="s">
        <v>192</v>
      </c>
      <c r="C35" t="s">
        <v>181</v>
      </c>
      <c r="D35" t="s">
        <v>53</v>
      </c>
      <c r="E35" t="str">
        <f t="shared" si="1"/>
        <v>DPO Approval</v>
      </c>
    </row>
    <row r="36" spans="1:5">
      <c r="A36" t="s">
        <v>215</v>
      </c>
      <c r="B36" t="s">
        <v>192</v>
      </c>
      <c r="C36" t="s">
        <v>219</v>
      </c>
      <c r="D36" t="s">
        <v>53</v>
      </c>
      <c r="E36" t="str">
        <f t="shared" si="1"/>
        <v>QA</v>
      </c>
    </row>
    <row r="37" spans="1:5">
      <c r="A37" t="s">
        <v>218</v>
      </c>
      <c r="B37" t="s">
        <v>192</v>
      </c>
      <c r="C37" t="s">
        <v>219</v>
      </c>
      <c r="D37" t="s">
        <v>53</v>
      </c>
      <c r="E37" t="str">
        <f t="shared" si="1"/>
        <v>QA</v>
      </c>
    </row>
    <row r="38" spans="1:5">
      <c r="A38" t="s">
        <v>221</v>
      </c>
      <c r="B38" t="s">
        <v>192</v>
      </c>
      <c r="C38" t="s">
        <v>181</v>
      </c>
      <c r="D38" t="s">
        <v>53</v>
      </c>
      <c r="E38" t="str">
        <f t="shared" si="1"/>
        <v>DPO Approval</v>
      </c>
    </row>
    <row r="39" spans="1:5">
      <c r="A39" t="s">
        <v>222</v>
      </c>
      <c r="B39" t="s">
        <v>192</v>
      </c>
      <c r="C39" t="s">
        <v>203</v>
      </c>
      <c r="D39" t="s">
        <v>53</v>
      </c>
      <c r="E39" t="str">
        <f t="shared" si="1"/>
        <v>PBI Dev</v>
      </c>
    </row>
    <row r="40" spans="1:5">
      <c r="A40" t="s">
        <v>223</v>
      </c>
      <c r="B40" t="s">
        <v>192</v>
      </c>
      <c r="C40" t="s">
        <v>156</v>
      </c>
      <c r="D40" t="s">
        <v>53</v>
      </c>
      <c r="E40" t="str">
        <f t="shared" si="1"/>
        <v>DB Dev</v>
      </c>
    </row>
    <row r="41" spans="1:5">
      <c r="A41" t="s">
        <v>227</v>
      </c>
      <c r="B41" t="s">
        <v>192</v>
      </c>
      <c r="C41" t="s">
        <v>203</v>
      </c>
      <c r="D41" t="s">
        <v>53</v>
      </c>
      <c r="E41" t="str">
        <f t="shared" si="1"/>
        <v>PBI Dev</v>
      </c>
    </row>
    <row r="42" spans="1:5">
      <c r="A42" t="s">
        <v>232</v>
      </c>
      <c r="B42" t="s">
        <v>192</v>
      </c>
      <c r="C42" t="s">
        <v>233</v>
      </c>
      <c r="D42" t="s">
        <v>53</v>
      </c>
      <c r="E42" t="str">
        <f t="shared" si="1"/>
        <v>Not Started</v>
      </c>
    </row>
    <row r="43" spans="1:5">
      <c r="A43" t="s">
        <v>236</v>
      </c>
      <c r="B43" t="s">
        <v>192</v>
      </c>
      <c r="C43" t="s">
        <v>203</v>
      </c>
      <c r="D43" t="s">
        <v>204</v>
      </c>
      <c r="E43" t="str">
        <f t="shared" si="1"/>
        <v>Blocked - Build/QA</v>
      </c>
    </row>
    <row r="44" spans="1:5">
      <c r="A44" t="s">
        <v>238</v>
      </c>
      <c r="B44" t="s">
        <v>192</v>
      </c>
      <c r="C44" t="s">
        <v>181</v>
      </c>
      <c r="D44" t="s">
        <v>53</v>
      </c>
      <c r="E44" t="str">
        <f t="shared" si="1"/>
        <v>DPO Approval</v>
      </c>
    </row>
    <row r="45" spans="1:5">
      <c r="A45" t="s">
        <v>241</v>
      </c>
      <c r="B45" t="s">
        <v>192</v>
      </c>
      <c r="C45" t="s">
        <v>203</v>
      </c>
      <c r="D45" t="s">
        <v>53</v>
      </c>
      <c r="E45" t="str">
        <f t="shared" si="1"/>
        <v>PBI Dev</v>
      </c>
    </row>
    <row r="46" spans="1:5">
      <c r="A46" t="s">
        <v>242</v>
      </c>
      <c r="B46" t="s">
        <v>243</v>
      </c>
      <c r="C46" t="s">
        <v>219</v>
      </c>
      <c r="E46" t="str">
        <f t="shared" si="1"/>
        <v>QA</v>
      </c>
    </row>
    <row r="47" spans="1:5">
      <c r="A47" t="s">
        <v>246</v>
      </c>
      <c r="B47" t="s">
        <v>243</v>
      </c>
      <c r="C47" t="s">
        <v>203</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203</v>
      </c>
      <c r="D51" t="s">
        <v>217</v>
      </c>
      <c r="E51" t="str">
        <f t="shared" si="1"/>
        <v>Blocked - Build/QA</v>
      </c>
    </row>
    <row r="52" spans="1:5">
      <c r="A52" t="s">
        <v>254</v>
      </c>
      <c r="B52" t="s">
        <v>243</v>
      </c>
      <c r="C52" t="s">
        <v>203</v>
      </c>
      <c r="E52" t="str">
        <f t="shared" si="1"/>
        <v>PBI Dev</v>
      </c>
    </row>
    <row r="53" spans="1:5">
      <c r="A53" t="s">
        <v>258</v>
      </c>
      <c r="B53" t="s">
        <v>243</v>
      </c>
      <c r="C53" t="s">
        <v>233</v>
      </c>
      <c r="E53" t="str">
        <f t="shared" si="1"/>
        <v>Not Started</v>
      </c>
    </row>
    <row r="54" spans="1:5">
      <c r="A54" t="s">
        <v>259</v>
      </c>
      <c r="B54" t="s">
        <v>243</v>
      </c>
      <c r="C54" t="s">
        <v>233</v>
      </c>
      <c r="E54" t="str">
        <f t="shared" si="1"/>
        <v>Not Started</v>
      </c>
    </row>
    <row r="55" spans="1:5">
      <c r="A55" t="s">
        <v>260</v>
      </c>
      <c r="B55" t="s">
        <v>243</v>
      </c>
      <c r="C55" t="s">
        <v>156</v>
      </c>
      <c r="E55" t="str">
        <f t="shared" si="1"/>
        <v>DB Dev</v>
      </c>
    </row>
    <row r="56" spans="1:5">
      <c r="A56" t="s">
        <v>263</v>
      </c>
      <c r="B56" t="s">
        <v>243</v>
      </c>
      <c r="C56" t="s">
        <v>203</v>
      </c>
      <c r="E56" t="str">
        <f t="shared" si="1"/>
        <v>PBI Dev</v>
      </c>
    </row>
    <row r="57" spans="1:5">
      <c r="A57" t="s">
        <v>265</v>
      </c>
      <c r="B57" t="s">
        <v>243</v>
      </c>
      <c r="C57" t="s">
        <v>203</v>
      </c>
      <c r="E57" t="str">
        <f t="shared" si="1"/>
        <v>PBI Dev</v>
      </c>
    </row>
    <row r="58" spans="1:5">
      <c r="A58" t="s">
        <v>266</v>
      </c>
      <c r="B58" t="s">
        <v>243</v>
      </c>
      <c r="C58" t="s">
        <v>233</v>
      </c>
      <c r="E58" t="str">
        <f t="shared" si="1"/>
        <v>Not Started</v>
      </c>
    </row>
    <row r="59" spans="1:5">
      <c r="A59" t="s">
        <v>268</v>
      </c>
      <c r="B59" t="s">
        <v>269</v>
      </c>
      <c r="C59" t="s">
        <v>233</v>
      </c>
      <c r="E59" t="str">
        <f t="shared" si="1"/>
        <v>Not Started</v>
      </c>
    </row>
    <row r="60" spans="1:5">
      <c r="A60" t="s">
        <v>272</v>
      </c>
      <c r="B60" t="s">
        <v>269</v>
      </c>
      <c r="C60" t="s">
        <v>233</v>
      </c>
      <c r="E60" t="str">
        <f t="shared" si="1"/>
        <v>Not Started</v>
      </c>
    </row>
    <row r="61" spans="1:5">
      <c r="A61" t="s">
        <v>273</v>
      </c>
      <c r="B61" t="s">
        <v>269</v>
      </c>
      <c r="C61" t="s">
        <v>233</v>
      </c>
      <c r="E61" t="str">
        <f t="shared" si="1"/>
        <v>Not Started</v>
      </c>
    </row>
    <row r="62" spans="1:5">
      <c r="A62" t="s">
        <v>275</v>
      </c>
      <c r="B62" t="s">
        <v>269</v>
      </c>
      <c r="C62" t="s">
        <v>233</v>
      </c>
      <c r="E62" t="str">
        <f t="shared" si="1"/>
        <v>Not Started</v>
      </c>
    </row>
    <row r="63" spans="1:5">
      <c r="A63" t="s">
        <v>276</v>
      </c>
      <c r="B63" t="s">
        <v>269</v>
      </c>
      <c r="C63" t="s">
        <v>233</v>
      </c>
      <c r="E63" t="str">
        <f t="shared" si="1"/>
        <v>Not Started</v>
      </c>
    </row>
    <row r="64" spans="1:5">
      <c r="A64" t="s">
        <v>278</v>
      </c>
      <c r="B64" t="s">
        <v>269</v>
      </c>
      <c r="C64" t="s">
        <v>233</v>
      </c>
      <c r="E64" t="str">
        <f t="shared" si="1"/>
        <v>Not Started</v>
      </c>
    </row>
    <row r="65" spans="1:5">
      <c r="A65" t="s">
        <v>280</v>
      </c>
      <c r="B65" t="s">
        <v>269</v>
      </c>
      <c r="C65" t="s">
        <v>233</v>
      </c>
      <c r="E65" t="str">
        <f t="shared" si="1"/>
        <v>Not Started</v>
      </c>
    </row>
    <row r="66" spans="1:5">
      <c r="A66" t="s">
        <v>282</v>
      </c>
      <c r="B66" t="s">
        <v>269</v>
      </c>
      <c r="C66" t="s">
        <v>233</v>
      </c>
      <c r="E66" t="str">
        <f t="shared" ref="E66:E97" si="2">IF(C66="Ready for Release in Prod","Blocked in Prod",IF(C66="RELEASED IN PROD","Released",IF(LEFT(D66,3)="Yes","Blocked - Build/QA",IF(C66="NOT STARTED","Not Started",C66))))</f>
        <v>Not Started</v>
      </c>
    </row>
    <row r="67" spans="1:5">
      <c r="A67" t="s">
        <v>284</v>
      </c>
      <c r="B67" t="s">
        <v>269</v>
      </c>
      <c r="C67" t="s">
        <v>233</v>
      </c>
      <c r="E67" t="str">
        <f t="shared" si="2"/>
        <v>Not Started</v>
      </c>
    </row>
    <row r="68" spans="1:5">
      <c r="A68" t="s">
        <v>285</v>
      </c>
      <c r="B68" t="s">
        <v>269</v>
      </c>
      <c r="C68" t="s">
        <v>233</v>
      </c>
      <c r="E68" t="str">
        <f t="shared" si="2"/>
        <v>Not Started</v>
      </c>
    </row>
    <row r="69" spans="1:5">
      <c r="A69" t="s">
        <v>288</v>
      </c>
      <c r="B69" t="s">
        <v>269</v>
      </c>
      <c r="C69" t="s">
        <v>233</v>
      </c>
      <c r="E69" t="str">
        <f t="shared" si="2"/>
        <v>Not Started</v>
      </c>
    </row>
    <row r="70" spans="1:5">
      <c r="A70" t="s">
        <v>290</v>
      </c>
      <c r="B70" t="s">
        <v>269</v>
      </c>
      <c r="C70" t="s">
        <v>233</v>
      </c>
      <c r="E70" t="str">
        <f t="shared" si="2"/>
        <v>Not Started</v>
      </c>
    </row>
    <row r="71" spans="1:5">
      <c r="A71" t="s">
        <v>293</v>
      </c>
      <c r="B71" t="s">
        <v>269</v>
      </c>
      <c r="C71" t="s">
        <v>233</v>
      </c>
      <c r="E71" t="str">
        <f t="shared" si="2"/>
        <v>Not Started</v>
      </c>
    </row>
    <row r="72" spans="1:5">
      <c r="A72" t="s">
        <v>294</v>
      </c>
      <c r="B72" t="s">
        <v>269</v>
      </c>
      <c r="C72" t="s">
        <v>233</v>
      </c>
      <c r="E72" t="str">
        <f t="shared" si="2"/>
        <v>Not Started</v>
      </c>
    </row>
    <row r="73" spans="1:5">
      <c r="A73" t="s">
        <v>297</v>
      </c>
      <c r="B73" t="s">
        <v>269</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2026-10-05T16:14:47Z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