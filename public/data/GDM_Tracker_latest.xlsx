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54" documentId="13_ncr:1_{52745E9B-3AA1-4770-AAD3-E6166BFC13AE}" xr6:coauthVersionLast="47" xr6:coauthVersionMax="47" xr10:uidLastSave="{109E86FD-4C60-484D-99B3-B6CA39DA512F}"/>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<sst xmlns="http://schemas.openxmlformats.org/spreadsheetml/2006/main" count="3642" uniqueCount="523">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</sst>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filterColumn colId="15">
      <filters>
        <filter val="Shraddha"/>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E101" activePane="bottomLeft" state="frozen"/>
      <selection pane="bottomLeft" activeCell="F103" sqref="F103"/>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65</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W72:Y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M94 K2: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40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26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20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12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22" t="str">
        <f ca="1">"As of "&amp;TEXT(TODAY(),"d mmm yyyy")&amp;". Live from Combined Delivery Data."</f>
        <v>As of 12 Oct 2026. Live from Combined Delivery Data.</v>
      </c>
      <c r="N2" s="222"/>
      <c r="O2" s="222"/>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23" t="str">
        <f>IF(C7+E7=0,"No CMS reports are blocked.","reports are blocked. "&amp;C7&amp;" are approved and waiting for a production release, "&amp;E7&amp;" are blocked in build or QA.")</f>
        <v>reports are blocked. 28 are approved and waiting for a production release, 5 are blocked in build or QA.</v>
      </c>
      <c r="D5" s="223"/>
      <c r="E5" s="223"/>
      <c r="F5" s="223"/>
      <c r="G5" s="223"/>
      <c r="H5" s="223"/>
      <c r="I5" s="223"/>
      <c r="J5" s="223"/>
      <c r="K5" s="223"/>
      <c r="L5" s="223"/>
      <c r="M5" s="223"/>
      <c r="N5" s="223"/>
      <c r="O5" s="223"/>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4" cm="1">
        <f t="array" ref="C7">COUNTIFS(cmsDom,"CMS",cmsStatus,"Ready for Release in Prod")</f>
        <v>28</v>
      </c>
      <c r="D7" s="225"/>
      <c r="E7" s="228" cm="1">
        <f t="array" ref="E7">COUNTIFS(cmsDom,"CMS",cmsBlocked,"Yes*",cmsStatus,"&lt;&gt;Ready for Release in Prod",cmsStatus,"&lt;&gt;RELEASED IN PROD")</f>
        <v>5</v>
      </c>
      <c r="F7" s="229"/>
      <c r="G7" s="230" cm="1">
        <f t="array" ref="G7">SUM(COUNTIFS(cmsDom,"CMS",cmsBlocked,"&lt;&gt;Yes*",cmsStatus,{"DB Dev","PBI Dev","QA","DPO Approval"}))</f>
        <v>24</v>
      </c>
      <c r="H7" s="231"/>
      <c r="I7" s="232" cm="1">
        <f t="array" ref="I7">COUNTIFS(cmsDom,"CMS",cmsBlocked,"&lt;&gt;Yes*",cmsStatus,"NOT STARTED")</f>
        <v>14</v>
      </c>
      <c r="J7" s="233"/>
      <c r="K7" s="234" cm="1">
        <f t="array" ref="K7">COUNTIFS(cmsDom,"CMS",cmsStatus,"RELEASED IN PROD")</f>
        <v>1</v>
      </c>
      <c r="L7" s="235"/>
      <c r="M7" s="236" t="s">
        <v>484</v>
      </c>
      <c r="N7" s="237"/>
      <c r="O7" s="238"/>
      <c r="P7" s="142"/>
      <c r="Q7" s="142"/>
      <c r="R7" s="142"/>
      <c r="S7" s="142"/>
      <c r="T7" s="142"/>
      <c r="U7" s="142"/>
      <c r="V7" s="142"/>
      <c r="W7" s="142"/>
      <c r="X7" s="142"/>
      <c r="Y7" s="142"/>
      <c r="Z7" s="142"/>
    </row>
    <row r="8" spans="1:26" ht="30" customHeight="1">
      <c r="A8" s="142"/>
      <c r="B8" s="142"/>
      <c r="C8" s="226" t="s">
        <v>485</v>
      </c>
      <c r="D8" s="227"/>
      <c r="E8" s="226" t="s">
        <v>486</v>
      </c>
      <c r="F8" s="227"/>
      <c r="G8" s="226" t="s">
        <v>487</v>
      </c>
      <c r="H8" s="227"/>
      <c r="I8" s="226" t="s">
        <v>488</v>
      </c>
      <c r="J8" s="227"/>
      <c r="K8" s="226" t="s">
        <v>489</v>
      </c>
      <c r="L8" s="227"/>
      <c r="M8" s="22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7"/>
      <c r="O8" s="239"/>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46" t="s">
        <v>491</v>
      </c>
      <c r="D10" s="246"/>
      <c r="E10" s="246"/>
      <c r="F10" s="246"/>
      <c r="G10" s="246"/>
      <c r="H10" s="246"/>
      <c r="I10" s="246"/>
      <c r="J10" s="246"/>
      <c r="K10" s="246"/>
      <c r="L10" s="246"/>
      <c r="M10" s="246"/>
      <c r="N10" s="246"/>
      <c r="O10" s="246"/>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7" t="s">
        <v>498</v>
      </c>
      <c r="N11" s="248"/>
      <c r="O11" s="24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0" t="str">
        <f ca="1">IF($K12=0,"",IF($J12=$K12,"Delivered",IF($L12="","No milestone in Dim Table",IF(TODAY()&gt;$L12,TEXT(TODAY()-$L12,"0")&amp;" days past milestone, "&amp;($K12-$J12)&amp;" of "&amp;$K12&amp;" not released",TEXT($L12-TODAY(),"0")&amp;" days to milestone"&amp;IF($D12&gt;0,", "&amp;$D12&amp;" blocked","")))))</f>
        <v>33 days past milestone, 14 of 14 not released</v>
      </c>
      <c r="N12" s="251"/>
      <c r="O12" s="25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0" t="str">
        <f ca="1">IF($K13=0,"",IF($J13=$K13,"Delivered",IF($L13="","No milestone in Dim Table",IF(TODAY()&gt;$L13,TEXT(TODAY()-$L13,"0")&amp;" days past milestone, "&amp;($K13-$J13)&amp;" of "&amp;$K13&amp;" not released",TEXT($L13-TODAY(),"0")&amp;" days to milestone"&amp;IF($D13&gt;0,", "&amp;$D13&amp;" blocked","")))))</f>
        <v>12 days past milestone, 12 of 12 not released</v>
      </c>
      <c r="N13" s="241"/>
      <c r="O13" s="242"/>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0" t="str">
        <f ca="1">IF($K14=0,"",IF($J14=$K14,"Delivered",IF($L14="","No milestone in Dim Table",IF(TODAY()&gt;$L14,TEXT(TODAY()-$L14,"0")&amp;" days past milestone, "&amp;($K14-$J14)&amp;" of "&amp;$K14&amp;" not released",TEXT($L14-TODAY(),"0")&amp;" days to milestone"&amp;IF($D14&gt;0,", "&amp;$D14&amp;" blocked","")))))</f>
        <v>18 days to milestone, 3 blocked</v>
      </c>
      <c r="N14" s="241"/>
      <c r="O14" s="242"/>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0" t="str">
        <f ca="1">IF($K15=0,"",IF($J15=$K15,"Delivered",IF($L15="","No milestone in Dim Table",IF(TODAY()&gt;$L15,TEXT(TODAY()-$L15,"0")&amp;" days past milestone, "&amp;($K15-$J15)&amp;" of "&amp;$K15&amp;" not released",TEXT($L15-TODAY(),"0")&amp;" days to milestone"&amp;IF($D15&gt;0,", "&amp;$D15&amp;" blocked","")))))</f>
        <v>49 days to milestone, 2 blocked</v>
      </c>
      <c r="N15" s="241"/>
      <c r="O15" s="242"/>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80 days to milestone</v>
      </c>
      <c r="N16" s="244"/>
      <c r="O16" s="245"/>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53" t="str">
        <f>IF(SUM(C17:J17)=K17,"","Counts do not add up to the report total")</f>
        <v/>
      </c>
      <c r="N17" s="254"/>
      <c r="O17" s="25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46" t="s">
        <v>501</v>
      </c>
      <c r="D19" s="246"/>
      <c r="E19" s="246"/>
      <c r="F19" s="246"/>
      <c r="G19" s="246"/>
      <c r="H19" s="246"/>
      <c r="I19" s="246"/>
      <c r="J19" s="246"/>
      <c r="K19" s="246"/>
      <c r="L19" s="246"/>
      <c r="M19" s="246"/>
      <c r="N19" s="246"/>
      <c r="O19" s="24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6" t="s">
        <v>502</v>
      </c>
      <c r="D35" s="246"/>
      <c r="E35" s="246"/>
      <c r="F35" s="246"/>
      <c r="G35" s="246"/>
      <c r="H35" s="246"/>
      <c r="I35" s="246"/>
      <c r="J35" s="246"/>
      <c r="K35" s="246"/>
      <c r="L35" s="246"/>
      <c r="M35" s="246"/>
      <c r="N35" s="246"/>
      <c r="O35" s="246"/>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46"/>
      <c r="D48" s="246"/>
      <c r="E48" s="246"/>
      <c r="F48" s="246"/>
      <c r="G48" s="246"/>
      <c r="H48" s="246"/>
      <c r="I48" s="246"/>
      <c r="J48" s="246"/>
      <c r="K48" s="246"/>
      <c r="L48" s="246"/>
      <c r="M48" s="246"/>
      <c r="N48" s="246"/>
      <c r="O48" s="246"/>
      <c r="P48" s="142"/>
      <c r="Q48" s="142"/>
      <c r="R48" s="142"/>
      <c r="S48" s="142"/>
      <c r="T48" s="142"/>
      <c r="U48" s="142"/>
      <c r="V48" s="142"/>
      <c r="W48" s="142"/>
      <c r="X48" s="142"/>
      <c r="Y48" s="142"/>
      <c r="Z48" s="142"/>
    </row>
    <row r="49" spans="1:26" ht="15.75" customHeight="1">
      <c r="A49" s="142"/>
      <c r="B49" s="256"/>
      <c r="C49" s="258" t="s">
        <v>492</v>
      </c>
      <c r="D49" s="258"/>
      <c r="E49" s="258" t="s">
        <v>435</v>
      </c>
      <c r="F49" s="258"/>
      <c r="G49" s="258" t="s">
        <v>445</v>
      </c>
      <c r="H49" s="25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7"/>
      <c r="C50" s="259" t="s">
        <v>506</v>
      </c>
      <c r="D50" s="260"/>
      <c r="E50" s="259" t="s">
        <v>506</v>
      </c>
      <c r="F50" s="260"/>
      <c r="G50" s="259" t="s">
        <v>506</v>
      </c>
      <c r="H50" s="261"/>
      <c r="I50" s="262" t="str">
        <f>IF(ISTEXT(B53),"No reports match",IF(ROWS(_xlfn.ANCHORARRAY(B53))=1,"1 report","" &amp; ROWS(_xlfn.ANCHORARRAY(B53)) &amp; " reports"))</f>
        <v>No reports match</v>
      </c>
      <c r="J50" s="263"/>
      <c r="K50" s="263"/>
      <c r="L50" s="263"/>
      <c r="M50" s="263"/>
      <c r="N50" s="263"/>
      <c r="O50" s="26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Siddu Hiregoudar</cp:lastModifiedBy>
  <cp:revision>0</cp:revision>
  <dcterms:created xsi:type="dcterms:W3CDTF">2026-07-21T14:32:59Z</dcterms:created>
  <dcterms:modified xsi:type="dcterms:W3CDTF">2026-10-12T13:10:29Z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