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2544" documentId="13_ncr:1_{52745E9B-3AA1-4770-AAD3-E6166BFC13AE}" xr6:coauthVersionLast="47" xr6:coauthVersionMax="47" xr10:uidLastSave="{91F5EF14-BBE6-432F-9CBD-728E4F4D151E}"/>
  <bookViews>
    <workbookView xWindow="-28920" yWindow="-105" windowWidth="29040" windowHeight="1572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A73A73">'Combined Delivery Data'!$A$73:$A$73</definedName>
    <definedName name="DB_Dev_List">'Data Validation'!$B$3:$B$10</definedName>
    <definedName name="DPO_Approval_List">'Data Validation'!$K$3:$K$6</definedName>
    <definedName name="L2T2">'Rework Log'!$L$2:$L$2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6" i="4" l="1"/>
  <c r="D65" i="2" a="1"/>
  <c r="D65" i="2" s="1"/>
  <c r="D93" i="2" a="1"/>
  <c r="D93" i="2" s="1"/>
  <c r="D92" i="2" a="1"/>
  <c r="D92" i="2" s="1"/>
  <c r="D115" i="2" a="1"/>
  <c r="D115" i="2" s="1"/>
  <c r="D114" i="2" a="1"/>
  <c r="D114" i="2" s="1"/>
  <c r="D113" i="2" a="1"/>
  <c r="D113" i="2" s="1"/>
  <c r="D112" i="2" a="1"/>
  <c r="D112" i="2" s="1"/>
  <c r="D111" i="2" a="1"/>
  <c r="D111" i="2" s="1"/>
  <c r="D110" i="2" a="1"/>
  <c r="D110" i="2" s="1"/>
  <c r="D109" i="2" a="1"/>
  <c r="D109" i="2" s="1"/>
  <c r="D108" i="2" a="1"/>
  <c r="D108" i="2" s="1"/>
  <c r="D107" i="2" a="1"/>
  <c r="D107" i="2" s="1"/>
  <c r="D106" i="2" a="1"/>
  <c r="D106" i="2" s="1"/>
  <c r="D105" i="2" a="1"/>
  <c r="D105" i="2" s="1"/>
  <c r="D104" i="2" a="1"/>
  <c r="D104" i="2" s="1"/>
  <c r="D103" i="2" a="1"/>
  <c r="D103" i="2" s="1"/>
  <c r="D102" i="2" a="1"/>
  <c r="D102" i="2" s="1"/>
  <c r="D101" i="2" a="1"/>
  <c r="D101" i="2" s="1"/>
  <c r="D100" i="2" a="1"/>
  <c r="D100" i="2" s="1"/>
  <c r="D99" i="2" a="1"/>
  <c r="D99" i="2" s="1"/>
  <c r="D98" i="2" a="1"/>
  <c r="D98" i="2" s="1"/>
  <c r="D97" i="2" a="1"/>
  <c r="D97" i="2" s="1"/>
  <c r="D96" i="2" a="1"/>
  <c r="D96" i="2" s="1"/>
  <c r="D95" i="2" a="1"/>
  <c r="D95" i="2" s="1"/>
  <c r="D94" i="2" a="1"/>
  <c r="D94" i="2" s="1"/>
  <c r="D91" i="2" a="1"/>
  <c r="D91" i="2" s="1"/>
  <c r="D90" i="2" a="1"/>
  <c r="D90" i="2" s="1"/>
  <c r="D89" i="2" a="1"/>
  <c r="D89" i="2" s="1"/>
  <c r="D88" i="2" a="1"/>
  <c r="D88" i="2" s="1"/>
  <c r="D87" i="2" a="1"/>
  <c r="D87" i="2" s="1"/>
  <c r="D86" i="2" a="1"/>
  <c r="D86" i="2" s="1"/>
  <c r="D85" i="2" a="1"/>
  <c r="D85" i="2" s="1"/>
  <c r="D84" i="2" a="1"/>
  <c r="D84" i="2" s="1"/>
  <c r="D83" i="2" a="1"/>
  <c r="D83" i="2" s="1"/>
  <c r="D82" i="2" a="1"/>
  <c r="D82" i="2" s="1"/>
  <c r="D81" i="2" a="1"/>
  <c r="D81" i="2" s="1"/>
  <c r="D80" i="2" a="1"/>
  <c r="D80" i="2" s="1"/>
  <c r="D79" i="2" a="1"/>
  <c r="D79" i="2" s="1"/>
  <c r="D78" i="2" a="1"/>
  <c r="D78" i="2" s="1"/>
  <c r="D77" i="2" a="1"/>
  <c r="D77" i="2" s="1"/>
  <c r="D76" i="2" a="1"/>
  <c r="D76" i="2" s="1"/>
  <c r="D75" i="2" a="1"/>
  <c r="D75" i="2" s="1"/>
  <c r="D74" i="2" a="1"/>
  <c r="D74" i="2" s="1"/>
  <c r="D73" i="2" a="1"/>
  <c r="D73" i="2" s="1"/>
  <c r="D72" i="2" a="1"/>
  <c r="D72" i="2" s="1"/>
  <c r="D71" i="2" a="1"/>
  <c r="D71" i="2" s="1"/>
  <c r="D70" i="2" a="1"/>
  <c r="D70" i="2" s="1"/>
  <c r="D69" i="2" a="1"/>
  <c r="D69" i="2" s="1"/>
  <c r="D68" i="2" a="1"/>
  <c r="D68" i="2" s="1"/>
  <c r="D67" i="2" a="1"/>
  <c r="D67" i="2" s="1"/>
  <c r="D66" i="2" a="1"/>
  <c r="D66" i="2" s="1"/>
  <c r="D64" i="2" a="1"/>
  <c r="D64" i="2" s="1"/>
  <c r="D63" i="2" a="1"/>
  <c r="D63" i="2" s="1"/>
  <c r="D62" i="2" a="1"/>
  <c r="D62" i="2" s="1"/>
  <c r="D60" i="2" a="1"/>
  <c r="D60" i="2" s="1"/>
  <c r="D59" i="2" a="1"/>
  <c r="D59" i="2" s="1"/>
  <c r="D58" i="2" a="1"/>
  <c r="D58" i="2" s="1"/>
  <c r="D57" i="2" a="1"/>
  <c r="D57" i="2" s="1"/>
  <c r="D56" i="2" a="1"/>
  <c r="D56" i="2" s="1"/>
  <c r="D28" i="2" a="1"/>
  <c r="D28" i="2" s="1"/>
  <c r="D27" i="2" a="1"/>
  <c r="D27" i="2" s="1"/>
  <c r="D26" i="2" a="1"/>
  <c r="D26" i="2" s="1"/>
  <c r="D25" i="2" a="1"/>
  <c r="D25" i="2" s="1"/>
  <c r="D24" i="2" a="1"/>
  <c r="D24" i="2" s="1"/>
  <c r="D23" i="2" a="1"/>
  <c r="D23" i="2" s="1"/>
  <c r="D22" i="2" a="1"/>
  <c r="D22" i="2" s="1"/>
  <c r="D21" i="2" a="1"/>
  <c r="D21" i="2" s="1"/>
  <c r="D20" i="2" a="1"/>
  <c r="D20" i="2" s="1"/>
  <c r="D19" i="2" a="1"/>
  <c r="D19" i="2" s="1"/>
  <c r="D18" i="2" a="1"/>
  <c r="D18" i="2" s="1"/>
  <c r="D17" i="2" a="1"/>
  <c r="D17" i="2" s="1"/>
  <c r="D16" i="2" a="1"/>
  <c r="D16" i="2" s="1"/>
  <c r="D15" i="2" a="1"/>
  <c r="D15" i="2" s="1"/>
  <c r="D14" i="2" a="1"/>
  <c r="D14" i="2" s="1"/>
  <c r="D13" i="2" a="1"/>
  <c r="D13" i="2" s="1"/>
  <c r="D12" i="2" a="1"/>
  <c r="D12" i="2" s="1"/>
  <c r="D11" i="2" a="1"/>
  <c r="D11" i="2" s="1"/>
  <c r="D10" i="2" a="1"/>
  <c r="D10" i="2" s="1"/>
  <c r="D9" i="2" a="1"/>
  <c r="D9" i="2" s="1"/>
  <c r="D8" i="2" a="1"/>
  <c r="D8" i="2" s="1"/>
  <c r="D7" i="2" a="1"/>
  <c r="D7" i="2" s="1"/>
  <c r="D6" i="2" a="1"/>
  <c r="D6" i="2" s="1"/>
  <c r="D5" i="2" a="1"/>
  <c r="D5" i="2" s="1"/>
  <c r="D4" i="2" a="1"/>
  <c r="D4" i="2" s="1"/>
  <c r="D3" i="2" a="1"/>
  <c r="D3" i="2" s="1"/>
  <c r="D2" i="2" a="1"/>
  <c r="D2" i="2" s="1"/>
  <c r="AN115" i="2" a="1"/>
  <c r="AN115" i="2" s="1"/>
  <c r="AN114" i="2" a="1"/>
  <c r="AN114" i="2" s="1"/>
  <c r="AN113" i="2" a="1"/>
  <c r="AN113" i="2" s="1"/>
  <c r="AN112" i="2" a="1"/>
  <c r="AN112" i="2" s="1"/>
  <c r="AN111" i="2" a="1"/>
  <c r="AN111" i="2" s="1"/>
  <c r="AN110" i="2" a="1"/>
  <c r="AN110" i="2" s="1"/>
  <c r="AN109" i="2" a="1"/>
  <c r="AN109" i="2" s="1"/>
  <c r="AN108" i="2" a="1"/>
  <c r="AN108" i="2" s="1"/>
  <c r="AN107" i="2" a="1"/>
  <c r="AN107" i="2" s="1"/>
  <c r="AN106" i="2" a="1"/>
  <c r="AN106" i="2" s="1"/>
  <c r="AN105" i="2" a="1"/>
  <c r="AN105" i="2" s="1"/>
  <c r="AN104" i="2" a="1"/>
  <c r="AN104" i="2" s="1"/>
  <c r="AN103" i="2" a="1"/>
  <c r="AN103" i="2" s="1"/>
  <c r="AN102" i="2" a="1"/>
  <c r="AN102" i="2" s="1"/>
  <c r="AN101" i="2" a="1"/>
  <c r="AN101" i="2" s="1"/>
  <c r="AN100" i="2" a="1"/>
  <c r="AN100" i="2" s="1"/>
  <c r="AN99" i="2" a="1"/>
  <c r="AN99" i="2" s="1"/>
  <c r="AN98" i="2" a="1"/>
  <c r="AN98" i="2" s="1"/>
  <c r="AN97" i="2" a="1"/>
  <c r="AN97" i="2" s="1"/>
  <c r="AN96" i="2" a="1"/>
  <c r="AN96" i="2" s="1"/>
  <c r="AN95" i="2" a="1"/>
  <c r="AN95" i="2" s="1"/>
  <c r="AN94" i="2" a="1"/>
  <c r="AN94" i="2" s="1"/>
  <c r="AN93" i="2" a="1"/>
  <c r="AN93" i="2" s="1"/>
  <c r="AN92" i="2" a="1"/>
  <c r="AN92" i="2" s="1"/>
  <c r="AN91" i="2" a="1"/>
  <c r="AN91" i="2" s="1"/>
  <c r="AN90" i="2" a="1"/>
  <c r="AN90" i="2" s="1"/>
  <c r="AN89" i="2" a="1"/>
  <c r="AN89" i="2" s="1"/>
  <c r="AN88" i="2" a="1"/>
  <c r="AN88" i="2" s="1"/>
  <c r="AN87" i="2" a="1"/>
  <c r="AN87" i="2" s="1"/>
  <c r="AN86" i="2" a="1"/>
  <c r="AN86" i="2" s="1"/>
  <c r="AN85" i="2" a="1"/>
  <c r="AN85" i="2" s="1"/>
  <c r="AN84" i="2" a="1"/>
  <c r="AN84" i="2" s="1"/>
  <c r="AN83" i="2" a="1"/>
  <c r="AN83" i="2" s="1"/>
  <c r="AN82" i="2" a="1"/>
  <c r="AN82" i="2" s="1"/>
  <c r="AN81" i="2" a="1"/>
  <c r="AN81" i="2" s="1"/>
  <c r="AN80" i="2" a="1"/>
  <c r="AN80" i="2" s="1"/>
  <c r="AN79" i="2" a="1"/>
  <c r="AN79" i="2" s="1"/>
  <c r="AN78" i="2" a="1"/>
  <c r="AN78" i="2" s="1"/>
  <c r="AN77" i="2" a="1"/>
  <c r="AN77" i="2" s="1"/>
  <c r="AN76" i="2" a="1"/>
  <c r="AN76" i="2" s="1"/>
  <c r="AN75" i="2" a="1"/>
  <c r="AN75" i="2" s="1"/>
  <c r="AN74" i="2" a="1"/>
  <c r="AN74" i="2" s="1"/>
  <c r="AN73" i="2" a="1"/>
  <c r="AN73" i="2" s="1"/>
  <c r="AN72" i="2" a="1"/>
  <c r="AN72" i="2" s="1"/>
  <c r="AN71" i="2" a="1"/>
  <c r="AN71" i="2" s="1"/>
  <c r="AN70" i="2" a="1"/>
  <c r="AN70" i="2" s="1"/>
  <c r="AN69" i="2" a="1"/>
  <c r="AN69" i="2" s="1"/>
  <c r="AN68" i="2" a="1"/>
  <c r="AN68" i="2" s="1"/>
  <c r="AN67" i="2" a="1"/>
  <c r="AN67" i="2" s="1"/>
  <c r="AN66" i="2" a="1"/>
  <c r="AN66" i="2" s="1"/>
  <c r="AN65" i="2" a="1"/>
  <c r="AN65" i="2" s="1"/>
  <c r="AN64" i="2" a="1"/>
  <c r="AN64" i="2" s="1"/>
  <c r="AN63" i="2" a="1"/>
  <c r="AN63" i="2" s="1"/>
  <c r="AN62" i="2" a="1"/>
  <c r="AN62" i="2" s="1"/>
  <c r="AN61" i="2" a="1"/>
  <c r="AN61" i="2" s="1"/>
  <c r="AN60" i="2" a="1"/>
  <c r="AN60" i="2" s="1"/>
  <c r="AN59" i="2" a="1"/>
  <c r="AN59" i="2" s="1"/>
  <c r="AN58" i="2" a="1"/>
  <c r="AN58" i="2" s="1"/>
  <c r="AN57" i="2" a="1"/>
  <c r="AN57" i="2" s="1"/>
  <c r="AN56" i="2" a="1"/>
  <c r="AN56" i="2" s="1"/>
  <c r="AN55" i="2" a="1"/>
  <c r="AN55" i="2" s="1"/>
  <c r="AN54" i="2" a="1"/>
  <c r="AN54" i="2" s="1"/>
  <c r="AN53" i="2" a="1"/>
  <c r="AN53" i="2" s="1"/>
  <c r="AN52" i="2" a="1"/>
  <c r="AN52" i="2" s="1"/>
  <c r="AN51" i="2" a="1"/>
  <c r="AN51" i="2" s="1"/>
  <c r="AN50" i="2" a="1"/>
  <c r="AN50" i="2" s="1"/>
  <c r="AN49" i="2" a="1"/>
  <c r="AN49" i="2" s="1"/>
  <c r="AN48" i="2" a="1"/>
  <c r="AN48" i="2" s="1"/>
  <c r="AN47" i="2" a="1"/>
  <c r="AN47" i="2" s="1"/>
  <c r="AN46" i="2" a="1"/>
  <c r="AN46" i="2" s="1"/>
  <c r="AN45" i="2" a="1"/>
  <c r="AN45" i="2" s="1"/>
  <c r="D45" i="2" s="1" a="1"/>
  <c r="D45" i="2" s="1"/>
  <c r="AN44" i="2" a="1"/>
  <c r="AN44" i="2" s="1"/>
  <c r="AN43" i="2" a="1"/>
  <c r="AN43" i="2" s="1"/>
  <c r="AN42" i="2" a="1"/>
  <c r="AN42" i="2" s="1"/>
  <c r="D42" i="2" s="1" a="1"/>
  <c r="D42" i="2" s="1"/>
  <c r="AN41" i="2" a="1"/>
  <c r="AN41" i="2" s="1"/>
  <c r="D41" i="2" s="1" a="1"/>
  <c r="D41" i="2" s="1"/>
  <c r="AN40" i="2" a="1"/>
  <c r="AN40" i="2" s="1"/>
  <c r="D40" i="2" s="1" a="1"/>
  <c r="D40" i="2" s="1"/>
  <c r="AN39" i="2" a="1"/>
  <c r="AN39" i="2" s="1"/>
  <c r="D39" i="2" s="1" a="1"/>
  <c r="D39" i="2" s="1"/>
  <c r="AN38" i="2" a="1"/>
  <c r="AN38" i="2" s="1"/>
  <c r="D38" i="2" s="1" a="1"/>
  <c r="D38" i="2" s="1"/>
  <c r="AN37" i="2" a="1"/>
  <c r="AN37" i="2" s="1"/>
  <c r="D37" i="2" s="1" a="1"/>
  <c r="D37" i="2" s="1"/>
  <c r="AN36" i="2" a="1"/>
  <c r="AN36" i="2" s="1"/>
  <c r="AN35" i="2" a="1"/>
  <c r="AN35" i="2" s="1"/>
  <c r="AN34" i="2" a="1"/>
  <c r="AN34" i="2" s="1"/>
  <c r="D34" i="2" s="1" a="1"/>
  <c r="D34" i="2" s="1"/>
  <c r="AN33" i="2" a="1"/>
  <c r="AN33" i="2" s="1"/>
  <c r="D33" i="2" s="1" a="1"/>
  <c r="D33" i="2" s="1"/>
  <c r="AN32" i="2" a="1"/>
  <c r="AN32" i="2" s="1"/>
  <c r="AN31" i="2" a="1"/>
  <c r="AN31" i="2" s="1"/>
  <c r="D31" i="2" s="1" a="1"/>
  <c r="D31" i="2" s="1"/>
  <c r="AN30" i="2" a="1"/>
  <c r="AN30" i="2" s="1"/>
  <c r="D30" i="2" s="1" a="1"/>
  <c r="D30" i="2" s="1"/>
  <c r="AN29" i="2" a="1"/>
  <c r="AN29" i="2" s="1"/>
  <c r="D29" i="2" s="1" a="1"/>
  <c r="D29" i="2" s="1"/>
  <c r="AN28" i="2" a="1"/>
  <c r="AN28" i="2" s="1"/>
  <c r="AN27" i="2" a="1"/>
  <c r="AN27" i="2" s="1"/>
  <c r="AN26" i="2" a="1"/>
  <c r="AN26" i="2" s="1"/>
  <c r="AN25" i="2" a="1"/>
  <c r="AN25" i="2" s="1"/>
  <c r="AN24" i="2" a="1"/>
  <c r="AN24" i="2" s="1"/>
  <c r="AN23" i="2" a="1"/>
  <c r="AN23" i="2" s="1"/>
  <c r="AN22" i="2" a="1"/>
  <c r="AN22" i="2" s="1"/>
  <c r="AN21" i="2" a="1"/>
  <c r="AN21" i="2" s="1"/>
  <c r="AN20" i="2" a="1"/>
  <c r="AN20" i="2" s="1"/>
  <c r="AN19" i="2" a="1"/>
  <c r="AN19" i="2" s="1"/>
  <c r="AN18" i="2" a="1"/>
  <c r="AN18" i="2" s="1"/>
  <c r="AN17" i="2" a="1"/>
  <c r="AN17" i="2" s="1"/>
  <c r="AN16" i="2" a="1"/>
  <c r="AN16" i="2" s="1"/>
  <c r="AN15" i="2" a="1"/>
  <c r="AN15" i="2" s="1"/>
  <c r="AN14" i="2" a="1"/>
  <c r="AN14" i="2" s="1"/>
  <c r="AN13" i="2" a="1"/>
  <c r="AN13" i="2" s="1"/>
  <c r="AN12" i="2" a="1"/>
  <c r="AN12" i="2" s="1"/>
  <c r="AN11" i="2" a="1"/>
  <c r="AN11" i="2" s="1"/>
  <c r="AN10" i="2" a="1"/>
  <c r="AN10" i="2" s="1"/>
  <c r="AN9" i="2" a="1"/>
  <c r="AN9" i="2" s="1"/>
  <c r="AN8" i="2" a="1"/>
  <c r="AN8" i="2" s="1"/>
  <c r="AN7" i="2" a="1"/>
  <c r="AN7" i="2" s="1"/>
  <c r="AN6" i="2" a="1"/>
  <c r="AN6" i="2" s="1"/>
  <c r="AN5" i="2" a="1"/>
  <c r="AN5" i="2" s="1"/>
  <c r="AN4" i="2" a="1"/>
  <c r="AN4" i="2" s="1"/>
  <c r="AN3" i="2" a="1"/>
  <c r="AN3" i="2" s="1"/>
  <c r="AN2" i="2" a="1"/>
  <c r="AN2" i="2" s="1"/>
  <c r="AM115" i="2" a="1"/>
  <c r="AM115" i="2" s="1"/>
  <c r="AM114" i="2" a="1"/>
  <c r="AM114" i="2" s="1"/>
  <c r="AM113" i="2" a="1"/>
  <c r="AM113" i="2" s="1"/>
  <c r="AM112" i="2" a="1"/>
  <c r="AM112" i="2" s="1"/>
  <c r="AM111" i="2" a="1"/>
  <c r="AM111" i="2" s="1"/>
  <c r="AM110" i="2" a="1"/>
  <c r="AM110" i="2" s="1"/>
  <c r="AM109" i="2" a="1"/>
  <c r="AM109" i="2" s="1"/>
  <c r="AM108" i="2" a="1"/>
  <c r="AM108" i="2" s="1"/>
  <c r="AM107" i="2" a="1"/>
  <c r="AM107" i="2" s="1"/>
  <c r="AM106" i="2" a="1"/>
  <c r="AM106" i="2" s="1"/>
  <c r="AM105" i="2" a="1"/>
  <c r="AM105" i="2" s="1"/>
  <c r="AM104" i="2" a="1"/>
  <c r="AM104" i="2" s="1"/>
  <c r="AM103" i="2" a="1"/>
  <c r="AM103" i="2" s="1"/>
  <c r="AM102" i="2" a="1"/>
  <c r="AM102" i="2" s="1"/>
  <c r="AM101" i="2" a="1"/>
  <c r="AM101" i="2" s="1"/>
  <c r="AM100" i="2" a="1"/>
  <c r="AM100" i="2" s="1"/>
  <c r="AM99" i="2" a="1"/>
  <c r="AM99" i="2" s="1"/>
  <c r="AM98" i="2" a="1"/>
  <c r="AM98" i="2" s="1"/>
  <c r="AM97" i="2" a="1"/>
  <c r="AM97" i="2" s="1"/>
  <c r="AM96" i="2" a="1"/>
  <c r="AM96" i="2" s="1"/>
  <c r="AM95" i="2" a="1"/>
  <c r="AM95" i="2" s="1"/>
  <c r="AM94" i="2" a="1"/>
  <c r="AM94" i="2" s="1"/>
  <c r="AM93" i="2" a="1"/>
  <c r="AM93" i="2" s="1"/>
  <c r="AM92" i="2" a="1"/>
  <c r="AM92" i="2" s="1"/>
  <c r="AM91" i="2" a="1"/>
  <c r="AM91" i="2" s="1"/>
  <c r="AM90" i="2" a="1"/>
  <c r="AM90" i="2" s="1"/>
  <c r="AM89" i="2" a="1"/>
  <c r="AM89" i="2" s="1"/>
  <c r="AM88" i="2" a="1"/>
  <c r="AM88" i="2" s="1"/>
  <c r="AM87" i="2" a="1"/>
  <c r="AM87" i="2" s="1"/>
  <c r="AM86" i="2" a="1"/>
  <c r="AM86" i="2" s="1"/>
  <c r="AM85" i="2" a="1"/>
  <c r="AM85" i="2" s="1"/>
  <c r="AM84" i="2" a="1"/>
  <c r="AM84" i="2" s="1"/>
  <c r="AM83" i="2" a="1"/>
  <c r="AM83" i="2" s="1"/>
  <c r="AM82" i="2" a="1"/>
  <c r="AM82" i="2" s="1"/>
  <c r="AM81" i="2" a="1"/>
  <c r="AM81" i="2" s="1"/>
  <c r="AM80" i="2" a="1"/>
  <c r="AM80" i="2" s="1"/>
  <c r="AM79" i="2" a="1"/>
  <c r="AM79" i="2" s="1"/>
  <c r="AM78" i="2" a="1"/>
  <c r="AM78" i="2" s="1"/>
  <c r="AM77" i="2" a="1"/>
  <c r="AM77" i="2" s="1"/>
  <c r="AM76" i="2" a="1"/>
  <c r="AM76" i="2" s="1"/>
  <c r="AM75" i="2" a="1"/>
  <c r="AM75" i="2" s="1"/>
  <c r="AM74" i="2" a="1"/>
  <c r="AM74" i="2" s="1"/>
  <c r="AM73" i="2" a="1"/>
  <c r="AM73" i="2" s="1"/>
  <c r="AM72" i="2" a="1"/>
  <c r="AM72" i="2" s="1"/>
  <c r="AM71" i="2" a="1"/>
  <c r="AM71" i="2" s="1"/>
  <c r="AM70" i="2" a="1"/>
  <c r="AM70" i="2" s="1"/>
  <c r="AM69" i="2" a="1"/>
  <c r="AM69" i="2" s="1"/>
  <c r="AM68" i="2" a="1"/>
  <c r="AM68" i="2" s="1"/>
  <c r="AM67" i="2" a="1"/>
  <c r="AM67" i="2" s="1"/>
  <c r="AM66" i="2" a="1"/>
  <c r="AM66" i="2" s="1"/>
  <c r="AM65" i="2" a="1"/>
  <c r="AM65" i="2" s="1"/>
  <c r="AM64" i="2" a="1"/>
  <c r="AM64" i="2" s="1"/>
  <c r="AM63" i="2" a="1"/>
  <c r="AM63" i="2" s="1"/>
  <c r="AM62" i="2" a="1"/>
  <c r="AM62" i="2" s="1"/>
  <c r="AM61" i="2" a="1"/>
  <c r="AM61" i="2" s="1"/>
  <c r="D61" i="2" s="1" a="1"/>
  <c r="D61" i="2" s="1"/>
  <c r="AM60" i="2" a="1"/>
  <c r="AM60" i="2" s="1"/>
  <c r="AM59" i="2" a="1"/>
  <c r="AM59" i="2" s="1"/>
  <c r="AM58" i="2" a="1"/>
  <c r="AM58" i="2" s="1"/>
  <c r="AM57" i="2" a="1"/>
  <c r="AM57" i="2" s="1"/>
  <c r="AM56" i="2" a="1"/>
  <c r="AM56" i="2" s="1"/>
  <c r="AM55" i="2" a="1"/>
  <c r="AM55" i="2" s="1"/>
  <c r="D55" i="2" s="1" a="1"/>
  <c r="D55" i="2" s="1"/>
  <c r="AM54" i="2" a="1"/>
  <c r="AM54" i="2" s="1"/>
  <c r="D54" i="2" s="1" a="1"/>
  <c r="D54" i="2" s="1"/>
  <c r="AM53" i="2" a="1"/>
  <c r="AM53" i="2" s="1"/>
  <c r="D53" i="2" s="1" a="1"/>
  <c r="D53" i="2" s="1"/>
  <c r="AM52" i="2" a="1"/>
  <c r="AM52" i="2" s="1"/>
  <c r="D52" i="2" s="1" a="1"/>
  <c r="D52" i="2" s="1"/>
  <c r="AM51" i="2" a="1"/>
  <c r="AM51" i="2" s="1"/>
  <c r="D51" i="2" s="1" a="1"/>
  <c r="D51" i="2" s="1"/>
  <c r="AM50" i="2" a="1"/>
  <c r="AM50" i="2" s="1"/>
  <c r="D50" i="2" s="1" a="1"/>
  <c r="D50" i="2" s="1"/>
  <c r="AM49" i="2" a="1"/>
  <c r="AM49" i="2" s="1"/>
  <c r="D49" i="2" s="1" a="1"/>
  <c r="D49" i="2" s="1"/>
  <c r="AM48" i="2" a="1"/>
  <c r="AM48" i="2" s="1"/>
  <c r="D48" i="2" s="1" a="1"/>
  <c r="D48" i="2" s="1"/>
  <c r="AM47" i="2" a="1"/>
  <c r="AM47" i="2" s="1"/>
  <c r="AM46" i="2" a="1"/>
  <c r="AM46" i="2" s="1"/>
  <c r="D46" i="2" s="1" a="1"/>
  <c r="D46" i="2" s="1"/>
  <c r="AM45" i="2" a="1"/>
  <c r="AM45" i="2" s="1"/>
  <c r="AM44" i="2" a="1"/>
  <c r="AM44" i="2" s="1"/>
  <c r="D44" i="2" s="1" a="1"/>
  <c r="D44" i="2" s="1"/>
  <c r="AM43" i="2" a="1"/>
  <c r="AM43" i="2" s="1"/>
  <c r="D43" i="2" s="1" a="1"/>
  <c r="D43" i="2" s="1"/>
  <c r="AM42" i="2" a="1"/>
  <c r="AM42" i="2" s="1"/>
  <c r="AM41" i="2" a="1"/>
  <c r="AM41" i="2" s="1"/>
  <c r="AM40" i="2" a="1"/>
  <c r="AM40" i="2" s="1"/>
  <c r="AM39" i="2" a="1"/>
  <c r="AM39" i="2" s="1"/>
  <c r="AM38" i="2" a="1"/>
  <c r="AM38" i="2" s="1"/>
  <c r="AM37" i="2" a="1"/>
  <c r="AM37" i="2" s="1"/>
  <c r="AM36" i="2" a="1"/>
  <c r="AM36" i="2" s="1"/>
  <c r="D36" i="2" s="1" a="1"/>
  <c r="D36" i="2" s="1"/>
  <c r="AM35" i="2" a="1"/>
  <c r="AM35" i="2" s="1"/>
  <c r="D35" i="2" s="1" a="1"/>
  <c r="D35" i="2" s="1"/>
  <c r="AM34" i="2" a="1"/>
  <c r="AM34" i="2" s="1"/>
  <c r="AM33" i="2" a="1"/>
  <c r="AM33" i="2" s="1"/>
  <c r="AM32" i="2" a="1"/>
  <c r="AM32" i="2" s="1"/>
  <c r="D32" i="2" s="1" a="1"/>
  <c r="D32" i="2" s="1"/>
  <c r="AM31" i="2" a="1"/>
  <c r="AM31" i="2" s="1"/>
  <c r="AM30" i="2" a="1"/>
  <c r="AM30" i="2" s="1"/>
  <c r="AM29" i="2" a="1"/>
  <c r="AM29" i="2" s="1"/>
  <c r="AM28" i="2" a="1"/>
  <c r="AM28" i="2" s="1"/>
  <c r="AM27" i="2" a="1"/>
  <c r="AM27" i="2" s="1"/>
  <c r="AM26" i="2" a="1"/>
  <c r="AM26" i="2" s="1"/>
  <c r="AM25" i="2" a="1"/>
  <c r="AM25" i="2" s="1"/>
  <c r="AM24" i="2" a="1"/>
  <c r="AM24" i="2" s="1"/>
  <c r="AM23" i="2" a="1"/>
  <c r="AM23" i="2" s="1"/>
  <c r="AM22" i="2" a="1"/>
  <c r="AM22" i="2" s="1"/>
  <c r="AM21" i="2" a="1"/>
  <c r="AM21" i="2" s="1"/>
  <c r="AM20" i="2" a="1"/>
  <c r="AM20" i="2" s="1"/>
  <c r="AM19" i="2" a="1"/>
  <c r="AM19" i="2" s="1"/>
  <c r="AM18" i="2" a="1"/>
  <c r="AM18" i="2" s="1"/>
  <c r="AM17" i="2" a="1"/>
  <c r="AM17" i="2" s="1"/>
  <c r="AM16" i="2" a="1"/>
  <c r="AM16" i="2" s="1"/>
  <c r="AM15" i="2" a="1"/>
  <c r="AM15" i="2" s="1"/>
  <c r="AM14" i="2" a="1"/>
  <c r="AM14" i="2" s="1"/>
  <c r="AM13" i="2" a="1"/>
  <c r="AM13" i="2" s="1"/>
  <c r="AM12" i="2" a="1"/>
  <c r="AM12" i="2" s="1"/>
  <c r="AM11" i="2" a="1"/>
  <c r="AM11" i="2" s="1"/>
  <c r="AM10" i="2" a="1"/>
  <c r="AM10" i="2" s="1"/>
  <c r="AM9" i="2" a="1"/>
  <c r="AM9" i="2" s="1"/>
  <c r="AM8" i="2" a="1"/>
  <c r="AM8" i="2" s="1"/>
  <c r="AM7" i="2" a="1"/>
  <c r="AM7" i="2" s="1"/>
  <c r="AM6" i="2" a="1"/>
  <c r="AM6" i="2" s="1"/>
  <c r="AM5" i="2" a="1"/>
  <c r="AM5" i="2" s="1"/>
  <c r="AM4" i="2" a="1"/>
  <c r="AM4" i="2" s="1"/>
  <c r="AM3" i="2" a="1"/>
  <c r="AM3" i="2" s="1"/>
  <c r="AM2" i="2" a="1"/>
  <c r="AM2" i="2" s="1"/>
  <c r="M11" i="4"/>
  <c r="M12" i="4"/>
  <c r="M13" i="4"/>
  <c r="B31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M4" i="4"/>
  <c r="M5" i="4"/>
  <c r="M6" i="4"/>
  <c r="M7" i="4"/>
  <c r="M8" i="4"/>
  <c r="M9" i="4"/>
  <c r="M10" i="4"/>
  <c r="M14" i="4"/>
  <c r="M15" i="4"/>
  <c r="M16" i="4"/>
  <c r="M18" i="4"/>
  <c r="M19" i="4"/>
  <c r="M20" i="4"/>
  <c r="M21" i="4"/>
  <c r="M22" i="4"/>
  <c r="M23" i="4"/>
  <c r="M24" i="4"/>
  <c r="M25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3" i="4"/>
  <c r="AK2" i="2"/>
  <c r="AK3" i="2"/>
  <c r="AK4" i="2"/>
  <c r="AK5" i="2"/>
  <c r="AK10" i="2"/>
  <c r="AK11" i="2"/>
  <c r="AK12" i="2"/>
  <c r="AK13" i="2"/>
  <c r="AK14" i="2"/>
  <c r="AK15" i="2"/>
  <c r="AK20" i="2"/>
  <c r="AK21" i="2"/>
  <c r="AK22" i="2"/>
  <c r="AK23" i="2"/>
  <c r="AK24" i="2"/>
  <c r="AK25" i="2"/>
  <c r="AK26" i="2"/>
  <c r="AK27" i="2"/>
  <c r="AK28" i="2"/>
  <c r="AK29" i="2"/>
  <c r="AK30" i="2"/>
  <c r="AK31" i="2"/>
  <c r="AK32" i="2"/>
  <c r="AK34" i="2"/>
  <c r="AK35" i="2"/>
  <c r="AK36" i="2"/>
  <c r="AK37" i="2"/>
  <c r="AK38" i="2"/>
  <c r="AK39" i="2"/>
  <c r="AK40" i="2"/>
  <c r="AK41" i="2"/>
  <c r="AK43" i="2"/>
  <c r="AK44" i="2"/>
  <c r="AK45" i="2"/>
  <c r="AK46" i="2"/>
  <c r="AK47" i="2"/>
  <c r="AK48" i="2"/>
  <c r="AK49" i="2"/>
  <c r="AK50" i="2"/>
  <c r="AK51" i="2"/>
  <c r="AK52" i="2"/>
  <c r="AK53" i="2"/>
  <c r="AK54" i="2"/>
  <c r="AK56" i="2"/>
  <c r="AK57" i="2"/>
  <c r="AK58" i="2"/>
  <c r="AK59" i="2"/>
  <c r="AK60" i="2"/>
  <c r="AK61" i="2"/>
  <c r="AK62" i="2"/>
  <c r="AK63" i="2"/>
  <c r="AK64" i="2"/>
  <c r="AK65" i="2"/>
  <c r="AK66" i="2"/>
  <c r="AK67" i="2"/>
  <c r="AK68" i="2"/>
  <c r="AK69" i="2"/>
  <c r="AK70" i="2"/>
  <c r="AK71" i="2"/>
  <c r="AK72" i="2"/>
  <c r="AK55" i="2"/>
  <c r="D47" i="2" l="1" a="1"/>
  <c r="D47" i="2" s="1"/>
  <c r="P8" i="4"/>
  <c r="P9" i="4"/>
  <c r="P10" i="4"/>
  <c r="P11" i="4"/>
  <c r="P12" i="4"/>
  <c r="P13" i="4"/>
  <c r="P14" i="4"/>
  <c r="P15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M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6" i="4"/>
  <c r="P7" i="4"/>
  <c r="P6" i="4"/>
  <c r="P5" i="4"/>
  <c r="P4" i="4"/>
  <c r="P3" i="4"/>
  <c r="B29" i="3"/>
  <c r="B28" i="3"/>
  <c r="B27" i="3"/>
  <c r="B26" i="3"/>
  <c r="T6" i="4" l="1"/>
  <c r="S6" i="4"/>
  <c r="T26" i="4"/>
  <c r="S26" i="4"/>
  <c r="S62" i="4"/>
  <c r="T62" i="4"/>
  <c r="T84" i="4"/>
  <c r="S84" i="4"/>
  <c r="T96" i="4"/>
  <c r="S96" i="4"/>
  <c r="T108" i="4"/>
  <c r="S108" i="4"/>
  <c r="T114" i="4"/>
  <c r="S114" i="4"/>
  <c r="T126" i="4"/>
  <c r="S126" i="4"/>
  <c r="T132" i="4"/>
  <c r="S132" i="4"/>
  <c r="T144" i="4"/>
  <c r="S144" i="4"/>
  <c r="T156" i="4"/>
  <c r="S156" i="4"/>
  <c r="T168" i="4"/>
  <c r="S168" i="4"/>
  <c r="T174" i="4"/>
  <c r="S174" i="4"/>
  <c r="T186" i="4"/>
  <c r="S186" i="4"/>
  <c r="T198" i="4"/>
  <c r="S198" i="4"/>
  <c r="T204" i="4"/>
  <c r="S204" i="4"/>
  <c r="T216" i="4"/>
  <c r="S216" i="4"/>
  <c r="T228" i="4"/>
  <c r="S228" i="4"/>
  <c r="T240" i="4"/>
  <c r="S240" i="4"/>
  <c r="T246" i="4"/>
  <c r="S246" i="4"/>
  <c r="T258" i="4"/>
  <c r="S258" i="4"/>
  <c r="T270" i="4"/>
  <c r="S270" i="4"/>
  <c r="T282" i="4"/>
  <c r="S282" i="4"/>
  <c r="T294" i="4"/>
  <c r="S294" i="4"/>
  <c r="T306" i="4"/>
  <c r="S306" i="4"/>
  <c r="T318" i="4"/>
  <c r="S318" i="4"/>
  <c r="T330" i="4"/>
  <c r="S330" i="4"/>
  <c r="T342" i="4"/>
  <c r="S342" i="4"/>
  <c r="T354" i="4"/>
  <c r="S354" i="4"/>
  <c r="T366" i="4"/>
  <c r="S366" i="4"/>
  <c r="T378" i="4"/>
  <c r="S378" i="4"/>
  <c r="T390" i="4"/>
  <c r="S390" i="4"/>
  <c r="T396" i="4"/>
  <c r="S396" i="4"/>
  <c r="T408" i="4"/>
  <c r="S408" i="4"/>
  <c r="T420" i="4"/>
  <c r="S420" i="4"/>
  <c r="T432" i="4"/>
  <c r="S432" i="4"/>
  <c r="T444" i="4"/>
  <c r="S444" i="4"/>
  <c r="T456" i="4"/>
  <c r="S456" i="4"/>
  <c r="T462" i="4"/>
  <c r="S462" i="4"/>
  <c r="T474" i="4"/>
  <c r="S474" i="4"/>
  <c r="T486" i="4"/>
  <c r="S486" i="4"/>
  <c r="T492" i="4"/>
  <c r="S492" i="4"/>
  <c r="T16" i="4"/>
  <c r="S16" i="4"/>
  <c r="T51" i="4"/>
  <c r="S51" i="4"/>
  <c r="S40" i="4"/>
  <c r="T40" i="4"/>
  <c r="T85" i="4"/>
  <c r="S85" i="4"/>
  <c r="T97" i="4"/>
  <c r="S97" i="4"/>
  <c r="T103" i="4"/>
  <c r="S103" i="4"/>
  <c r="T115" i="4"/>
  <c r="S115" i="4"/>
  <c r="T127" i="4"/>
  <c r="S127" i="4"/>
  <c r="T133" i="4"/>
  <c r="S133" i="4"/>
  <c r="T139" i="4"/>
  <c r="S139" i="4"/>
  <c r="T145" i="4"/>
  <c r="S145" i="4"/>
  <c r="T151" i="4"/>
  <c r="S151" i="4"/>
  <c r="T163" i="4"/>
  <c r="S163" i="4"/>
  <c r="T169" i="4"/>
  <c r="S169" i="4"/>
  <c r="T175" i="4"/>
  <c r="S175" i="4"/>
  <c r="T181" i="4"/>
  <c r="S181" i="4"/>
  <c r="T187" i="4"/>
  <c r="S187" i="4"/>
  <c r="T193" i="4"/>
  <c r="S193" i="4"/>
  <c r="T199" i="4"/>
  <c r="S199" i="4"/>
  <c r="T205" i="4"/>
  <c r="S205" i="4"/>
  <c r="T211" i="4"/>
  <c r="S211" i="4"/>
  <c r="T217" i="4"/>
  <c r="S217" i="4"/>
  <c r="T223" i="4"/>
  <c r="S223" i="4"/>
  <c r="T229" i="4"/>
  <c r="S229" i="4"/>
  <c r="T235" i="4"/>
  <c r="S235" i="4"/>
  <c r="T241" i="4"/>
  <c r="S241" i="4"/>
  <c r="T247" i="4"/>
  <c r="S247" i="4"/>
  <c r="T253" i="4"/>
  <c r="S253" i="4"/>
  <c r="T259" i="4"/>
  <c r="S259" i="4"/>
  <c r="T265" i="4"/>
  <c r="S265" i="4"/>
  <c r="T271" i="4"/>
  <c r="S271" i="4"/>
  <c r="T277" i="4"/>
  <c r="S277" i="4"/>
  <c r="T283" i="4"/>
  <c r="S283" i="4"/>
  <c r="T289" i="4"/>
  <c r="S289" i="4"/>
  <c r="T295" i="4"/>
  <c r="S295" i="4"/>
  <c r="T301" i="4"/>
  <c r="S301" i="4"/>
  <c r="T307" i="4"/>
  <c r="S307" i="4"/>
  <c r="T313" i="4"/>
  <c r="S313" i="4"/>
  <c r="T319" i="4"/>
  <c r="S319" i="4"/>
  <c r="T325" i="4"/>
  <c r="S325" i="4"/>
  <c r="T331" i="4"/>
  <c r="S331" i="4"/>
  <c r="T337" i="4"/>
  <c r="S337" i="4"/>
  <c r="T343" i="4"/>
  <c r="S343" i="4"/>
  <c r="T349" i="4"/>
  <c r="S349" i="4"/>
  <c r="T355" i="4"/>
  <c r="S355" i="4"/>
  <c r="T361" i="4"/>
  <c r="S361" i="4"/>
  <c r="T367" i="4"/>
  <c r="S367" i="4"/>
  <c r="T373" i="4"/>
  <c r="S373" i="4"/>
  <c r="T379" i="4"/>
  <c r="S379" i="4"/>
  <c r="T385" i="4"/>
  <c r="S385" i="4"/>
  <c r="T391" i="4"/>
  <c r="S391" i="4"/>
  <c r="T397" i="4"/>
  <c r="S397" i="4"/>
  <c r="T403" i="4"/>
  <c r="S403" i="4"/>
  <c r="T409" i="4"/>
  <c r="S409" i="4"/>
  <c r="T415" i="4"/>
  <c r="S415" i="4"/>
  <c r="T421" i="4"/>
  <c r="S421" i="4"/>
  <c r="T427" i="4"/>
  <c r="S427" i="4"/>
  <c r="T433" i="4"/>
  <c r="S433" i="4"/>
  <c r="T439" i="4"/>
  <c r="S439" i="4"/>
  <c r="T445" i="4"/>
  <c r="S445" i="4"/>
  <c r="T451" i="4"/>
  <c r="S451" i="4"/>
  <c r="T457" i="4"/>
  <c r="S457" i="4"/>
  <c r="T463" i="4"/>
  <c r="S463" i="4"/>
  <c r="T469" i="4"/>
  <c r="S469" i="4"/>
  <c r="T475" i="4"/>
  <c r="S475" i="4"/>
  <c r="T481" i="4"/>
  <c r="S481" i="4"/>
  <c r="T487" i="4"/>
  <c r="S487" i="4"/>
  <c r="T493" i="4"/>
  <c r="S493" i="4"/>
  <c r="T499" i="4"/>
  <c r="S499" i="4"/>
  <c r="T37" i="4"/>
  <c r="S37" i="4"/>
  <c r="T7" i="4"/>
  <c r="S7" i="4"/>
  <c r="T38" i="4"/>
  <c r="S38" i="4"/>
  <c r="T50" i="4"/>
  <c r="S50" i="4"/>
  <c r="T72" i="4"/>
  <c r="S72" i="4"/>
  <c r="T78" i="4"/>
  <c r="S78" i="4"/>
  <c r="T90" i="4"/>
  <c r="S90" i="4"/>
  <c r="T102" i="4"/>
  <c r="S102" i="4"/>
  <c r="T120" i="4"/>
  <c r="S120" i="4"/>
  <c r="T138" i="4"/>
  <c r="S138" i="4"/>
  <c r="T150" i="4"/>
  <c r="S150" i="4"/>
  <c r="T162" i="4"/>
  <c r="S162" i="4"/>
  <c r="T180" i="4"/>
  <c r="S180" i="4"/>
  <c r="T192" i="4"/>
  <c r="S192" i="4"/>
  <c r="T210" i="4"/>
  <c r="S210" i="4"/>
  <c r="T222" i="4"/>
  <c r="S222" i="4"/>
  <c r="T234" i="4"/>
  <c r="S234" i="4"/>
  <c r="T252" i="4"/>
  <c r="S252" i="4"/>
  <c r="T264" i="4"/>
  <c r="S264" i="4"/>
  <c r="T276" i="4"/>
  <c r="S276" i="4"/>
  <c r="T288" i="4"/>
  <c r="S288" i="4"/>
  <c r="T300" i="4"/>
  <c r="S300" i="4"/>
  <c r="T312" i="4"/>
  <c r="S312" i="4"/>
  <c r="T324" i="4"/>
  <c r="S324" i="4"/>
  <c r="T336" i="4"/>
  <c r="S336" i="4"/>
  <c r="T348" i="4"/>
  <c r="S348" i="4"/>
  <c r="T360" i="4"/>
  <c r="S360" i="4"/>
  <c r="T372" i="4"/>
  <c r="S372" i="4"/>
  <c r="T384" i="4"/>
  <c r="S384" i="4"/>
  <c r="T402" i="4"/>
  <c r="S402" i="4"/>
  <c r="T414" i="4"/>
  <c r="S414" i="4"/>
  <c r="T426" i="4"/>
  <c r="S426" i="4"/>
  <c r="T438" i="4"/>
  <c r="S438" i="4"/>
  <c r="T450" i="4"/>
  <c r="S450" i="4"/>
  <c r="T468" i="4"/>
  <c r="S468" i="4"/>
  <c r="T480" i="4"/>
  <c r="S480" i="4"/>
  <c r="T498" i="4"/>
  <c r="S498" i="4"/>
  <c r="S27" i="4"/>
  <c r="T27" i="4"/>
  <c r="T39" i="4"/>
  <c r="S39" i="4"/>
  <c r="T63" i="4"/>
  <c r="S63" i="4"/>
  <c r="S28" i="4"/>
  <c r="T28" i="4"/>
  <c r="S52" i="4"/>
  <c r="T52" i="4"/>
  <c r="S64" i="4"/>
  <c r="T64" i="4"/>
  <c r="T73" i="4"/>
  <c r="S73" i="4"/>
  <c r="T79" i="4"/>
  <c r="S79" i="4"/>
  <c r="T91" i="4"/>
  <c r="S91" i="4"/>
  <c r="T109" i="4"/>
  <c r="S109" i="4"/>
  <c r="T121" i="4"/>
  <c r="S121" i="4"/>
  <c r="T157" i="4"/>
  <c r="S157" i="4"/>
  <c r="T18" i="4"/>
  <c r="S18" i="4"/>
  <c r="T29" i="4"/>
  <c r="S29" i="4"/>
  <c r="T41" i="4"/>
  <c r="S41" i="4"/>
  <c r="T53" i="4"/>
  <c r="S53" i="4"/>
  <c r="T65" i="4"/>
  <c r="S65" i="4"/>
  <c r="S15" i="4"/>
  <c r="T15" i="4"/>
  <c r="T25" i="4"/>
  <c r="S25" i="4"/>
  <c r="T30" i="4"/>
  <c r="S30" i="4"/>
  <c r="T66" i="4"/>
  <c r="S66" i="4"/>
  <c r="S86" i="4"/>
  <c r="T86" i="4"/>
  <c r="S110" i="4"/>
  <c r="T110" i="4"/>
  <c r="T128" i="4"/>
  <c r="S128" i="4"/>
  <c r="T152" i="4"/>
  <c r="S152" i="4"/>
  <c r="T182" i="4"/>
  <c r="S182" i="4"/>
  <c r="S212" i="4"/>
  <c r="T212" i="4"/>
  <c r="T242" i="4"/>
  <c r="S242" i="4"/>
  <c r="T272" i="4"/>
  <c r="S272" i="4"/>
  <c r="S302" i="4"/>
  <c r="T302" i="4"/>
  <c r="T326" i="4"/>
  <c r="S326" i="4"/>
  <c r="S356" i="4"/>
  <c r="T356" i="4"/>
  <c r="S374" i="4"/>
  <c r="T374" i="4"/>
  <c r="T398" i="4"/>
  <c r="S398" i="4"/>
  <c r="T422" i="4"/>
  <c r="S422" i="4"/>
  <c r="T440" i="4"/>
  <c r="S440" i="4"/>
  <c r="T458" i="4"/>
  <c r="S458" i="4"/>
  <c r="T482" i="4"/>
  <c r="S482" i="4"/>
  <c r="S494" i="4"/>
  <c r="T494" i="4"/>
  <c r="T20" i="4"/>
  <c r="S20" i="4"/>
  <c r="T55" i="4"/>
  <c r="S55" i="4"/>
  <c r="S21" i="4"/>
  <c r="T21" i="4"/>
  <c r="T56" i="4"/>
  <c r="S56" i="4"/>
  <c r="T87" i="4"/>
  <c r="S87" i="4"/>
  <c r="S99" i="4"/>
  <c r="T99" i="4"/>
  <c r="T111" i="4"/>
  <c r="S111" i="4"/>
  <c r="S129" i="4"/>
  <c r="T129" i="4"/>
  <c r="T141" i="4"/>
  <c r="S141" i="4"/>
  <c r="T159" i="4"/>
  <c r="S159" i="4"/>
  <c r="T171" i="4"/>
  <c r="S171" i="4"/>
  <c r="T189" i="4"/>
  <c r="S189" i="4"/>
  <c r="T195" i="4"/>
  <c r="S195" i="4"/>
  <c r="T213" i="4"/>
  <c r="S213" i="4"/>
  <c r="S225" i="4"/>
  <c r="T225" i="4"/>
  <c r="T243" i="4"/>
  <c r="S243" i="4"/>
  <c r="T255" i="4"/>
  <c r="S255" i="4"/>
  <c r="S273" i="4"/>
  <c r="T273" i="4"/>
  <c r="S291" i="4"/>
  <c r="T291" i="4"/>
  <c r="T303" i="4"/>
  <c r="S303" i="4"/>
  <c r="T321" i="4"/>
  <c r="S321" i="4"/>
  <c r="T339" i="4"/>
  <c r="S339" i="4"/>
  <c r="S363" i="4"/>
  <c r="T363" i="4"/>
  <c r="T381" i="4"/>
  <c r="S381" i="4"/>
  <c r="T399" i="4"/>
  <c r="S399" i="4"/>
  <c r="T411" i="4"/>
  <c r="S411" i="4"/>
  <c r="T429" i="4"/>
  <c r="S429" i="4"/>
  <c r="T447" i="4"/>
  <c r="S447" i="4"/>
  <c r="T465" i="4"/>
  <c r="S465" i="4"/>
  <c r="T477" i="4"/>
  <c r="S477" i="4"/>
  <c r="T483" i="4"/>
  <c r="S483" i="4"/>
  <c r="S489" i="4"/>
  <c r="T489" i="4"/>
  <c r="T3" i="4"/>
  <c r="S3" i="4"/>
  <c r="S58" i="4"/>
  <c r="T58" i="4"/>
  <c r="S76" i="4"/>
  <c r="T76" i="4"/>
  <c r="S94" i="4"/>
  <c r="T94" i="4"/>
  <c r="S112" i="4"/>
  <c r="T112" i="4"/>
  <c r="S130" i="4"/>
  <c r="T130" i="4"/>
  <c r="S148" i="4"/>
  <c r="T148" i="4"/>
  <c r="S172" i="4"/>
  <c r="T172" i="4"/>
  <c r="S184" i="4"/>
  <c r="T184" i="4"/>
  <c r="S202" i="4"/>
  <c r="T202" i="4"/>
  <c r="S214" i="4"/>
  <c r="T214" i="4"/>
  <c r="S220" i="4"/>
  <c r="T220" i="4"/>
  <c r="S232" i="4"/>
  <c r="T232" i="4"/>
  <c r="S244" i="4"/>
  <c r="T244" i="4"/>
  <c r="S250" i="4"/>
  <c r="T250" i="4"/>
  <c r="S256" i="4"/>
  <c r="T256" i="4"/>
  <c r="S262" i="4"/>
  <c r="T262" i="4"/>
  <c r="S268" i="4"/>
  <c r="T268" i="4"/>
  <c r="S274" i="4"/>
  <c r="T274" i="4"/>
  <c r="S286" i="4"/>
  <c r="T286" i="4"/>
  <c r="S292" i="4"/>
  <c r="T292" i="4"/>
  <c r="S298" i="4"/>
  <c r="T298" i="4"/>
  <c r="S304" i="4"/>
  <c r="T304" i="4"/>
  <c r="S310" i="4"/>
  <c r="T310" i="4"/>
  <c r="S316" i="4"/>
  <c r="T316" i="4"/>
  <c r="S328" i="4"/>
  <c r="T328" i="4"/>
  <c r="S334" i="4"/>
  <c r="T334" i="4"/>
  <c r="S340" i="4"/>
  <c r="T340" i="4"/>
  <c r="S346" i="4"/>
  <c r="T346" i="4"/>
  <c r="S352" i="4"/>
  <c r="T352" i="4"/>
  <c r="S358" i="4"/>
  <c r="T358" i="4"/>
  <c r="S364" i="4"/>
  <c r="T364" i="4"/>
  <c r="S370" i="4"/>
  <c r="T370" i="4"/>
  <c r="S376" i="4"/>
  <c r="T376" i="4"/>
  <c r="S382" i="4"/>
  <c r="T382" i="4"/>
  <c r="S388" i="4"/>
  <c r="T388" i="4"/>
  <c r="S394" i="4"/>
  <c r="T394" i="4"/>
  <c r="S400" i="4"/>
  <c r="T400" i="4"/>
  <c r="S406" i="4"/>
  <c r="T406" i="4"/>
  <c r="S412" i="4"/>
  <c r="T412" i="4"/>
  <c r="S418" i="4"/>
  <c r="T418" i="4"/>
  <c r="S424" i="4"/>
  <c r="T424" i="4"/>
  <c r="S430" i="4"/>
  <c r="T430" i="4"/>
  <c r="S436" i="4"/>
  <c r="T436" i="4"/>
  <c r="S442" i="4"/>
  <c r="T442" i="4"/>
  <c r="S448" i="4"/>
  <c r="T448" i="4"/>
  <c r="S454" i="4"/>
  <c r="T454" i="4"/>
  <c r="S460" i="4"/>
  <c r="T460" i="4"/>
  <c r="S466" i="4"/>
  <c r="T466" i="4"/>
  <c r="S472" i="4"/>
  <c r="T472" i="4"/>
  <c r="S478" i="4"/>
  <c r="T478" i="4"/>
  <c r="S484" i="4"/>
  <c r="T484" i="4"/>
  <c r="S490" i="4"/>
  <c r="T490" i="4"/>
  <c r="S496" i="4"/>
  <c r="T496" i="4"/>
  <c r="S10" i="4"/>
  <c r="T10" i="4"/>
  <c r="T49" i="4"/>
  <c r="S49" i="4"/>
  <c r="T42" i="4"/>
  <c r="S42" i="4"/>
  <c r="T74" i="4"/>
  <c r="S74" i="4"/>
  <c r="S92" i="4"/>
  <c r="T92" i="4"/>
  <c r="T104" i="4"/>
  <c r="S104" i="4"/>
  <c r="T116" i="4"/>
  <c r="S116" i="4"/>
  <c r="T134" i="4"/>
  <c r="S134" i="4"/>
  <c r="S140" i="4"/>
  <c r="T140" i="4"/>
  <c r="S158" i="4"/>
  <c r="T158" i="4"/>
  <c r="S164" i="4"/>
  <c r="T164" i="4"/>
  <c r="T176" i="4"/>
  <c r="S176" i="4"/>
  <c r="T188" i="4"/>
  <c r="S188" i="4"/>
  <c r="T194" i="4"/>
  <c r="S194" i="4"/>
  <c r="T206" i="4"/>
  <c r="S206" i="4"/>
  <c r="T218" i="4"/>
  <c r="S218" i="4"/>
  <c r="S230" i="4"/>
  <c r="T230" i="4"/>
  <c r="S236" i="4"/>
  <c r="T236" i="4"/>
  <c r="T248" i="4"/>
  <c r="S248" i="4"/>
  <c r="T260" i="4"/>
  <c r="S260" i="4"/>
  <c r="T266" i="4"/>
  <c r="S266" i="4"/>
  <c r="S284" i="4"/>
  <c r="T284" i="4"/>
  <c r="T290" i="4"/>
  <c r="S290" i="4"/>
  <c r="T296" i="4"/>
  <c r="S296" i="4"/>
  <c r="T314" i="4"/>
  <c r="S314" i="4"/>
  <c r="T320" i="4"/>
  <c r="S320" i="4"/>
  <c r="T338" i="4"/>
  <c r="S338" i="4"/>
  <c r="S344" i="4"/>
  <c r="T344" i="4"/>
  <c r="T350" i="4"/>
  <c r="S350" i="4"/>
  <c r="T368" i="4"/>
  <c r="S368" i="4"/>
  <c r="S380" i="4"/>
  <c r="T380" i="4"/>
  <c r="T392" i="4"/>
  <c r="S392" i="4"/>
  <c r="T404" i="4"/>
  <c r="S404" i="4"/>
  <c r="T416" i="4"/>
  <c r="S416" i="4"/>
  <c r="S428" i="4"/>
  <c r="T428" i="4"/>
  <c r="S446" i="4"/>
  <c r="T446" i="4"/>
  <c r="T464" i="4"/>
  <c r="S464" i="4"/>
  <c r="T476" i="4"/>
  <c r="S476" i="4"/>
  <c r="S488" i="4"/>
  <c r="T488" i="4"/>
  <c r="T43" i="4"/>
  <c r="S43" i="4"/>
  <c r="T44" i="4"/>
  <c r="S44" i="4"/>
  <c r="S81" i="4"/>
  <c r="T81" i="4"/>
  <c r="S117" i="4"/>
  <c r="T117" i="4"/>
  <c r="S147" i="4"/>
  <c r="T147" i="4"/>
  <c r="T177" i="4"/>
  <c r="S177" i="4"/>
  <c r="T207" i="4"/>
  <c r="S207" i="4"/>
  <c r="T237" i="4"/>
  <c r="S237" i="4"/>
  <c r="S261" i="4"/>
  <c r="T261" i="4"/>
  <c r="T285" i="4"/>
  <c r="S285" i="4"/>
  <c r="T309" i="4"/>
  <c r="S309" i="4"/>
  <c r="T327" i="4"/>
  <c r="S327" i="4"/>
  <c r="T351" i="4"/>
  <c r="S351" i="4"/>
  <c r="S369" i="4"/>
  <c r="T369" i="4"/>
  <c r="T387" i="4"/>
  <c r="S387" i="4"/>
  <c r="S405" i="4"/>
  <c r="T405" i="4"/>
  <c r="T423" i="4"/>
  <c r="S423" i="4"/>
  <c r="T453" i="4"/>
  <c r="S453" i="4"/>
  <c r="T12" i="4"/>
  <c r="S12" i="4"/>
  <c r="S45" i="4"/>
  <c r="T45" i="4"/>
  <c r="T69" i="4"/>
  <c r="S69" i="4"/>
  <c r="S34" i="4"/>
  <c r="T34" i="4"/>
  <c r="S88" i="4"/>
  <c r="T88" i="4"/>
  <c r="S118" i="4"/>
  <c r="T118" i="4"/>
  <c r="S154" i="4"/>
  <c r="T154" i="4"/>
  <c r="S196" i="4"/>
  <c r="T196" i="4"/>
  <c r="S238" i="4"/>
  <c r="T238" i="4"/>
  <c r="S322" i="4"/>
  <c r="T322" i="4"/>
  <c r="S4" i="4"/>
  <c r="T4" i="4"/>
  <c r="T23" i="4"/>
  <c r="S23" i="4"/>
  <c r="T35" i="4"/>
  <c r="S35" i="4"/>
  <c r="T47" i="4"/>
  <c r="S47" i="4"/>
  <c r="T59" i="4"/>
  <c r="S59" i="4"/>
  <c r="T9" i="4"/>
  <c r="S9" i="4"/>
  <c r="T61" i="4"/>
  <c r="S61" i="4"/>
  <c r="T19" i="4"/>
  <c r="S19" i="4"/>
  <c r="T54" i="4"/>
  <c r="S54" i="4"/>
  <c r="S80" i="4"/>
  <c r="T80" i="4"/>
  <c r="T98" i="4"/>
  <c r="S98" i="4"/>
  <c r="T122" i="4"/>
  <c r="S122" i="4"/>
  <c r="T146" i="4"/>
  <c r="S146" i="4"/>
  <c r="T170" i="4"/>
  <c r="S170" i="4"/>
  <c r="S200" i="4"/>
  <c r="T200" i="4"/>
  <c r="T224" i="4"/>
  <c r="S224" i="4"/>
  <c r="T254" i="4"/>
  <c r="S254" i="4"/>
  <c r="T278" i="4"/>
  <c r="S278" i="4"/>
  <c r="S308" i="4"/>
  <c r="T308" i="4"/>
  <c r="T332" i="4"/>
  <c r="S332" i="4"/>
  <c r="T362" i="4"/>
  <c r="S362" i="4"/>
  <c r="T386" i="4"/>
  <c r="S386" i="4"/>
  <c r="T410" i="4"/>
  <c r="S410" i="4"/>
  <c r="T434" i="4"/>
  <c r="S434" i="4"/>
  <c r="S452" i="4"/>
  <c r="T452" i="4"/>
  <c r="T470" i="4"/>
  <c r="S470" i="4"/>
  <c r="T14" i="4"/>
  <c r="S14" i="4"/>
  <c r="T31" i="4"/>
  <c r="S31" i="4"/>
  <c r="T67" i="4"/>
  <c r="S67" i="4"/>
  <c r="T13" i="4"/>
  <c r="S13" i="4"/>
  <c r="T32" i="4"/>
  <c r="S32" i="4"/>
  <c r="S68" i="4"/>
  <c r="T68" i="4"/>
  <c r="S75" i="4"/>
  <c r="T75" i="4"/>
  <c r="T93" i="4"/>
  <c r="S93" i="4"/>
  <c r="T105" i="4"/>
  <c r="S105" i="4"/>
  <c r="T123" i="4"/>
  <c r="S123" i="4"/>
  <c r="T135" i="4"/>
  <c r="S135" i="4"/>
  <c r="S153" i="4"/>
  <c r="T153" i="4"/>
  <c r="T165" i="4"/>
  <c r="S165" i="4"/>
  <c r="T183" i="4"/>
  <c r="S183" i="4"/>
  <c r="S201" i="4"/>
  <c r="T201" i="4"/>
  <c r="S219" i="4"/>
  <c r="T219" i="4"/>
  <c r="T231" i="4"/>
  <c r="S231" i="4"/>
  <c r="T249" i="4"/>
  <c r="S249" i="4"/>
  <c r="T267" i="4"/>
  <c r="S267" i="4"/>
  <c r="T279" i="4"/>
  <c r="S279" i="4"/>
  <c r="S297" i="4"/>
  <c r="T297" i="4"/>
  <c r="T315" i="4"/>
  <c r="S315" i="4"/>
  <c r="T333" i="4"/>
  <c r="S333" i="4"/>
  <c r="S345" i="4"/>
  <c r="T345" i="4"/>
  <c r="T357" i="4"/>
  <c r="S357" i="4"/>
  <c r="T375" i="4"/>
  <c r="S375" i="4"/>
  <c r="T393" i="4"/>
  <c r="S393" i="4"/>
  <c r="S417" i="4"/>
  <c r="T417" i="4"/>
  <c r="S435" i="4"/>
  <c r="T435" i="4"/>
  <c r="S441" i="4"/>
  <c r="T441" i="4"/>
  <c r="T459" i="4"/>
  <c r="S459" i="4"/>
  <c r="T471" i="4"/>
  <c r="S471" i="4"/>
  <c r="T495" i="4"/>
  <c r="S495" i="4"/>
  <c r="T33" i="4"/>
  <c r="S33" i="4"/>
  <c r="S57" i="4"/>
  <c r="T57" i="4"/>
  <c r="S11" i="4"/>
  <c r="T11" i="4"/>
  <c r="S22" i="4"/>
  <c r="T22" i="4"/>
  <c r="S46" i="4"/>
  <c r="T46" i="4"/>
  <c r="S70" i="4"/>
  <c r="T70" i="4"/>
  <c r="S82" i="4"/>
  <c r="T82" i="4"/>
  <c r="S100" i="4"/>
  <c r="T100" i="4"/>
  <c r="S106" i="4"/>
  <c r="T106" i="4"/>
  <c r="S124" i="4"/>
  <c r="T124" i="4"/>
  <c r="S136" i="4"/>
  <c r="T136" i="4"/>
  <c r="S142" i="4"/>
  <c r="T142" i="4"/>
  <c r="S160" i="4"/>
  <c r="T160" i="4"/>
  <c r="S166" i="4"/>
  <c r="T166" i="4"/>
  <c r="S178" i="4"/>
  <c r="T178" i="4"/>
  <c r="S190" i="4"/>
  <c r="T190" i="4"/>
  <c r="S208" i="4"/>
  <c r="T208" i="4"/>
  <c r="S226" i="4"/>
  <c r="T226" i="4"/>
  <c r="S280" i="4"/>
  <c r="T280" i="4"/>
  <c r="S5" i="4"/>
  <c r="T5" i="4"/>
  <c r="T24" i="4"/>
  <c r="S24" i="4"/>
  <c r="T36" i="4"/>
  <c r="S36" i="4"/>
  <c r="T48" i="4"/>
  <c r="S48" i="4"/>
  <c r="T60" i="4"/>
  <c r="S60" i="4"/>
  <c r="T71" i="4"/>
  <c r="S71" i="4"/>
  <c r="T77" i="4"/>
  <c r="S77" i="4"/>
  <c r="T83" i="4"/>
  <c r="S83" i="4"/>
  <c r="T89" i="4"/>
  <c r="S89" i="4"/>
  <c r="T95" i="4"/>
  <c r="S95" i="4"/>
  <c r="T101" i="4"/>
  <c r="S101" i="4"/>
  <c r="T107" i="4"/>
  <c r="S107" i="4"/>
  <c r="T113" i="4"/>
  <c r="S113" i="4"/>
  <c r="T119" i="4"/>
  <c r="S119" i="4"/>
  <c r="T125" i="4"/>
  <c r="S125" i="4"/>
  <c r="T131" i="4"/>
  <c r="S131" i="4"/>
  <c r="T137" i="4"/>
  <c r="S137" i="4"/>
  <c r="T143" i="4"/>
  <c r="S143" i="4"/>
  <c r="T149" i="4"/>
  <c r="S149" i="4"/>
  <c r="T155" i="4"/>
  <c r="S155" i="4"/>
  <c r="T161" i="4"/>
  <c r="S161" i="4"/>
  <c r="T167" i="4"/>
  <c r="S167" i="4"/>
  <c r="T173" i="4"/>
  <c r="S173" i="4"/>
  <c r="T179" i="4"/>
  <c r="S179" i="4"/>
  <c r="T185" i="4"/>
  <c r="S185" i="4"/>
  <c r="T191" i="4"/>
  <c r="S191" i="4"/>
  <c r="T197" i="4"/>
  <c r="S197" i="4"/>
  <c r="T203" i="4"/>
  <c r="S203" i="4"/>
  <c r="T209" i="4"/>
  <c r="S209" i="4"/>
  <c r="T215" i="4"/>
  <c r="S215" i="4"/>
  <c r="T221" i="4"/>
  <c r="S221" i="4"/>
  <c r="T227" i="4"/>
  <c r="S227" i="4"/>
  <c r="T233" i="4"/>
  <c r="S233" i="4"/>
  <c r="T239" i="4"/>
  <c r="S239" i="4"/>
  <c r="T245" i="4"/>
  <c r="S245" i="4"/>
  <c r="T251" i="4"/>
  <c r="S251" i="4"/>
  <c r="T257" i="4"/>
  <c r="S257" i="4"/>
  <c r="T263" i="4"/>
  <c r="S263" i="4"/>
  <c r="T269" i="4"/>
  <c r="S269" i="4"/>
  <c r="T275" i="4"/>
  <c r="S275" i="4"/>
  <c r="T281" i="4"/>
  <c r="S281" i="4"/>
  <c r="T287" i="4"/>
  <c r="S287" i="4"/>
  <c r="T293" i="4"/>
  <c r="S293" i="4"/>
  <c r="T299" i="4"/>
  <c r="S299" i="4"/>
  <c r="T305" i="4"/>
  <c r="S305" i="4"/>
  <c r="T311" i="4"/>
  <c r="S311" i="4"/>
  <c r="T317" i="4"/>
  <c r="S317" i="4"/>
  <c r="T323" i="4"/>
  <c r="S323" i="4"/>
  <c r="T329" i="4"/>
  <c r="S329" i="4"/>
  <c r="T335" i="4"/>
  <c r="S335" i="4"/>
  <c r="T341" i="4"/>
  <c r="S341" i="4"/>
  <c r="T347" i="4"/>
  <c r="S347" i="4"/>
  <c r="T353" i="4"/>
  <c r="S353" i="4"/>
  <c r="T359" i="4"/>
  <c r="S359" i="4"/>
  <c r="T365" i="4"/>
  <c r="S365" i="4"/>
  <c r="T371" i="4"/>
  <c r="S371" i="4"/>
  <c r="T377" i="4"/>
  <c r="S377" i="4"/>
  <c r="T383" i="4"/>
  <c r="S383" i="4"/>
  <c r="T389" i="4"/>
  <c r="S389" i="4"/>
  <c r="T395" i="4"/>
  <c r="S395" i="4"/>
  <c r="T401" i="4"/>
  <c r="S401" i="4"/>
  <c r="T407" i="4"/>
  <c r="S407" i="4"/>
  <c r="T413" i="4"/>
  <c r="S413" i="4"/>
  <c r="T419" i="4"/>
  <c r="S419" i="4"/>
  <c r="T425" i="4"/>
  <c r="S425" i="4"/>
  <c r="T431" i="4"/>
  <c r="S431" i="4"/>
  <c r="T437" i="4"/>
  <c r="S437" i="4"/>
  <c r="T443" i="4"/>
  <c r="S443" i="4"/>
  <c r="T449" i="4"/>
  <c r="S449" i="4"/>
  <c r="T455" i="4"/>
  <c r="S455" i="4"/>
  <c r="T461" i="4"/>
  <c r="S461" i="4"/>
  <c r="T467" i="4"/>
  <c r="S467" i="4"/>
  <c r="T473" i="4"/>
  <c r="S473" i="4"/>
  <c r="T479" i="4"/>
  <c r="S479" i="4"/>
  <c r="T485" i="4"/>
  <c r="S485" i="4"/>
  <c r="T491" i="4"/>
  <c r="S491" i="4"/>
  <c r="T497" i="4"/>
  <c r="S497" i="4"/>
  <c r="T8" i="4"/>
  <c r="S8" i="4"/>
  <c r="Q49" i="4"/>
  <c r="R49" i="4"/>
  <c r="Q91" i="4"/>
  <c r="R91" i="4"/>
  <c r="R126" i="4"/>
  <c r="Q126" i="4"/>
  <c r="R147" i="4"/>
  <c r="Q147" i="4"/>
  <c r="R175" i="4"/>
  <c r="Q175" i="4"/>
  <c r="R217" i="4"/>
  <c r="Q217" i="4"/>
  <c r="Q238" i="4"/>
  <c r="R238" i="4"/>
  <c r="R266" i="4"/>
  <c r="Q266" i="4"/>
  <c r="R294" i="4"/>
  <c r="Q294" i="4"/>
  <c r="R315" i="4"/>
  <c r="Q315" i="4"/>
  <c r="R343" i="4"/>
  <c r="Q343" i="4"/>
  <c r="Q364" i="4"/>
  <c r="R364" i="4"/>
  <c r="Q385" i="4"/>
  <c r="R385" i="4"/>
  <c r="Q406" i="4"/>
  <c r="R406" i="4"/>
  <c r="Q427" i="4"/>
  <c r="R427" i="4"/>
  <c r="R448" i="4"/>
  <c r="Q448" i="4"/>
  <c r="Q490" i="4"/>
  <c r="R490" i="4"/>
  <c r="Q16" i="4"/>
  <c r="R16" i="4"/>
  <c r="Q22" i="4"/>
  <c r="R22" i="4"/>
  <c r="Q64" i="4"/>
  <c r="R64" i="4"/>
  <c r="R169" i="4"/>
  <c r="Q169" i="4"/>
  <c r="Q379" i="4"/>
  <c r="R379" i="4"/>
  <c r="R30" i="4"/>
  <c r="Q30" i="4"/>
  <c r="Q65" i="4"/>
  <c r="R65" i="4"/>
  <c r="R100" i="4"/>
  <c r="Q100" i="4"/>
  <c r="R121" i="4"/>
  <c r="Q121" i="4"/>
  <c r="R149" i="4"/>
  <c r="Q149" i="4"/>
  <c r="Q170" i="4"/>
  <c r="R170" i="4"/>
  <c r="Q184" i="4"/>
  <c r="R184" i="4"/>
  <c r="Q205" i="4"/>
  <c r="R205" i="4"/>
  <c r="R226" i="4"/>
  <c r="Q226" i="4"/>
  <c r="Q247" i="4"/>
  <c r="R247" i="4"/>
  <c r="Q261" i="4"/>
  <c r="R261" i="4"/>
  <c r="Q282" i="4"/>
  <c r="R282" i="4"/>
  <c r="Q303" i="4"/>
  <c r="R303" i="4"/>
  <c r="R331" i="4"/>
  <c r="Q331" i="4"/>
  <c r="Q352" i="4"/>
  <c r="R352" i="4"/>
  <c r="Q373" i="4"/>
  <c r="R373" i="4"/>
  <c r="Q394" i="4"/>
  <c r="R394" i="4"/>
  <c r="Q408" i="4"/>
  <c r="R408" i="4"/>
  <c r="R429" i="4"/>
  <c r="Q429" i="4"/>
  <c r="Q457" i="4"/>
  <c r="R457" i="4"/>
  <c r="Q485" i="4"/>
  <c r="R485" i="4"/>
  <c r="Q15" i="4"/>
  <c r="R15" i="4"/>
  <c r="Q7" i="4"/>
  <c r="R7" i="4"/>
  <c r="Q18" i="4"/>
  <c r="R18" i="4"/>
  <c r="Q24" i="4"/>
  <c r="R24" i="4"/>
  <c r="Q31" i="4"/>
  <c r="R31" i="4"/>
  <c r="Q38" i="4"/>
  <c r="R38" i="4"/>
  <c r="Q45" i="4"/>
  <c r="R45" i="4"/>
  <c r="Q52" i="4"/>
  <c r="R52" i="4"/>
  <c r="Q59" i="4"/>
  <c r="R59" i="4"/>
  <c r="Q66" i="4"/>
  <c r="R66" i="4"/>
  <c r="Q73" i="4"/>
  <c r="R73" i="4"/>
  <c r="Q80" i="4"/>
  <c r="R80" i="4"/>
  <c r="Q87" i="4"/>
  <c r="R87" i="4"/>
  <c r="Q94" i="4"/>
  <c r="R94" i="4"/>
  <c r="Q101" i="4"/>
  <c r="R101" i="4"/>
  <c r="Q108" i="4"/>
  <c r="R108" i="4"/>
  <c r="R115" i="4"/>
  <c r="Q115" i="4"/>
  <c r="Q122" i="4"/>
  <c r="R122" i="4"/>
  <c r="R129" i="4"/>
  <c r="Q129" i="4"/>
  <c r="R136" i="4"/>
  <c r="Q136" i="4"/>
  <c r="Q143" i="4"/>
  <c r="R143" i="4"/>
  <c r="Q150" i="4"/>
  <c r="R150" i="4"/>
  <c r="Q157" i="4"/>
  <c r="R157" i="4"/>
  <c r="Q164" i="4"/>
  <c r="R164" i="4"/>
  <c r="Q171" i="4"/>
  <c r="R171" i="4"/>
  <c r="Q178" i="4"/>
  <c r="R178" i="4"/>
  <c r="Q185" i="4"/>
  <c r="R185" i="4"/>
  <c r="Q192" i="4"/>
  <c r="R192" i="4"/>
  <c r="R199" i="4"/>
  <c r="Q199" i="4"/>
  <c r="R206" i="4"/>
  <c r="Q206" i="4"/>
  <c r="Q213" i="4"/>
  <c r="R213" i="4"/>
  <c r="Q220" i="4"/>
  <c r="R220" i="4"/>
  <c r="R227" i="4"/>
  <c r="Q227" i="4"/>
  <c r="R234" i="4"/>
  <c r="Q234" i="4"/>
  <c r="R241" i="4"/>
  <c r="Q241" i="4"/>
  <c r="Q248" i="4"/>
  <c r="R248" i="4"/>
  <c r="R255" i="4"/>
  <c r="Q255" i="4"/>
  <c r="R262" i="4"/>
  <c r="Q262" i="4"/>
  <c r="R269" i="4"/>
  <c r="Q269" i="4"/>
  <c r="Q276" i="4"/>
  <c r="R276" i="4"/>
  <c r="Q283" i="4"/>
  <c r="R283" i="4"/>
  <c r="Q290" i="4"/>
  <c r="R290" i="4"/>
  <c r="Q297" i="4"/>
  <c r="R297" i="4"/>
  <c r="Q304" i="4"/>
  <c r="R304" i="4"/>
  <c r="Q311" i="4"/>
  <c r="R311" i="4"/>
  <c r="R318" i="4"/>
  <c r="Q318" i="4"/>
  <c r="Q325" i="4"/>
  <c r="R325" i="4"/>
  <c r="Q332" i="4"/>
  <c r="R332" i="4"/>
  <c r="R339" i="4"/>
  <c r="Q339" i="4"/>
  <c r="R346" i="4"/>
  <c r="Q346" i="4"/>
  <c r="Q353" i="4"/>
  <c r="R353" i="4"/>
  <c r="Q360" i="4"/>
  <c r="R360" i="4"/>
  <c r="Q367" i="4"/>
  <c r="R367" i="4"/>
  <c r="Q374" i="4"/>
  <c r="R374" i="4"/>
  <c r="Q381" i="4"/>
  <c r="R381" i="4"/>
  <c r="Q388" i="4"/>
  <c r="R388" i="4"/>
  <c r="Q395" i="4"/>
  <c r="R395" i="4"/>
  <c r="Q402" i="4"/>
  <c r="R402" i="4"/>
  <c r="Q409" i="4"/>
  <c r="R409" i="4"/>
  <c r="Q416" i="4"/>
  <c r="R416" i="4"/>
  <c r="R423" i="4"/>
  <c r="Q423" i="4"/>
  <c r="R430" i="4"/>
  <c r="Q430" i="4"/>
  <c r="R437" i="4"/>
  <c r="Q437" i="4"/>
  <c r="R444" i="4"/>
  <c r="Q444" i="4"/>
  <c r="Q451" i="4"/>
  <c r="R451" i="4"/>
  <c r="Q458" i="4"/>
  <c r="R458" i="4"/>
  <c r="Q465" i="4"/>
  <c r="R465" i="4"/>
  <c r="Q472" i="4"/>
  <c r="R472" i="4"/>
  <c r="Q479" i="4"/>
  <c r="R479" i="4"/>
  <c r="Q486" i="4"/>
  <c r="R486" i="4"/>
  <c r="Q493" i="4"/>
  <c r="R493" i="4"/>
  <c r="Q14" i="4"/>
  <c r="R14" i="4"/>
  <c r="Q28" i="4"/>
  <c r="R28" i="4"/>
  <c r="Q56" i="4"/>
  <c r="R56" i="4"/>
  <c r="Q84" i="4"/>
  <c r="R84" i="4"/>
  <c r="Q105" i="4"/>
  <c r="R105" i="4"/>
  <c r="R133" i="4"/>
  <c r="Q133" i="4"/>
  <c r="R161" i="4"/>
  <c r="Q161" i="4"/>
  <c r="Q189" i="4"/>
  <c r="R189" i="4"/>
  <c r="R210" i="4"/>
  <c r="Q210" i="4"/>
  <c r="R231" i="4"/>
  <c r="Q231" i="4"/>
  <c r="R259" i="4"/>
  <c r="Q259" i="4"/>
  <c r="R273" i="4"/>
  <c r="Q273" i="4"/>
  <c r="R301" i="4"/>
  <c r="Q301" i="4"/>
  <c r="R322" i="4"/>
  <c r="Q322" i="4"/>
  <c r="Q336" i="4"/>
  <c r="R336" i="4"/>
  <c r="R350" i="4"/>
  <c r="Q350" i="4"/>
  <c r="Q357" i="4"/>
  <c r="R357" i="4"/>
  <c r="R371" i="4"/>
  <c r="Q371" i="4"/>
  <c r="Q392" i="4"/>
  <c r="R392" i="4"/>
  <c r="R399" i="4"/>
  <c r="Q399" i="4"/>
  <c r="Q413" i="4"/>
  <c r="R413" i="4"/>
  <c r="Q420" i="4"/>
  <c r="R420" i="4"/>
  <c r="Q434" i="4"/>
  <c r="R434" i="4"/>
  <c r="R441" i="4"/>
  <c r="Q441" i="4"/>
  <c r="Q455" i="4"/>
  <c r="R455" i="4"/>
  <c r="Q462" i="4"/>
  <c r="R462" i="4"/>
  <c r="Q483" i="4"/>
  <c r="R483" i="4"/>
  <c r="Q43" i="4"/>
  <c r="R43" i="4"/>
  <c r="Q71" i="4"/>
  <c r="R71" i="4"/>
  <c r="Q92" i="4"/>
  <c r="R92" i="4"/>
  <c r="Q113" i="4"/>
  <c r="R113" i="4"/>
  <c r="Q127" i="4"/>
  <c r="R127" i="4"/>
  <c r="Q141" i="4"/>
  <c r="R141" i="4"/>
  <c r="R162" i="4"/>
  <c r="Q162" i="4"/>
  <c r="R190" i="4"/>
  <c r="Q190" i="4"/>
  <c r="Q211" i="4"/>
  <c r="R211" i="4"/>
  <c r="Q232" i="4"/>
  <c r="R232" i="4"/>
  <c r="Q253" i="4"/>
  <c r="R253" i="4"/>
  <c r="R274" i="4"/>
  <c r="Q274" i="4"/>
  <c r="R288" i="4"/>
  <c r="Q288" i="4"/>
  <c r="R309" i="4"/>
  <c r="Q309" i="4"/>
  <c r="R344" i="4"/>
  <c r="Q344" i="4"/>
  <c r="Q372" i="4"/>
  <c r="R372" i="4"/>
  <c r="Q407" i="4"/>
  <c r="R407" i="4"/>
  <c r="Q442" i="4"/>
  <c r="R442" i="4"/>
  <c r="Q484" i="4"/>
  <c r="R484" i="4"/>
  <c r="R58" i="4"/>
  <c r="Q58" i="4"/>
  <c r="Q93" i="4"/>
  <c r="R93" i="4"/>
  <c r="Q128" i="4"/>
  <c r="R128" i="4"/>
  <c r="Q163" i="4"/>
  <c r="R163" i="4"/>
  <c r="R198" i="4"/>
  <c r="Q198" i="4"/>
  <c r="Q233" i="4"/>
  <c r="R233" i="4"/>
  <c r="R268" i="4"/>
  <c r="Q268" i="4"/>
  <c r="Q296" i="4"/>
  <c r="R296" i="4"/>
  <c r="R310" i="4"/>
  <c r="Q310" i="4"/>
  <c r="R338" i="4"/>
  <c r="Q338" i="4"/>
  <c r="Q359" i="4"/>
  <c r="R359" i="4"/>
  <c r="R387" i="4"/>
  <c r="Q387" i="4"/>
  <c r="Q422" i="4"/>
  <c r="R422" i="4"/>
  <c r="Q450" i="4"/>
  <c r="R450" i="4"/>
  <c r="Q478" i="4"/>
  <c r="R478" i="4"/>
  <c r="R13" i="4"/>
  <c r="Q13" i="4"/>
  <c r="Q12" i="4"/>
  <c r="R12" i="4"/>
  <c r="Q11" i="4"/>
  <c r="R11" i="4"/>
  <c r="Q63" i="4"/>
  <c r="R63" i="4"/>
  <c r="R119" i="4"/>
  <c r="Q119" i="4"/>
  <c r="Q182" i="4"/>
  <c r="R182" i="4"/>
  <c r="Q287" i="4"/>
  <c r="R287" i="4"/>
  <c r="Q476" i="4"/>
  <c r="R476" i="4"/>
  <c r="Q36" i="4"/>
  <c r="R36" i="4"/>
  <c r="Q57" i="4"/>
  <c r="R57" i="4"/>
  <c r="Q85" i="4"/>
  <c r="R85" i="4"/>
  <c r="Q106" i="4"/>
  <c r="R106" i="4"/>
  <c r="Q134" i="4"/>
  <c r="R134" i="4"/>
  <c r="R155" i="4"/>
  <c r="Q155" i="4"/>
  <c r="R183" i="4"/>
  <c r="Q183" i="4"/>
  <c r="R204" i="4"/>
  <c r="Q204" i="4"/>
  <c r="R225" i="4"/>
  <c r="Q225" i="4"/>
  <c r="Q239" i="4"/>
  <c r="R239" i="4"/>
  <c r="Q260" i="4"/>
  <c r="R260" i="4"/>
  <c r="R281" i="4"/>
  <c r="Q281" i="4"/>
  <c r="R302" i="4"/>
  <c r="Q302" i="4"/>
  <c r="R330" i="4"/>
  <c r="Q330" i="4"/>
  <c r="R358" i="4"/>
  <c r="Q358" i="4"/>
  <c r="Q386" i="4"/>
  <c r="R386" i="4"/>
  <c r="Q400" i="4"/>
  <c r="R400" i="4"/>
  <c r="Q421" i="4"/>
  <c r="R421" i="4"/>
  <c r="Q435" i="4"/>
  <c r="R435" i="4"/>
  <c r="Q456" i="4"/>
  <c r="R456" i="4"/>
  <c r="Q470" i="4"/>
  <c r="R470" i="4"/>
  <c r="Q498" i="4"/>
  <c r="R498" i="4"/>
  <c r="R44" i="4"/>
  <c r="Q44" i="4"/>
  <c r="Q79" i="4"/>
  <c r="R79" i="4"/>
  <c r="Q114" i="4"/>
  <c r="R114" i="4"/>
  <c r="Q156" i="4"/>
  <c r="R156" i="4"/>
  <c r="Q191" i="4"/>
  <c r="R191" i="4"/>
  <c r="Q219" i="4"/>
  <c r="R219" i="4"/>
  <c r="Q254" i="4"/>
  <c r="R254" i="4"/>
  <c r="Q289" i="4"/>
  <c r="R289" i="4"/>
  <c r="R317" i="4"/>
  <c r="Q317" i="4"/>
  <c r="Q345" i="4"/>
  <c r="R345" i="4"/>
  <c r="R380" i="4"/>
  <c r="Q380" i="4"/>
  <c r="R415" i="4"/>
  <c r="Q415" i="4"/>
  <c r="Q443" i="4"/>
  <c r="R443" i="4"/>
  <c r="Q464" i="4"/>
  <c r="R464" i="4"/>
  <c r="Q492" i="4"/>
  <c r="R492" i="4"/>
  <c r="Q39" i="4"/>
  <c r="R39" i="4"/>
  <c r="Q53" i="4"/>
  <c r="R53" i="4"/>
  <c r="Q74" i="4"/>
  <c r="R74" i="4"/>
  <c r="Q88" i="4"/>
  <c r="R88" i="4"/>
  <c r="Q102" i="4"/>
  <c r="R102" i="4"/>
  <c r="Q123" i="4"/>
  <c r="R123" i="4"/>
  <c r="Q137" i="4"/>
  <c r="R137" i="4"/>
  <c r="Q151" i="4"/>
  <c r="R151" i="4"/>
  <c r="Q165" i="4"/>
  <c r="R165" i="4"/>
  <c r="Q186" i="4"/>
  <c r="R186" i="4"/>
  <c r="Q207" i="4"/>
  <c r="R207" i="4"/>
  <c r="Q221" i="4"/>
  <c r="R221" i="4"/>
  <c r="Q235" i="4"/>
  <c r="R235" i="4"/>
  <c r="R256" i="4"/>
  <c r="Q256" i="4"/>
  <c r="Q284" i="4"/>
  <c r="R284" i="4"/>
  <c r="R305" i="4"/>
  <c r="Q305" i="4"/>
  <c r="R319" i="4"/>
  <c r="Q319" i="4"/>
  <c r="R333" i="4"/>
  <c r="Q333" i="4"/>
  <c r="R347" i="4"/>
  <c r="Q347" i="4"/>
  <c r="R361" i="4"/>
  <c r="Q361" i="4"/>
  <c r="Q375" i="4"/>
  <c r="R375" i="4"/>
  <c r="Q382" i="4"/>
  <c r="R382" i="4"/>
  <c r="Q389" i="4"/>
  <c r="R389" i="4"/>
  <c r="Q403" i="4"/>
  <c r="R403" i="4"/>
  <c r="Q410" i="4"/>
  <c r="R410" i="4"/>
  <c r="Q417" i="4"/>
  <c r="R417" i="4"/>
  <c r="Q424" i="4"/>
  <c r="R424" i="4"/>
  <c r="R431" i="4"/>
  <c r="Q431" i="4"/>
  <c r="Q438" i="4"/>
  <c r="R438" i="4"/>
  <c r="Q445" i="4"/>
  <c r="R445" i="4"/>
  <c r="R452" i="4"/>
  <c r="Q452" i="4"/>
  <c r="Q459" i="4"/>
  <c r="R459" i="4"/>
  <c r="Q466" i="4"/>
  <c r="R466" i="4"/>
  <c r="Q473" i="4"/>
  <c r="R473" i="4"/>
  <c r="Q494" i="4"/>
  <c r="R494" i="4"/>
  <c r="Q20" i="4"/>
  <c r="R20" i="4"/>
  <c r="Q26" i="4"/>
  <c r="R26" i="4"/>
  <c r="Q33" i="4"/>
  <c r="R33" i="4"/>
  <c r="Q40" i="4"/>
  <c r="R40" i="4"/>
  <c r="Q47" i="4"/>
  <c r="R47" i="4"/>
  <c r="Q54" i="4"/>
  <c r="R54" i="4"/>
  <c r="Q61" i="4"/>
  <c r="R61" i="4"/>
  <c r="Q68" i="4"/>
  <c r="R68" i="4"/>
  <c r="Q75" i="4"/>
  <c r="R75" i="4"/>
  <c r="Q82" i="4"/>
  <c r="R82" i="4"/>
  <c r="Q89" i="4"/>
  <c r="R89" i="4"/>
  <c r="Q96" i="4"/>
  <c r="R96" i="4"/>
  <c r="Q103" i="4"/>
  <c r="R103" i="4"/>
  <c r="Q110" i="4"/>
  <c r="R110" i="4"/>
  <c r="Q117" i="4"/>
  <c r="R117" i="4"/>
  <c r="Q124" i="4"/>
  <c r="R124" i="4"/>
  <c r="Q131" i="4"/>
  <c r="R131" i="4"/>
  <c r="Q138" i="4"/>
  <c r="R138" i="4"/>
  <c r="Q145" i="4"/>
  <c r="R145" i="4"/>
  <c r="Q152" i="4"/>
  <c r="R152" i="4"/>
  <c r="Q159" i="4"/>
  <c r="R159" i="4"/>
  <c r="Q166" i="4"/>
  <c r="R166" i="4"/>
  <c r="Q173" i="4"/>
  <c r="R173" i="4"/>
  <c r="Q180" i="4"/>
  <c r="R180" i="4"/>
  <c r="Q187" i="4"/>
  <c r="R187" i="4"/>
  <c r="Q194" i="4"/>
  <c r="R194" i="4"/>
  <c r="R201" i="4"/>
  <c r="Q201" i="4"/>
  <c r="Q208" i="4"/>
  <c r="R208" i="4"/>
  <c r="R215" i="4"/>
  <c r="Q215" i="4"/>
  <c r="R222" i="4"/>
  <c r="Q222" i="4"/>
  <c r="Q229" i="4"/>
  <c r="R229" i="4"/>
  <c r="Q236" i="4"/>
  <c r="R236" i="4"/>
  <c r="Q243" i="4"/>
  <c r="R243" i="4"/>
  <c r="Q250" i="4"/>
  <c r="R250" i="4"/>
  <c r="Q257" i="4"/>
  <c r="R257" i="4"/>
  <c r="Q264" i="4"/>
  <c r="R264" i="4"/>
  <c r="Q271" i="4"/>
  <c r="R271" i="4"/>
  <c r="Q278" i="4"/>
  <c r="R278" i="4"/>
  <c r="Q285" i="4"/>
  <c r="R285" i="4"/>
  <c r="R292" i="4"/>
  <c r="Q292" i="4"/>
  <c r="Q299" i="4"/>
  <c r="R299" i="4"/>
  <c r="R306" i="4"/>
  <c r="Q306" i="4"/>
  <c r="R313" i="4"/>
  <c r="Q313" i="4"/>
  <c r="Q320" i="4"/>
  <c r="R320" i="4"/>
  <c r="R327" i="4"/>
  <c r="Q327" i="4"/>
  <c r="R334" i="4"/>
  <c r="Q334" i="4"/>
  <c r="Q341" i="4"/>
  <c r="R341" i="4"/>
  <c r="Q348" i="4"/>
  <c r="R348" i="4"/>
  <c r="Q355" i="4"/>
  <c r="R355" i="4"/>
  <c r="Q362" i="4"/>
  <c r="R362" i="4"/>
  <c r="R369" i="4"/>
  <c r="Q369" i="4"/>
  <c r="R376" i="4"/>
  <c r="Q376" i="4"/>
  <c r="R383" i="4"/>
  <c r="Q383" i="4"/>
  <c r="R390" i="4"/>
  <c r="Q390" i="4"/>
  <c r="R397" i="4"/>
  <c r="Q397" i="4"/>
  <c r="R404" i="4"/>
  <c r="Q404" i="4"/>
  <c r="R411" i="4"/>
  <c r="Q411" i="4"/>
  <c r="Q418" i="4"/>
  <c r="R418" i="4"/>
  <c r="Q425" i="4"/>
  <c r="R425" i="4"/>
  <c r="R432" i="4"/>
  <c r="Q432" i="4"/>
  <c r="Q439" i="4"/>
  <c r="R439" i="4"/>
  <c r="R446" i="4"/>
  <c r="Q446" i="4"/>
  <c r="Q453" i="4"/>
  <c r="R453" i="4"/>
  <c r="Q460" i="4"/>
  <c r="R460" i="4"/>
  <c r="Q467" i="4"/>
  <c r="R467" i="4"/>
  <c r="Q474" i="4"/>
  <c r="R474" i="4"/>
  <c r="Q481" i="4"/>
  <c r="R481" i="4"/>
  <c r="Q488" i="4"/>
  <c r="R488" i="4"/>
  <c r="Q495" i="4"/>
  <c r="R495" i="4"/>
  <c r="Q10" i="4"/>
  <c r="R10" i="4"/>
  <c r="Q35" i="4"/>
  <c r="R35" i="4"/>
  <c r="Q70" i="4"/>
  <c r="R70" i="4"/>
  <c r="Q98" i="4"/>
  <c r="R98" i="4"/>
  <c r="R140" i="4"/>
  <c r="Q140" i="4"/>
  <c r="Q168" i="4"/>
  <c r="R168" i="4"/>
  <c r="R196" i="4"/>
  <c r="Q196" i="4"/>
  <c r="R224" i="4"/>
  <c r="Q224" i="4"/>
  <c r="Q245" i="4"/>
  <c r="R245" i="4"/>
  <c r="Q280" i="4"/>
  <c r="R280" i="4"/>
  <c r="R329" i="4"/>
  <c r="Q329" i="4"/>
  <c r="Q469" i="4"/>
  <c r="R469" i="4"/>
  <c r="Q29" i="4"/>
  <c r="R29" i="4"/>
  <c r="Q50" i="4"/>
  <c r="R50" i="4"/>
  <c r="Q78" i="4"/>
  <c r="R78" i="4"/>
  <c r="Q99" i="4"/>
  <c r="R99" i="4"/>
  <c r="Q120" i="4"/>
  <c r="R120" i="4"/>
  <c r="Q148" i="4"/>
  <c r="R148" i="4"/>
  <c r="R176" i="4"/>
  <c r="Q176" i="4"/>
  <c r="R197" i="4"/>
  <c r="Q197" i="4"/>
  <c r="R218" i="4"/>
  <c r="Q218" i="4"/>
  <c r="Q246" i="4"/>
  <c r="R246" i="4"/>
  <c r="Q267" i="4"/>
  <c r="R267" i="4"/>
  <c r="R295" i="4"/>
  <c r="Q295" i="4"/>
  <c r="Q316" i="4"/>
  <c r="R316" i="4"/>
  <c r="Q323" i="4"/>
  <c r="R323" i="4"/>
  <c r="R337" i="4"/>
  <c r="Q337" i="4"/>
  <c r="R351" i="4"/>
  <c r="Q351" i="4"/>
  <c r="R365" i="4"/>
  <c r="Q365" i="4"/>
  <c r="R393" i="4"/>
  <c r="Q393" i="4"/>
  <c r="R414" i="4"/>
  <c r="Q414" i="4"/>
  <c r="Q428" i="4"/>
  <c r="R428" i="4"/>
  <c r="R449" i="4"/>
  <c r="Q449" i="4"/>
  <c r="Q463" i="4"/>
  <c r="R463" i="4"/>
  <c r="Q477" i="4"/>
  <c r="R477" i="4"/>
  <c r="Q491" i="4"/>
  <c r="R491" i="4"/>
  <c r="Q6" i="4"/>
  <c r="R6" i="4"/>
  <c r="R37" i="4"/>
  <c r="Q37" i="4"/>
  <c r="Q72" i="4"/>
  <c r="R72" i="4"/>
  <c r="R86" i="4"/>
  <c r="Q86" i="4"/>
  <c r="Q107" i="4"/>
  <c r="R107" i="4"/>
  <c r="Q142" i="4"/>
  <c r="R142" i="4"/>
  <c r="Q177" i="4"/>
  <c r="R177" i="4"/>
  <c r="R212" i="4"/>
  <c r="Q212" i="4"/>
  <c r="R275" i="4"/>
  <c r="Q275" i="4"/>
  <c r="R324" i="4"/>
  <c r="Q324" i="4"/>
  <c r="Q366" i="4"/>
  <c r="R366" i="4"/>
  <c r="Q401" i="4"/>
  <c r="R401" i="4"/>
  <c r="Q436" i="4"/>
  <c r="R436" i="4"/>
  <c r="Q499" i="4"/>
  <c r="R499" i="4"/>
  <c r="R25" i="4"/>
  <c r="Q25" i="4"/>
  <c r="Q60" i="4"/>
  <c r="R60" i="4"/>
  <c r="Q109" i="4"/>
  <c r="R109" i="4"/>
  <c r="Q172" i="4"/>
  <c r="R172" i="4"/>
  <c r="Q270" i="4"/>
  <c r="R270" i="4"/>
  <c r="Q480" i="4"/>
  <c r="R480" i="4"/>
  <c r="R9" i="4"/>
  <c r="Q9" i="4"/>
  <c r="Q4" i="4"/>
  <c r="R4" i="4"/>
  <c r="Q42" i="4"/>
  <c r="R42" i="4"/>
  <c r="Q77" i="4"/>
  <c r="R77" i="4"/>
  <c r="R112" i="4"/>
  <c r="Q112" i="4"/>
  <c r="Q154" i="4"/>
  <c r="R154" i="4"/>
  <c r="Q203" i="4"/>
  <c r="R203" i="4"/>
  <c r="R252" i="4"/>
  <c r="Q252" i="4"/>
  <c r="R308" i="4"/>
  <c r="Q308" i="4"/>
  <c r="Q378" i="4"/>
  <c r="R378" i="4"/>
  <c r="Q497" i="4"/>
  <c r="R497" i="4"/>
  <c r="Q5" i="4"/>
  <c r="R5" i="4"/>
  <c r="R23" i="4"/>
  <c r="Q23" i="4"/>
  <c r="R51" i="4"/>
  <c r="Q51" i="4"/>
  <c r="Q135" i="4"/>
  <c r="R135" i="4"/>
  <c r="R240" i="4"/>
  <c r="Q240" i="4"/>
  <c r="Q471" i="4"/>
  <c r="R471" i="4"/>
  <c r="Q19" i="4"/>
  <c r="R19" i="4"/>
  <c r="Q32" i="4"/>
  <c r="R32" i="4"/>
  <c r="Q46" i="4"/>
  <c r="R46" i="4"/>
  <c r="Q67" i="4"/>
  <c r="R67" i="4"/>
  <c r="Q81" i="4"/>
  <c r="R81" i="4"/>
  <c r="Q95" i="4"/>
  <c r="R95" i="4"/>
  <c r="Q116" i="4"/>
  <c r="R116" i="4"/>
  <c r="Q130" i="4"/>
  <c r="R130" i="4"/>
  <c r="Q144" i="4"/>
  <c r="R144" i="4"/>
  <c r="Q158" i="4"/>
  <c r="R158" i="4"/>
  <c r="Q179" i="4"/>
  <c r="R179" i="4"/>
  <c r="Q193" i="4"/>
  <c r="R193" i="4"/>
  <c r="R200" i="4"/>
  <c r="Q200" i="4"/>
  <c r="R214" i="4"/>
  <c r="Q214" i="4"/>
  <c r="Q228" i="4"/>
  <c r="R228" i="4"/>
  <c r="R242" i="4"/>
  <c r="Q242" i="4"/>
  <c r="Q249" i="4"/>
  <c r="R249" i="4"/>
  <c r="R263" i="4"/>
  <c r="Q263" i="4"/>
  <c r="Q277" i="4"/>
  <c r="R277" i="4"/>
  <c r="Q291" i="4"/>
  <c r="R291" i="4"/>
  <c r="Q298" i="4"/>
  <c r="R298" i="4"/>
  <c r="R312" i="4"/>
  <c r="Q312" i="4"/>
  <c r="R326" i="4"/>
  <c r="Q326" i="4"/>
  <c r="R340" i="4"/>
  <c r="Q340" i="4"/>
  <c r="R354" i="4"/>
  <c r="Q354" i="4"/>
  <c r="R368" i="4"/>
  <c r="Q368" i="4"/>
  <c r="Q396" i="4"/>
  <c r="R396" i="4"/>
  <c r="Q487" i="4"/>
  <c r="R487" i="4"/>
  <c r="Q3" i="4"/>
  <c r="R3" i="4"/>
  <c r="Q21" i="4"/>
  <c r="R21" i="4"/>
  <c r="Q27" i="4"/>
  <c r="R27" i="4"/>
  <c r="Q34" i="4"/>
  <c r="R34" i="4"/>
  <c r="Q41" i="4"/>
  <c r="R41" i="4"/>
  <c r="Q48" i="4"/>
  <c r="R48" i="4"/>
  <c r="Q55" i="4"/>
  <c r="R55" i="4"/>
  <c r="R62" i="4"/>
  <c r="Q62" i="4"/>
  <c r="R69" i="4"/>
  <c r="Q69" i="4"/>
  <c r="R76" i="4"/>
  <c r="Q76" i="4"/>
  <c r="R83" i="4"/>
  <c r="Q83" i="4"/>
  <c r="R90" i="4"/>
  <c r="Q90" i="4"/>
  <c r="R97" i="4"/>
  <c r="Q97" i="4"/>
  <c r="R104" i="4"/>
  <c r="Q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R195" i="4"/>
  <c r="Q195" i="4"/>
  <c r="Q202" i="4"/>
  <c r="R202" i="4"/>
  <c r="Q209" i="4"/>
  <c r="R209" i="4"/>
  <c r="R216" i="4"/>
  <c r="Q216" i="4"/>
  <c r="R223" i="4"/>
  <c r="Q223" i="4"/>
  <c r="R230" i="4"/>
  <c r="Q230" i="4"/>
  <c r="R237" i="4"/>
  <c r="Q237" i="4"/>
  <c r="R244" i="4"/>
  <c r="Q244" i="4"/>
  <c r="R251" i="4"/>
  <c r="Q251" i="4"/>
  <c r="R258" i="4"/>
  <c r="Q258" i="4"/>
  <c r="R265" i="4"/>
  <c r="Q265" i="4"/>
  <c r="Q272" i="4"/>
  <c r="R272" i="4"/>
  <c r="R279" i="4"/>
  <c r="Q279" i="4"/>
  <c r="R286" i="4"/>
  <c r="Q286" i="4"/>
  <c r="R293" i="4"/>
  <c r="Q293" i="4"/>
  <c r="Q300" i="4"/>
  <c r="R300" i="4"/>
  <c r="Q307" i="4"/>
  <c r="R307" i="4"/>
  <c r="R314" i="4"/>
  <c r="Q314" i="4"/>
  <c r="R321" i="4"/>
  <c r="Q321" i="4"/>
  <c r="Q328" i="4"/>
  <c r="R328" i="4"/>
  <c r="R335" i="4"/>
  <c r="Q335" i="4"/>
  <c r="R342" i="4"/>
  <c r="Q342" i="4"/>
  <c r="Q349" i="4"/>
  <c r="R349" i="4"/>
  <c r="R356" i="4"/>
  <c r="Q356" i="4"/>
  <c r="Q363" i="4"/>
  <c r="R363" i="4"/>
  <c r="Q370" i="4"/>
  <c r="R370" i="4"/>
  <c r="Q377" i="4"/>
  <c r="R377" i="4"/>
  <c r="R384" i="4"/>
  <c r="Q384" i="4"/>
  <c r="Q391" i="4"/>
  <c r="R391" i="4"/>
  <c r="Q398" i="4"/>
  <c r="R398" i="4"/>
  <c r="Q405" i="4"/>
  <c r="R405" i="4"/>
  <c r="Q412" i="4"/>
  <c r="R412" i="4"/>
  <c r="R419" i="4"/>
  <c r="Q419" i="4"/>
  <c r="Q426" i="4"/>
  <c r="R426" i="4"/>
  <c r="Q433" i="4"/>
  <c r="R433" i="4"/>
  <c r="R440" i="4"/>
  <c r="Q440" i="4"/>
  <c r="Q447" i="4"/>
  <c r="R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Bezawit Getaneh</author>
  </authors>
  <commentList>
    <comment ref="C1" authorId="0" shapeId="0" xr:uid="{2BC9AE58-C5E3-444F-89C2-52B6BA817518}">
      <text>
        <r>
          <rPr>
            <sz val="11"/>
            <color theme="1"/>
            <rFont val="Calibri"/>
            <family val="2"/>
            <charset val="1"/>
          </rPr>
          <t xml:space="preserve">Required Step: Once your completion date is filled out, immediately update this Current Status column to the next dev receiving stage.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<sst xmlns="http://schemas.openxmlformats.org/spreadsheetml/2006/main" count="3010" uniqueCount="425">
  <si>
    <t>Domain</t>
  </si>
  <si>
    <t>Report Name</t>
  </si>
  <si>
    <t>Current Status  (Update next stage after completion date)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</si>
  <si>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</si>
  <si>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</si>
  <si>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</si>
  <si>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</si>
  <si>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</si>
  <si>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</si>
  <si>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</si>
  <si>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</si>
  <si>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</si>
  <si>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</si>
  <si>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Build Source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</si>
  <si>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</si>
  <si>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</si>
  <si>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</si>
  <si>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</si>
  <si>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</si>
  <si>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</si>
  <si>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</si>
  <si>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</si>
  <si>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</si>
  <si>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preety Initial QA Completion Date</t>
  </si>
  <si>
    <t>QA Actual Completion Date</t>
  </si>
  <si>
    <t>Sprint QA</t>
  </si>
  <si>
    <t>DPO Approval Baseline Completion Date</t>
  </si>
  <si>
    <t>DPO Approval Reforecast Completion Date</t>
  </si>
  <si>
    <t>DPO Approval Completion Date</t>
  </si>
  <si>
    <t>DPO Approval Reviewer</t>
  </si>
  <si>
    <t>Report Type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</si>
  <si>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</si>
  <si>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</si>
  <si>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</si>
  <si>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</si>
  <si>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</si>
  <si>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</si>
  <si>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</si>
  <si>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QA Rework Due	DPO Rework Due</t>
  </si>
  <si>
    <t>Column1</t>
  </si>
  <si>
    <t>Leaks</t>
  </si>
  <si>
    <t>RPT_04_Active Leaks</t>
  </si>
  <si>
    <t>RELEASED IN PROD</t>
  </si>
  <si>
    <t>April</t>
  </si>
  <si>
    <t>Fetwi</t>
  </si>
  <si>
    <t>Curated</t>
  </si>
  <si>
    <t>Sarath</t>
  </si>
  <si>
    <t>Preety</t>
  </si>
  <si>
    <t>Kelvin Hu</t>
  </si>
  <si>
    <t>compliance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</si>
  <si>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</si>
  <si>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</si>
  <si>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</si>
  <si>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</si>
  <si>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</si>
  <si>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</si>
  <si>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</si>
  <si>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</si>
  <si>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</si>
  <si>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</si>
  <si>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</si>
  <si>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</si>
  <si>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</si>
  <si>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</si>
  <si>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</si>
  <si>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</si>
  <si>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</si>
  <si>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</si>
  <si>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</si>
  <si>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</si>
  <si>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RPT_04_Leaks Aging</t>
  </si>
  <si>
    <t>RPT_04_Prior Leak Readings</t>
  </si>
  <si>
    <t>Ops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</si>
  <si>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</si>
  <si>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</si>
  <si>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</si>
  <si>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</si>
  <si>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</si>
  <si>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</si>
  <si>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</si>
  <si>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</si>
  <si>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</si>
  <si>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</si>
  <si>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</si>
  <si>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</si>
  <si>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</si>
  <si>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</si>
  <si>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</si>
  <si>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</si>
  <si>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</si>
  <si>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</si>
  <si>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</si>
  <si>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</si>
  <si>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</si>
  <si>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Regulatory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</si>
  <si>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</si>
  <si>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</si>
  <si>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</si>
  <si>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</si>
  <si>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</si>
  <si>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</si>
  <si>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</si>
  <si>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</si>
  <si>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</si>
  <si>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Thuan Nguyen</t>
  </si>
  <si>
    <t>RPT_04_Leak Life Cycle</t>
  </si>
  <si>
    <t>Nicole Gordon, Jason Dezotell</t>
  </si>
  <si>
    <t>[Historical, June 2026]: Waiting on Kelvin's approval to deploy to UAT.</t>
  </si>
  <si>
    <t>RPT_04_Leak Life Cycle Legacy LMS LI</t>
  </si>
  <si>
    <t>RPT_04_Leak Increase Reads</t>
  </si>
  <si>
    <t>Jay Poter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</si>
  <si>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</si>
  <si>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</si>
  <si>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</si>
  <si>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Nicole Gordon, Allie Cama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</si>
  <si>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</si>
  <si>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</si>
  <si>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</si>
  <si>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</si>
  <si>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Corey Manson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</si>
  <si>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</si>
  <si>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</si>
  <si>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</si>
  <si>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</si>
  <si>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</si>
  <si>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Oneil Lashley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</si>
  <si>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</si>
  <si>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</si>
  <si>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</si>
  <si>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</si>
  <si>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</si>
  <si>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</si>
  <si>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</si>
  <si>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Jeanne Waldron, Anthony Massimino</t>
  </si>
  <si>
    <t>Blocked with  https://jira.prod.nationalgrid.com/browse/GDMP-2875</t>
  </si>
  <si>
    <t>RPT_02_Warning Tag HEFPA</t>
  </si>
  <si>
    <t>Jeanne Waldron, Anthony Massimino, Simone Brooks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</si>
  <si>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</si>
  <si>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</si>
  <si>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</si>
  <si>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</si>
  <si>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QA</t>
  </si>
  <si>
    <t>Jeanne Waldron, Anthony Massimino, Shaunna Peters</t>
  </si>
  <si>
    <t>27/8 Ready for Kushal's review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</si>
  <si>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</si>
  <si>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</si>
  <si>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</si>
  <si>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</si>
  <si>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</si>
  <si>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</si>
  <si>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PBI Dev</t>
  </si>
  <si>
    <t>Jeanne Waldron, Anthony Massimino, Shaunna Peters, Nicholas Scotto</t>
  </si>
  <si>
    <t>sent back yesterday</t>
  </si>
  <si>
    <t>RPT_02_Service Regulator Inspection Printout</t>
  </si>
  <si>
    <t>DB Dev</t>
  </si>
  <si>
    <t>RPT_02_20 Year Regulator Inspection</t>
  </si>
  <si>
    <t>Natalie Lattanzio</t>
  </si>
  <si>
    <t>Added Customer Details to Mandated tab</t>
  </si>
  <si>
    <t>RPT_02_Fixed Factor</t>
  </si>
  <si>
    <t>10,12</t>
  </si>
  <si>
    <t>Nick</t>
  </si>
  <si>
    <t>RPT_02_Fixed Factor Printout</t>
  </si>
  <si>
    <t>RPT_02_Work Order Completion Printout</t>
  </si>
  <si>
    <t>Unblocked and Dev completed after requirements confirmation from Kushal</t>
  </si>
  <si>
    <t>RPT_02_GRO Control</t>
  </si>
  <si>
    <t>QA note ; 8/21/2026 : Ready for review</t>
  </si>
  <si>
    <t>RPT_02_GRO Monitor</t>
  </si>
  <si>
    <t>PI2 - S3</t>
  </si>
  <si>
    <t>Ready for review</t>
  </si>
  <si>
    <t>RPT_02_Public Buildings Inspection</t>
  </si>
  <si>
    <t>16,17,24, 28</t>
  </si>
  <si>
    <t>August</t>
  </si>
  <si>
    <t>hybrid</t>
  </si>
  <si>
    <t>PI2, S2, S4</t>
  </si>
  <si>
    <t>Fixed view - Ready for PBI Validation</t>
  </si>
  <si>
    <t>RPT_02_Investigate Wall Check and Service Check</t>
  </si>
  <si>
    <t>Shaunna Peters</t>
  </si>
  <si>
    <t>Ready for review
deploy PBI report to QA for testing
-,Deployed to QA on 0825</t>
  </si>
  <si>
    <t>RPT_02_Cut Out Orders</t>
  </si>
  <si>
    <t>Ready for Kushal's review</t>
  </si>
  <si>
    <t>RPT_02_Gas Trouble</t>
  </si>
  <si>
    <t>PI2, S2, S3</t>
  </si>
  <si>
    <t>RPT_02_Wall Check Control</t>
  </si>
  <si>
    <t>PI2, S3, S4</t>
  </si>
  <si>
    <t>RPT_02_High Pressure Steel Inside Inspection</t>
  </si>
  <si>
    <t>Ready for Bardia's Review</t>
  </si>
  <si>
    <t>RPT_02_Large Gas Outage</t>
  </si>
  <si>
    <t>RPT_02_Fitting Work</t>
  </si>
  <si>
    <t>RPT_02_Field Collector Report</t>
  </si>
  <si>
    <t>Jeanne Timmons, Shaunna Peters</t>
  </si>
  <si>
    <t>RPT_02_Turn On for Non-Payment</t>
  </si>
  <si>
    <t>Bryan Patterson, Reginald Durham, Shaunna Peters, Simone Brooks</t>
  </si>
  <si>
    <t>Sarath's Comments
08/31:Waiting for DB View to deploy to QA 
09/01: Ready for QA testing.</t>
  </si>
  <si>
    <t>RPT_02_Collector Payment Recap</t>
  </si>
  <si>
    <t>Oneil Lashley, Terrence Perry</t>
  </si>
  <si>
    <t>RPT_02_Incentive Management</t>
  </si>
  <si>
    <t>Reginald Durham</t>
  </si>
  <si>
    <t>RPT_02_UTC Report</t>
  </si>
  <si>
    <t>September</t>
  </si>
  <si>
    <t>PI2, S5</t>
  </si>
  <si>
    <t>PI2,S6</t>
  </si>
  <si>
    <t>Simone Brooks</t>
  </si>
  <si>
    <t>RPT_02_Adjacent Property Checks</t>
  </si>
  <si>
    <t>Anthony Massimino</t>
  </si>
  <si>
    <t>Ready For PBI</t>
  </si>
  <si>
    <t>RPT_02_High Bill Investigations</t>
  </si>
  <si>
    <t>NOT STARTED</t>
  </si>
  <si>
    <t>RPT_02_Emergency Order Type</t>
  </si>
  <si>
    <t>RPT_02_Cut Out Curb Box</t>
  </si>
  <si>
    <t>RPT_02_New York Incident</t>
  </si>
  <si>
    <t>Bryan Patterson, Reginald Durham</t>
  </si>
  <si>
    <t>RPT_02_Outside Repeat Leaks</t>
  </si>
  <si>
    <t>Reginald Durham, Bryan Patterson, Simone Brooks</t>
  </si>
  <si>
    <t>RPT_02_Meter Change</t>
  </si>
  <si>
    <t>Michelle Fitten</t>
  </si>
  <si>
    <t>RPT_02_Field Order Value</t>
  </si>
  <si>
    <t>Alex Giangolini</t>
  </si>
  <si>
    <t>RPT_02_Same Day Reconnect</t>
  </si>
  <si>
    <t>Bryan Patterson</t>
  </si>
  <si>
    <t>RPT_02_Site Specific Analysis</t>
  </si>
  <si>
    <t>RPT_02_PSC Wire Down Response Time</t>
  </si>
  <si>
    <t>RPT_02_Hazardous Above Ground Leak</t>
  </si>
  <si>
    <t>Bryan Patterson, Reginald Durham, Simone Brooks, Shaunna Peters</t>
  </si>
  <si>
    <t>RPT_02_AMI Contractor Completion Report</t>
  </si>
  <si>
    <t>Michael</t>
  </si>
  <si>
    <t>PI2,SIP</t>
  </si>
  <si>
    <t>Meredith Dube</t>
  </si>
  <si>
    <t>08/26: Report not required per Bardia</t>
  </si>
  <si>
    <t>RPT_02_Collection Statistic</t>
  </si>
  <si>
    <t>Brett Palmeri</t>
  </si>
  <si>
    <t>08/26: Out of scope per Bardia.</t>
  </si>
  <si>
    <t>RPT_02_First and Last Job</t>
  </si>
  <si>
    <t>RPT_02_Rate Class</t>
  </si>
  <si>
    <t>Zishan Momin</t>
  </si>
  <si>
    <t>RPT_04_Leak Recheck Times</t>
  </si>
  <si>
    <t>RPT_02_Service Resource Activity</t>
  </si>
  <si>
    <t>October</t>
  </si>
  <si>
    <t>PI3,S1</t>
  </si>
  <si>
    <t>RPT_02_Incomplete Service Appointments</t>
  </si>
  <si>
    <t>RPT_02_Emergency Response Time Review Report</t>
  </si>
  <si>
    <t xml:space="preserve">Christina Illingworth </t>
  </si>
  <si>
    <t>RPT_02_Personal Injury and Shock Investigation</t>
  </si>
  <si>
    <t>RPT_02_Emergency Response Statistics</t>
  </si>
  <si>
    <t>RPT_02_Emergency Time Adjustments Log </t>
  </si>
  <si>
    <t>PI2, S6</t>
  </si>
  <si>
    <t>RPT_02_PSC Soft Off Report</t>
  </si>
  <si>
    <t>Raw</t>
  </si>
  <si>
    <t>Angela Keegan</t>
  </si>
  <si>
    <t>RPT_02_Service Interruptions</t>
  </si>
  <si>
    <t>Greeta</t>
  </si>
  <si>
    <t>RPT_02 Duty to Inspect</t>
  </si>
  <si>
    <t>PI3,S2</t>
  </si>
  <si>
    <t>RPT_02_Service Appointment Life Cycle</t>
  </si>
  <si>
    <t>Megan Piccarreto</t>
  </si>
  <si>
    <t>RPT_02_PSC Inactive Account</t>
  </si>
  <si>
    <t>Reginald Durham, Simone Brooks</t>
  </si>
  <si>
    <t>RPT_02_Service Resource Performance</t>
  </si>
  <si>
    <t>RPT_02_Emergency Leak Response Metric (6 sub reports)</t>
  </si>
  <si>
    <t>61, 62, 63, 64, 65, 66</t>
  </si>
  <si>
    <t>RPT_02_Fixed Factor Mismatch</t>
  </si>
  <si>
    <t xml:space="preserve">November </t>
  </si>
  <si>
    <t>Matthew Menicucci</t>
  </si>
  <si>
    <t>RPT_02_Light Up Orders</t>
  </si>
  <si>
    <t>RPT_02_Meter To Billing Report</t>
  </si>
  <si>
    <t>PI3,S3</t>
  </si>
  <si>
    <t>RPT_02_Install Meter Orders</t>
  </si>
  <si>
    <t>PI3, S1</t>
  </si>
  <si>
    <t>RPT_02_Non Emergency Orders</t>
  </si>
  <si>
    <t>RPT_02_Carbon Monoxide</t>
  </si>
  <si>
    <t>Sreevasha</t>
  </si>
  <si>
    <t>Bryan Patterson, Reginald Durham, Simone Brooks</t>
  </si>
  <si>
    <t>RPT_02_All Jobs</t>
  </si>
  <si>
    <t>RPT_02_BCP Service Appointment WOs</t>
  </si>
  <si>
    <t>PI3, S2</t>
  </si>
  <si>
    <t>RPT_02_Meter Order Tracking</t>
  </si>
  <si>
    <t>ONeil Lashley, Terrence Perry</t>
  </si>
  <si>
    <t>RPT_02_Tech Availability, Utilization &amp; Absence</t>
  </si>
  <si>
    <t>PI3,S4</t>
  </si>
  <si>
    <t>Reginald Durham, Bill Contreras</t>
  </si>
  <si>
    <t>RPT_02_Job Productivity</t>
  </si>
  <si>
    <t>Laura Capasso, Michelle Fitten, Anthony Jenson</t>
  </si>
  <si>
    <t>RPT_02_Post Capacity Service Appointments</t>
  </si>
  <si>
    <t>Ryan Flaherty</t>
  </si>
  <si>
    <t>RPT_02_Check Estimate</t>
  </si>
  <si>
    <t>RPT_02_Service Appointments (5 sub reports)</t>
  </si>
  <si>
    <t>75,76,77,78,79</t>
  </si>
  <si>
    <t>Julie Molloy, Reginald Durham, Bill Contreras, Megan Piccarreto, Bryan Patterson</t>
  </si>
  <si>
    <t>RPT_02_Job Unit Count</t>
  </si>
  <si>
    <t>Laura Capasso, Michelle Fitten</t>
  </si>
  <si>
    <t>Assets and Engineering</t>
  </si>
  <si>
    <t>RPT_05_Department of Transportation</t>
  </si>
  <si>
    <t>December</t>
  </si>
  <si>
    <t>PI3, S3</t>
  </si>
  <si>
    <t>Christie DeWolff, Kevin Peters</t>
  </si>
  <si>
    <t>RPT_05_ Inside Meter Relocation</t>
  </si>
  <si>
    <t>PI3,S5</t>
  </si>
  <si>
    <t>Matthew Pitta</t>
  </si>
  <si>
    <t>RPT_05_Mapped Work Order Information</t>
  </si>
  <si>
    <t>Carla Scibelli</t>
  </si>
  <si>
    <t>Meter Management</t>
  </si>
  <si>
    <t>RPT_06_Retired Meters</t>
  </si>
  <si>
    <t>Shawn Oliveira</t>
  </si>
  <si>
    <t>RPT_13_Survey Book</t>
  </si>
  <si>
    <t>Michelle Roche</t>
  </si>
  <si>
    <t>RPT_05_Leak Survey Mains Summary</t>
  </si>
  <si>
    <t>John Kashmanian</t>
  </si>
  <si>
    <t>RPT_13_Customer Service Point</t>
  </si>
  <si>
    <t>Kevin Peters, Sadaat Khan</t>
  </si>
  <si>
    <t>RPT_02_Emergency Operation Checklist</t>
  </si>
  <si>
    <t>PI3, S4</t>
  </si>
  <si>
    <t>Omesh Kamat, Michelle Roche, Ed Graziano</t>
  </si>
  <si>
    <t>RPT_06_ERT List</t>
  </si>
  <si>
    <t>PI3,S6</t>
  </si>
  <si>
    <t>Austin Whitney</t>
  </si>
  <si>
    <t>RPT_13_Blue Card</t>
  </si>
  <si>
    <t>Nikki Shattuck</t>
  </si>
  <si>
    <t>RPT_06_Out of Route Meters Gas</t>
  </si>
  <si>
    <t>Bryan Smiley</t>
  </si>
  <si>
    <t>RPT_06_Yard Meter Inventory</t>
  </si>
  <si>
    <t>RPT_06_ERTtoEPSLoadReportbyReceiptNumber</t>
  </si>
  <si>
    <t>RPT_06_Out of Route Meters Electric</t>
  </si>
  <si>
    <t>PI3, S5</t>
  </si>
  <si>
    <t>RPT_06_Random Meter Sampling Testing Results</t>
  </si>
  <si>
    <t>Find a Report</t>
  </si>
  <si>
    <t>Pick a report below - everything updates automatically.</t>
  </si>
  <si>
    <t>Report Name:</t>
  </si>
  <si>
    <t>Current Status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</si>
  <si>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</si>
  <si>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</si>
  <si>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</si>
  <si>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</si>
  <si>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</si>
  <si>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</si>
  <si>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</si>
  <si>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</si>
  <si>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</si>
  <si>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</si>
  <si>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</si>
  <si>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</si>
  <si>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</si>
  <si>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</si>
  <si>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</si>
  <si>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</si>
  <si>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</si>
  <si>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</si>
  <si>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</si>
  <si>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</si>
  <si>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</si>
  <si>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</si>
  <si>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</si>
  <si>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</si>
  <si>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</si>
  <si>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</si>
  <si>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</si>
  <si>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</si>
  <si>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</si>
  <si>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</si>
  <si>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</si>
  <si>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</si>
  <si>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</si>
  <si>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>yes</t>
  </si>
  <si>
    <t xml:space="preserve">Average biometric value rounding up </t>
  </si>
  <si>
    <t>Customer Contact Detail column missing in Mandated tab</t>
  </si>
  <si>
    <t xml:space="preserve">Yes </t>
  </si>
  <si>
    <t xml:space="preserve">Count mismatch in Summary </t>
  </si>
  <si>
    <t>Count mismatch. SPIPE# is incorrect</t>
  </si>
  <si>
    <t>Protection Seal In Place column is having mismatches</t>
  </si>
  <si>
    <t>MX WO# 18224253 is not showing up in the printout</t>
  </si>
  <si>
    <t>Column mismatch and Column orders</t>
  </si>
  <si>
    <t xml:space="preserve">Count Mismatch for both Turn on and Turn Off </t>
  </si>
  <si>
    <t>Count mismatch for Elevated Pressure tab</t>
  </si>
  <si>
    <t>RPT_Cut Out Orders</t>
  </si>
  <si>
    <t>Data last refresh showing incorrect for older data in the report</t>
  </si>
  <si>
    <t>Data refresh Date is showing correct date for older data</t>
  </si>
  <si>
    <t>Count mismatch between ODS and GDm</t>
  </si>
  <si>
    <t xml:space="preserve">ASsigned Tech difference </t>
  </si>
  <si>
    <t>Count mismatch between ODS and GDM</t>
  </si>
  <si>
    <t>Mismatches found in LEAK_FOUND in GDM reports when compared to ODS</t>
  </si>
  <si>
    <t xml:space="preserve">Count of records displaying for No Wall check Performed is incorrect , it’s not matching with the export. 
Count of records displaying for No Service check Performed is incorrect , it’s not matching with the export. </t>
  </si>
  <si>
    <t xml:space="preserve">PBI Source and formatting broken </t>
  </si>
  <si>
    <t>Report not working for DPO</t>
  </si>
  <si>
    <t>Access was given to the Semantic Model</t>
  </si>
  <si>
    <t xml:space="preserve">Mismatch for County, phone number, name and phone extension 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</si>
  <si>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</si>
  <si>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</si>
  <si>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</si>
  <si>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</si>
  <si>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</si>
  <si>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</si>
  <si>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</si>
  <si>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</si>
  <si>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</si>
  <si>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</si>
  <si>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</si>
  <si>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Yes / No</t>
  </si>
  <si>
    <t>All Developers</t>
  </si>
  <si>
    <t>Rework Stage</t>
  </si>
  <si>
    <t>Person</t>
  </si>
  <si>
    <t>Email</t>
  </si>
  <si>
    <t>compliance or Regulatory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</si>
  <si>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</si>
  <si>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</si>
  <si>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</si>
  <si>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</si>
  <si>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</si>
  <si>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</si>
  <si>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</si>
  <si>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</si>
  <si>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</si>
  <si>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</si>
  <si>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</si>
  <si>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</si>
  <si>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</si>
  <si>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</si>
  <si>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Yes – other</t>
  </si>
  <si>
    <t>Yes – needs DB Dev to fix</t>
  </si>
  <si>
    <t>Did not pass re-test</t>
  </si>
  <si>
    <t>Yes – needs PBI Dev to fix</t>
  </si>
  <si>
    <t>Olu</t>
  </si>
  <si>
    <t>Yes – needs QA to fix</t>
  </si>
  <si>
    <t>Yes – needs DPO Approval to fix</t>
  </si>
  <si>
    <t>rework for views with new dynamic tables.</t>
  </si>
  <si>
    <t>Mejo George</t>
  </si>
  <si>
    <t>Michael Ayedun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</si>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</sst>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  <font>
      <strike/>
      <sz val="11"/>
      <color rgb="FFFF0000"/>
      <name val="Calibri"/>
      <family val="2"/>
    </font>
    <font>
      <strike/>
      <sz val="11"/>
      <name val="Calibri"/>
      <family val="2"/>
    </font>
    <font>
      <strike/>
      <sz val="11"/>
      <color theme="1"/>
      <name val="Calibri"/>
      <family val="2"/>
      <charset val="1"/>
    </font>
    <font>
      <strike/>
      <sz val="11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  <fill>
      <patternFill patternType="solid">
        <fgColor rgb="FFFF0000"/>
        <bgColor indexed="64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128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14" fontId="20" fillId="0" borderId="15" xfId="0" applyNumberFormat="1" applyFont="1" applyBorder="1" applyProtection="1">
      <protection locked="0"/>
    </xf>
    <xf numFmtId="0" fontId="20" fillId="0" borderId="0" xfId="0" applyFont="1"/>
    <xf numFmtId="0" fontId="0" fillId="0" borderId="0" xfId="0" applyAlignment="1" applyProtection="1">
      <alignment wrapText="1"/>
      <protection locked="0"/>
    </xf>
    <xf numFmtId="0" fontId="22" fillId="17" borderId="0" xfId="0" applyFont="1" applyFill="1" applyProtection="1">
      <protection locked="0"/>
    </xf>
    <xf numFmtId="0" fontId="22" fillId="0" borderId="0" xfId="0" applyFont="1" applyProtection="1">
      <protection locked="0"/>
    </xf>
    <xf numFmtId="0" fontId="6" fillId="0" borderId="13" xfId="0" applyFont="1" applyBorder="1" applyAlignment="1" applyProtection="1">
      <alignment wrapText="1"/>
      <protection locked="0"/>
    </xf>
    <xf numFmtId="0" fontId="23" fillId="17" borderId="0" xfId="0" applyFont="1" applyFill="1" applyProtection="1">
      <protection locked="0"/>
    </xf>
    <xf numFmtId="0" fontId="24" fillId="17" borderId="0" xfId="0" applyFont="1" applyFill="1"/>
    <xf numFmtId="0" fontId="23" fillId="17" borderId="4" xfId="0" applyFont="1" applyFill="1" applyBorder="1" applyProtection="1">
      <protection locked="0"/>
    </xf>
    <xf numFmtId="14" fontId="23" fillId="17" borderId="5" xfId="0" applyNumberFormat="1" applyFont="1" applyFill="1" applyBorder="1"/>
    <xf numFmtId="0" fontId="23" fillId="17" borderId="14" xfId="0" applyFont="1" applyFill="1" applyBorder="1"/>
    <xf numFmtId="14" fontId="23" fillId="17" borderId="0" xfId="0" applyNumberFormat="1" applyFont="1" applyFill="1"/>
    <xf numFmtId="14" fontId="23" fillId="17" borderId="0" xfId="0" applyNumberFormat="1" applyFont="1" applyFill="1" applyProtection="1">
      <protection locked="0"/>
    </xf>
    <xf numFmtId="0" fontId="23" fillId="17" borderId="15" xfId="0" applyFont="1" applyFill="1" applyBorder="1" applyProtection="1">
      <protection locked="0"/>
    </xf>
    <xf numFmtId="14" fontId="23" fillId="17" borderId="16" xfId="0" applyNumberFormat="1" applyFont="1" applyFill="1" applyBorder="1" applyProtection="1">
      <protection locked="0"/>
    </xf>
    <xf numFmtId="14" fontId="25" fillId="17" borderId="0" xfId="0" applyNumberFormat="1" applyFont="1" applyFill="1"/>
    <xf numFmtId="14" fontId="23" fillId="17" borderId="8" xfId="0" applyNumberFormat="1" applyFont="1" applyFill="1" applyBorder="1"/>
    <xf numFmtId="0" fontId="23" fillId="17" borderId="9" xfId="0" applyFont="1" applyFill="1" applyBorder="1" applyProtection="1">
      <protection locked="0"/>
    </xf>
    <xf numFmtId="0" fontId="23" fillId="17" borderId="10" xfId="0" applyFont="1" applyFill="1" applyBorder="1" applyProtection="1">
      <protection locked="0"/>
    </xf>
    <xf numFmtId="0" fontId="23" fillId="17" borderId="11" xfId="0" applyFont="1" applyFill="1" applyBorder="1" applyProtection="1">
      <protection locked="0"/>
    </xf>
    <xf numFmtId="0" fontId="24" fillId="17" borderId="12" xfId="0" applyFont="1" applyFill="1" applyBorder="1" applyProtection="1">
      <protection locked="0"/>
    </xf>
    <xf numFmtId="0" fontId="23" fillId="17" borderId="13" xfId="0" applyFont="1" applyFill="1" applyBorder="1" applyProtection="1">
      <protection locked="0"/>
    </xf>
    <xf numFmtId="14" fontId="24" fillId="17" borderId="0" xfId="0" applyNumberFormat="1" applyFont="1" applyFill="1" applyProtection="1">
      <protection locked="0"/>
    </xf>
    <xf numFmtId="0" fontId="23" fillId="0" borderId="0" xfId="0" applyFont="1" applyProtection="1">
      <protection locked="0"/>
    </xf>
    <xf numFmtId="0" fontId="24" fillId="0" borderId="0" xfId="0" applyFont="1"/>
    <xf numFmtId="0" fontId="23" fillId="0" borderId="4" xfId="0" applyFont="1" applyBorder="1" applyProtection="1">
      <protection locked="0"/>
    </xf>
    <xf numFmtId="14" fontId="23" fillId="0" borderId="5" xfId="0" applyNumberFormat="1" applyFont="1" applyBorder="1"/>
    <xf numFmtId="0" fontId="23" fillId="0" borderId="14" xfId="0" applyFont="1" applyBorder="1"/>
    <xf numFmtId="14" fontId="23" fillId="0" borderId="0" xfId="0" applyNumberFormat="1" applyFont="1"/>
    <xf numFmtId="14" fontId="23" fillId="0" borderId="0" xfId="0" applyNumberFormat="1" applyFont="1" applyProtection="1">
      <protection locked="0"/>
    </xf>
    <xf numFmtId="0" fontId="23" fillId="0" borderId="15" xfId="0" applyFont="1" applyBorder="1" applyProtection="1">
      <protection locked="0"/>
    </xf>
    <xf numFmtId="14" fontId="23" fillId="0" borderId="16" xfId="0" applyNumberFormat="1" applyFont="1" applyBorder="1" applyProtection="1">
      <protection locked="0"/>
    </xf>
    <xf numFmtId="14" fontId="25" fillId="0" borderId="0" xfId="0" applyNumberFormat="1" applyFont="1"/>
    <xf numFmtId="14" fontId="23" fillId="0" borderId="8" xfId="0" applyNumberFormat="1" applyFont="1" applyBorder="1"/>
    <xf numFmtId="0" fontId="23" fillId="0" borderId="9" xfId="0" applyFont="1" applyBorder="1" applyProtection="1">
      <protection locked="0"/>
    </xf>
    <xf numFmtId="0" fontId="23" fillId="0" borderId="10" xfId="0" applyFont="1" applyBorder="1" applyProtection="1">
      <protection locked="0"/>
    </xf>
    <xf numFmtId="0" fontId="23" fillId="0" borderId="11" xfId="0" applyFont="1" applyBorder="1" applyProtection="1">
      <protection locked="0"/>
    </xf>
    <xf numFmtId="0" fontId="24" fillId="0" borderId="12" xfId="0" applyFont="1" applyBorder="1" applyProtection="1">
      <protection locked="0"/>
    </xf>
    <xf numFmtId="0" fontId="23" fillId="0" borderId="13" xfId="0" applyFont="1" applyBorder="1" applyProtection="1">
      <protection locked="0"/>
    </xf>
    <xf numFmtId="14" fontId="24" fillId="0" borderId="0" xfId="0" applyNumberFormat="1" applyFont="1" applyProtection="1">
      <protection locked="0"/>
    </xf>
    <xf numFmtId="0" fontId="21" fillId="0" borderId="0" xfId="0" applyFont="1"/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6" fillId="0" borderId="13" xfId="0" applyFont="1" applyBorder="1" applyAlignment="1" applyProtection="1">
      <alignment vertical="top" wrapText="1"/>
      <protection locked="0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126"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numFmt numFmtId="0" formatCode="General"/>
      <protection locked="0" hidden="0"/>
    </dxf>
    <dxf>
      <numFmt numFmtId="0" formatCode="General"/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font>
        <color auto="1"/>
      </font>
      <numFmt numFmtId="19" formatCode="m/d/yyyy"/>
      <protection locked="0" hidden="0"/>
    </dxf>
    <dxf>
      <font>
        <color auto="1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numFmt numFmtId="0" formatCode="General"/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ill>
        <patternFill patternType="solid">
          <fgColor rgb="FFF2F5F8"/>
          <bgColor rgb="FFF2F5F8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4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N115" dataDxfId="57">
  <autoFilter ref="A1:AN115" xr:uid="{00000000-0009-0000-0100-000001000000}"/>
  <tableColumns count="40">
    <tableColumn id="1" xr3:uid="{00000000-0010-0000-0000-000001000000}" name="Domain" dataDxfId="56"/>
    <tableColumn id="2" xr3:uid="{00000000-0010-0000-0000-000002000000}" name="Report Name" dataDxfId="55"/>
    <tableColumn id="3" xr3:uid="{00000000-0010-0000-0000-000003000000}" name="Current Status  (Update next stage after completion date)" dataDxfId="54"/>
    <tableColumn id="4" xr3:uid="{00000000-0010-0000-0000-000004000000}" name="Status Flag" dataDxfId="53"/>
    <tableColumn id="5" xr3:uid="{00000000-0010-0000-0000-000005000000}" name="Business Value Rank" dataDxfId="52"/>
    <tableColumn id="6" xr3:uid="{00000000-0010-0000-0000-000006000000}" name="PO" dataDxfId="51"/>
    <tableColumn id="10" xr3:uid="{00000000-0010-0000-0000-00000A000000}" name="Schema" dataDxfId="50"/>
    <tableColumn id="11" xr3:uid="{00000000-0010-0000-0000-00000B000000}" name="Plan Delivery Date" dataDxfId="49"/>
    <tableColumn id="12" xr3:uid="{00000000-0010-0000-0000-00000C000000}" name="Plan Delivery Month" dataDxfId="48"/>
    <tableColumn id="7" xr3:uid="{00000000-0010-0000-0000-000007000000}" name="DB Developer" dataDxfId="47"/>
    <tableColumn id="13" xr3:uid="{00000000-0010-0000-0000-00000D000000}" name="DB Dev Baseline Completion Date" dataDxfId="46"/>
    <tableColumn id="30" xr3:uid="{00000000-0010-0000-0000-00001E000000}" name="DB Dev Reforecast Completion Date" dataDxfId="45"/>
    <tableColumn id="14" xr3:uid="{00000000-0010-0000-0000-00000E000000}" name="DB Dev Actual Completion Date" dataDxfId="44"/>
    <tableColumn id="35" xr3:uid="{1A518B0C-8D73-4DAB-8F10-7B4DFF037343}" name="Build Source" dataDxfId="43"/>
    <tableColumn id="28" xr3:uid="{EFCDFAEE-1B00-42CE-9649-7541F5DDC136}" name="Sprint DB" dataDxfId="42"/>
    <tableColumn id="8" xr3:uid="{00000000-0010-0000-0000-000008000000}" name="PBI Developer" dataDxfId="41"/>
    <tableColumn id="15" xr3:uid="{00000000-0010-0000-0000-00000F000000}" name="PBI Dev Baseline Completion Date" dataDxfId="40"/>
    <tableColumn id="31" xr3:uid="{00000000-0010-0000-0000-00001F000000}" name="PBI Dev Reforecast Completion Date" dataDxfId="39"/>
    <tableColumn id="16" xr3:uid="{00000000-0010-0000-0000-000010000000}" name="PBI Dev Actual Completion Date" dataDxfId="38"/>
    <tableColumn id="29" xr3:uid="{4630D178-9B47-4360-A40B-22C7384DB9C9}" name="Sprint PBI" dataDxfId="37"/>
    <tableColumn id="9" xr3:uid="{00000000-0010-0000-0000-000009000000}" name="QA Tester" dataDxfId="36"/>
    <tableColumn id="17" xr3:uid="{00000000-0010-0000-0000-000011000000}" name="QA Baseline Completion Date" dataDxfId="35"/>
    <tableColumn id="32" xr3:uid="{00000000-0010-0000-0000-000020000000}" name="QA Reforecast Completion Date" dataDxfId="34"/>
    <tableColumn id="43" xr3:uid="{4636FA56-7728-4236-AC33-8557B12CD9BB}" name="preety Initial QA Completion Date" dataDxfId="33"/>
    <tableColumn id="18" xr3:uid="{00000000-0010-0000-0000-000012000000}" name="QA Actual Completion Date" dataDxfId="32"/>
    <tableColumn id="34" xr3:uid="{70C5E8CB-08B0-4A84-9B68-89630FC3C5C7}" name="Sprint QA" dataDxfId="31"/>
    <tableColumn id="19" xr3:uid="{00000000-0010-0000-0000-000013000000}" name="DPO Approval Baseline Completion Date" dataDxfId="30"/>
    <tableColumn id="33" xr3:uid="{00000000-0010-0000-0000-000021000000}" name="DPO Approval Reforecast Completion Date" dataDxfId="29"/>
    <tableColumn id="36" xr3:uid="{86D482BF-E7A4-45A2-B2F5-CA0223EBDDD1}" name="DPO Approval Completion Date" dataDxfId="28"/>
    <tableColumn id="20" xr3:uid="{00000000-0010-0000-0000-000014000000}" name="DPO Approval Reviewer" dataDxfId="27"/>
    <tableColumn id="39" xr3:uid="{D4F67DF1-1A6D-469A-AA66-A681F9EBF81F}" name="Report Type" dataDxfId="26"/>
    <tableColumn id="21" xr3:uid="{00000000-0010-0000-0000-000015000000}" name="Confirmed Deployed?" dataDxfId="25"/>
    <tableColumn id="22" xr3:uid="{00000000-0010-0000-0000-000016000000}" name="Confirmed Deployed Date" dataDxfId="24"/>
    <tableColumn id="23" xr3:uid="{00000000-0010-0000-0000-000017000000}" name="UAT Report URL" dataDxfId="23"/>
    <tableColumn id="24" xr3:uid="{00000000-0010-0000-0000-000018000000}" name="Production URL" dataDxfId="22"/>
    <tableColumn id="25" xr3:uid="{00000000-0010-0000-0000-000019000000}" name="Blocked?" dataDxfId="21"/>
    <tableColumn id="26" xr3:uid="{00000000-0010-0000-0000-00001A000000}" name="Data Check" dataDxfId="20"/>
    <tableColumn id="27" xr3:uid="{00000000-0010-0000-0000-00001B000000}" name="Comments" dataDxfId="19"/>
    <tableColumn id="37" xr3:uid="{80A8E094-8F50-434A-A9E3-195269D50436}" name="QA Rework Due_x0009_DPO Rework Due" dataDxfId="18">
      <calculatedColumnFormula array="1">_xlfn.LET(_xlpm.rep,$B2,_xlpm.sent,_xlfn.MAXIFS('Rework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calculatedColumnFormula>
    </tableColumn>
    <tableColumn id="38" xr3:uid="{1C2FEBD2-DBA8-4974-89A0-AFF31D4E319C}" name="Column1" dataDxfId="17">
      <calculatedColumnFormula array="1">_xlfn.LET(_xlpm.rep,$B2,_xlpm.sent,_xlfn.MAXIFS('Rework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calculatedColumnFormula>
    </tableColumn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499">
  <autoFilter ref="A2:N499" xr:uid="{00000000-0009-0000-0100-000002000000}">
    <filterColumn colId="6">
      <filters blank="1">
        <filter val="No"/>
      </filters>
    </filterColumn>
  </autoFilter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ira.prod.nationalgrid.com/browse/GDMP-2940" TargetMode="External"/><Relationship Id="rId5" Type="http://schemas.openxmlformats.org/officeDocument/2006/relationships/comments" Target="../comments1.xml"/><Relationship Id="rId4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2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N527"/>
  <sheetViews>
    <sheetView tabSelected="1" zoomScaleNormal="100" workbookViewId="0">
      <pane xSplit="2" topLeftCell="K48" activePane="topRight" state="frozen"/>
      <selection pane="topRight" activeCell="Q52" sqref="Q52"/>
      <selection activeCell="A29" sqref="A29"/>
    </sheetView>
  </sheetViews>
  <sheetFormatPr defaultRowHeight="15" customHeight="1"/>
  <cols>
    <col min="1" max="1" width="12" customWidth="1"/>
    <col min="2" max="2" width="47.140625" customWidth="1"/>
    <col min="3" max="3" width="15" customWidth="1"/>
    <col min="4" max="4" width="28.42578125" customWidth="1"/>
    <col min="5" max="5" width="10" customWidth="1"/>
    <col min="6" max="6" width="11" customWidth="1"/>
    <col min="7" max="7" width="7.7109375" customWidth="1"/>
    <col min="8" max="8" width="15" customWidth="1"/>
    <col min="9" max="9" width="13.140625" style="56" bestFit="1" customWidth="1"/>
    <col min="10" max="10" width="13" customWidth="1"/>
    <col min="11" max="11" width="17" customWidth="1"/>
    <col min="12" max="12" width="15" customWidth="1"/>
    <col min="13" max="14" width="17" customWidth="1"/>
    <col min="15" max="15" width="15" customWidth="1"/>
    <col min="16" max="16" width="13" style="67" customWidth="1"/>
    <col min="17" max="17" width="17" customWidth="1"/>
    <col min="18" max="18" width="19.28515625" customWidth="1"/>
    <col min="19" max="19" width="24.5703125" customWidth="1"/>
    <col min="20" max="20" width="16" style="72" customWidth="1"/>
    <col min="21" max="21" width="11" customWidth="1"/>
    <col min="22" max="22" width="13" customWidth="1"/>
    <col min="23" max="23" width="15" customWidth="1"/>
    <col min="24" max="24" width="28" customWidth="1"/>
    <col min="25" max="25" width="13" customWidth="1"/>
    <col min="26" max="27" width="30" customWidth="1"/>
    <col min="28" max="29" width="42" customWidth="1"/>
    <col min="31" max="31" width="15" bestFit="1" customWidth="1"/>
    <col min="35" max="35" width="36.28515625" customWidth="1"/>
    <col min="36" max="36" width="45.7109375" customWidth="1"/>
    <col min="37" max="37" width="9.42578125" bestFit="1" customWidth="1"/>
    <col min="40" max="40" width="9.140625" bestFit="1" customWidth="1"/>
  </cols>
  <sheetData>
    <row r="1" spans="1:40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0" t="s">
        <v>8</v>
      </c>
      <c r="J1" s="58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15" t="s">
        <v>14</v>
      </c>
      <c r="P1" s="62" t="s">
        <v>15</v>
      </c>
      <c r="Q1" s="16" t="s">
        <v>16</v>
      </c>
      <c r="R1" s="16" t="s">
        <v>17</v>
      </c>
      <c r="S1" s="16" t="s">
        <v>18</v>
      </c>
      <c r="T1" s="68" t="s">
        <v>19</v>
      </c>
      <c r="U1" s="57" t="s">
        <v>20</v>
      </c>
      <c r="V1" s="17" t="s">
        <v>21</v>
      </c>
      <c r="W1" s="17" t="s">
        <v>22</v>
      </c>
      <c r="X1" s="17" t="s">
        <v>23</v>
      </c>
      <c r="Y1" s="17" t="s">
        <v>24</v>
      </c>
      <c r="Z1" s="17" t="s">
        <v>25</v>
      </c>
      <c r="AA1" s="51" t="s">
        <v>26</v>
      </c>
      <c r="AB1" s="18" t="s">
        <v>27</v>
      </c>
      <c r="AC1" s="18" t="s">
        <v>28</v>
      </c>
      <c r="AD1" s="18" t="s">
        <v>29</v>
      </c>
      <c r="AE1" s="18" t="s">
        <v>30</v>
      </c>
      <c r="AF1" s="23" t="s">
        <v>31</v>
      </c>
      <c r="AG1" s="19" t="s">
        <v>32</v>
      </c>
      <c r="AH1" s="24" t="s">
        <v>33</v>
      </c>
      <c r="AI1" s="20" t="s">
        <v>34</v>
      </c>
      <c r="AJ1" s="25" t="s">
        <v>35</v>
      </c>
      <c r="AK1" s="26" t="s">
        <v>36</v>
      </c>
      <c r="AL1" s="27" t="s">
        <v>37</v>
      </c>
      <c r="AM1" t="s">
        <v>38</v>
      </c>
      <c r="AN1" t="s">
        <v>39</v>
      </c>
    </row>
    <row r="2" spans="1:40" ht="14.45" hidden="1">
      <c r="A2" s="33" t="s">
        <v>40</v>
      </c>
      <c r="B2" s="33" t="s">
        <v>41</v>
      </c>
      <c r="C2" s="33" t="s">
        <v>42</v>
      </c>
      <c r="D2" t="str" cm="1">
        <f t="array" aca="1" ref="D2" ca="1">IF($B2="","",IF(LEFT($AJ2,3)="Yes","Blocked - "&amp;MID($AJ2,7,100)&amp;IF(SUMPRODUCT(('Rework Log'!$A$3:$A$499=$B2)*('Rework Log'!$G$3:$G$499&lt;&gt;"Yes")*('Rework Log'!$G$3:$G$499&lt;&gt;"Did not pass re-test"))=0,"",IF(SUMPRODUCT(MAX((('Rework Log'!$A$3:$A$499=$B2)*('Rework Log'!$G$3:$G$499&lt;&gt;"Yes")*('Rework Log'!$G$3:$G$499&lt;&gt;"Did not pass re-test"))*'Rework Log'!$I$3:$I$499))=0," - unclaimed"," - promised "&amp;TEXT(SUMPRODUCT(MAX((('Rework Log'!$A$3:$A$499=$B2)*('Rework Log'!$G$3:$G$499&lt;&gt;"Yes")*('Rework Log'!$G$3:$G$499&lt;&gt;"Did not pass re-test"))*'Rework Log'!$I$3:$I$499)),"m/d"))),IF(C2="NOT STARTED",IF(H2="","No plan date set",IF(H2&lt;TODAY(),"Review - planned start passed","On track")),IF(C2="DB Dev",IF(AND(L2="",K2=""),"No target set",IF(AND(IF(L2&lt;&gt;"",L2,K2)&lt;TODAY(),M2=""),"Overdue","On track")),IF(C2="PBI Dev",IF(AND(R2="",Q2=""),"No target set",IF(AND(IF(R2&lt;&gt;"",R2,Q2)&lt;TODAY(),S2=""),"Overdue","On track")),IF(C2="QA",_xlfn.LET(_xlpm.tgt,IF(AM2&lt;&gt;"",AM2,IF(W2&lt;&gt;"",W2,V2)),_xlpm.sent,_xlfn.MAXIFS('Rework Log'!$B$3:$B$499,'Rework Log'!$A$3:$A$499,$B2,'Rework Log'!$C$3:$C$499,"QA"),_xlpm.act,IF(AND(Y2&lt;&gt;"",Y2&gt;_xlpm.sent),Y2,""),IF(_xlpm.tgt="","No target set",IF(AND(_xlpm.tgt&lt;TODAY(),_xlpm.act=""),"Overdue","On track"))),IF(C2="DPO Approval",_xlfn.LET(_xlpm.tgt,IF(AN2&lt;&gt;"",AN2,IF(AB2&lt;&gt;"",AB2,AA2)),_xlpm.sent,_xlfn.MAXIFS('Rework Log'!$B$3:$B$499,'Rework Log'!$A$3:$A$499,$B2,'Rework Log'!$C$3:$C$499,"DPO*"),_xlpm.act,IF(AND(AC2&lt;&gt;"",AC2&gt;_xlpm.sent),AC2,""),IF(_xlpm.tgt="","No target set",IF(AND(_xlpm.tgt&lt;TODAY(),_xlpm.act=""),"Overdue","On track"))),IF(C2="RELEASED IN PROD","Delivered",""))))))))</f>
        <v>Delivered</v>
      </c>
      <c r="E2" s="33">
        <v>1</v>
      </c>
      <c r="F2" s="34"/>
      <c r="G2" s="33"/>
      <c r="H2" s="50">
        <v>46142</v>
      </c>
      <c r="I2" s="55" t="s">
        <v>43</v>
      </c>
      <c r="J2" s="33" t="s">
        <v>44</v>
      </c>
      <c r="K2" s="4">
        <v>46122</v>
      </c>
      <c r="L2" s="36"/>
      <c r="M2" s="36">
        <v>46115</v>
      </c>
      <c r="N2" s="36" t="s">
        <v>45</v>
      </c>
      <c r="O2" s="36"/>
      <c r="P2" s="63" t="s">
        <v>46</v>
      </c>
      <c r="Q2" s="4">
        <v>46129</v>
      </c>
      <c r="R2" s="36"/>
      <c r="S2" s="36">
        <v>46114</v>
      </c>
      <c r="T2" s="69"/>
      <c r="U2" s="33" t="s">
        <v>47</v>
      </c>
      <c r="V2" s="59">
        <v>46136</v>
      </c>
      <c r="W2" s="36"/>
      <c r="X2" s="36"/>
      <c r="Y2" s="36">
        <v>46122</v>
      </c>
      <c r="Z2" s="36"/>
      <c r="AA2" s="52">
        <v>46140</v>
      </c>
      <c r="AB2" s="36"/>
      <c r="AC2" s="36"/>
      <c r="AD2" s="33" t="s">
        <v>48</v>
      </c>
      <c r="AE2" s="33" t="s">
        <v>49</v>
      </c>
      <c r="AF2" s="38" t="s">
        <v>50</v>
      </c>
      <c r="AG2" s="36">
        <v>46122</v>
      </c>
      <c r="AH2" s="39" t="s">
        <v>51</v>
      </c>
      <c r="AI2" s="33" t="s">
        <v>52</v>
      </c>
      <c r="AJ2" s="40" t="s">
        <v>53</v>
      </c>
      <c r="AK2" s="73" t="str">
        <f>IF($B2="","",IF(AND(LEFT($AJ2,3)="Yes",SUMPRODUCT(('Rework Log'!$A$3:$A$499=$B2)*('Rework Log'!$G$3:$G$499&lt;&gt;"Yes")*('Rework Log'!$G$3:$G$499&lt;&gt;"Did not pass re-test"))=0),"Blocked - log it on Rework Log",IF(AND(LEFT($AJ2,3)&lt;&gt;"Yes",SUMPRODUCT(('Rework Log'!$A$3:$A$499=$B2)*('Rework Log'!$G$3:$G$499&lt;&gt;"Yes")*('Rework Log'!$G$3:$G$499&lt;&gt;"Did not pass re-test"))&gt;0),"Open rework row - mark Blocked? or close it",IF(AND($AJ2="Yes – needs DB Dev to fix",M2&lt;&gt;"",SUMPRODUCT(MAX((('Rework Log'!$A$3:$A$499=$B2)*('Rework Log'!$G$3:$G$499&lt;&gt;"Yes")*('Rework Log'!$G$3:$G$499&lt;&gt;"Did not pass re-test"))*'Rework Log'!$I$3:$I$499))&gt;0),"Move old DB Dev completion date to Rework Log (col H)",IF(AND($AJ2="Yes – needs PBI Dev to fix",S2&lt;&gt;"",SUMPRODUCT(MAX((('Rework Log'!$A$3:$A$499=$B2)*('Rework Log'!$G$3:$G$499&lt;&gt;"Yes")*('Rework Log'!$G$3:$G$499&lt;&gt;"Did not pass re-test"))*'Rework Log'!$I$3:$I$499))&gt;0),"Move old PBI Dev completion date to Rework Log (col H)",IF(AND($AJ2="Yes – needs QA to fix",Y2&lt;&gt;"",SUMPRODUCT(MAX((('Rework Log'!$A$3:$A$499=$B2)*('Rework Log'!$G$3:$G$499&lt;&gt;"Yes")*('Rework Log'!$G$3:$G$499&lt;&gt;"Did not pass re-test"))*'Rework Log'!$I$3:$I$499))&gt;0),"Move old QA completion date to Rework Log (col H)",IF(COUNTIF($B$2:$B$527,$B2)&gt;1,"Duplicate name - check row",IF(COUNTIF('Rework Log'!$A$3:$A$499,$B2)&gt;0,"",IF(AND(V2&lt;&gt;"",K2&lt;&gt;"",V2&lt;K2),"QA target is before DB Dev target",IF(AND(V2&lt;&gt;"",Q2&lt;&gt;"",V2&lt;Q2),"QA target is before PBI Dev target",IF(AND(AA2&lt;&gt;"",V2&lt;&gt;"",AA2&lt;V2),"DPO Approval target is before QA target",IF(AND(AG2&lt;&gt;"",AA2&lt;&gt;"",AG2&lt;AA2),"Confirmed Deployed date is before DPO Approval target",""))))))))))))</f>
        <v>Confirmed Deployed date is before DPO Approval target</v>
      </c>
      <c r="AL2" s="41" t="s">
        <v>54</v>
      </c>
      <c r="AM2" s="31" t="str" cm="1">
        <f t="array" ref="AM2">_xlfn.LET(_xlpm.rep,$B2,_xlpm.sent,_xlfn.MAXIFS('Rework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" s="31" t="str" cm="1">
        <f t="array" ref="AN2">_xlfn.LET(_xlpm.rep,$B2,_xlpm.sent,_xlfn.MAXIFS('Rework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" spans="1:40" ht="14.45" hidden="1">
      <c r="A3" s="33" t="s">
        <v>40</v>
      </c>
      <c r="B3" s="33" t="s">
        <v>55</v>
      </c>
      <c r="C3" s="33" t="s">
        <v>42</v>
      </c>
      <c r="D3" t="str" cm="1">
        <f t="array" aca="1" ref="D3" ca="1">IF($B3="","",IF(LEFT($AJ3,3)="Yes","Blocked - "&amp;MID($AJ3,7,100)&amp;IF(SUMPRODUCT(('Rework Log'!$A$3:$A$499=$B3)*('Rework Log'!$G$3:$G$499&lt;&gt;"Yes")*('Rework Log'!$G$3:$G$499&lt;&gt;"Did not pass re-test"))=0,"",IF(SUMPRODUCT(MAX((('Rework Log'!$A$3:$A$499=$B3)*('Rework Log'!$G$3:$G$499&lt;&gt;"Yes")*('Rework Log'!$G$3:$G$499&lt;&gt;"Did not pass re-test"))*'Rework Log'!$I$3:$I$499))=0," - unclaimed"," - promised "&amp;TEXT(SUMPRODUCT(MAX((('Rework Log'!$A$3:$A$499=$B3)*('Rework Log'!$G$3:$G$499&lt;&gt;"Yes")*('Rework Log'!$G$3:$G$499&lt;&gt;"Did not pass re-test"))*'Rework Log'!$I$3:$I$499)),"m/d"))),IF(C3="NOT STARTED",IF(H3="","No plan date set",IF(H3&lt;TODAY(),"Review - planned start passed","On track")),IF(C3="DB Dev",IF(AND(L3="",K3=""),"No target set",IF(AND(IF(L3&lt;&gt;"",L3,K3)&lt;TODAY(),M3=""),"Overdue","On track")),IF(C3="PBI Dev",IF(AND(R3="",Q3=""),"No target set",IF(AND(IF(R3&lt;&gt;"",R3,Q3)&lt;TODAY(),S3=""),"Overdue","On track")),IF(C3="QA",_xlfn.LET(_xlpm.tgt,IF(AM3&lt;&gt;"",AM3,IF(W3&lt;&gt;"",W3,V3)),_xlpm.sent,_xlfn.MAXIFS('Rework Log'!$B$3:$B$499,'Rework Log'!$A$3:$A$499,$B3,'Rework Log'!$C$3:$C$499,"QA"),_xlpm.act,IF(AND(Y3&lt;&gt;"",Y3&gt;_xlpm.sent),Y3,""),IF(_xlpm.tgt="","No target set",IF(AND(_xlpm.tgt&lt;TODAY(),_xlpm.act=""),"Overdue","On track"))),IF(C3="DPO Approval",_xlfn.LET(_xlpm.tgt,IF(AN3&lt;&gt;"",AN3,IF(AB3&lt;&gt;"",AB3,AA3)),_xlpm.sent,_xlfn.MAXIFS('Rework Log'!$B$3:$B$499,'Rework Log'!$A$3:$A$499,$B3,'Rework Log'!$C$3:$C$499,"DPO*"),_xlpm.act,IF(AND(AC3&lt;&gt;"",AC3&gt;_xlpm.sent),AC3,""),IF(_xlpm.tgt="","No target set",IF(AND(_xlpm.tgt&lt;TODAY(),_xlpm.act=""),"Overdue","On track"))),IF(C3="RELEASED IN PROD","Delivered",""))))))))</f>
        <v>Delivered</v>
      </c>
      <c r="E3" s="33">
        <v>2</v>
      </c>
      <c r="F3" s="34"/>
      <c r="G3" s="33"/>
      <c r="H3" s="50">
        <v>46142</v>
      </c>
      <c r="I3" s="55" t="s">
        <v>43</v>
      </c>
      <c r="J3" s="33" t="s">
        <v>44</v>
      </c>
      <c r="K3" s="4">
        <v>46122</v>
      </c>
      <c r="L3" s="36"/>
      <c r="M3" s="36">
        <v>46115</v>
      </c>
      <c r="N3" s="36" t="s">
        <v>45</v>
      </c>
      <c r="O3" s="36"/>
      <c r="P3" s="63" t="s">
        <v>46</v>
      </c>
      <c r="Q3" s="4">
        <v>46129</v>
      </c>
      <c r="R3" s="36"/>
      <c r="S3" s="36">
        <v>46114</v>
      </c>
      <c r="T3" s="69"/>
      <c r="U3" s="33" t="s">
        <v>47</v>
      </c>
      <c r="V3" s="59">
        <v>46136</v>
      </c>
      <c r="W3" s="36"/>
      <c r="X3" s="36"/>
      <c r="Y3" s="36">
        <v>46122</v>
      </c>
      <c r="Z3" s="36"/>
      <c r="AA3" s="52">
        <v>46140</v>
      </c>
      <c r="AB3" s="36"/>
      <c r="AC3" s="36"/>
      <c r="AD3" s="33" t="s">
        <v>48</v>
      </c>
      <c r="AE3" s="33" t="s">
        <v>49</v>
      </c>
      <c r="AF3" s="38" t="s">
        <v>50</v>
      </c>
      <c r="AG3" s="36">
        <v>46122</v>
      </c>
      <c r="AH3" s="39" t="s">
        <v>56</v>
      </c>
      <c r="AI3" s="33" t="s">
        <v>57</v>
      </c>
      <c r="AJ3" s="40" t="s">
        <v>53</v>
      </c>
      <c r="AK3" s="73" t="e">
        <f>IF($B3="","",IF(AND(LEFT($AJ3,3)="Yes",SUMPRODUCT(('Rework Log'!$A$3:$A$499=$B3)*('Rework Log'!$G$3:$G$499&lt;&gt;"Yes")*('Rework Log'!$G$3:$G$499&lt;&gt;"Did not pass re-test"))=0),"Blocked - log it on Rework Log",IF(AND(LEFT($AJ3,3)&lt;&gt;"Yes",SUMPRODUCT(('Rework Log'!$A$3:$A$499=$B3)*('Rework Log'!$G$3:$G$499&lt;&gt;"Yes")*('Rework Log'!$G$3:$G$499&lt;&gt;"Did not pass re-test"))&gt;0),"Open rework row - mark Blocked? or close it",IF(AND($AJ3="Yes – needs DB Dev to fix",M3&lt;&gt;"",SUMPRODUCT(MAX((('Rework Log'!$A$3:$A$499=$B3)*('Rework Log'!$G$3:$G$499&lt;&gt;"Yes")*('Rework Log'!$G$3:$G$499&lt;&gt;"Did not pass re-test"))*'Rework Log'!$I$3:$I$499))&gt;0),"Move old DB Dev completion date to Rework Log (col H)",IF(AND($AJ3="Yes – needs PBI Dev to fix",S3&lt;&gt;"",SUMPRODUCT(MAX((('Rework Log'!$A$3:$A$499=$B3)*('Rework Log'!$G$3:$G$499&lt;&gt;"Yes")*('Rework Log'!$G$3:$G$499&lt;&gt;"Did not pass re-test"))*'Rework Log'!$I$3:$I$499))&gt;0),"Move old PBI Dev completion date to Rework Log (col H)",IF(AND($AJ3="Yes – needs QA to fix",Y3&lt;&gt;"",SUMPRODUCT(MAX((('Rework Log'!$A$3:$A$499=$B3)*('Rework Log'!$G$3:$G$499&lt;&gt;"Yes")*('Rework Log'!$G$3:$G$499&lt;&gt;"Did not pass re-test"))*'Rework Log'!$I$3:$I$499))&gt;0),"Move old QA completion date to Rework Log (col H)",IF(COUNTIF($B$2:$B$527,$B3)&gt;1,"Duplicate name - check row",IF(COUNTIF('Rework Log'!$A$3:$A$499,$B3)&gt;0,"",IF(AND(V3&lt;&gt;"",K3&lt;&gt;"",V3&lt;K3),"QA target is before DB Dev target",IF(AND(V3&lt;&gt;"",Q3&lt;&gt;"",V3&lt;Q3),"QA target is before PBI Dev target",IF(AND(#REF!&lt;&gt;"",V3&lt;&gt;"",#REF!&lt;V3),"DPO Approval target is before QA target",IF(AND(AG3&lt;&gt;"",#REF!&lt;&gt;"",AG3&lt;#REF!),"Confirmed Deployed date is before DPO Approval target",""))))))))))))</f>
        <v>#REF!</v>
      </c>
      <c r="AL3" s="41" t="s">
        <v>54</v>
      </c>
      <c r="AM3" s="31" t="str" cm="1">
        <f t="array" ref="AM3">_xlfn.LET(_xlpm.rep,$B3,_xlpm.sent,_xlfn.MAXIFS('Rework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3" s="31" t="str" cm="1">
        <f t="array" ref="AN3">_xlfn.LET(_xlpm.rep,$B3,_xlpm.sent,_xlfn.MAXIFS('Rework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" spans="1:40" ht="14.45" hidden="1">
      <c r="A4" s="33" t="s">
        <v>40</v>
      </c>
      <c r="B4" s="33" t="s">
        <v>58</v>
      </c>
      <c r="C4" s="33" t="s">
        <v>42</v>
      </c>
      <c r="D4" t="str" cm="1">
        <f t="array" aca="1" ref="D4" ca="1">IF($B4="","",IF(LEFT($AJ4,3)="Yes","Blocked - "&amp;MID($AJ4,7,100)&amp;IF(SUMPRODUCT(('Rework Log'!$A$3:$A$499=$B4)*('Rework Log'!$G$3:$G$499&lt;&gt;"Yes")*('Rework Log'!$G$3:$G$499&lt;&gt;"Did not pass re-test"))=0,"",IF(SUMPRODUCT(MAX((('Rework Log'!$A$3:$A$499=$B4)*('Rework Log'!$G$3:$G$499&lt;&gt;"Yes")*('Rework Log'!$G$3:$G$499&lt;&gt;"Did not pass re-test"))*'Rework Log'!$I$3:$I$499))=0," - unclaimed"," - promised "&amp;TEXT(SUMPRODUCT(MAX((('Rework Log'!$A$3:$A$499=$B4)*('Rework Log'!$G$3:$G$499&lt;&gt;"Yes")*('Rework Log'!$G$3:$G$499&lt;&gt;"Did not pass re-test"))*'Rework Log'!$I$3:$I$499)),"m/d"))),IF(C4="NOT STARTED",IF(H4="","No plan date set",IF(H4&lt;TODAY(),"Review - planned start passed","On track")),IF(C4="DB Dev",IF(AND(L4="",K4=""),"No target set",IF(AND(IF(L4&lt;&gt;"",L4,K4)&lt;TODAY(),M4=""),"Overdue","On track")),IF(C4="PBI Dev",IF(AND(R4="",Q4=""),"No target set",IF(AND(IF(R4&lt;&gt;"",R4,Q4)&lt;TODAY(),S4=""),"Overdue","On track")),IF(C4="QA",_xlfn.LET(_xlpm.tgt,IF(AM4&lt;&gt;"",AM4,IF(W4&lt;&gt;"",W4,V4)),_xlpm.sent,_xlfn.MAXIFS('Rework Log'!$B$3:$B$499,'Rework Log'!$A$3:$A$499,$B4,'Rework Log'!$C$3:$C$499,"QA"),_xlpm.act,IF(AND(Y4&lt;&gt;"",Y4&gt;_xlpm.sent),Y4,""),IF(_xlpm.tgt="","No target set",IF(AND(_xlpm.tgt&lt;TODAY(),_xlpm.act=""),"Overdue","On track"))),IF(C4="DPO Approval",_xlfn.LET(_xlpm.tgt,IF(AN4&lt;&gt;"",AN4,IF(AB4&lt;&gt;"",AB4,AA4)),_xlpm.sent,_xlfn.MAXIFS('Rework Log'!$B$3:$B$499,'Rework Log'!$A$3:$A$499,$B4,'Rework Log'!$C$3:$C$499,"DPO*"),_xlpm.act,IF(AND(AC4&lt;&gt;"",AC4&gt;_xlpm.sent),AC4,""),IF(_xlpm.tgt="","No target set",IF(AND(_xlpm.tgt&lt;TODAY(),_xlpm.act=""),"Overdue","On track"))),IF(C4="RELEASED IN PROD","Delivered",""))))))))</f>
        <v>Delivered</v>
      </c>
      <c r="E4" s="33">
        <v>3</v>
      </c>
      <c r="F4" s="34"/>
      <c r="G4" s="33"/>
      <c r="H4" s="50">
        <v>46142</v>
      </c>
      <c r="I4" s="55" t="s">
        <v>43</v>
      </c>
      <c r="J4" s="33" t="s">
        <v>59</v>
      </c>
      <c r="K4" s="4">
        <v>46122</v>
      </c>
      <c r="L4" s="36"/>
      <c r="M4" s="36">
        <v>46115</v>
      </c>
      <c r="N4" s="36" t="s">
        <v>45</v>
      </c>
      <c r="O4" s="36"/>
      <c r="P4" s="63" t="s">
        <v>60</v>
      </c>
      <c r="Q4" s="4">
        <v>46129</v>
      </c>
      <c r="R4" s="36"/>
      <c r="S4" s="36">
        <v>46126</v>
      </c>
      <c r="T4" s="69"/>
      <c r="U4" s="33" t="s">
        <v>47</v>
      </c>
      <c r="V4" s="59">
        <v>46136</v>
      </c>
      <c r="W4" s="36"/>
      <c r="X4" s="36"/>
      <c r="Y4" s="36">
        <v>46122</v>
      </c>
      <c r="Z4" s="36"/>
      <c r="AA4" s="52">
        <v>46140</v>
      </c>
      <c r="AB4" s="36"/>
      <c r="AC4" s="36"/>
      <c r="AD4" s="33" t="s">
        <v>48</v>
      </c>
      <c r="AE4" s="33" t="s">
        <v>49</v>
      </c>
      <c r="AF4" s="38" t="s">
        <v>50</v>
      </c>
      <c r="AG4" s="36">
        <v>46122</v>
      </c>
      <c r="AH4" s="39" t="s">
        <v>61</v>
      </c>
      <c r="AI4" s="33" t="s">
        <v>62</v>
      </c>
      <c r="AJ4" s="40" t="s">
        <v>53</v>
      </c>
      <c r="AK4" s="73" t="str">
        <f>IF($B4="","",IF(AND(LEFT($AJ4,3)="Yes",SUMPRODUCT(('Rework Log'!$A$3:$A$499=$B4)*('Rework Log'!$G$3:$G$499&lt;&gt;"Yes")*('Rework Log'!$G$3:$G$499&lt;&gt;"Did not pass re-test"))=0),"Blocked - log it on Rework Log",IF(AND(LEFT($AJ4,3)&lt;&gt;"Yes",SUMPRODUCT(('Rework Log'!$A$3:$A$499=$B4)*('Rework Log'!$G$3:$G$499&lt;&gt;"Yes")*('Rework Log'!$G$3:$G$499&lt;&gt;"Did not pass re-test"))&gt;0),"Open rework row - mark Blocked? or close it",IF(AND($AJ4="Yes – needs DB Dev to fix",M4&lt;&gt;"",SUMPRODUCT(MAX((('Rework Log'!$A$3:$A$499=$B4)*('Rework Log'!$G$3:$G$499&lt;&gt;"Yes")*('Rework Log'!$G$3:$G$499&lt;&gt;"Did not pass re-test"))*'Rework Log'!$I$3:$I$499))&gt;0),"Move old DB Dev completion date to Rework Log (col H)",IF(AND($AJ4="Yes – needs PBI Dev to fix",S4&lt;&gt;"",SUMPRODUCT(MAX((('Rework Log'!$A$3:$A$499=$B4)*('Rework Log'!$G$3:$G$499&lt;&gt;"Yes")*('Rework Log'!$G$3:$G$499&lt;&gt;"Did not pass re-test"))*'Rework Log'!$I$3:$I$499))&gt;0),"Move old PBI Dev completion date to Rework Log (col H)",IF(AND($AJ4="Yes – needs QA to fix",Y4&lt;&gt;"",SUMPRODUCT(MAX((('Rework Log'!$A$3:$A$499=$B4)*('Rework Log'!$G$3:$G$499&lt;&gt;"Yes")*('Rework Log'!$G$3:$G$499&lt;&gt;"Did not pass re-test"))*'Rework Log'!$I$3:$I$499))&gt;0),"Move old QA completion date to Rework Log (col H)",IF(COUNTIF($B$2:$B$527,$B4)&gt;1,"Duplicate name - check row",IF(COUNTIF('Rework Log'!$A$3:$A$499,$B4)&gt;0,"",IF(AND(V4&lt;&gt;"",K4&lt;&gt;"",V4&lt;K4),"QA target is before DB Dev target",IF(AND(V4&lt;&gt;"",Q4&lt;&gt;"",V4&lt;Q4),"QA target is before PBI Dev target",IF(AND(AA4&lt;&gt;"",V4&lt;&gt;"",AA4&lt;V4),"DPO Approval target is before QA target",IF(AND(AG4&lt;&gt;"",AA4&lt;&gt;"",AG4&lt;AA4),"Confirmed Deployed date is before DPO Approval target",""))))))))))))</f>
        <v>Confirmed Deployed date is before DPO Approval target</v>
      </c>
      <c r="AL4" s="41" t="s">
        <v>63</v>
      </c>
      <c r="AM4" s="31" t="str" cm="1">
        <f t="array" ref="AM4">_xlfn.LET(_xlpm.rep,$B4,_xlpm.sent,_xlfn.MAXIFS('Rework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" s="31" t="str" cm="1">
        <f t="array" ref="AN4">_xlfn.LET(_xlpm.rep,$B4,_xlpm.sent,_xlfn.MAXIFS('Rework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" spans="1:40" ht="14.45" hidden="1">
      <c r="A5" s="33" t="s">
        <v>40</v>
      </c>
      <c r="B5" s="33" t="s">
        <v>64</v>
      </c>
      <c r="C5" s="33" t="s">
        <v>42</v>
      </c>
      <c r="D5" t="str" cm="1">
        <f t="array" aca="1" ref="D5" ca="1">IF($B5="","",IF(LEFT($AJ5,3)="Yes","Blocked - "&amp;MID($AJ5,7,100)&amp;IF(SUMPRODUCT(('Rework Log'!$A$3:$A$499=$B5)*('Rework Log'!$G$3:$G$499&lt;&gt;"Yes")*('Rework Log'!$G$3:$G$499&lt;&gt;"Did not pass re-test"))=0,"",IF(SUMPRODUCT(MAX((('Rework Log'!$A$3:$A$499=$B5)*('Rework Log'!$G$3:$G$499&lt;&gt;"Yes")*('Rework Log'!$G$3:$G$499&lt;&gt;"Did not pass re-test"))*'Rework Log'!$I$3:$I$499))=0," - unclaimed"," - promised "&amp;TEXT(SUMPRODUCT(MAX((('Rework Log'!$A$3:$A$499=$B5)*('Rework Log'!$G$3:$G$499&lt;&gt;"Yes")*('Rework Log'!$G$3:$G$499&lt;&gt;"Did not pass re-test"))*'Rework Log'!$I$3:$I$499)),"m/d"))),IF(C5="NOT STARTED",IF(H5="","No plan date set",IF(H5&lt;TODAY(),"Review - planned start passed","On track")),IF(C5="DB Dev",IF(AND(L5="",K5=""),"No target set",IF(AND(IF(L5&lt;&gt;"",L5,K5)&lt;TODAY(),M5=""),"Overdue","On track")),IF(C5="PBI Dev",IF(AND(R5="",Q5=""),"No target set",IF(AND(IF(R5&lt;&gt;"",R5,Q5)&lt;TODAY(),S5=""),"Overdue","On track")),IF(C5="QA",_xlfn.LET(_xlpm.tgt,IF(AM5&lt;&gt;"",AM5,IF(W5&lt;&gt;"",W5,V5)),_xlpm.sent,_xlfn.MAXIFS('Rework Log'!$B$3:$B$499,'Rework Log'!$A$3:$A$499,$B5,'Rework Log'!$C$3:$C$499,"QA"),_xlpm.act,IF(AND(Y5&lt;&gt;"",Y5&gt;_xlpm.sent),Y5,""),IF(_xlpm.tgt="","No target set",IF(AND(_xlpm.tgt&lt;TODAY(),_xlpm.act=""),"Overdue","On track"))),IF(C5="DPO Approval",_xlfn.LET(_xlpm.tgt,IF(AN5&lt;&gt;"",AN5,IF(AB5&lt;&gt;"",AB5,AA5)),_xlpm.sent,_xlfn.MAXIFS('Rework Log'!$B$3:$B$499,'Rework Log'!$A$3:$A$499,$B5,'Rework Log'!$C$3:$C$499,"DPO*"),_xlpm.act,IF(AND(AC5&lt;&gt;"",AC5&gt;_xlpm.sent),AC5,""),IF(_xlpm.tgt="","No target set",IF(AND(_xlpm.tgt&lt;TODAY(),_xlpm.act=""),"Overdue","On track"))),IF(C5="RELEASED IN PROD","Delivered",""))))))))</f>
        <v>Delivered</v>
      </c>
      <c r="E5" s="33">
        <v>4</v>
      </c>
      <c r="F5" s="34"/>
      <c r="G5" s="33"/>
      <c r="H5" s="50">
        <v>46142</v>
      </c>
      <c r="I5" s="55" t="s">
        <v>43</v>
      </c>
      <c r="J5" s="33" t="s">
        <v>65</v>
      </c>
      <c r="K5" s="4">
        <v>46122</v>
      </c>
      <c r="L5" s="36"/>
      <c r="M5" s="36">
        <v>46115</v>
      </c>
      <c r="N5" s="36" t="s">
        <v>45</v>
      </c>
      <c r="O5" s="36"/>
      <c r="P5" s="63" t="s">
        <v>46</v>
      </c>
      <c r="Q5" s="4">
        <v>46129</v>
      </c>
      <c r="R5" s="36"/>
      <c r="S5" s="36">
        <v>46120</v>
      </c>
      <c r="T5" s="69"/>
      <c r="U5" s="33" t="s">
        <v>47</v>
      </c>
      <c r="V5" s="59">
        <v>46136</v>
      </c>
      <c r="W5" s="36"/>
      <c r="X5" s="36"/>
      <c r="Y5" s="36">
        <v>46122</v>
      </c>
      <c r="Z5" s="36"/>
      <c r="AA5" s="52">
        <v>46140</v>
      </c>
      <c r="AB5" s="36"/>
      <c r="AC5" s="36"/>
      <c r="AD5" s="33" t="s">
        <v>48</v>
      </c>
      <c r="AE5" s="33" t="s">
        <v>49</v>
      </c>
      <c r="AF5" s="38" t="s">
        <v>50</v>
      </c>
      <c r="AG5" s="36">
        <v>46122</v>
      </c>
      <c r="AH5" s="39" t="s">
        <v>66</v>
      </c>
      <c r="AI5" s="33" t="s">
        <v>67</v>
      </c>
      <c r="AJ5" s="40" t="s">
        <v>53</v>
      </c>
      <c r="AK5" s="73" t="str">
        <f>IF($B5="","",IF(AND(LEFT($AJ5,3)="Yes",SUMPRODUCT(('Rework Log'!$A$3:$A$499=$B5)*('Rework Log'!$G$3:$G$499&lt;&gt;"Yes")*('Rework Log'!$G$3:$G$499&lt;&gt;"Did not pass re-test"))=0),"Blocked - log it on Rework Log",IF(AND(LEFT($AJ5,3)&lt;&gt;"Yes",SUMPRODUCT(('Rework Log'!$A$3:$A$499=$B5)*('Rework Log'!$G$3:$G$499&lt;&gt;"Yes")*('Rework Log'!$G$3:$G$499&lt;&gt;"Did not pass re-test"))&gt;0),"Open rework row - mark Blocked? or close it",IF(AND($AJ5="Yes – needs DB Dev to fix",M5&lt;&gt;"",SUMPRODUCT(MAX((('Rework Log'!$A$3:$A$499=$B5)*('Rework Log'!$G$3:$G$499&lt;&gt;"Yes")*('Rework Log'!$G$3:$G$499&lt;&gt;"Did not pass re-test"))*'Rework Log'!$I$3:$I$499))&gt;0),"Move old DB Dev completion date to Rework Log (col H)",IF(AND($AJ5="Yes – needs PBI Dev to fix",S5&lt;&gt;"",SUMPRODUCT(MAX((('Rework Log'!$A$3:$A$499=$B5)*('Rework Log'!$G$3:$G$499&lt;&gt;"Yes")*('Rework Log'!$G$3:$G$499&lt;&gt;"Did not pass re-test"))*'Rework Log'!$I$3:$I$499))&gt;0),"Move old PBI Dev completion date to Rework Log (col H)",IF(AND($AJ5="Yes – needs QA to fix",Y5&lt;&gt;"",SUMPRODUCT(MAX((('Rework Log'!$A$3:$A$499=$B5)*('Rework Log'!$G$3:$G$499&lt;&gt;"Yes")*('Rework Log'!$G$3:$G$499&lt;&gt;"Did not pass re-test"))*'Rework Log'!$I$3:$I$499))&gt;0),"Move old QA completion date to Rework Log (col H)",IF(COUNTIF($B$2:$B$527,$B5)&gt;1,"Duplicate name - check row",IF(COUNTIF('Rework Log'!$A$3:$A$499,$B5)&gt;0,"",IF(AND(V5&lt;&gt;"",K5&lt;&gt;"",V5&lt;K5),"QA target is before DB Dev target",IF(AND(V5&lt;&gt;"",Q5&lt;&gt;"",V5&lt;Q5),"QA target is before PBI Dev target",IF(AND(AA5&lt;&gt;"",V5&lt;&gt;"",AA5&lt;V5),"DPO Approval target is before QA target",IF(AND(AG5&lt;&gt;"",AA5&lt;&gt;"",AG5&lt;AA5),"Confirmed Deployed date is before DPO Approval target",""))))))))))))</f>
        <v>Confirmed Deployed date is before DPO Approval target</v>
      </c>
      <c r="AL5" s="41" t="s">
        <v>68</v>
      </c>
      <c r="AM5" s="31" t="str" cm="1">
        <f t="array" ref="AM5">_xlfn.LET(_xlpm.rep,$B5,_xlpm.sent,_xlfn.MAXIFS('Rework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" s="31" t="str" cm="1">
        <f t="array" ref="AN5">_xlfn.LET(_xlpm.rep,$B5,_xlpm.sent,_xlfn.MAXIFS('Rework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" spans="1:40" ht="14.45" hidden="1">
      <c r="A6" s="33" t="s">
        <v>40</v>
      </c>
      <c r="B6" s="33" t="s">
        <v>69</v>
      </c>
      <c r="C6" s="33" t="s">
        <v>42</v>
      </c>
      <c r="D6" t="str" cm="1">
        <f t="array" aca="1" ref="D6" ca="1">IF($B6="","",IF(LEFT($AJ6,3)="Yes","Blocked - "&amp;MID($AJ6,7,100)&amp;IF(SUMPRODUCT(('Rework Log'!$A$3:$A$499=$B6)*('Rework Log'!$G$3:$G$499&lt;&gt;"Yes")*('Rework Log'!$G$3:$G$499&lt;&gt;"Did not pass re-test"))=0,"",IF(SUMPRODUCT(MAX((('Rework Log'!$A$3:$A$499=$B6)*('Rework Log'!$G$3:$G$499&lt;&gt;"Yes")*('Rework Log'!$G$3:$G$499&lt;&gt;"Did not pass re-test"))*'Rework Log'!$I$3:$I$499))=0," - unclaimed"," - promised "&amp;TEXT(SUMPRODUCT(MAX((('Rework Log'!$A$3:$A$499=$B6)*('Rework Log'!$G$3:$G$499&lt;&gt;"Yes")*('Rework Log'!$G$3:$G$499&lt;&gt;"Did not pass re-test"))*'Rework Log'!$I$3:$I$499)),"m/d"))),IF(C6="NOT STARTED",IF(H6="","No plan date set",IF(H6&lt;TODAY(),"Review - planned start passed","On track")),IF(C6="DB Dev",IF(AND(L6="",K6=""),"No target set",IF(AND(IF(L6&lt;&gt;"",L6,K6)&lt;TODAY(),M6=""),"Overdue","On track")),IF(C6="PBI Dev",IF(AND(R6="",Q6=""),"No target set",IF(AND(IF(R6&lt;&gt;"",R6,Q6)&lt;TODAY(),S6=""),"Overdue","On track")),IF(C6="QA",_xlfn.LET(_xlpm.tgt,IF(AM6&lt;&gt;"",AM6,IF(W6&lt;&gt;"",W6,V6)),_xlpm.sent,_xlfn.MAXIFS('Rework Log'!$B$3:$B$499,'Rework Log'!$A$3:$A$499,$B6,'Rework Log'!$C$3:$C$499,"QA"),_xlpm.act,IF(AND(Y6&lt;&gt;"",Y6&gt;_xlpm.sent),Y6,""),IF(_xlpm.tgt="","No target set",IF(AND(_xlpm.tgt&lt;TODAY(),_xlpm.act=""),"Overdue","On track"))),IF(C6="DPO Approval",_xlfn.LET(_xlpm.tgt,IF(AN6&lt;&gt;"",AN6,IF(AB6&lt;&gt;"",AB6,AA6)),_xlpm.sent,_xlfn.MAXIFS('Rework Log'!$B$3:$B$499,'Rework Log'!$A$3:$A$499,$B6,'Rework Log'!$C$3:$C$499,"DPO*"),_xlpm.act,IF(AND(AC6&lt;&gt;"",AC6&gt;_xlpm.sent),AC6,""),IF(_xlpm.tgt="","No target set",IF(AND(_xlpm.tgt&lt;TODAY(),_xlpm.act=""),"Overdue","On track"))),IF(C6="RELEASED IN PROD","Delivered",""))))))))</f>
        <v>Delivered</v>
      </c>
      <c r="E6" s="33">
        <v>5</v>
      </c>
      <c r="F6" s="34"/>
      <c r="G6" s="33"/>
      <c r="H6" s="50">
        <v>46142</v>
      </c>
      <c r="I6" s="55" t="s">
        <v>43</v>
      </c>
      <c r="J6" s="33"/>
      <c r="K6" s="4"/>
      <c r="L6" s="47"/>
      <c r="M6" s="36"/>
      <c r="N6" s="36" t="s">
        <v>45</v>
      </c>
      <c r="O6" s="36"/>
      <c r="P6" s="63"/>
      <c r="Q6" s="4"/>
      <c r="R6" s="43"/>
      <c r="S6" s="36"/>
      <c r="T6" s="69"/>
      <c r="U6" s="33"/>
      <c r="V6" s="59"/>
      <c r="W6" s="43"/>
      <c r="X6" s="36"/>
      <c r="Y6" s="36"/>
      <c r="Z6" s="36"/>
      <c r="AA6" s="52"/>
      <c r="AB6" s="43"/>
      <c r="AC6" s="43"/>
      <c r="AD6" s="33" t="s">
        <v>48</v>
      </c>
      <c r="AE6" s="33" t="s">
        <v>49</v>
      </c>
      <c r="AF6" s="38" t="s">
        <v>50</v>
      </c>
      <c r="AG6" s="36">
        <v>46142</v>
      </c>
      <c r="AH6" s="39"/>
      <c r="AI6" s="33"/>
      <c r="AJ6" s="40"/>
      <c r="AK6" s="48"/>
      <c r="AL6" s="41"/>
      <c r="AM6" s="31" t="str" cm="1">
        <f t="array" ref="AM6">_xlfn.LET(_xlpm.rep,$B6,_xlpm.sent,_xlfn.MAXIFS('Rework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" s="31" t="str" cm="1">
        <f t="array" ref="AN6">_xlfn.LET(_xlpm.rep,$B6,_xlpm.sent,_xlfn.MAXIFS('Rework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" spans="1:40" ht="14.45" hidden="1">
      <c r="A7" s="33" t="s">
        <v>40</v>
      </c>
      <c r="B7" s="33" t="s">
        <v>70</v>
      </c>
      <c r="C7" s="33" t="s">
        <v>42</v>
      </c>
      <c r="D7" t="str" cm="1">
        <f t="array" aca="1" ref="D7" ca="1">IF($B7="","",IF(LEFT($AJ7,3)="Yes","Blocked - "&amp;MID($AJ7,7,100)&amp;IF(SUMPRODUCT(('Rework Log'!$A$3:$A$499=$B7)*('Rework Log'!$G$3:$G$499&lt;&gt;"Yes")*('Rework Log'!$G$3:$G$499&lt;&gt;"Did not pass re-test"))=0,"",IF(SUMPRODUCT(MAX((('Rework Log'!$A$3:$A$499=$B7)*('Rework Log'!$G$3:$G$499&lt;&gt;"Yes")*('Rework Log'!$G$3:$G$499&lt;&gt;"Did not pass re-test"))*'Rework Log'!$I$3:$I$499))=0," - unclaimed"," - promised "&amp;TEXT(SUMPRODUCT(MAX((('Rework Log'!$A$3:$A$499=$B7)*('Rework Log'!$G$3:$G$499&lt;&gt;"Yes")*('Rework Log'!$G$3:$G$499&lt;&gt;"Did not pass re-test"))*'Rework Log'!$I$3:$I$499)),"m/d"))),IF(C7="NOT STARTED",IF(H7="","No plan date set",IF(H7&lt;TODAY(),"Review - planned start passed","On track")),IF(C7="DB Dev",IF(AND(L7="",K7=""),"No target set",IF(AND(IF(L7&lt;&gt;"",L7,K7)&lt;TODAY(),M7=""),"Overdue","On track")),IF(C7="PBI Dev",IF(AND(R7="",Q7=""),"No target set",IF(AND(IF(R7&lt;&gt;"",R7,Q7)&lt;TODAY(),S7=""),"Overdue","On track")),IF(C7="QA",_xlfn.LET(_xlpm.tgt,IF(AM7&lt;&gt;"",AM7,IF(W7&lt;&gt;"",W7,V7)),_xlpm.sent,_xlfn.MAXIFS('Rework Log'!$B$3:$B$499,'Rework Log'!$A$3:$A$499,$B7,'Rework Log'!$C$3:$C$499,"QA"),_xlpm.act,IF(AND(Y7&lt;&gt;"",Y7&gt;_xlpm.sent),Y7,""),IF(_xlpm.tgt="","No target set",IF(AND(_xlpm.tgt&lt;TODAY(),_xlpm.act=""),"Overdue","On track"))),IF(C7="DPO Approval",_xlfn.LET(_xlpm.tgt,IF(AN7&lt;&gt;"",AN7,IF(AB7&lt;&gt;"",AB7,AA7)),_xlpm.sent,_xlfn.MAXIFS('Rework Log'!$B$3:$B$499,'Rework Log'!$A$3:$A$499,$B7,'Rework Log'!$C$3:$C$499,"DPO*"),_xlpm.act,IF(AND(AC7&lt;&gt;"",AC7&gt;_xlpm.sent),AC7,""),IF(_xlpm.tgt="","No target set",IF(AND(_xlpm.tgt&lt;TODAY(),_xlpm.act=""),"Overdue","On track"))),IF(C7="RELEASED IN PROD","Delivered",""))))))))</f>
        <v>Delivered</v>
      </c>
      <c r="E7" s="33">
        <v>6</v>
      </c>
      <c r="F7" s="34"/>
      <c r="G7" s="33"/>
      <c r="H7" s="50">
        <v>46142</v>
      </c>
      <c r="I7" s="55" t="s">
        <v>43</v>
      </c>
      <c r="J7" s="33"/>
      <c r="K7" s="4"/>
      <c r="L7" s="47"/>
      <c r="M7" s="36"/>
      <c r="N7" s="36" t="s">
        <v>45</v>
      </c>
      <c r="O7" s="36"/>
      <c r="P7" s="63"/>
      <c r="Q7" s="4"/>
      <c r="R7" s="43"/>
      <c r="S7" s="36"/>
      <c r="T7" s="69"/>
      <c r="U7" s="33"/>
      <c r="V7" s="59"/>
      <c r="W7" s="43"/>
      <c r="X7" s="36"/>
      <c r="Y7" s="36"/>
      <c r="Z7" s="36"/>
      <c r="AA7" s="52"/>
      <c r="AB7" s="43"/>
      <c r="AC7" s="43"/>
      <c r="AD7" s="33" t="s">
        <v>48</v>
      </c>
      <c r="AE7" s="33" t="s">
        <v>49</v>
      </c>
      <c r="AF7" s="38" t="s">
        <v>50</v>
      </c>
      <c r="AG7" s="36">
        <v>46142</v>
      </c>
      <c r="AH7" s="39"/>
      <c r="AI7" s="33"/>
      <c r="AJ7" s="40"/>
      <c r="AK7" s="48"/>
      <c r="AL7" s="41"/>
      <c r="AM7" s="31" t="str" cm="1">
        <f t="array" ref="AM7">_xlfn.LET(_xlpm.rep,$B7,_xlpm.sent,_xlfn.MAXIFS('Rework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" s="31" t="str" cm="1">
        <f t="array" ref="AN7">_xlfn.LET(_xlpm.rep,$B7,_xlpm.sent,_xlfn.MAXIFS('Rework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" spans="1:40" ht="14.45" hidden="1">
      <c r="A8" s="33" t="s">
        <v>40</v>
      </c>
      <c r="B8" s="33" t="s">
        <v>71</v>
      </c>
      <c r="C8" s="33" t="s">
        <v>42</v>
      </c>
      <c r="D8" t="str" cm="1">
        <f t="array" aca="1" ref="D8" ca="1">IF($B8="","",IF(LEFT($AJ8,3)="Yes","Blocked - "&amp;MID($AJ8,7,100)&amp;IF(SUMPRODUCT(('Rework Log'!$A$3:$A$499=$B8)*('Rework Log'!$G$3:$G$499&lt;&gt;"Yes")*('Rework Log'!$G$3:$G$499&lt;&gt;"Did not pass re-test"))=0,"",IF(SUMPRODUCT(MAX((('Rework Log'!$A$3:$A$499=$B8)*('Rework Log'!$G$3:$G$499&lt;&gt;"Yes")*('Rework Log'!$G$3:$G$499&lt;&gt;"Did not pass re-test"))*'Rework Log'!$I$3:$I$499))=0," - unclaimed"," - promised "&amp;TEXT(SUMPRODUCT(MAX((('Rework Log'!$A$3:$A$499=$B8)*('Rework Log'!$G$3:$G$499&lt;&gt;"Yes")*('Rework Log'!$G$3:$G$499&lt;&gt;"Did not pass re-test"))*'Rework Log'!$I$3:$I$499)),"m/d"))),IF(C8="NOT STARTED",IF(H8="","No plan date set",IF(H8&lt;TODAY(),"Review - planned start passed","On track")),IF(C8="DB Dev",IF(AND(L8="",K8=""),"No target set",IF(AND(IF(L8&lt;&gt;"",L8,K8)&lt;TODAY(),M8=""),"Overdue","On track")),IF(C8="PBI Dev",IF(AND(R8="",Q8=""),"No target set",IF(AND(IF(R8&lt;&gt;"",R8,Q8)&lt;TODAY(),S8=""),"Overdue","On track")),IF(C8="QA",_xlfn.LET(_xlpm.tgt,IF(AM8&lt;&gt;"",AM8,IF(W8&lt;&gt;"",W8,V8)),_xlpm.sent,_xlfn.MAXIFS('Rework Log'!$B$3:$B$499,'Rework Log'!$A$3:$A$499,$B8,'Rework Log'!$C$3:$C$499,"QA"),_xlpm.act,IF(AND(Y8&lt;&gt;"",Y8&gt;_xlpm.sent),Y8,""),IF(_xlpm.tgt="","No target set",IF(AND(_xlpm.tgt&lt;TODAY(),_xlpm.act=""),"Overdue","On track"))),IF(C8="DPO Approval",_xlfn.LET(_xlpm.tgt,IF(AN8&lt;&gt;"",AN8,IF(AB8&lt;&gt;"",AB8,AA8)),_xlpm.sent,_xlfn.MAXIFS('Rework Log'!$B$3:$B$499,'Rework Log'!$A$3:$A$499,$B8,'Rework Log'!$C$3:$C$499,"DPO*"),_xlpm.act,IF(AND(AC8&lt;&gt;"",AC8&gt;_xlpm.sent),AC8,""),IF(_xlpm.tgt="","No target set",IF(AND(_xlpm.tgt&lt;TODAY(),_xlpm.act=""),"Overdue","On track"))),IF(C8="RELEASED IN PROD","Delivered",""))))))))</f>
        <v>Delivered</v>
      </c>
      <c r="E8" s="33">
        <v>7</v>
      </c>
      <c r="F8" s="34"/>
      <c r="G8" s="33"/>
      <c r="H8" s="50">
        <v>46142</v>
      </c>
      <c r="I8" s="55" t="s">
        <v>43</v>
      </c>
      <c r="J8" s="33"/>
      <c r="K8" s="4"/>
      <c r="L8" s="47"/>
      <c r="M8" s="36"/>
      <c r="N8" s="36" t="s">
        <v>45</v>
      </c>
      <c r="O8" s="36"/>
      <c r="P8" s="63"/>
      <c r="Q8" s="4"/>
      <c r="R8" s="43"/>
      <c r="S8" s="36"/>
      <c r="T8" s="69"/>
      <c r="U8" s="33"/>
      <c r="V8" s="59"/>
      <c r="W8" s="43"/>
      <c r="X8" s="36"/>
      <c r="Y8" s="36"/>
      <c r="Z8" s="36"/>
      <c r="AA8" s="52"/>
      <c r="AB8" s="43"/>
      <c r="AC8" s="43"/>
      <c r="AD8" s="33" t="s">
        <v>48</v>
      </c>
      <c r="AE8" s="33" t="s">
        <v>72</v>
      </c>
      <c r="AF8" s="38" t="s">
        <v>50</v>
      </c>
      <c r="AG8" s="36">
        <v>46142</v>
      </c>
      <c r="AH8" s="39"/>
      <c r="AI8" s="33"/>
      <c r="AJ8" s="40"/>
      <c r="AK8" s="48"/>
      <c r="AL8" s="41"/>
      <c r="AM8" s="31" t="str" cm="1">
        <f t="array" ref="AM8">_xlfn.LET(_xlpm.rep,$B8,_xlpm.sent,_xlfn.MAXIFS('Rework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" s="31" t="str" cm="1">
        <f t="array" ref="AN8">_xlfn.LET(_xlpm.rep,$B8,_xlpm.sent,_xlfn.MAXIFS('Rework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" spans="1:40" ht="14.45" hidden="1">
      <c r="A9" s="33" t="s">
        <v>40</v>
      </c>
      <c r="B9" s="33" t="s">
        <v>73</v>
      </c>
      <c r="C9" s="33" t="s">
        <v>42</v>
      </c>
      <c r="D9" t="str" cm="1">
        <f t="array" aca="1" ref="D9" ca="1">IF($B9="","",IF(LEFT($AJ9,3)="Yes","Blocked - "&amp;MID($AJ9,7,100)&amp;IF(SUMPRODUCT(('Rework Log'!$A$3:$A$499=$B9)*('Rework Log'!$G$3:$G$499&lt;&gt;"Yes")*('Rework Log'!$G$3:$G$499&lt;&gt;"Did not pass re-test"))=0,"",IF(SUMPRODUCT(MAX((('Rework Log'!$A$3:$A$499=$B9)*('Rework Log'!$G$3:$G$499&lt;&gt;"Yes")*('Rework Log'!$G$3:$G$499&lt;&gt;"Did not pass re-test"))*'Rework Log'!$I$3:$I$499))=0," - unclaimed"," - promised "&amp;TEXT(SUMPRODUCT(MAX((('Rework Log'!$A$3:$A$499=$B9)*('Rework Log'!$G$3:$G$499&lt;&gt;"Yes")*('Rework Log'!$G$3:$G$499&lt;&gt;"Did not pass re-test"))*'Rework Log'!$I$3:$I$499)),"m/d"))),IF(C9="NOT STARTED",IF(H9="","No plan date set",IF(H9&lt;TODAY(),"Review - planned start passed","On track")),IF(C9="DB Dev",IF(AND(L9="",K9=""),"No target set",IF(AND(IF(L9&lt;&gt;"",L9,K9)&lt;TODAY(),M9=""),"Overdue","On track")),IF(C9="PBI Dev",IF(AND(R9="",Q9=""),"No target set",IF(AND(IF(R9&lt;&gt;"",R9,Q9)&lt;TODAY(),S9=""),"Overdue","On track")),IF(C9="QA",_xlfn.LET(_xlpm.tgt,IF(AM9&lt;&gt;"",AM9,IF(W9&lt;&gt;"",W9,V9)),_xlpm.sent,_xlfn.MAXIFS('Rework Log'!$B$3:$B$499,'Rework Log'!$A$3:$A$499,$B9,'Rework Log'!$C$3:$C$499,"QA"),_xlpm.act,IF(AND(Y9&lt;&gt;"",Y9&gt;_xlpm.sent),Y9,""),IF(_xlpm.tgt="","No target set",IF(AND(_xlpm.tgt&lt;TODAY(),_xlpm.act=""),"Overdue","On track"))),IF(C9="DPO Approval",_xlfn.LET(_xlpm.tgt,IF(AN9&lt;&gt;"",AN9,IF(AB9&lt;&gt;"",AB9,AA9)),_xlpm.sent,_xlfn.MAXIFS('Rework Log'!$B$3:$B$499,'Rework Log'!$A$3:$A$499,$B9,'Rework Log'!$C$3:$C$499,"DPO*"),_xlpm.act,IF(AND(AC9&lt;&gt;"",AC9&gt;_xlpm.sent),AC9,""),IF(_xlpm.tgt="","No target set",IF(AND(_xlpm.tgt&lt;TODAY(),_xlpm.act=""),"Overdue","On track"))),IF(C9="RELEASED IN PROD","Delivered",""))))))))</f>
        <v>Delivered</v>
      </c>
      <c r="E9" s="33">
        <v>8</v>
      </c>
      <c r="F9" s="34"/>
      <c r="G9" s="33"/>
      <c r="H9" s="50">
        <v>46142</v>
      </c>
      <c r="I9" s="55" t="s">
        <v>43</v>
      </c>
      <c r="J9" s="33"/>
      <c r="K9" s="4"/>
      <c r="L9" s="47"/>
      <c r="M9" s="36"/>
      <c r="N9" s="36" t="s">
        <v>45</v>
      </c>
      <c r="O9" s="36"/>
      <c r="P9" s="63"/>
      <c r="Q9" s="4"/>
      <c r="R9" s="43"/>
      <c r="S9" s="36"/>
      <c r="T9" s="69"/>
      <c r="U9" s="33"/>
      <c r="V9" s="59"/>
      <c r="W9" s="43"/>
      <c r="X9" s="36"/>
      <c r="Y9" s="36"/>
      <c r="Z9" s="36"/>
      <c r="AA9" s="52"/>
      <c r="AB9" s="43"/>
      <c r="AC9" s="43"/>
      <c r="AD9" s="33" t="s">
        <v>48</v>
      </c>
      <c r="AE9" s="33" t="s">
        <v>72</v>
      </c>
      <c r="AF9" s="38" t="s">
        <v>50</v>
      </c>
      <c r="AG9" s="36">
        <v>46142</v>
      </c>
      <c r="AH9" s="39"/>
      <c r="AI9" s="33"/>
      <c r="AJ9" s="40"/>
      <c r="AK9" s="48"/>
      <c r="AL9" s="41"/>
      <c r="AM9" s="31" t="str" cm="1">
        <f t="array" ref="AM9">_xlfn.LET(_xlpm.rep,$B9,_xlpm.sent,_xlfn.MAXIFS('Rework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" s="31" t="str" cm="1">
        <f t="array" ref="AN9">_xlfn.LET(_xlpm.rep,$B9,_xlpm.sent,_xlfn.MAXIFS('Rework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" spans="1:40" ht="14.45" hidden="1">
      <c r="A10" s="33" t="s">
        <v>40</v>
      </c>
      <c r="B10" s="33" t="s">
        <v>74</v>
      </c>
      <c r="C10" s="33" t="s">
        <v>42</v>
      </c>
      <c r="D10" t="str" cm="1">
        <f t="array" aca="1" ref="D10" ca="1">IF($B10="","",IF(LEFT($AJ10,3)="Yes","Blocked - "&amp;MID($AJ10,7,100)&amp;IF(SUMPRODUCT(('Rework Log'!$A$3:$A$499=$B10)*('Rework Log'!$G$3:$G$499&lt;&gt;"Yes")*('Rework Log'!$G$3:$G$499&lt;&gt;"Did not pass re-test"))=0,"",IF(SUMPRODUCT(MAX((('Rework Log'!$A$3:$A$499=$B10)*('Rework Log'!$G$3:$G$499&lt;&gt;"Yes")*('Rework Log'!$G$3:$G$499&lt;&gt;"Did not pass re-test"))*'Rework Log'!$I$3:$I$499))=0," - unclaimed"," - promised "&amp;TEXT(SUMPRODUCT(MAX((('Rework Log'!$A$3:$A$499=$B10)*('Rework Log'!$G$3:$G$499&lt;&gt;"Yes")*('Rework Log'!$G$3:$G$499&lt;&gt;"Did not pass re-test"))*'Rework Log'!$I$3:$I$499)),"m/d"))),IF(C10="NOT STARTED",IF(H10="","No plan date set",IF(H10&lt;TODAY(),"Review - planned start passed","On track")),IF(C10="DB Dev",IF(AND(L10="",K10=""),"No target set",IF(AND(IF(L10&lt;&gt;"",L10,K10)&lt;TODAY(),M10=""),"Overdue","On track")),IF(C10="PBI Dev",IF(AND(R10="",Q10=""),"No target set",IF(AND(IF(R10&lt;&gt;"",R10,Q10)&lt;TODAY(),S10=""),"Overdue","On track")),IF(C10="QA",_xlfn.LET(_xlpm.tgt,IF(AM10&lt;&gt;"",AM10,IF(W10&lt;&gt;"",W10,V10)),_xlpm.sent,_xlfn.MAXIFS('Rework Log'!$B$3:$B$499,'Rework Log'!$A$3:$A$499,$B10,'Rework Log'!$C$3:$C$499,"QA"),_xlpm.act,IF(AND(Y10&lt;&gt;"",Y10&gt;_xlpm.sent),Y10,""),IF(_xlpm.tgt="","No target set",IF(AND(_xlpm.tgt&lt;TODAY(),_xlpm.act=""),"Overdue","On track"))),IF(C10="DPO Approval",_xlfn.LET(_xlpm.tgt,IF(AN10&lt;&gt;"",AN10,IF(AB10&lt;&gt;"",AB10,AA10)),_xlpm.sent,_xlfn.MAXIFS('Rework Log'!$B$3:$B$499,'Rework Log'!$A$3:$A$499,$B10,'Rework Log'!$C$3:$C$499,"DPO*"),_xlpm.act,IF(AND(AC10&lt;&gt;"",AC10&gt;_xlpm.sent),AC10,""),IF(_xlpm.tgt="","No target set",IF(AND(_xlpm.tgt&lt;TODAY(),_xlpm.act=""),"Overdue","On track"))),IF(C10="RELEASED IN PROD","Delivered",""))))))))</f>
        <v>Delivered</v>
      </c>
      <c r="E10" s="33">
        <v>9</v>
      </c>
      <c r="F10" s="34"/>
      <c r="G10" s="33"/>
      <c r="H10" s="50">
        <v>46173</v>
      </c>
      <c r="I10" s="55" t="s">
        <v>75</v>
      </c>
      <c r="J10" s="33" t="s">
        <v>76</v>
      </c>
      <c r="K10" s="4">
        <v>46150</v>
      </c>
      <c r="L10" s="36"/>
      <c r="M10" s="36">
        <v>46157</v>
      </c>
      <c r="N10" s="36" t="s">
        <v>45</v>
      </c>
      <c r="O10" s="36"/>
      <c r="P10" s="63" t="s">
        <v>77</v>
      </c>
      <c r="Q10" s="4">
        <v>46157</v>
      </c>
      <c r="R10" s="36"/>
      <c r="S10" s="36">
        <v>46134</v>
      </c>
      <c r="T10" s="69"/>
      <c r="U10" s="33" t="s">
        <v>47</v>
      </c>
      <c r="V10" s="59">
        <v>46164</v>
      </c>
      <c r="W10" s="36"/>
      <c r="X10" s="36"/>
      <c r="Y10" s="36">
        <v>46134</v>
      </c>
      <c r="Z10" s="36"/>
      <c r="AA10" s="52">
        <v>46169</v>
      </c>
      <c r="AB10" s="36"/>
      <c r="AC10" s="36"/>
      <c r="AD10" s="33" t="s">
        <v>48</v>
      </c>
      <c r="AE10" s="33" t="s">
        <v>72</v>
      </c>
      <c r="AF10" s="38" t="s">
        <v>50</v>
      </c>
      <c r="AG10" s="36">
        <v>46134</v>
      </c>
      <c r="AH10" s="39" t="s">
        <v>78</v>
      </c>
      <c r="AI10" s="33" t="s">
        <v>79</v>
      </c>
      <c r="AJ10" s="40" t="s">
        <v>53</v>
      </c>
      <c r="AK10" s="73" t="str">
        <f>IF($B10="","",IF(AND(LEFT($AJ10,3)="Yes",SUMPRODUCT(('Rework Log'!$A$3:$A$499=$B10)*('Rework Log'!$G$3:$G$499&lt;&gt;"Yes")*('Rework Log'!$G$3:$G$499&lt;&gt;"Did not pass re-test"))=0),"Blocked - log it on Rework Log",IF(AND(LEFT($AJ10,3)&lt;&gt;"Yes",SUMPRODUCT(('Rework Log'!$A$3:$A$499=$B10)*('Rework Log'!$G$3:$G$499&lt;&gt;"Yes")*('Rework Log'!$G$3:$G$499&lt;&gt;"Did not pass re-test"))&gt;0),"Open rework row - mark Blocked? or close it",IF(AND($AJ10="Yes – needs DB Dev to fix",M10&lt;&gt;"",SUMPRODUCT(MAX((('Rework Log'!$A$3:$A$499=$B10)*('Rework Log'!$G$3:$G$499&lt;&gt;"Yes")*('Rework Log'!$G$3:$G$499&lt;&gt;"Did not pass re-test"))*'Rework Log'!$I$3:$I$499))&gt;0),"Move old DB Dev completion date to Rework Log (col H)",IF(AND($AJ10="Yes – needs PBI Dev to fix",S10&lt;&gt;"",SUMPRODUCT(MAX((('Rework Log'!$A$3:$A$499=$B10)*('Rework Log'!$G$3:$G$499&lt;&gt;"Yes")*('Rework Log'!$G$3:$G$499&lt;&gt;"Did not pass re-test"))*'Rework Log'!$I$3:$I$499))&gt;0),"Move old PBI Dev completion date to Rework Log (col H)",IF(AND($AJ10="Yes – needs QA to fix",Y10&lt;&gt;"",SUMPRODUCT(MAX((('Rework Log'!$A$3:$A$499=$B10)*('Rework Log'!$G$3:$G$499&lt;&gt;"Yes")*('Rework Log'!$G$3:$G$499&lt;&gt;"Did not pass re-test"))*'Rework Log'!$I$3:$I$499))&gt;0),"Move old QA completion date to Rework Log (col H)",IF(COUNTIF($B$2:$B$527,$B10)&gt;1,"Duplicate name - check row",IF(COUNTIF('Rework Log'!$A$3:$A$499,$B10)&gt;0,"",IF(AND(V10&lt;&gt;"",K10&lt;&gt;"",V10&lt;K10),"QA target is before DB Dev target",IF(AND(V10&lt;&gt;"",Q10&lt;&gt;"",V10&lt;Q10),"QA target is before PBI Dev target",IF(AND(AA10&lt;&gt;"",V10&lt;&gt;"",AA10&lt;V10),"DPO Approval target is before QA target",IF(AND(AG10&lt;&gt;"",AA10&lt;&gt;"",AG10&lt;AA10),"Confirmed Deployed date is before DPO Approval target",""))))))))))))</f>
        <v>Confirmed Deployed date is before DPO Approval target</v>
      </c>
      <c r="AL10" s="41"/>
      <c r="AM10" s="31" t="str" cm="1">
        <f t="array" ref="AM10">_xlfn.LET(_xlpm.rep,$B10,_xlpm.sent,_xlfn.MAXIFS('Rework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" s="31" t="str" cm="1">
        <f t="array" ref="AN10">_xlfn.LET(_xlpm.rep,$B10,_xlpm.sent,_xlfn.MAXIFS('Rework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" spans="1:40" ht="14.45" hidden="1">
      <c r="A11" s="33" t="s">
        <v>40</v>
      </c>
      <c r="B11" s="33" t="s">
        <v>80</v>
      </c>
      <c r="C11" s="33" t="s">
        <v>42</v>
      </c>
      <c r="D11" t="str" cm="1">
        <f t="array" aca="1" ref="D11" ca="1">IF($B11="","",IF(LEFT($AJ11,3)="Yes","Blocked - "&amp;MID($AJ11,7,100)&amp;IF(SUMPRODUCT(('Rework Log'!$A$3:$A$499=$B11)*('Rework Log'!$G$3:$G$499&lt;&gt;"Yes")*('Rework Log'!$G$3:$G$499&lt;&gt;"Did not pass re-test"))=0,"",IF(SUMPRODUCT(MAX((('Rework Log'!$A$3:$A$499=$B11)*('Rework Log'!$G$3:$G$499&lt;&gt;"Yes")*('Rework Log'!$G$3:$G$499&lt;&gt;"Did not pass re-test"))*'Rework Log'!$I$3:$I$499))=0," - unclaimed"," - promised "&amp;TEXT(SUMPRODUCT(MAX((('Rework Log'!$A$3:$A$499=$B11)*('Rework Log'!$G$3:$G$499&lt;&gt;"Yes")*('Rework Log'!$G$3:$G$499&lt;&gt;"Did not pass re-test"))*'Rework Log'!$I$3:$I$499)),"m/d"))),IF(C11="NOT STARTED",IF(H11="","No plan date set",IF(H11&lt;TODAY(),"Review - planned start passed","On track")),IF(C11="DB Dev",IF(AND(L11="",K11=""),"No target set",IF(AND(IF(L11&lt;&gt;"",L11,K11)&lt;TODAY(),M11=""),"Overdue","On track")),IF(C11="PBI Dev",IF(AND(R11="",Q11=""),"No target set",IF(AND(IF(R11&lt;&gt;"",R11,Q11)&lt;TODAY(),S11=""),"Overdue","On track")),IF(C11="QA",_xlfn.LET(_xlpm.tgt,IF(AM11&lt;&gt;"",AM11,IF(W11&lt;&gt;"",W11,V11)),_xlpm.sent,_xlfn.MAXIFS('Rework Log'!$B$3:$B$499,'Rework Log'!$A$3:$A$499,$B11,'Rework Log'!$C$3:$C$499,"QA"),_xlpm.act,IF(AND(Y11&lt;&gt;"",Y11&gt;_xlpm.sent),Y11,""),IF(_xlpm.tgt="","No target set",IF(AND(_xlpm.tgt&lt;TODAY(),_xlpm.act=""),"Overdue","On track"))),IF(C11="DPO Approval",_xlfn.LET(_xlpm.tgt,IF(AN11&lt;&gt;"",AN11,IF(AB11&lt;&gt;"",AB11,AA11)),_xlpm.sent,_xlfn.MAXIFS('Rework Log'!$B$3:$B$499,'Rework Log'!$A$3:$A$499,$B11,'Rework Log'!$C$3:$C$499,"DPO*"),_xlpm.act,IF(AND(AC11&lt;&gt;"",AC11&gt;_xlpm.sent),AC11,""),IF(_xlpm.tgt="","No target set",IF(AND(_xlpm.tgt&lt;TODAY(),_xlpm.act=""),"Overdue","On track"))),IF(C11="RELEASED IN PROD","Delivered",""))))))))</f>
        <v>Delivered</v>
      </c>
      <c r="E11" s="33">
        <v>10</v>
      </c>
      <c r="F11" s="34"/>
      <c r="G11" s="33"/>
      <c r="H11" s="50">
        <v>46173</v>
      </c>
      <c r="I11" s="55" t="s">
        <v>75</v>
      </c>
      <c r="J11" s="33" t="s">
        <v>59</v>
      </c>
      <c r="K11" s="4">
        <v>46150</v>
      </c>
      <c r="L11" s="36"/>
      <c r="M11" s="36">
        <v>46157</v>
      </c>
      <c r="N11" s="36" t="s">
        <v>45</v>
      </c>
      <c r="O11" s="36"/>
      <c r="P11" s="64" t="s">
        <v>77</v>
      </c>
      <c r="Q11" s="4">
        <v>46157</v>
      </c>
      <c r="R11" s="36"/>
      <c r="S11" s="36">
        <v>46139</v>
      </c>
      <c r="T11" s="69"/>
      <c r="U11" s="33" t="s">
        <v>47</v>
      </c>
      <c r="V11" s="59">
        <v>46164</v>
      </c>
      <c r="W11" s="36"/>
      <c r="X11" s="36"/>
      <c r="Y11" s="36">
        <v>46139</v>
      </c>
      <c r="Z11" s="36"/>
      <c r="AA11" s="52">
        <v>46169</v>
      </c>
      <c r="AB11" s="36"/>
      <c r="AC11" s="36"/>
      <c r="AD11" s="33" t="s">
        <v>48</v>
      </c>
      <c r="AE11" s="33" t="s">
        <v>72</v>
      </c>
      <c r="AF11" s="38" t="s">
        <v>50</v>
      </c>
      <c r="AG11" s="36">
        <v>46139</v>
      </c>
      <c r="AH11" s="39" t="s">
        <v>81</v>
      </c>
      <c r="AI11" s="33" t="s">
        <v>82</v>
      </c>
      <c r="AJ11" s="40" t="s">
        <v>53</v>
      </c>
      <c r="AK11" s="73" t="str">
        <f>IF($B11="","",IF(AND(LEFT($AJ11,3)="Yes",SUMPRODUCT(('Rework Log'!$A$3:$A$499=$B11)*('Rework Log'!$G$3:$G$499&lt;&gt;"Yes")*('Rework Log'!$G$3:$G$499&lt;&gt;"Did not pass re-test"))=0),"Blocked - log it on Rework Log",IF(AND(LEFT($AJ11,3)&lt;&gt;"Yes",SUMPRODUCT(('Rework Log'!$A$3:$A$499=$B11)*('Rework Log'!$G$3:$G$499&lt;&gt;"Yes")*('Rework Log'!$G$3:$G$499&lt;&gt;"Did not pass re-test"))&gt;0),"Open rework row - mark Blocked? or close it",IF(AND($AJ11="Yes – needs DB Dev to fix",M11&lt;&gt;"",SUMPRODUCT(MAX((('Rework Log'!$A$3:$A$499=$B11)*('Rework Log'!$G$3:$G$499&lt;&gt;"Yes")*('Rework Log'!$G$3:$G$499&lt;&gt;"Did not pass re-test"))*'Rework Log'!$I$3:$I$499))&gt;0),"Move old DB Dev completion date to Rework Log (col H)",IF(AND($AJ11="Yes – needs PBI Dev to fix",S11&lt;&gt;"",SUMPRODUCT(MAX((('Rework Log'!$A$3:$A$499=$B11)*('Rework Log'!$G$3:$G$499&lt;&gt;"Yes")*('Rework Log'!$G$3:$G$499&lt;&gt;"Did not pass re-test"))*'Rework Log'!$I$3:$I$499))&gt;0),"Move old PBI Dev completion date to Rework Log (col H)",IF(AND($AJ11="Yes – needs QA to fix",Y11&lt;&gt;"",SUMPRODUCT(MAX((('Rework Log'!$A$3:$A$499=$B11)*('Rework Log'!$G$3:$G$499&lt;&gt;"Yes")*('Rework Log'!$G$3:$G$499&lt;&gt;"Did not pass re-test"))*'Rework Log'!$I$3:$I$499))&gt;0),"Move old QA completion date to Rework Log (col H)",IF(COUNTIF($B$2:$B$527,$B11)&gt;1,"Duplicate name - check row",IF(COUNTIF('Rework Log'!$A$3:$A$499,$B11)&gt;0,"",IF(AND(V11&lt;&gt;"",K11&lt;&gt;"",V11&lt;K11),"QA target is before DB Dev target",IF(AND(V11&lt;&gt;"",Q11&lt;&gt;"",V11&lt;Q11),"QA target is before PBI Dev target",IF(AND(AA11&lt;&gt;"",V11&lt;&gt;"",AA11&lt;V11),"DPO Approval target is before QA target",IF(AND(AG11&lt;&gt;"",AA11&lt;&gt;"",AG11&lt;AA11),"Confirmed Deployed date is before DPO Approval target",""))))))))))))</f>
        <v>Confirmed Deployed date is before DPO Approval target</v>
      </c>
      <c r="AL11" s="41"/>
      <c r="AM11" s="31" t="str" cm="1">
        <f t="array" ref="AM11">_xlfn.LET(_xlpm.rep,$B11,_xlpm.sent,_xlfn.MAXIFS('Rework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" s="31" t="str" cm="1">
        <f t="array" ref="AN11">_xlfn.LET(_xlpm.rep,$B11,_xlpm.sent,_xlfn.MAXIFS('Rework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2" spans="1:40" ht="14.45" hidden="1">
      <c r="A12" s="33" t="s">
        <v>40</v>
      </c>
      <c r="B12" s="33" t="s">
        <v>83</v>
      </c>
      <c r="C12" s="33" t="s">
        <v>42</v>
      </c>
      <c r="D12" t="str" cm="1">
        <f t="array" aca="1" ref="D12" ca="1">IF($B12="","",IF(LEFT($AJ12,3)="Yes","Blocked - "&amp;MID($AJ12,7,100)&amp;IF(SUMPRODUCT(('Rework Log'!$A$3:$A$499=$B12)*('Rework Log'!$G$3:$G$499&lt;&gt;"Yes")*('Rework Log'!$G$3:$G$499&lt;&gt;"Did not pass re-test"))=0,"",IF(SUMPRODUCT(MAX((('Rework Log'!$A$3:$A$499=$B12)*('Rework Log'!$G$3:$G$499&lt;&gt;"Yes")*('Rework Log'!$G$3:$G$499&lt;&gt;"Did not pass re-test"))*'Rework Log'!$I$3:$I$499))=0," - unclaimed"," - promised "&amp;TEXT(SUMPRODUCT(MAX((('Rework Log'!$A$3:$A$499=$B12)*('Rework Log'!$G$3:$G$499&lt;&gt;"Yes")*('Rework Log'!$G$3:$G$499&lt;&gt;"Did not pass re-test"))*'Rework Log'!$I$3:$I$499)),"m/d"))),IF(C12="NOT STARTED",IF(H12="","No plan date set",IF(H12&lt;TODAY(),"Review - planned start passed","On track")),IF(C12="DB Dev",IF(AND(L12="",K12=""),"No target set",IF(AND(IF(L12&lt;&gt;"",L12,K12)&lt;TODAY(),M12=""),"Overdue","On track")),IF(C12="PBI Dev",IF(AND(R12="",Q12=""),"No target set",IF(AND(IF(R12&lt;&gt;"",R12,Q12)&lt;TODAY(),S12=""),"Overdue","On track")),IF(C12="QA",_xlfn.LET(_xlpm.tgt,IF(AM12&lt;&gt;"",AM12,IF(W12&lt;&gt;"",W12,V12)),_xlpm.sent,_xlfn.MAXIFS('Rework Log'!$B$3:$B$499,'Rework Log'!$A$3:$A$499,$B12,'Rework Log'!$C$3:$C$499,"QA"),_xlpm.act,IF(AND(Y12&lt;&gt;"",Y12&gt;_xlpm.sent),Y12,""),IF(_xlpm.tgt="","No target set",IF(AND(_xlpm.tgt&lt;TODAY(),_xlpm.act=""),"Overdue","On track"))),IF(C12="DPO Approval",_xlfn.LET(_xlpm.tgt,IF(AN12&lt;&gt;"",AN12,IF(AB12&lt;&gt;"",AB12,AA12)),_xlpm.sent,_xlfn.MAXIFS('Rework Log'!$B$3:$B$499,'Rework Log'!$A$3:$A$499,$B12,'Rework Log'!$C$3:$C$499,"DPO*"),_xlpm.act,IF(AND(AC12&lt;&gt;"",AC12&gt;_xlpm.sent),AC12,""),IF(_xlpm.tgt="","No target set",IF(AND(_xlpm.tgt&lt;TODAY(),_xlpm.act=""),"Overdue","On track"))),IF(C12="RELEASED IN PROD","Delivered",""))))))))</f>
        <v>Delivered</v>
      </c>
      <c r="E12" s="33">
        <v>11</v>
      </c>
      <c r="F12" s="34"/>
      <c r="G12" s="33"/>
      <c r="H12" s="50">
        <v>46173</v>
      </c>
      <c r="I12" s="55" t="s">
        <v>75</v>
      </c>
      <c r="J12" s="33" t="s">
        <v>84</v>
      </c>
      <c r="K12" s="4">
        <v>46150</v>
      </c>
      <c r="L12" s="36"/>
      <c r="M12" s="36">
        <v>46157</v>
      </c>
      <c r="N12" s="36" t="s">
        <v>45</v>
      </c>
      <c r="O12" s="36"/>
      <c r="P12" s="63" t="s">
        <v>60</v>
      </c>
      <c r="Q12" s="4">
        <v>46157</v>
      </c>
      <c r="R12" s="36"/>
      <c r="S12" s="36">
        <v>46147</v>
      </c>
      <c r="T12" s="69"/>
      <c r="U12" s="33" t="s">
        <v>47</v>
      </c>
      <c r="V12" s="59">
        <v>46164</v>
      </c>
      <c r="W12" s="36"/>
      <c r="X12" s="36"/>
      <c r="Y12" s="36">
        <v>46147</v>
      </c>
      <c r="Z12" s="36"/>
      <c r="AA12" s="52">
        <v>46169</v>
      </c>
      <c r="AB12" s="36"/>
      <c r="AC12" s="36"/>
      <c r="AD12" s="33" t="s">
        <v>48</v>
      </c>
      <c r="AE12" s="33" t="s">
        <v>49</v>
      </c>
      <c r="AF12" s="38" t="s">
        <v>50</v>
      </c>
      <c r="AG12" s="36">
        <v>46147</v>
      </c>
      <c r="AH12" s="39" t="s">
        <v>85</v>
      </c>
      <c r="AI12" s="33" t="s">
        <v>86</v>
      </c>
      <c r="AJ12" s="40" t="s">
        <v>53</v>
      </c>
      <c r="AK12" s="73" t="str">
        <f>IF($B12="","",IF(AND(LEFT($AJ12,3)="Yes",SUMPRODUCT(('Rework Log'!$A$3:$A$499=$B12)*('Rework Log'!$G$3:$G$499&lt;&gt;"Yes")*('Rework Log'!$G$3:$G$499&lt;&gt;"Did not pass re-test"))=0),"Blocked - log it on Rework Log",IF(AND(LEFT($AJ12,3)&lt;&gt;"Yes",SUMPRODUCT(('Rework Log'!$A$3:$A$499=$B12)*('Rework Log'!$G$3:$G$499&lt;&gt;"Yes")*('Rework Log'!$G$3:$G$499&lt;&gt;"Did not pass re-test"))&gt;0),"Open rework row - mark Blocked? or close it",IF(AND($AJ12="Yes – needs DB Dev to fix",M12&lt;&gt;"",SUMPRODUCT(MAX((('Rework Log'!$A$3:$A$499=$B12)*('Rework Log'!$G$3:$G$499&lt;&gt;"Yes")*('Rework Log'!$G$3:$G$499&lt;&gt;"Did not pass re-test"))*'Rework Log'!$I$3:$I$499))&gt;0),"Move old DB Dev completion date to Rework Log (col H)",IF(AND($AJ12="Yes – needs PBI Dev to fix",S12&lt;&gt;"",SUMPRODUCT(MAX((('Rework Log'!$A$3:$A$499=$B12)*('Rework Log'!$G$3:$G$499&lt;&gt;"Yes")*('Rework Log'!$G$3:$G$499&lt;&gt;"Did not pass re-test"))*'Rework Log'!$I$3:$I$499))&gt;0),"Move old PBI Dev completion date to Rework Log (col H)",IF(AND($AJ12="Yes – needs QA to fix",Y12&lt;&gt;"",SUMPRODUCT(MAX((('Rework Log'!$A$3:$A$499=$B12)*('Rework Log'!$G$3:$G$499&lt;&gt;"Yes")*('Rework Log'!$G$3:$G$499&lt;&gt;"Did not pass re-test"))*'Rework Log'!$I$3:$I$499))&gt;0),"Move old QA completion date to Rework Log (col H)",IF(COUNTIF($B$2:$B$527,$B12)&gt;1,"Duplicate name - check row",IF(COUNTIF('Rework Log'!$A$3:$A$499,$B12)&gt;0,"",IF(AND(V12&lt;&gt;"",K12&lt;&gt;"",V12&lt;K12),"QA target is before DB Dev target",IF(AND(V12&lt;&gt;"",Q12&lt;&gt;"",V12&lt;Q12),"QA target is before PBI Dev target",IF(AND(AA12&lt;&gt;"",V12&lt;&gt;"",AA12&lt;V12),"DPO Approval target is before QA target",IF(AND(AG12&lt;&gt;"",AA12&lt;&gt;"",AG12&lt;AA12),"Confirmed Deployed date is before DPO Approval target",""))))))))))))</f>
        <v>Confirmed Deployed date is before DPO Approval target</v>
      </c>
      <c r="AL12" s="41"/>
      <c r="AM12" s="31" t="str" cm="1">
        <f t="array" ref="AM12">_xlfn.LET(_xlpm.rep,$B12,_xlpm.sent,_xlfn.MAXIFS('Rework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2" s="31" t="str" cm="1">
        <f t="array" ref="AN12">_xlfn.LET(_xlpm.rep,$B12,_xlpm.sent,_xlfn.MAXIFS('Rework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3" spans="1:40" ht="14.45" hidden="1">
      <c r="A13" s="33" t="s">
        <v>40</v>
      </c>
      <c r="B13" s="33" t="s">
        <v>87</v>
      </c>
      <c r="C13" s="33" t="s">
        <v>42</v>
      </c>
      <c r="D13" t="str" cm="1">
        <f t="array" aca="1" ref="D13" ca="1">IF($B13="","",IF(LEFT($AJ13,3)="Yes","Blocked - "&amp;MID($AJ13,7,100)&amp;IF(SUMPRODUCT(('Rework Log'!$A$3:$A$499=$B13)*('Rework Log'!$G$3:$G$499&lt;&gt;"Yes")*('Rework Log'!$G$3:$G$499&lt;&gt;"Did not pass re-test"))=0,"",IF(SUMPRODUCT(MAX((('Rework Log'!$A$3:$A$499=$B13)*('Rework Log'!$G$3:$G$499&lt;&gt;"Yes")*('Rework Log'!$G$3:$G$499&lt;&gt;"Did not pass re-test"))*'Rework Log'!$I$3:$I$499))=0," - unclaimed"," - promised "&amp;TEXT(SUMPRODUCT(MAX((('Rework Log'!$A$3:$A$499=$B13)*('Rework Log'!$G$3:$G$499&lt;&gt;"Yes")*('Rework Log'!$G$3:$G$499&lt;&gt;"Did not pass re-test"))*'Rework Log'!$I$3:$I$499)),"m/d"))),IF(C13="NOT STARTED",IF(H13="","No plan date set",IF(H13&lt;TODAY(),"Review - planned start passed","On track")),IF(C13="DB Dev",IF(AND(L13="",K13=""),"No target set",IF(AND(IF(L13&lt;&gt;"",L13,K13)&lt;TODAY(),M13=""),"Overdue","On track")),IF(C13="PBI Dev",IF(AND(R13="",Q13=""),"No target set",IF(AND(IF(R13&lt;&gt;"",R13,Q13)&lt;TODAY(),S13=""),"Overdue","On track")),IF(C13="QA",_xlfn.LET(_xlpm.tgt,IF(AM13&lt;&gt;"",AM13,IF(W13&lt;&gt;"",W13,V13)),_xlpm.sent,_xlfn.MAXIFS('Rework Log'!$B$3:$B$499,'Rework Log'!$A$3:$A$499,$B13,'Rework Log'!$C$3:$C$499,"QA"),_xlpm.act,IF(AND(Y13&lt;&gt;"",Y13&gt;_xlpm.sent),Y13,""),IF(_xlpm.tgt="","No target set",IF(AND(_xlpm.tgt&lt;TODAY(),_xlpm.act=""),"Overdue","On track"))),IF(C13="DPO Approval",_xlfn.LET(_xlpm.tgt,IF(AN13&lt;&gt;"",AN13,IF(AB13&lt;&gt;"",AB13,AA13)),_xlpm.sent,_xlfn.MAXIFS('Rework Log'!$B$3:$B$499,'Rework Log'!$A$3:$A$499,$B13,'Rework Log'!$C$3:$C$499,"DPO*"),_xlpm.act,IF(AND(AC13&lt;&gt;"",AC13&gt;_xlpm.sent),AC13,""),IF(_xlpm.tgt="","No target set",IF(AND(_xlpm.tgt&lt;TODAY(),_xlpm.act=""),"Overdue","On track"))),IF(C13="RELEASED IN PROD","Delivered",""))))))))</f>
        <v>Delivered</v>
      </c>
      <c r="E13" s="33">
        <v>12</v>
      </c>
      <c r="F13" s="34"/>
      <c r="G13" s="33"/>
      <c r="H13" s="50">
        <v>46173</v>
      </c>
      <c r="I13" s="55" t="s">
        <v>75</v>
      </c>
      <c r="J13" s="33" t="s">
        <v>84</v>
      </c>
      <c r="K13" s="4">
        <v>46150</v>
      </c>
      <c r="L13" s="36"/>
      <c r="M13" s="36">
        <v>46157</v>
      </c>
      <c r="N13" s="36" t="s">
        <v>45</v>
      </c>
      <c r="O13" s="36"/>
      <c r="P13" s="63" t="s">
        <v>46</v>
      </c>
      <c r="Q13" s="4">
        <v>46157</v>
      </c>
      <c r="R13" s="36"/>
      <c r="S13" s="36">
        <v>46175</v>
      </c>
      <c r="T13" s="69"/>
      <c r="U13" s="33" t="s">
        <v>88</v>
      </c>
      <c r="V13" s="59">
        <v>46164</v>
      </c>
      <c r="W13" s="36"/>
      <c r="X13" s="36"/>
      <c r="Y13" s="36">
        <v>46179</v>
      </c>
      <c r="Z13" s="36"/>
      <c r="AA13" s="52">
        <v>46169</v>
      </c>
      <c r="AB13" s="36"/>
      <c r="AC13" s="36"/>
      <c r="AD13" s="33" t="s">
        <v>48</v>
      </c>
      <c r="AE13" s="33" t="s">
        <v>49</v>
      </c>
      <c r="AF13" s="38" t="s">
        <v>50</v>
      </c>
      <c r="AG13" s="36">
        <v>46179</v>
      </c>
      <c r="AH13" s="39" t="s">
        <v>89</v>
      </c>
      <c r="AI13" s="33"/>
      <c r="AJ13" s="40" t="s">
        <v>53</v>
      </c>
      <c r="AK13" s="73" t="str">
        <f>IF($B13="","",IF(AND(LEFT($AJ13,3)="Yes",SUMPRODUCT(('Rework Log'!$A$3:$A$499=$B13)*('Rework Log'!$G$3:$G$499&lt;&gt;"Yes")*('Rework Log'!$G$3:$G$499&lt;&gt;"Did not pass re-test"))=0),"Blocked - log it on Rework Log",IF(AND(LEFT($AJ13,3)&lt;&gt;"Yes",SUMPRODUCT(('Rework Log'!$A$3:$A$499=$B13)*('Rework Log'!$G$3:$G$499&lt;&gt;"Yes")*('Rework Log'!$G$3:$G$499&lt;&gt;"Did not pass re-test"))&gt;0),"Open rework row - mark Blocked? or close it",IF(AND($AJ13="Yes – needs DB Dev to fix",M13&lt;&gt;"",SUMPRODUCT(MAX((('Rework Log'!$A$3:$A$499=$B13)*('Rework Log'!$G$3:$G$499&lt;&gt;"Yes")*('Rework Log'!$G$3:$G$499&lt;&gt;"Did not pass re-test"))*'Rework Log'!$I$3:$I$499))&gt;0),"Move old DB Dev completion date to Rework Log (col H)",IF(AND($AJ13="Yes – needs PBI Dev to fix",S13&lt;&gt;"",SUMPRODUCT(MAX((('Rework Log'!$A$3:$A$499=$B13)*('Rework Log'!$G$3:$G$499&lt;&gt;"Yes")*('Rework Log'!$G$3:$G$499&lt;&gt;"Did not pass re-test"))*'Rework Log'!$I$3:$I$499))&gt;0),"Move old PBI Dev completion date to Rework Log (col H)",IF(AND($AJ13="Yes – needs QA to fix",Y13&lt;&gt;"",SUMPRODUCT(MAX((('Rework Log'!$A$3:$A$499=$B13)*('Rework Log'!$G$3:$G$499&lt;&gt;"Yes")*('Rework Log'!$G$3:$G$499&lt;&gt;"Did not pass re-test"))*'Rework Log'!$I$3:$I$499))&gt;0),"Move old QA completion date to Rework Log (col H)",IF(COUNTIF($B$2:$B$527,$B13)&gt;1,"Duplicate name - check row",IF(COUNTIF('Rework Log'!$A$3:$A$499,$B13)&gt;0,"",IF(AND(V13&lt;&gt;"",K13&lt;&gt;"",V13&lt;K13),"QA target is before DB Dev target",IF(AND(V13&lt;&gt;"",Q13&lt;&gt;"",V13&lt;Q13),"QA target is before PBI Dev target",IF(AND(AA13&lt;&gt;"",V13&lt;&gt;"",AA13&lt;V13),"DPO Approval target is before QA target",IF(AND(AG13&lt;&gt;"",AA13&lt;&gt;"",AG13&lt;AA13),"Confirmed Deployed date is before DPO Approval target",""))))))))))))</f>
        <v/>
      </c>
      <c r="AL13" s="41"/>
      <c r="AM13" s="31" t="str" cm="1">
        <f t="array" ref="AM13">_xlfn.LET(_xlpm.rep,$B13,_xlpm.sent,_xlfn.MAXIFS('Rework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3" s="31" t="str" cm="1">
        <f t="array" ref="AN13">_xlfn.LET(_xlpm.rep,$B13,_xlpm.sent,_xlfn.MAXIFS('Rework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4" spans="1:40" ht="14.45" hidden="1">
      <c r="A14" s="33" t="s">
        <v>40</v>
      </c>
      <c r="B14" s="33" t="s">
        <v>90</v>
      </c>
      <c r="C14" s="33" t="s">
        <v>42</v>
      </c>
      <c r="D14" t="str" cm="1">
        <f t="array" aca="1" ref="D14" ca="1">IF($B14="","",IF(LEFT($AJ14,3)="Yes","Blocked - "&amp;MID($AJ14,7,100)&amp;IF(SUMPRODUCT(('Rework Log'!$A$3:$A$499=$B14)*('Rework Log'!$G$3:$G$499&lt;&gt;"Yes")*('Rework Log'!$G$3:$G$499&lt;&gt;"Did not pass re-test"))=0,"",IF(SUMPRODUCT(MAX((('Rework Log'!$A$3:$A$499=$B14)*('Rework Log'!$G$3:$G$499&lt;&gt;"Yes")*('Rework Log'!$G$3:$G$499&lt;&gt;"Did not pass re-test"))*'Rework Log'!$I$3:$I$499))=0," - unclaimed"," - promised "&amp;TEXT(SUMPRODUCT(MAX((('Rework Log'!$A$3:$A$499=$B14)*('Rework Log'!$G$3:$G$499&lt;&gt;"Yes")*('Rework Log'!$G$3:$G$499&lt;&gt;"Did not pass re-test"))*'Rework Log'!$I$3:$I$499)),"m/d"))),IF(C14="NOT STARTED",IF(H14="","No plan date set",IF(H14&lt;TODAY(),"Review - planned start passed","On track")),IF(C14="DB Dev",IF(AND(L14="",K14=""),"No target set",IF(AND(IF(L14&lt;&gt;"",L14,K14)&lt;TODAY(),M14=""),"Overdue","On track")),IF(C14="PBI Dev",IF(AND(R14="",Q14=""),"No target set",IF(AND(IF(R14&lt;&gt;"",R14,Q14)&lt;TODAY(),S14=""),"Overdue","On track")),IF(C14="QA",_xlfn.LET(_xlpm.tgt,IF(AM14&lt;&gt;"",AM14,IF(W14&lt;&gt;"",W14,V14)),_xlpm.sent,_xlfn.MAXIFS('Rework Log'!$B$3:$B$499,'Rework Log'!$A$3:$A$499,$B14,'Rework Log'!$C$3:$C$499,"QA"),_xlpm.act,IF(AND(Y14&lt;&gt;"",Y14&gt;_xlpm.sent),Y14,""),IF(_xlpm.tgt="","No target set",IF(AND(_xlpm.tgt&lt;TODAY(),_xlpm.act=""),"Overdue","On track"))),IF(C14="DPO Approval",_xlfn.LET(_xlpm.tgt,IF(AN14&lt;&gt;"",AN14,IF(AB14&lt;&gt;"",AB14,AA14)),_xlpm.sent,_xlfn.MAXIFS('Rework Log'!$B$3:$B$499,'Rework Log'!$A$3:$A$499,$B14,'Rework Log'!$C$3:$C$499,"DPO*"),_xlpm.act,IF(AND(AC14&lt;&gt;"",AC14&gt;_xlpm.sent),AC14,""),IF(_xlpm.tgt="","No target set",IF(AND(_xlpm.tgt&lt;TODAY(),_xlpm.act=""),"Overdue","On track"))),IF(C14="RELEASED IN PROD","Delivered",""))))))))</f>
        <v>Delivered</v>
      </c>
      <c r="E14" s="33">
        <v>13</v>
      </c>
      <c r="F14" s="34"/>
      <c r="G14" s="33"/>
      <c r="H14" s="50">
        <v>46173</v>
      </c>
      <c r="I14" s="55" t="s">
        <v>75</v>
      </c>
      <c r="J14" s="33" t="s">
        <v>44</v>
      </c>
      <c r="K14" s="4">
        <v>46150</v>
      </c>
      <c r="L14" s="36"/>
      <c r="M14" s="36">
        <v>46157</v>
      </c>
      <c r="N14" s="36" t="s">
        <v>45</v>
      </c>
      <c r="O14" s="36"/>
      <c r="P14" s="63" t="s">
        <v>60</v>
      </c>
      <c r="Q14" s="4">
        <v>46157</v>
      </c>
      <c r="R14" s="36"/>
      <c r="S14" s="36">
        <v>46143</v>
      </c>
      <c r="T14" s="69"/>
      <c r="U14" s="33" t="s">
        <v>88</v>
      </c>
      <c r="V14" s="59">
        <v>46164</v>
      </c>
      <c r="W14" s="36"/>
      <c r="X14" s="36"/>
      <c r="Y14" s="36">
        <v>46175</v>
      </c>
      <c r="Z14" s="36"/>
      <c r="AA14" s="52">
        <v>46169</v>
      </c>
      <c r="AB14" s="36"/>
      <c r="AC14" s="36"/>
      <c r="AD14" s="33" t="s">
        <v>48</v>
      </c>
      <c r="AE14" s="33" t="s">
        <v>72</v>
      </c>
      <c r="AF14" s="38" t="s">
        <v>50</v>
      </c>
      <c r="AG14" s="36">
        <v>46184</v>
      </c>
      <c r="AH14" s="39" t="s">
        <v>91</v>
      </c>
      <c r="AI14" s="33" t="s">
        <v>92</v>
      </c>
      <c r="AJ14" s="40" t="s">
        <v>53</v>
      </c>
      <c r="AK14" s="73" t="str">
        <f>IF($B14="","",IF(AND(LEFT($AJ14,3)="Yes",SUMPRODUCT(('Rework Log'!$A$3:$A$499=$B14)*('Rework Log'!$G$3:$G$499&lt;&gt;"Yes")*('Rework Log'!$G$3:$G$499&lt;&gt;"Did not pass re-test"))=0),"Blocked - log it on Rework Log",IF(AND(LEFT($AJ14,3)&lt;&gt;"Yes",SUMPRODUCT(('Rework Log'!$A$3:$A$499=$B14)*('Rework Log'!$G$3:$G$499&lt;&gt;"Yes")*('Rework Log'!$G$3:$G$499&lt;&gt;"Did not pass re-test"))&gt;0),"Open rework row - mark Blocked? or close it",IF(AND($AJ14="Yes – needs DB Dev to fix",M14&lt;&gt;"",SUMPRODUCT(MAX((('Rework Log'!$A$3:$A$499=$B14)*('Rework Log'!$G$3:$G$499&lt;&gt;"Yes")*('Rework Log'!$G$3:$G$499&lt;&gt;"Did not pass re-test"))*'Rework Log'!$I$3:$I$499))&gt;0),"Move old DB Dev completion date to Rework Log (col H)",IF(AND($AJ14="Yes – needs PBI Dev to fix",S14&lt;&gt;"",SUMPRODUCT(MAX((('Rework Log'!$A$3:$A$499=$B14)*('Rework Log'!$G$3:$G$499&lt;&gt;"Yes")*('Rework Log'!$G$3:$G$499&lt;&gt;"Did not pass re-test"))*'Rework Log'!$I$3:$I$499))&gt;0),"Move old PBI Dev completion date to Rework Log (col H)",IF(AND($AJ14="Yes – needs QA to fix",Y14&lt;&gt;"",SUMPRODUCT(MAX((('Rework Log'!$A$3:$A$499=$B14)*('Rework Log'!$G$3:$G$499&lt;&gt;"Yes")*('Rework Log'!$G$3:$G$499&lt;&gt;"Did not pass re-test"))*'Rework Log'!$I$3:$I$499))&gt;0),"Move old QA completion date to Rework Log (col H)",IF(COUNTIF($B$2:$B$527,$B14)&gt;1,"Duplicate name - check row",IF(COUNTIF('Rework Log'!$A$3:$A$499,$B14)&gt;0,"",IF(AND(V14&lt;&gt;"",K14&lt;&gt;"",V14&lt;K14),"QA target is before DB Dev target",IF(AND(V14&lt;&gt;"",Q14&lt;&gt;"",V14&lt;Q14),"QA target is before PBI Dev target",IF(AND(AA14&lt;&gt;"",V14&lt;&gt;"",AA14&lt;V14),"DPO Approval target is before QA target",IF(AND(AG14&lt;&gt;"",AA14&lt;&gt;"",AG14&lt;AA14),"Confirmed Deployed date is before DPO Approval target",""))))))))))))</f>
        <v/>
      </c>
      <c r="AL14" s="41"/>
      <c r="AM14" s="31" t="str" cm="1">
        <f t="array" ref="AM14">_xlfn.LET(_xlpm.rep,$B14,_xlpm.sent,_xlfn.MAXIFS('Rework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4" s="31" t="str" cm="1">
        <f t="array" ref="AN14">_xlfn.LET(_xlpm.rep,$B14,_xlpm.sent,_xlfn.MAXIFS('Rework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5" spans="1:40" ht="14.45" hidden="1">
      <c r="A15" s="33" t="s">
        <v>40</v>
      </c>
      <c r="B15" s="33" t="s">
        <v>93</v>
      </c>
      <c r="C15" s="33" t="s">
        <v>42</v>
      </c>
      <c r="D15" t="str" cm="1">
        <f t="array" aca="1" ref="D15" ca="1">IF($B15="","",IF(LEFT($AJ15,3)="Yes","Blocked - "&amp;MID($AJ15,7,100)&amp;IF(SUMPRODUCT(('Rework Log'!$A$3:$A$499=$B15)*('Rework Log'!$G$3:$G$499&lt;&gt;"Yes")*('Rework Log'!$G$3:$G$499&lt;&gt;"Did not pass re-test"))=0,"",IF(SUMPRODUCT(MAX((('Rework Log'!$A$3:$A$499=$B15)*('Rework Log'!$G$3:$G$499&lt;&gt;"Yes")*('Rework Log'!$G$3:$G$499&lt;&gt;"Did not pass re-test"))*'Rework Log'!$I$3:$I$499))=0," - unclaimed"," - promised "&amp;TEXT(SUMPRODUCT(MAX((('Rework Log'!$A$3:$A$499=$B15)*('Rework Log'!$G$3:$G$499&lt;&gt;"Yes")*('Rework Log'!$G$3:$G$499&lt;&gt;"Did not pass re-test"))*'Rework Log'!$I$3:$I$499)),"m/d"))),IF(C15="NOT STARTED",IF(H15="","No plan date set",IF(H15&lt;TODAY(),"Review - planned start passed","On track")),IF(C15="DB Dev",IF(AND(L15="",K15=""),"No target set",IF(AND(IF(L15&lt;&gt;"",L15,K15)&lt;TODAY(),M15=""),"Overdue","On track")),IF(C15="PBI Dev",IF(AND(R15="",Q15=""),"No target set",IF(AND(IF(R15&lt;&gt;"",R15,Q15)&lt;TODAY(),S15=""),"Overdue","On track")),IF(C15="QA",_xlfn.LET(_xlpm.tgt,IF(AM15&lt;&gt;"",AM15,IF(W15&lt;&gt;"",W15,V15)),_xlpm.sent,_xlfn.MAXIFS('Rework Log'!$B$3:$B$499,'Rework Log'!$A$3:$A$499,$B15,'Rework Log'!$C$3:$C$499,"QA"),_xlpm.act,IF(AND(Y15&lt;&gt;"",Y15&gt;_xlpm.sent),Y15,""),IF(_xlpm.tgt="","No target set",IF(AND(_xlpm.tgt&lt;TODAY(),_xlpm.act=""),"Overdue","On track"))),IF(C15="DPO Approval",_xlfn.LET(_xlpm.tgt,IF(AN15&lt;&gt;"",AN15,IF(AB15&lt;&gt;"",AB15,AA15)),_xlpm.sent,_xlfn.MAXIFS('Rework Log'!$B$3:$B$499,'Rework Log'!$A$3:$A$499,$B15,'Rework Log'!$C$3:$C$499,"DPO*"),_xlpm.act,IF(AND(AC15&lt;&gt;"",AC15&gt;_xlpm.sent),AC15,""),IF(_xlpm.tgt="","No target set",IF(AND(_xlpm.tgt&lt;TODAY(),_xlpm.act=""),"Overdue","On track"))),IF(C15="RELEASED IN PROD","Delivered",""))))))))</f>
        <v>Delivered</v>
      </c>
      <c r="E15" s="33">
        <v>14</v>
      </c>
      <c r="F15" s="34"/>
      <c r="G15" s="33"/>
      <c r="H15" s="50">
        <v>46173</v>
      </c>
      <c r="I15" s="55" t="s">
        <v>75</v>
      </c>
      <c r="J15" s="33" t="s">
        <v>44</v>
      </c>
      <c r="K15" s="4">
        <v>46150</v>
      </c>
      <c r="L15" s="36"/>
      <c r="M15" s="36">
        <v>46157</v>
      </c>
      <c r="N15" s="36" t="s">
        <v>45</v>
      </c>
      <c r="O15" s="36"/>
      <c r="P15" s="63" t="s">
        <v>77</v>
      </c>
      <c r="Q15" s="4">
        <v>46157</v>
      </c>
      <c r="R15" s="36"/>
      <c r="S15" s="36">
        <v>46178</v>
      </c>
      <c r="T15" s="69"/>
      <c r="U15" s="33" t="s">
        <v>47</v>
      </c>
      <c r="V15" s="59">
        <v>46164</v>
      </c>
      <c r="W15" s="36"/>
      <c r="X15" s="36"/>
      <c r="Y15" s="36">
        <v>46175</v>
      </c>
      <c r="Z15" s="36"/>
      <c r="AA15" s="52">
        <v>46169</v>
      </c>
      <c r="AB15" s="36"/>
      <c r="AC15" s="36"/>
      <c r="AD15" s="33" t="s">
        <v>48</v>
      </c>
      <c r="AE15" s="33" t="s">
        <v>94</v>
      </c>
      <c r="AF15" s="38" t="s">
        <v>50</v>
      </c>
      <c r="AG15" s="36">
        <v>46192</v>
      </c>
      <c r="AH15" s="39" t="s">
        <v>95</v>
      </c>
      <c r="AI15" s="33"/>
      <c r="AJ15" s="40" t="s">
        <v>53</v>
      </c>
      <c r="AK15" s="73" t="str">
        <f>IF($B15="","",IF(AND(LEFT($AJ15,3)="Yes",SUMPRODUCT(('Rework Log'!$A$3:$A$499=$B15)*('Rework Log'!$G$3:$G$499&lt;&gt;"Yes")*('Rework Log'!$G$3:$G$499&lt;&gt;"Did not pass re-test"))=0),"Blocked - log it on Rework Log",IF(AND(LEFT($AJ15,3)&lt;&gt;"Yes",SUMPRODUCT(('Rework Log'!$A$3:$A$499=$B15)*('Rework Log'!$G$3:$G$499&lt;&gt;"Yes")*('Rework Log'!$G$3:$G$499&lt;&gt;"Did not pass re-test"))&gt;0),"Open rework row - mark Blocked? or close it",IF(AND($AJ15="Yes – needs DB Dev to fix",M15&lt;&gt;"",SUMPRODUCT(MAX((('Rework Log'!$A$3:$A$499=$B15)*('Rework Log'!$G$3:$G$499&lt;&gt;"Yes")*('Rework Log'!$G$3:$G$499&lt;&gt;"Did not pass re-test"))*'Rework Log'!$I$3:$I$499))&gt;0),"Move old DB Dev completion date to Rework Log (col H)",IF(AND($AJ15="Yes – needs PBI Dev to fix",S15&lt;&gt;"",SUMPRODUCT(MAX((('Rework Log'!$A$3:$A$499=$B15)*('Rework Log'!$G$3:$G$499&lt;&gt;"Yes")*('Rework Log'!$G$3:$G$499&lt;&gt;"Did not pass re-test"))*'Rework Log'!$I$3:$I$499))&gt;0),"Move old PBI Dev completion date to Rework Log (col H)",IF(AND($AJ15="Yes – needs QA to fix",Y15&lt;&gt;"",SUMPRODUCT(MAX((('Rework Log'!$A$3:$A$499=$B15)*('Rework Log'!$G$3:$G$499&lt;&gt;"Yes")*('Rework Log'!$G$3:$G$499&lt;&gt;"Did not pass re-test"))*'Rework Log'!$I$3:$I$499))&gt;0),"Move old QA completion date to Rework Log (col H)",IF(COUNTIF($B$2:$B$527,$B15)&gt;1,"Duplicate name - check row",IF(COUNTIF('Rework Log'!$A$3:$A$499,$B15)&gt;0,"",IF(AND(V15&lt;&gt;"",K15&lt;&gt;"",V15&lt;K15),"QA target is before DB Dev target",IF(AND(V15&lt;&gt;"",Q15&lt;&gt;"",V15&lt;Q15),"QA target is before PBI Dev target",IF(AND(AA15&lt;&gt;"",V15&lt;&gt;"",AA15&lt;V15),"DPO Approval target is before QA target",IF(AND(AG15&lt;&gt;"",AA15&lt;&gt;"",AG15&lt;AA15),"Confirmed Deployed date is before DPO Approval target",""))))))))))))</f>
        <v/>
      </c>
      <c r="AL15" s="41" t="s">
        <v>96</v>
      </c>
      <c r="AM15" s="31" t="str" cm="1">
        <f t="array" ref="AM15">_xlfn.LET(_xlpm.rep,$B15,_xlpm.sent,_xlfn.MAXIFS('Rework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5" s="31" t="str" cm="1">
        <f t="array" ref="AN15">_xlfn.LET(_xlpm.rep,$B15,_xlpm.sent,_xlfn.MAXIFS('Rework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6" spans="1:40" ht="14.45" hidden="1">
      <c r="A16" s="33" t="s">
        <v>40</v>
      </c>
      <c r="B16" s="33" t="s">
        <v>97</v>
      </c>
      <c r="C16" s="33" t="s">
        <v>42</v>
      </c>
      <c r="D16" t="str" cm="1">
        <f t="array" aca="1" ref="D16" ca="1">IF($B16="","",IF(LEFT($AJ16,3)="Yes","Blocked - "&amp;MID($AJ16,7,100)&amp;IF(SUMPRODUCT(('Rework Log'!$A$3:$A$499=$B16)*('Rework Log'!$G$3:$G$499&lt;&gt;"Yes")*('Rework Log'!$G$3:$G$499&lt;&gt;"Did not pass re-test"))=0,"",IF(SUMPRODUCT(MAX((('Rework Log'!$A$3:$A$499=$B16)*('Rework Log'!$G$3:$G$499&lt;&gt;"Yes")*('Rework Log'!$G$3:$G$499&lt;&gt;"Did not pass re-test"))*'Rework Log'!$I$3:$I$499))=0," - unclaimed"," - promised "&amp;TEXT(SUMPRODUCT(MAX((('Rework Log'!$A$3:$A$499=$B16)*('Rework Log'!$G$3:$G$499&lt;&gt;"Yes")*('Rework Log'!$G$3:$G$499&lt;&gt;"Did not pass re-test"))*'Rework Log'!$I$3:$I$499)),"m/d"))),IF(C16="NOT STARTED",IF(H16="","No plan date set",IF(H16&lt;TODAY(),"Review - planned start passed","On track")),IF(C16="DB Dev",IF(AND(L16="",K16=""),"No target set",IF(AND(IF(L16&lt;&gt;"",L16,K16)&lt;TODAY(),M16=""),"Overdue","On track")),IF(C16="PBI Dev",IF(AND(R16="",Q16=""),"No target set",IF(AND(IF(R16&lt;&gt;"",R16,Q16)&lt;TODAY(),S16=""),"Overdue","On track")),IF(C16="QA",_xlfn.LET(_xlpm.tgt,IF(AM16&lt;&gt;"",AM16,IF(W16&lt;&gt;"",W16,V16)),_xlpm.sent,_xlfn.MAXIFS('Rework Log'!$B$3:$B$499,'Rework Log'!$A$3:$A$499,$B16,'Rework Log'!$C$3:$C$499,"QA"),_xlpm.act,IF(AND(Y16&lt;&gt;"",Y16&gt;_xlpm.sent),Y16,""),IF(_xlpm.tgt="","No target set",IF(AND(_xlpm.tgt&lt;TODAY(),_xlpm.act=""),"Overdue","On track"))),IF(C16="DPO Approval",_xlfn.LET(_xlpm.tgt,IF(AN16&lt;&gt;"",AN16,IF(AB16&lt;&gt;"",AB16,AA16)),_xlpm.sent,_xlfn.MAXIFS('Rework Log'!$B$3:$B$499,'Rework Log'!$A$3:$A$499,$B16,'Rework Log'!$C$3:$C$499,"DPO*"),_xlpm.act,IF(AND(AC16&lt;&gt;"",AC16&gt;_xlpm.sent),AC16,""),IF(_xlpm.tgt="","No target set",IF(AND(_xlpm.tgt&lt;TODAY(),_xlpm.act=""),"Overdue","On track"))),IF(C16="RELEASED IN PROD","Delivered",""))))))))</f>
        <v>Delivered</v>
      </c>
      <c r="E16" s="33">
        <v>15</v>
      </c>
      <c r="F16" s="34"/>
      <c r="G16" s="33"/>
      <c r="H16" s="50">
        <v>46173</v>
      </c>
      <c r="I16" s="55" t="s">
        <v>75</v>
      </c>
      <c r="J16" s="33"/>
      <c r="K16" s="4"/>
      <c r="L16" s="43"/>
      <c r="M16" s="36"/>
      <c r="N16" s="36" t="s">
        <v>45</v>
      </c>
      <c r="O16" s="36"/>
      <c r="P16" s="63"/>
      <c r="Q16" s="4"/>
      <c r="R16" s="43"/>
      <c r="S16" s="36"/>
      <c r="T16" s="69"/>
      <c r="U16" s="33"/>
      <c r="V16" s="59"/>
      <c r="W16" s="43"/>
      <c r="X16" s="36"/>
      <c r="Y16" s="36"/>
      <c r="Z16" s="36"/>
      <c r="AA16" s="52"/>
      <c r="AB16" s="43"/>
      <c r="AC16" s="43"/>
      <c r="AD16" s="33" t="s">
        <v>48</v>
      </c>
      <c r="AE16" s="33" t="s">
        <v>49</v>
      </c>
      <c r="AF16" s="38" t="s">
        <v>50</v>
      </c>
      <c r="AG16" s="36">
        <v>46203</v>
      </c>
      <c r="AH16" s="39"/>
      <c r="AI16" s="33"/>
      <c r="AJ16" s="40"/>
      <c r="AK16" s="48"/>
      <c r="AL16" s="41"/>
      <c r="AM16" s="31" t="str" cm="1">
        <f t="array" ref="AM16">_xlfn.LET(_xlpm.rep,$B16,_xlpm.sent,_xlfn.MAXIFS('Rework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6" s="31" t="str" cm="1">
        <f t="array" ref="AN16">_xlfn.LET(_xlpm.rep,$B16,_xlpm.sent,_xlfn.MAXIFS('Rework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7" spans="1:40" ht="14.45" hidden="1">
      <c r="A17" s="33" t="s">
        <v>40</v>
      </c>
      <c r="B17" s="33" t="s">
        <v>98</v>
      </c>
      <c r="C17" s="33" t="s">
        <v>42</v>
      </c>
      <c r="D17" t="str" cm="1">
        <f t="array" aca="1" ref="D17" ca="1">IF($B17="","",IF(LEFT($AJ17,3)="Yes","Blocked - "&amp;MID($AJ17,7,100)&amp;IF(SUMPRODUCT(('Rework Log'!$A$3:$A$499=$B17)*('Rework Log'!$G$3:$G$499&lt;&gt;"Yes")*('Rework Log'!$G$3:$G$499&lt;&gt;"Did not pass re-test"))=0,"",IF(SUMPRODUCT(MAX((('Rework Log'!$A$3:$A$499=$B17)*('Rework Log'!$G$3:$G$499&lt;&gt;"Yes")*('Rework Log'!$G$3:$G$499&lt;&gt;"Did not pass re-test"))*'Rework Log'!$I$3:$I$499))=0," - unclaimed"," - promised "&amp;TEXT(SUMPRODUCT(MAX((('Rework Log'!$A$3:$A$499=$B17)*('Rework Log'!$G$3:$G$499&lt;&gt;"Yes")*('Rework Log'!$G$3:$G$499&lt;&gt;"Did not pass re-test"))*'Rework Log'!$I$3:$I$499)),"m/d"))),IF(C17="NOT STARTED",IF(H17="","No plan date set",IF(H17&lt;TODAY(),"Review - planned start passed","On track")),IF(C17="DB Dev",IF(AND(L17="",K17=""),"No target set",IF(AND(IF(L17&lt;&gt;"",L17,K17)&lt;TODAY(),M17=""),"Overdue","On track")),IF(C17="PBI Dev",IF(AND(R17="",Q17=""),"No target set",IF(AND(IF(R17&lt;&gt;"",R17,Q17)&lt;TODAY(),S17=""),"Overdue","On track")),IF(C17="QA",_xlfn.LET(_xlpm.tgt,IF(AM17&lt;&gt;"",AM17,IF(W17&lt;&gt;"",W17,V17)),_xlpm.sent,_xlfn.MAXIFS('Rework Log'!$B$3:$B$499,'Rework Log'!$A$3:$A$499,$B17,'Rework Log'!$C$3:$C$499,"QA"),_xlpm.act,IF(AND(Y17&lt;&gt;"",Y17&gt;_xlpm.sent),Y17,""),IF(_xlpm.tgt="","No target set",IF(AND(_xlpm.tgt&lt;TODAY(),_xlpm.act=""),"Overdue","On track"))),IF(C17="DPO Approval",_xlfn.LET(_xlpm.tgt,IF(AN17&lt;&gt;"",AN17,IF(AB17&lt;&gt;"",AB17,AA17)),_xlpm.sent,_xlfn.MAXIFS('Rework Log'!$B$3:$B$499,'Rework Log'!$A$3:$A$499,$B17,'Rework Log'!$C$3:$C$499,"DPO*"),_xlpm.act,IF(AND(AC17&lt;&gt;"",AC17&gt;_xlpm.sent),AC17,""),IF(_xlpm.tgt="","No target set",IF(AND(_xlpm.tgt&lt;TODAY(),_xlpm.act=""),"Overdue","On track"))),IF(C17="RELEASED IN PROD","Delivered",""))))))))</f>
        <v>Delivered</v>
      </c>
      <c r="E17" s="33">
        <v>16</v>
      </c>
      <c r="F17" s="34"/>
      <c r="G17" s="33"/>
      <c r="H17" s="50">
        <v>46173</v>
      </c>
      <c r="I17" s="55" t="s">
        <v>75</v>
      </c>
      <c r="J17" s="33"/>
      <c r="K17" s="4"/>
      <c r="L17" s="43"/>
      <c r="M17" s="36"/>
      <c r="N17" s="36" t="s">
        <v>45</v>
      </c>
      <c r="O17" s="36"/>
      <c r="P17" s="63"/>
      <c r="Q17" s="4"/>
      <c r="R17" s="43"/>
      <c r="S17" s="36"/>
      <c r="T17" s="69"/>
      <c r="U17" s="33"/>
      <c r="V17" s="59"/>
      <c r="W17" s="43"/>
      <c r="X17" s="36"/>
      <c r="Y17" s="36"/>
      <c r="Z17" s="36"/>
      <c r="AA17" s="52"/>
      <c r="AB17" s="43"/>
      <c r="AC17" s="43"/>
      <c r="AD17" s="33" t="s">
        <v>48</v>
      </c>
      <c r="AE17" s="33" t="s">
        <v>94</v>
      </c>
      <c r="AF17" s="38" t="s">
        <v>50</v>
      </c>
      <c r="AG17" s="36">
        <v>46203</v>
      </c>
      <c r="AH17" s="39"/>
      <c r="AI17" s="33"/>
      <c r="AJ17" s="40"/>
      <c r="AK17" s="48"/>
      <c r="AL17" s="41"/>
      <c r="AM17" s="31" t="str" cm="1">
        <f t="array" ref="AM17">_xlfn.LET(_xlpm.rep,$B17,_xlpm.sent,_xlfn.MAXIFS('Rework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7" s="31" t="str" cm="1">
        <f t="array" ref="AN17">_xlfn.LET(_xlpm.rep,$B17,_xlpm.sent,_xlfn.MAXIFS('Rework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8" spans="1:40" ht="14.45" hidden="1">
      <c r="A18" s="33" t="s">
        <v>40</v>
      </c>
      <c r="B18" s="33" t="s">
        <v>99</v>
      </c>
      <c r="C18" s="33" t="s">
        <v>42</v>
      </c>
      <c r="D18" t="str" cm="1">
        <f t="array" aca="1" ref="D18" ca="1">IF($B18="","",IF(LEFT($AJ18,3)="Yes","Blocked - "&amp;MID($AJ18,7,100)&amp;IF(SUMPRODUCT(('Rework Log'!$A$3:$A$499=$B18)*('Rework Log'!$G$3:$G$499&lt;&gt;"Yes")*('Rework Log'!$G$3:$G$499&lt;&gt;"Did not pass re-test"))=0,"",IF(SUMPRODUCT(MAX((('Rework Log'!$A$3:$A$499=$B18)*('Rework Log'!$G$3:$G$499&lt;&gt;"Yes")*('Rework Log'!$G$3:$G$499&lt;&gt;"Did not pass re-test"))*'Rework Log'!$I$3:$I$499))=0," - unclaimed"," - promised "&amp;TEXT(SUMPRODUCT(MAX((('Rework Log'!$A$3:$A$499=$B18)*('Rework Log'!$G$3:$G$499&lt;&gt;"Yes")*('Rework Log'!$G$3:$G$499&lt;&gt;"Did not pass re-test"))*'Rework Log'!$I$3:$I$499)),"m/d"))),IF(C18="NOT STARTED",IF(H18="","No plan date set",IF(H18&lt;TODAY(),"Review - planned start passed","On track")),IF(C18="DB Dev",IF(AND(L18="",K18=""),"No target set",IF(AND(IF(L18&lt;&gt;"",L18,K18)&lt;TODAY(),M18=""),"Overdue","On track")),IF(C18="PBI Dev",IF(AND(R18="",Q18=""),"No target set",IF(AND(IF(R18&lt;&gt;"",R18,Q18)&lt;TODAY(),S18=""),"Overdue","On track")),IF(C18="QA",_xlfn.LET(_xlpm.tgt,IF(AM18&lt;&gt;"",AM18,IF(W18&lt;&gt;"",W18,V18)),_xlpm.sent,_xlfn.MAXIFS('Rework Log'!$B$3:$B$499,'Rework Log'!$A$3:$A$499,$B18,'Rework Log'!$C$3:$C$499,"QA"),_xlpm.act,IF(AND(Y18&lt;&gt;"",Y18&gt;_xlpm.sent),Y18,""),IF(_xlpm.tgt="","No target set",IF(AND(_xlpm.tgt&lt;TODAY(),_xlpm.act=""),"Overdue","On track"))),IF(C18="DPO Approval",_xlfn.LET(_xlpm.tgt,IF(AN18&lt;&gt;"",AN18,IF(AB18&lt;&gt;"",AB18,AA18)),_xlpm.sent,_xlfn.MAXIFS('Rework Log'!$B$3:$B$499,'Rework Log'!$A$3:$A$499,$B18,'Rework Log'!$C$3:$C$499,"DPO*"),_xlpm.act,IF(AND(AC18&lt;&gt;"",AC18&gt;_xlpm.sent),AC18,""),IF(_xlpm.tgt="","No target set",IF(AND(_xlpm.tgt&lt;TODAY(),_xlpm.act=""),"Overdue","On track"))),IF(C18="RELEASED IN PROD","Delivered",""))))))))</f>
        <v>Delivered</v>
      </c>
      <c r="E18" s="33">
        <v>17</v>
      </c>
      <c r="F18" s="34"/>
      <c r="G18" s="33"/>
      <c r="H18" s="50">
        <v>46173</v>
      </c>
      <c r="I18" s="55" t="s">
        <v>75</v>
      </c>
      <c r="J18" s="33"/>
      <c r="K18" s="4"/>
      <c r="L18" s="43"/>
      <c r="M18" s="36"/>
      <c r="N18" s="36" t="s">
        <v>45</v>
      </c>
      <c r="O18" s="36"/>
      <c r="P18" s="63"/>
      <c r="Q18" s="4"/>
      <c r="R18" s="43"/>
      <c r="S18" s="36"/>
      <c r="T18" s="69"/>
      <c r="U18" s="33"/>
      <c r="V18" s="59"/>
      <c r="W18" s="43"/>
      <c r="X18" s="36"/>
      <c r="Y18" s="36"/>
      <c r="Z18" s="36"/>
      <c r="AA18" s="52"/>
      <c r="AB18" s="43"/>
      <c r="AC18" s="43"/>
      <c r="AD18" s="33" t="s">
        <v>48</v>
      </c>
      <c r="AE18" s="33" t="s">
        <v>49</v>
      </c>
      <c r="AF18" s="38" t="s">
        <v>50</v>
      </c>
      <c r="AG18" s="36">
        <v>46203</v>
      </c>
      <c r="AH18" s="39"/>
      <c r="AI18" s="33"/>
      <c r="AJ18" s="40"/>
      <c r="AK18" s="48"/>
      <c r="AL18" s="41"/>
      <c r="AM18" s="31" t="str" cm="1">
        <f t="array" ref="AM18">_xlfn.LET(_xlpm.rep,$B18,_xlpm.sent,_xlfn.MAXIFS('Rework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8" s="31" t="str" cm="1">
        <f t="array" ref="AN18">_xlfn.LET(_xlpm.rep,$B18,_xlpm.sent,_xlfn.MAXIFS('Rework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9" spans="1:40" ht="14.45" hidden="1">
      <c r="A19" s="33" t="s">
        <v>40</v>
      </c>
      <c r="B19" s="33" t="s">
        <v>100</v>
      </c>
      <c r="C19" s="33" t="s">
        <v>42</v>
      </c>
      <c r="D19" t="str" cm="1">
        <f t="array" aca="1" ref="D19" ca="1">IF($B19="","",IF(LEFT($AJ19,3)="Yes","Blocked - "&amp;MID($AJ19,7,100)&amp;IF(SUMPRODUCT(('Rework Log'!$A$3:$A$499=$B19)*('Rework Log'!$G$3:$G$499&lt;&gt;"Yes")*('Rework Log'!$G$3:$G$499&lt;&gt;"Did not pass re-test"))=0,"",IF(SUMPRODUCT(MAX((('Rework Log'!$A$3:$A$499=$B19)*('Rework Log'!$G$3:$G$499&lt;&gt;"Yes")*('Rework Log'!$G$3:$G$499&lt;&gt;"Did not pass re-test"))*'Rework Log'!$I$3:$I$499))=0," - unclaimed"," - promised "&amp;TEXT(SUMPRODUCT(MAX((('Rework Log'!$A$3:$A$499=$B19)*('Rework Log'!$G$3:$G$499&lt;&gt;"Yes")*('Rework Log'!$G$3:$G$499&lt;&gt;"Did not pass re-test"))*'Rework Log'!$I$3:$I$499)),"m/d"))),IF(C19="NOT STARTED",IF(H19="","No plan date set",IF(H19&lt;TODAY(),"Review - planned start passed","On track")),IF(C19="DB Dev",IF(AND(L19="",K19=""),"No target set",IF(AND(IF(L19&lt;&gt;"",L19,K19)&lt;TODAY(),M19=""),"Overdue","On track")),IF(C19="PBI Dev",IF(AND(R19="",Q19=""),"No target set",IF(AND(IF(R19&lt;&gt;"",R19,Q19)&lt;TODAY(),S19=""),"Overdue","On track")),IF(C19="QA",_xlfn.LET(_xlpm.tgt,IF(AM19&lt;&gt;"",AM19,IF(W19&lt;&gt;"",W19,V19)),_xlpm.sent,_xlfn.MAXIFS('Rework Log'!$B$3:$B$499,'Rework Log'!$A$3:$A$499,$B19,'Rework Log'!$C$3:$C$499,"QA"),_xlpm.act,IF(AND(Y19&lt;&gt;"",Y19&gt;_xlpm.sent),Y19,""),IF(_xlpm.tgt="","No target set",IF(AND(_xlpm.tgt&lt;TODAY(),_xlpm.act=""),"Overdue","On track"))),IF(C19="DPO Approval",_xlfn.LET(_xlpm.tgt,IF(AN19&lt;&gt;"",AN19,IF(AB19&lt;&gt;"",AB19,AA19)),_xlpm.sent,_xlfn.MAXIFS('Rework Log'!$B$3:$B$499,'Rework Log'!$A$3:$A$499,$B19,'Rework Log'!$C$3:$C$499,"DPO*"),_xlpm.act,IF(AND(AC19&lt;&gt;"",AC19&gt;_xlpm.sent),AC19,""),IF(_xlpm.tgt="","No target set",IF(AND(_xlpm.tgt&lt;TODAY(),_xlpm.act=""),"Overdue","On track"))),IF(C19="RELEASED IN PROD","Delivered",""))))))))</f>
        <v>Delivered</v>
      </c>
      <c r="E19" s="33">
        <v>18</v>
      </c>
      <c r="F19" s="34"/>
      <c r="G19" s="33"/>
      <c r="H19" s="50">
        <v>46173</v>
      </c>
      <c r="I19" s="55" t="s">
        <v>75</v>
      </c>
      <c r="J19" s="33"/>
      <c r="K19" s="4"/>
      <c r="L19" s="43"/>
      <c r="M19" s="36"/>
      <c r="N19" s="36" t="s">
        <v>45</v>
      </c>
      <c r="O19" s="36"/>
      <c r="P19" s="63"/>
      <c r="Q19" s="4"/>
      <c r="R19" s="43"/>
      <c r="S19" s="36"/>
      <c r="T19" s="69"/>
      <c r="U19" s="33"/>
      <c r="V19" s="59"/>
      <c r="W19" s="43"/>
      <c r="X19" s="36"/>
      <c r="Y19" s="36"/>
      <c r="Z19" s="36"/>
      <c r="AA19" s="52"/>
      <c r="AB19" s="43"/>
      <c r="AC19" s="43"/>
      <c r="AD19" s="33" t="s">
        <v>48</v>
      </c>
      <c r="AE19" s="33" t="s">
        <v>94</v>
      </c>
      <c r="AF19" s="38" t="s">
        <v>50</v>
      </c>
      <c r="AG19" s="36">
        <v>46203</v>
      </c>
      <c r="AH19" s="39"/>
      <c r="AI19" s="33"/>
      <c r="AJ19" s="40"/>
      <c r="AK19" s="48"/>
      <c r="AL19" s="41"/>
      <c r="AM19" s="31" t="str" cm="1">
        <f t="array" ref="AM19">_xlfn.LET(_xlpm.rep,$B19,_xlpm.sent,_xlfn.MAXIFS('Rework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9" s="31" t="str" cm="1">
        <f t="array" ref="AN19">_xlfn.LET(_xlpm.rep,$B19,_xlpm.sent,_xlfn.MAXIFS('Rework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0" spans="1:40" ht="14.45" hidden="1">
      <c r="A20" s="33" t="s">
        <v>40</v>
      </c>
      <c r="B20" s="33" t="s">
        <v>101</v>
      </c>
      <c r="C20" s="33" t="s">
        <v>42</v>
      </c>
      <c r="D20" t="str" cm="1">
        <f t="array" aca="1" ref="D20" ca="1">IF($B20="","",IF(LEFT($AJ20,3)="Yes","Blocked - "&amp;MID($AJ20,7,100)&amp;IF(SUMPRODUCT(('Rework Log'!$A$3:$A$499=$B20)*('Rework Log'!$G$3:$G$499&lt;&gt;"Yes")*('Rework Log'!$G$3:$G$499&lt;&gt;"Did not pass re-test"))=0,"",IF(SUMPRODUCT(MAX((('Rework Log'!$A$3:$A$499=$B20)*('Rework Log'!$G$3:$G$499&lt;&gt;"Yes")*('Rework Log'!$G$3:$G$499&lt;&gt;"Did not pass re-test"))*'Rework Log'!$I$3:$I$499))=0," - unclaimed"," - promised "&amp;TEXT(SUMPRODUCT(MAX((('Rework Log'!$A$3:$A$499=$B20)*('Rework Log'!$G$3:$G$499&lt;&gt;"Yes")*('Rework Log'!$G$3:$G$499&lt;&gt;"Did not pass re-test"))*'Rework Log'!$I$3:$I$499)),"m/d"))),IF(C20="NOT STARTED",IF(H20="","No plan date set",IF(H20&lt;TODAY(),"Review - planned start passed","On track")),IF(C20="DB Dev",IF(AND(L20="",K20=""),"No target set",IF(AND(IF(L20&lt;&gt;"",L20,K20)&lt;TODAY(),M20=""),"Overdue","On track")),IF(C20="PBI Dev",IF(AND(R20="",Q20=""),"No target set",IF(AND(IF(R20&lt;&gt;"",R20,Q20)&lt;TODAY(),S20=""),"Overdue","On track")),IF(C20="QA",_xlfn.LET(_xlpm.tgt,IF(AM20&lt;&gt;"",AM20,IF(W20&lt;&gt;"",W20,V20)),_xlpm.sent,_xlfn.MAXIFS('Rework Log'!$B$3:$B$499,'Rework Log'!$A$3:$A$499,$B20,'Rework Log'!$C$3:$C$499,"QA"),_xlpm.act,IF(AND(Y20&lt;&gt;"",Y20&gt;_xlpm.sent),Y20,""),IF(_xlpm.tgt="","No target set",IF(AND(_xlpm.tgt&lt;TODAY(),_xlpm.act=""),"Overdue","On track"))),IF(C20="DPO Approval",_xlfn.LET(_xlpm.tgt,IF(AN20&lt;&gt;"",AN20,IF(AB20&lt;&gt;"",AB20,AA20)),_xlpm.sent,_xlfn.MAXIFS('Rework Log'!$B$3:$B$499,'Rework Log'!$A$3:$A$499,$B20,'Rework Log'!$C$3:$C$499,"DPO*"),_xlpm.act,IF(AND(AC20&lt;&gt;"",AC20&gt;_xlpm.sent),AC20,""),IF(_xlpm.tgt="","No target set",IF(AND(_xlpm.tgt&lt;TODAY(),_xlpm.act=""),"Overdue","On track"))),IF(C20="RELEASED IN PROD","Delivered",""))))))))</f>
        <v>Delivered</v>
      </c>
      <c r="E20" s="33">
        <v>19</v>
      </c>
      <c r="F20" s="34"/>
      <c r="G20" s="33"/>
      <c r="H20" s="50">
        <v>46203</v>
      </c>
      <c r="I20" s="55" t="s">
        <v>102</v>
      </c>
      <c r="J20" s="33" t="s">
        <v>103</v>
      </c>
      <c r="K20" s="4">
        <v>46185</v>
      </c>
      <c r="L20" s="36"/>
      <c r="M20" s="36">
        <v>46148</v>
      </c>
      <c r="N20" s="36" t="s">
        <v>45</v>
      </c>
      <c r="O20" s="36"/>
      <c r="P20" s="63" t="s">
        <v>60</v>
      </c>
      <c r="Q20" s="4">
        <v>46192</v>
      </c>
      <c r="R20" s="36"/>
      <c r="S20" s="36">
        <v>46183</v>
      </c>
      <c r="T20" s="69"/>
      <c r="U20" s="33" t="s">
        <v>47</v>
      </c>
      <c r="V20" s="59">
        <v>46199</v>
      </c>
      <c r="W20" s="36"/>
      <c r="X20" s="36"/>
      <c r="Y20" s="36">
        <v>46195</v>
      </c>
      <c r="Z20" s="36"/>
      <c r="AA20" s="52">
        <v>46202</v>
      </c>
      <c r="AB20" s="36"/>
      <c r="AC20" s="36"/>
      <c r="AD20" s="33" t="s">
        <v>104</v>
      </c>
      <c r="AE20" s="33" t="s">
        <v>72</v>
      </c>
      <c r="AF20" s="38" t="s">
        <v>50</v>
      </c>
      <c r="AG20" s="36">
        <v>46195</v>
      </c>
      <c r="AH20" s="39"/>
      <c r="AI20" s="33"/>
      <c r="AJ20" s="40" t="s">
        <v>53</v>
      </c>
      <c r="AK20" s="73" t="str">
        <f>IF($B20="","",IF(AND(LEFT($AJ20,3)="Yes",SUMPRODUCT(('Rework Log'!$A$3:$A$499=$B20)*('Rework Log'!$G$3:$G$499&lt;&gt;"Yes")*('Rework Log'!$G$3:$G$499&lt;&gt;"Did not pass re-test"))=0),"Blocked - log it on Rework Log",IF(AND(LEFT($AJ20,3)&lt;&gt;"Yes",SUMPRODUCT(('Rework Log'!$A$3:$A$499=$B20)*('Rework Log'!$G$3:$G$499&lt;&gt;"Yes")*('Rework Log'!$G$3:$G$499&lt;&gt;"Did not pass re-test"))&gt;0),"Open rework row - mark Blocked? or close it",IF(AND($AJ20="Yes – needs DB Dev to fix",M20&lt;&gt;"",SUMPRODUCT(MAX((('Rework Log'!$A$3:$A$499=$B20)*('Rework Log'!$G$3:$G$499&lt;&gt;"Yes")*('Rework Log'!$G$3:$G$499&lt;&gt;"Did not pass re-test"))*'Rework Log'!$I$3:$I$499))&gt;0),"Move old DB Dev completion date to Rework Log (col H)",IF(AND($AJ20="Yes – needs PBI Dev to fix",S20&lt;&gt;"",SUMPRODUCT(MAX((('Rework Log'!$A$3:$A$499=$B20)*('Rework Log'!$G$3:$G$499&lt;&gt;"Yes")*('Rework Log'!$G$3:$G$499&lt;&gt;"Did not pass re-test"))*'Rework Log'!$I$3:$I$499))&gt;0),"Move old PBI Dev completion date to Rework Log (col H)",IF(AND($AJ20="Yes – needs QA to fix",Y20&lt;&gt;"",SUMPRODUCT(MAX((('Rework Log'!$A$3:$A$499=$B20)*('Rework Log'!$G$3:$G$499&lt;&gt;"Yes")*('Rework Log'!$G$3:$G$499&lt;&gt;"Did not pass re-test"))*'Rework Log'!$I$3:$I$499))&gt;0),"Move old QA completion date to Rework Log (col H)",IF(COUNTIF($B$2:$B$527,$B20)&gt;1,"Duplicate name - check row",IF(COUNTIF('Rework Log'!$A$3:$A$499,$B20)&gt;0,"",IF(AND(V20&lt;&gt;"",K20&lt;&gt;"",V20&lt;K20),"QA target is before DB Dev target",IF(AND(V20&lt;&gt;"",Q20&lt;&gt;"",V20&lt;Q20),"QA target is before PBI Dev target",IF(AND(AA20&lt;&gt;"",V20&lt;&gt;"",AA20&lt;V20),"DPO Approval target is before QA target",IF(AND(AG20&lt;&gt;"",AA20&lt;&gt;"",AG20&lt;AA20),"Confirmed Deployed date is before DPO Approval target",""))))))))))))</f>
        <v>Confirmed Deployed date is before DPO Approval target</v>
      </c>
      <c r="AL20" s="41"/>
      <c r="AM20" s="31" t="str" cm="1">
        <f t="array" ref="AM20">_xlfn.LET(_xlpm.rep,$B20,_xlpm.sent,_xlfn.MAXIFS('Rework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0" s="31" t="str" cm="1">
        <f t="array" ref="AN20">_xlfn.LET(_xlpm.rep,$B20,_xlpm.sent,_xlfn.MAXIFS('Rework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1" spans="1:40" ht="14.45" hidden="1">
      <c r="A21" s="33" t="s">
        <v>40</v>
      </c>
      <c r="B21" s="33" t="s">
        <v>105</v>
      </c>
      <c r="C21" s="33" t="s">
        <v>42</v>
      </c>
      <c r="D21" t="str" cm="1">
        <f t="array" aca="1" ref="D21" ca="1">IF($B21="","",IF(LEFT($AJ21,3)="Yes","Blocked - "&amp;MID($AJ21,7,100)&amp;IF(SUMPRODUCT(('Rework Log'!$A$3:$A$499=$B21)*('Rework Log'!$G$3:$G$499&lt;&gt;"Yes")*('Rework Log'!$G$3:$G$499&lt;&gt;"Did not pass re-test"))=0,"",IF(SUMPRODUCT(MAX((('Rework Log'!$A$3:$A$499=$B21)*('Rework Log'!$G$3:$G$499&lt;&gt;"Yes")*('Rework Log'!$G$3:$G$499&lt;&gt;"Did not pass re-test"))*'Rework Log'!$I$3:$I$499))=0," - unclaimed"," - promised "&amp;TEXT(SUMPRODUCT(MAX((('Rework Log'!$A$3:$A$499=$B21)*('Rework Log'!$G$3:$G$499&lt;&gt;"Yes")*('Rework Log'!$G$3:$G$499&lt;&gt;"Did not pass re-test"))*'Rework Log'!$I$3:$I$499)),"m/d"))),IF(C21="NOT STARTED",IF(H21="","No plan date set",IF(H21&lt;TODAY(),"Review - planned start passed","On track")),IF(C21="DB Dev",IF(AND(L21="",K21=""),"No target set",IF(AND(IF(L21&lt;&gt;"",L21,K21)&lt;TODAY(),M21=""),"Overdue","On track")),IF(C21="PBI Dev",IF(AND(R21="",Q21=""),"No target set",IF(AND(IF(R21&lt;&gt;"",R21,Q21)&lt;TODAY(),S21=""),"Overdue","On track")),IF(C21="QA",_xlfn.LET(_xlpm.tgt,IF(AM21&lt;&gt;"",AM21,IF(W21&lt;&gt;"",W21,V21)),_xlpm.sent,_xlfn.MAXIFS('Rework Log'!$B$3:$B$499,'Rework Log'!$A$3:$A$499,$B21,'Rework Log'!$C$3:$C$499,"QA"),_xlpm.act,IF(AND(Y21&lt;&gt;"",Y21&gt;_xlpm.sent),Y21,""),IF(_xlpm.tgt="","No target set",IF(AND(_xlpm.tgt&lt;TODAY(),_xlpm.act=""),"Overdue","On track"))),IF(C21="DPO Approval",_xlfn.LET(_xlpm.tgt,IF(AN21&lt;&gt;"",AN21,IF(AB21&lt;&gt;"",AB21,AA21)),_xlpm.sent,_xlfn.MAXIFS('Rework Log'!$B$3:$B$499,'Rework Log'!$A$3:$A$499,$B21,'Rework Log'!$C$3:$C$499,"DPO*"),_xlpm.act,IF(AND(AC21&lt;&gt;"",AC21&gt;_xlpm.sent),AC21,""),IF(_xlpm.tgt="","No target set",IF(AND(_xlpm.tgt&lt;TODAY(),_xlpm.act=""),"Overdue","On track"))),IF(C21="RELEASED IN PROD","Delivered",""))))))))</f>
        <v>Delivered</v>
      </c>
      <c r="E21" s="33">
        <v>20</v>
      </c>
      <c r="F21" s="34"/>
      <c r="G21" s="33"/>
      <c r="H21" s="50">
        <v>46203</v>
      </c>
      <c r="I21" s="55" t="s">
        <v>102</v>
      </c>
      <c r="J21" s="33" t="s">
        <v>103</v>
      </c>
      <c r="K21" s="4">
        <v>46185</v>
      </c>
      <c r="L21" s="36"/>
      <c r="M21" s="36">
        <v>46162</v>
      </c>
      <c r="N21" s="36" t="s">
        <v>45</v>
      </c>
      <c r="O21" s="36"/>
      <c r="P21" s="63" t="s">
        <v>77</v>
      </c>
      <c r="Q21" s="4">
        <v>46192</v>
      </c>
      <c r="R21" s="36"/>
      <c r="S21" s="36">
        <v>46182</v>
      </c>
      <c r="T21" s="69"/>
      <c r="U21" s="33" t="s">
        <v>47</v>
      </c>
      <c r="V21" s="59">
        <v>46199</v>
      </c>
      <c r="W21" s="36"/>
      <c r="X21" s="36"/>
      <c r="Y21" s="36">
        <v>46198</v>
      </c>
      <c r="Z21" s="36"/>
      <c r="AA21" s="52">
        <v>46202</v>
      </c>
      <c r="AB21" s="36"/>
      <c r="AC21" s="36"/>
      <c r="AD21" s="33" t="s">
        <v>106</v>
      </c>
      <c r="AE21" s="33" t="s">
        <v>72</v>
      </c>
      <c r="AF21" s="38" t="s">
        <v>50</v>
      </c>
      <c r="AG21" s="36">
        <v>46198</v>
      </c>
      <c r="AH21" s="39"/>
      <c r="AI21" s="33"/>
      <c r="AJ21" s="40" t="s">
        <v>53</v>
      </c>
      <c r="AK21" s="73" t="str">
        <f>IF($B21="","",IF(AND(LEFT($AJ21,3)="Yes",SUMPRODUCT(('Rework Log'!$A$3:$A$499=$B21)*('Rework Log'!$G$3:$G$499&lt;&gt;"Yes")*('Rework Log'!$G$3:$G$499&lt;&gt;"Did not pass re-test"))=0),"Blocked - log it on Rework Log",IF(AND(LEFT($AJ21,3)&lt;&gt;"Yes",SUMPRODUCT(('Rework Log'!$A$3:$A$499=$B21)*('Rework Log'!$G$3:$G$499&lt;&gt;"Yes")*('Rework Log'!$G$3:$G$499&lt;&gt;"Did not pass re-test"))&gt;0),"Open rework row - mark Blocked? or close it",IF(AND($AJ21="Yes – needs DB Dev to fix",M21&lt;&gt;"",SUMPRODUCT(MAX((('Rework Log'!$A$3:$A$499=$B21)*('Rework Log'!$G$3:$G$499&lt;&gt;"Yes")*('Rework Log'!$G$3:$G$499&lt;&gt;"Did not pass re-test"))*'Rework Log'!$I$3:$I$499))&gt;0),"Move old DB Dev completion date to Rework Log (col H)",IF(AND($AJ21="Yes – needs PBI Dev to fix",S21&lt;&gt;"",SUMPRODUCT(MAX((('Rework Log'!$A$3:$A$499=$B21)*('Rework Log'!$G$3:$G$499&lt;&gt;"Yes")*('Rework Log'!$G$3:$G$499&lt;&gt;"Did not pass re-test"))*'Rework Log'!$I$3:$I$499))&gt;0),"Move old PBI Dev completion date to Rework Log (col H)",IF(AND($AJ21="Yes – needs QA to fix",Y21&lt;&gt;"",SUMPRODUCT(MAX((('Rework Log'!$A$3:$A$499=$B21)*('Rework Log'!$G$3:$G$499&lt;&gt;"Yes")*('Rework Log'!$G$3:$G$499&lt;&gt;"Did not pass re-test"))*'Rework Log'!$I$3:$I$499))&gt;0),"Move old QA completion date to Rework Log (col H)",IF(COUNTIF($B$2:$B$527,$B21)&gt;1,"Duplicate name - check row",IF(COUNTIF('Rework Log'!$A$3:$A$499,$B21)&gt;0,"",IF(AND(V21&lt;&gt;"",K21&lt;&gt;"",V21&lt;K21),"QA target is before DB Dev target",IF(AND(V21&lt;&gt;"",Q21&lt;&gt;"",V21&lt;Q21),"QA target is before PBI Dev target",IF(AND(AA21&lt;&gt;"",V21&lt;&gt;"",AA21&lt;V21),"DPO Approval target is before QA target",IF(AND(AG21&lt;&gt;"",AA21&lt;&gt;"",AG21&lt;AA21),"Confirmed Deployed date is before DPO Approval target",""))))))))))))</f>
        <v>Confirmed Deployed date is before DPO Approval target</v>
      </c>
      <c r="AL21" s="41" t="s">
        <v>107</v>
      </c>
      <c r="AM21" s="31" t="str" cm="1">
        <f t="array" ref="AM21">_xlfn.LET(_xlpm.rep,$B21,_xlpm.sent,_xlfn.MAXIFS('Rework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1" s="31" t="str" cm="1">
        <f t="array" ref="AN21">_xlfn.LET(_xlpm.rep,$B21,_xlpm.sent,_xlfn.MAXIFS('Rework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2" spans="1:40" ht="14.45" hidden="1">
      <c r="A22" s="33" t="s">
        <v>40</v>
      </c>
      <c r="B22" s="33" t="s">
        <v>108</v>
      </c>
      <c r="C22" s="33" t="s">
        <v>42</v>
      </c>
      <c r="D22" t="str" cm="1">
        <f t="array" aca="1" ref="D22" ca="1">IF($B22="","",IF(LEFT($AJ22,3)="Yes","Blocked - "&amp;MID($AJ22,7,100)&amp;IF(SUMPRODUCT(('Rework Log'!$A$3:$A$499=$B22)*('Rework Log'!$G$3:$G$499&lt;&gt;"Yes")*('Rework Log'!$G$3:$G$499&lt;&gt;"Did not pass re-test"))=0,"",IF(SUMPRODUCT(MAX((('Rework Log'!$A$3:$A$499=$B22)*('Rework Log'!$G$3:$G$499&lt;&gt;"Yes")*('Rework Log'!$G$3:$G$499&lt;&gt;"Did not pass re-test"))*'Rework Log'!$I$3:$I$499))=0," - unclaimed"," - promised "&amp;TEXT(SUMPRODUCT(MAX((('Rework Log'!$A$3:$A$499=$B22)*('Rework Log'!$G$3:$G$499&lt;&gt;"Yes")*('Rework Log'!$G$3:$G$499&lt;&gt;"Did not pass re-test"))*'Rework Log'!$I$3:$I$499)),"m/d"))),IF(C22="NOT STARTED",IF(H22="","No plan date set",IF(H22&lt;TODAY(),"Review - planned start passed","On track")),IF(C22="DB Dev",IF(AND(L22="",K22=""),"No target set",IF(AND(IF(L22&lt;&gt;"",L22,K22)&lt;TODAY(),M22=""),"Overdue","On track")),IF(C22="PBI Dev",IF(AND(R22="",Q22=""),"No target set",IF(AND(IF(R22&lt;&gt;"",R22,Q22)&lt;TODAY(),S22=""),"Overdue","On track")),IF(C22="QA",_xlfn.LET(_xlpm.tgt,IF(AM22&lt;&gt;"",AM22,IF(W22&lt;&gt;"",W22,V22)),_xlpm.sent,_xlfn.MAXIFS('Rework Log'!$B$3:$B$499,'Rework Log'!$A$3:$A$499,$B22,'Rework Log'!$C$3:$C$499,"QA"),_xlpm.act,IF(AND(Y22&lt;&gt;"",Y22&gt;_xlpm.sent),Y22,""),IF(_xlpm.tgt="","No target set",IF(AND(_xlpm.tgt&lt;TODAY(),_xlpm.act=""),"Overdue","On track"))),IF(C22="DPO Approval",_xlfn.LET(_xlpm.tgt,IF(AN22&lt;&gt;"",AN22,IF(AB22&lt;&gt;"",AB22,AA22)),_xlpm.sent,_xlfn.MAXIFS('Rework Log'!$B$3:$B$499,'Rework Log'!$A$3:$A$499,$B22,'Rework Log'!$C$3:$C$499,"DPO*"),_xlpm.act,IF(AND(AC22&lt;&gt;"",AC22&gt;_xlpm.sent),AC22,""),IF(_xlpm.tgt="","No target set",IF(AND(_xlpm.tgt&lt;TODAY(),_xlpm.act=""),"Overdue","On track"))),IF(C22="RELEASED IN PROD","Delivered",""))))))))</f>
        <v>Delivered</v>
      </c>
      <c r="E22" s="33">
        <v>21</v>
      </c>
      <c r="F22" s="34"/>
      <c r="G22" s="33"/>
      <c r="H22" s="50">
        <v>46203</v>
      </c>
      <c r="I22" s="55" t="s">
        <v>102</v>
      </c>
      <c r="J22" s="33" t="s">
        <v>44</v>
      </c>
      <c r="K22" s="4">
        <v>46185</v>
      </c>
      <c r="L22" s="36"/>
      <c r="M22" s="36">
        <v>46168</v>
      </c>
      <c r="N22" s="36" t="s">
        <v>45</v>
      </c>
      <c r="O22" s="36"/>
      <c r="P22" s="63" t="s">
        <v>60</v>
      </c>
      <c r="Q22" s="4">
        <v>46192</v>
      </c>
      <c r="R22" s="36"/>
      <c r="S22" s="36">
        <v>46183</v>
      </c>
      <c r="T22" s="69"/>
      <c r="U22" s="33" t="s">
        <v>47</v>
      </c>
      <c r="V22" s="59">
        <v>46199</v>
      </c>
      <c r="W22" s="36"/>
      <c r="X22" s="36"/>
      <c r="Y22" s="36">
        <v>46198</v>
      </c>
      <c r="Z22" s="36"/>
      <c r="AA22" s="52">
        <v>46202</v>
      </c>
      <c r="AB22" s="36"/>
      <c r="AC22" s="36"/>
      <c r="AD22" s="33"/>
      <c r="AE22" s="33" t="s">
        <v>72</v>
      </c>
      <c r="AF22" s="38" t="s">
        <v>50</v>
      </c>
      <c r="AG22" s="36">
        <v>46198</v>
      </c>
      <c r="AH22" s="39"/>
      <c r="AI22" s="33"/>
      <c r="AJ22" s="40" t="s">
        <v>53</v>
      </c>
      <c r="AK22" s="73" t="str">
        <f>IF($B22="","",IF(AND(LEFT($AJ22,3)="Yes",SUMPRODUCT(('Rework Log'!$A$3:$A$499=$B22)*('Rework Log'!$G$3:$G$499&lt;&gt;"Yes")*('Rework Log'!$G$3:$G$499&lt;&gt;"Did not pass re-test"))=0),"Blocked - log it on Rework Log",IF(AND(LEFT($AJ22,3)&lt;&gt;"Yes",SUMPRODUCT(('Rework Log'!$A$3:$A$499=$B22)*('Rework Log'!$G$3:$G$499&lt;&gt;"Yes")*('Rework Log'!$G$3:$G$499&lt;&gt;"Did not pass re-test"))&gt;0),"Open rework row - mark Blocked? or close it",IF(AND($AJ22="Yes – needs DB Dev to fix",M22&lt;&gt;"",SUMPRODUCT(MAX((('Rework Log'!$A$3:$A$499=$B22)*('Rework Log'!$G$3:$G$499&lt;&gt;"Yes")*('Rework Log'!$G$3:$G$499&lt;&gt;"Did not pass re-test"))*'Rework Log'!$I$3:$I$499))&gt;0),"Move old DB Dev completion date to Rework Log (col H)",IF(AND($AJ22="Yes – needs PBI Dev to fix",S22&lt;&gt;"",SUMPRODUCT(MAX((('Rework Log'!$A$3:$A$499=$B22)*('Rework Log'!$G$3:$G$499&lt;&gt;"Yes")*('Rework Log'!$G$3:$G$499&lt;&gt;"Did not pass re-test"))*'Rework Log'!$I$3:$I$499))&gt;0),"Move old PBI Dev completion date to Rework Log (col H)",IF(AND($AJ22="Yes – needs QA to fix",Y22&lt;&gt;"",SUMPRODUCT(MAX((('Rework Log'!$A$3:$A$499=$B22)*('Rework Log'!$G$3:$G$499&lt;&gt;"Yes")*('Rework Log'!$G$3:$G$499&lt;&gt;"Did not pass re-test"))*'Rework Log'!$I$3:$I$499))&gt;0),"Move old QA completion date to Rework Log (col H)",IF(COUNTIF($B$2:$B$527,$B22)&gt;1,"Duplicate name - check row",IF(COUNTIF('Rework Log'!$A$3:$A$499,$B22)&gt;0,"",IF(AND(V22&lt;&gt;"",K22&lt;&gt;"",V22&lt;K22),"QA target is before DB Dev target",IF(AND(V22&lt;&gt;"",Q22&lt;&gt;"",V22&lt;Q22),"QA target is before PBI Dev target",IF(AND(AA22&lt;&gt;"",V22&lt;&gt;"",AA22&lt;V22),"DPO Approval target is before QA target",IF(AND(AG22&lt;&gt;"",AA22&lt;&gt;"",AG22&lt;AA22),"Confirmed Deployed date is before DPO Approval target",""))))))))))))</f>
        <v>Confirmed Deployed date is before DPO Approval target</v>
      </c>
      <c r="AL22" s="41"/>
      <c r="AM22" s="31" t="str" cm="1">
        <f t="array" ref="AM22">_xlfn.LET(_xlpm.rep,$B22,_xlpm.sent,_xlfn.MAXIFS('Rework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2" s="31" t="str" cm="1">
        <f t="array" ref="AN22">_xlfn.LET(_xlpm.rep,$B22,_xlpm.sent,_xlfn.MAXIFS('Rework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3" spans="1:40" ht="14.45" hidden="1">
      <c r="A23" s="33" t="s">
        <v>40</v>
      </c>
      <c r="B23" s="33" t="s">
        <v>109</v>
      </c>
      <c r="C23" s="33" t="s">
        <v>42</v>
      </c>
      <c r="D23" t="str" cm="1">
        <f t="array" aca="1" ref="D23" ca="1">IF($B23="","",IF(LEFT($AJ23,3)="Yes","Blocked - "&amp;MID($AJ23,7,100)&amp;IF(SUMPRODUCT(('Rework Log'!$A$3:$A$499=$B23)*('Rework Log'!$G$3:$G$499&lt;&gt;"Yes")*('Rework Log'!$G$3:$G$499&lt;&gt;"Did not pass re-test"))=0,"",IF(SUMPRODUCT(MAX((('Rework Log'!$A$3:$A$499=$B23)*('Rework Log'!$G$3:$G$499&lt;&gt;"Yes")*('Rework Log'!$G$3:$G$499&lt;&gt;"Did not pass re-test"))*'Rework Log'!$I$3:$I$499))=0," - unclaimed"," - promised "&amp;TEXT(SUMPRODUCT(MAX((('Rework Log'!$A$3:$A$499=$B23)*('Rework Log'!$G$3:$G$499&lt;&gt;"Yes")*('Rework Log'!$G$3:$G$499&lt;&gt;"Did not pass re-test"))*'Rework Log'!$I$3:$I$499)),"m/d"))),IF(C23="NOT STARTED",IF(H23="","No plan date set",IF(H23&lt;TODAY(),"Review - planned start passed","On track")),IF(C23="DB Dev",IF(AND(L23="",K23=""),"No target set",IF(AND(IF(L23&lt;&gt;"",L23,K23)&lt;TODAY(),M23=""),"Overdue","On track")),IF(C23="PBI Dev",IF(AND(R23="",Q23=""),"No target set",IF(AND(IF(R23&lt;&gt;"",R23,Q23)&lt;TODAY(),S23=""),"Overdue","On track")),IF(C23="QA",_xlfn.LET(_xlpm.tgt,IF(AM23&lt;&gt;"",AM23,IF(W23&lt;&gt;"",W23,V23)),_xlpm.sent,_xlfn.MAXIFS('Rework Log'!$B$3:$B$499,'Rework Log'!$A$3:$A$499,$B23,'Rework Log'!$C$3:$C$499,"QA"),_xlpm.act,IF(AND(Y23&lt;&gt;"",Y23&gt;_xlpm.sent),Y23,""),IF(_xlpm.tgt="","No target set",IF(AND(_xlpm.tgt&lt;TODAY(),_xlpm.act=""),"Overdue","On track"))),IF(C23="DPO Approval",_xlfn.LET(_xlpm.tgt,IF(AN23&lt;&gt;"",AN23,IF(AB23&lt;&gt;"",AB23,AA23)),_xlpm.sent,_xlfn.MAXIFS('Rework Log'!$B$3:$B$499,'Rework Log'!$A$3:$A$499,$B23,'Rework Log'!$C$3:$C$499,"DPO*"),_xlpm.act,IF(AND(AC23&lt;&gt;"",AC23&gt;_xlpm.sent),AC23,""),IF(_xlpm.tgt="","No target set",IF(AND(_xlpm.tgt&lt;TODAY(),_xlpm.act=""),"Overdue","On track"))),IF(C23="RELEASED IN PROD","Delivered",""))))))))</f>
        <v>Delivered</v>
      </c>
      <c r="E23" s="33">
        <v>22</v>
      </c>
      <c r="F23" s="34"/>
      <c r="G23" s="33"/>
      <c r="H23" s="50">
        <v>46203</v>
      </c>
      <c r="I23" s="55" t="s">
        <v>102</v>
      </c>
      <c r="J23" s="33" t="s">
        <v>44</v>
      </c>
      <c r="K23" s="4">
        <v>46185</v>
      </c>
      <c r="L23" s="36"/>
      <c r="M23" s="36">
        <v>46165</v>
      </c>
      <c r="N23" s="36" t="s">
        <v>45</v>
      </c>
      <c r="O23" s="36"/>
      <c r="P23" s="63" t="s">
        <v>60</v>
      </c>
      <c r="Q23" s="4">
        <v>46192</v>
      </c>
      <c r="R23" s="36"/>
      <c r="S23" s="36">
        <v>46153</v>
      </c>
      <c r="T23" s="69"/>
      <c r="U23" s="33" t="s">
        <v>47</v>
      </c>
      <c r="V23" s="59">
        <v>46199</v>
      </c>
      <c r="W23" s="36"/>
      <c r="X23" s="36"/>
      <c r="Y23" s="36">
        <v>46154</v>
      </c>
      <c r="Z23" s="36"/>
      <c r="AA23" s="52">
        <v>46202</v>
      </c>
      <c r="AB23" s="36"/>
      <c r="AC23" s="36"/>
      <c r="AD23" s="33" t="s">
        <v>110</v>
      </c>
      <c r="AE23" s="33" t="s">
        <v>49</v>
      </c>
      <c r="AF23" s="38" t="s">
        <v>50</v>
      </c>
      <c r="AG23" s="36">
        <v>46184</v>
      </c>
      <c r="AH23" s="39" t="s">
        <v>111</v>
      </c>
      <c r="AI23" s="33" t="s">
        <v>112</v>
      </c>
      <c r="AJ23" s="40" t="s">
        <v>53</v>
      </c>
      <c r="AK23" s="73" t="str">
        <f>IF($B23="","",IF(AND(LEFT($AJ23,3)="Yes",SUMPRODUCT(('Rework Log'!$A$3:$A$499=$B23)*('Rework Log'!$G$3:$G$499&lt;&gt;"Yes")*('Rework Log'!$G$3:$G$499&lt;&gt;"Did not pass re-test"))=0),"Blocked - log it on Rework Log",IF(AND(LEFT($AJ23,3)&lt;&gt;"Yes",SUMPRODUCT(('Rework Log'!$A$3:$A$499=$B23)*('Rework Log'!$G$3:$G$499&lt;&gt;"Yes")*('Rework Log'!$G$3:$G$499&lt;&gt;"Did not pass re-test"))&gt;0),"Open rework row - mark Blocked? or close it",IF(AND($AJ23="Yes – needs DB Dev to fix",M23&lt;&gt;"",SUMPRODUCT(MAX((('Rework Log'!$A$3:$A$499=$B23)*('Rework Log'!$G$3:$G$499&lt;&gt;"Yes")*('Rework Log'!$G$3:$G$499&lt;&gt;"Did not pass re-test"))*'Rework Log'!$I$3:$I$499))&gt;0),"Move old DB Dev completion date to Rework Log (col H)",IF(AND($AJ23="Yes – needs PBI Dev to fix",S23&lt;&gt;"",SUMPRODUCT(MAX((('Rework Log'!$A$3:$A$499=$B23)*('Rework Log'!$G$3:$G$499&lt;&gt;"Yes")*('Rework Log'!$G$3:$G$499&lt;&gt;"Did not pass re-test"))*'Rework Log'!$I$3:$I$499))&gt;0),"Move old PBI Dev completion date to Rework Log (col H)",IF(AND($AJ23="Yes – needs QA to fix",Y23&lt;&gt;"",SUMPRODUCT(MAX((('Rework Log'!$A$3:$A$499=$B23)*('Rework Log'!$G$3:$G$499&lt;&gt;"Yes")*('Rework Log'!$G$3:$G$499&lt;&gt;"Did not pass re-test"))*'Rework Log'!$I$3:$I$499))&gt;0),"Move old QA completion date to Rework Log (col H)",IF(COUNTIF($B$2:$B$527,$B23)&gt;1,"Duplicate name - check row",IF(COUNTIF('Rework Log'!$A$3:$A$499,$B23)&gt;0,"",IF(AND(V23&lt;&gt;"",K23&lt;&gt;"",V23&lt;K23),"QA target is before DB Dev target",IF(AND(V23&lt;&gt;"",Q23&lt;&gt;"",V23&lt;Q23),"QA target is before PBI Dev target",IF(AND(AA23&lt;&gt;"",V23&lt;&gt;"",AA23&lt;V23),"DPO Approval target is before QA target",IF(AND(AG23&lt;&gt;"",AA23&lt;&gt;"",AG23&lt;AA23),"Confirmed Deployed date is before DPO Approval target",""))))))))))))</f>
        <v>Confirmed Deployed date is before DPO Approval target</v>
      </c>
      <c r="AL23" s="41"/>
      <c r="AM23" s="31" t="str" cm="1">
        <f t="array" ref="AM23">_xlfn.LET(_xlpm.rep,$B23,_xlpm.sent,_xlfn.MAXIFS('Rework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3" s="31" t="str" cm="1">
        <f t="array" ref="AN23">_xlfn.LET(_xlpm.rep,$B23,_xlpm.sent,_xlfn.MAXIFS('Rework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4" spans="1:40" ht="14.45" hidden="1">
      <c r="A24" s="33" t="s">
        <v>40</v>
      </c>
      <c r="B24" s="33" t="s">
        <v>113</v>
      </c>
      <c r="C24" s="33" t="s">
        <v>42</v>
      </c>
      <c r="D24" t="str" cm="1">
        <f t="array" aca="1" ref="D24" ca="1">IF($B24="","",IF(LEFT($AJ24,3)="Yes","Blocked - "&amp;MID($AJ24,7,100)&amp;IF(SUMPRODUCT(('Rework Log'!$A$3:$A$499=$B24)*('Rework Log'!$G$3:$G$499&lt;&gt;"Yes")*('Rework Log'!$G$3:$G$499&lt;&gt;"Did not pass re-test"))=0,"",IF(SUMPRODUCT(MAX((('Rework Log'!$A$3:$A$499=$B24)*('Rework Log'!$G$3:$G$499&lt;&gt;"Yes")*('Rework Log'!$G$3:$G$499&lt;&gt;"Did not pass re-test"))*'Rework Log'!$I$3:$I$499))=0," - unclaimed"," - promised "&amp;TEXT(SUMPRODUCT(MAX((('Rework Log'!$A$3:$A$499=$B24)*('Rework Log'!$G$3:$G$499&lt;&gt;"Yes")*('Rework Log'!$G$3:$G$499&lt;&gt;"Did not pass re-test"))*'Rework Log'!$I$3:$I$499)),"m/d"))),IF(C24="NOT STARTED",IF(H24="","No plan date set",IF(H24&lt;TODAY(),"Review - planned start passed","On track")),IF(C24="DB Dev",IF(AND(L24="",K24=""),"No target set",IF(AND(IF(L24&lt;&gt;"",L24,K24)&lt;TODAY(),M24=""),"Overdue","On track")),IF(C24="PBI Dev",IF(AND(R24="",Q24=""),"No target set",IF(AND(IF(R24&lt;&gt;"",R24,Q24)&lt;TODAY(),S24=""),"Overdue","On track")),IF(C24="QA",_xlfn.LET(_xlpm.tgt,IF(AM24&lt;&gt;"",AM24,IF(W24&lt;&gt;"",W24,V24)),_xlpm.sent,_xlfn.MAXIFS('Rework Log'!$B$3:$B$499,'Rework Log'!$A$3:$A$499,$B24,'Rework Log'!$C$3:$C$499,"QA"),_xlpm.act,IF(AND(Y24&lt;&gt;"",Y24&gt;_xlpm.sent),Y24,""),IF(_xlpm.tgt="","No target set",IF(AND(_xlpm.tgt&lt;TODAY(),_xlpm.act=""),"Overdue","On track"))),IF(C24="DPO Approval",_xlfn.LET(_xlpm.tgt,IF(AN24&lt;&gt;"",AN24,IF(AB24&lt;&gt;"",AB24,AA24)),_xlpm.sent,_xlfn.MAXIFS('Rework Log'!$B$3:$B$499,'Rework Log'!$A$3:$A$499,$B24,'Rework Log'!$C$3:$C$499,"DPO*"),_xlpm.act,IF(AND(AC24&lt;&gt;"",AC24&gt;_xlpm.sent),AC24,""),IF(_xlpm.tgt="","No target set",IF(AND(_xlpm.tgt&lt;TODAY(),_xlpm.act=""),"Overdue","On track"))),IF(C24="RELEASED IN PROD","Delivered",""))))))))</f>
        <v>Delivered</v>
      </c>
      <c r="E24" s="33">
        <v>23</v>
      </c>
      <c r="F24" s="34"/>
      <c r="G24" s="33"/>
      <c r="H24" s="50">
        <v>46203</v>
      </c>
      <c r="I24" s="55" t="s">
        <v>102</v>
      </c>
      <c r="J24" s="33" t="s">
        <v>59</v>
      </c>
      <c r="K24" s="4">
        <v>46185</v>
      </c>
      <c r="L24" s="36"/>
      <c r="M24" s="36">
        <v>46162</v>
      </c>
      <c r="N24" s="36" t="s">
        <v>45</v>
      </c>
      <c r="O24" s="36"/>
      <c r="P24" s="63" t="s">
        <v>46</v>
      </c>
      <c r="Q24" s="4">
        <v>46192</v>
      </c>
      <c r="R24" s="36"/>
      <c r="S24" s="36">
        <v>46186</v>
      </c>
      <c r="T24" s="69"/>
      <c r="U24" s="33" t="s">
        <v>88</v>
      </c>
      <c r="V24" s="59">
        <v>46199</v>
      </c>
      <c r="W24" s="36"/>
      <c r="X24" s="36"/>
      <c r="Y24" s="36"/>
      <c r="Z24" s="36"/>
      <c r="AA24" s="52">
        <v>46202</v>
      </c>
      <c r="AB24" s="36"/>
      <c r="AC24" s="36"/>
      <c r="AD24" s="33" t="s">
        <v>114</v>
      </c>
      <c r="AE24" s="33" t="s">
        <v>72</v>
      </c>
      <c r="AF24" s="38" t="s">
        <v>50</v>
      </c>
      <c r="AG24" s="36">
        <v>46227</v>
      </c>
      <c r="AH24" s="39"/>
      <c r="AI24" s="33"/>
      <c r="AJ24" s="40" t="s">
        <v>53</v>
      </c>
      <c r="AK24" s="73" t="str">
        <f>IF($B24="","",IF(AND(LEFT($AJ24,3)="Yes",SUMPRODUCT(('Rework Log'!$A$3:$A$499=$B24)*('Rework Log'!$G$3:$G$499&lt;&gt;"Yes")*('Rework Log'!$G$3:$G$499&lt;&gt;"Did not pass re-test"))=0),"Blocked - log it on Rework Log",IF(AND(LEFT($AJ24,3)&lt;&gt;"Yes",SUMPRODUCT(('Rework Log'!$A$3:$A$499=$B24)*('Rework Log'!$G$3:$G$499&lt;&gt;"Yes")*('Rework Log'!$G$3:$G$499&lt;&gt;"Did not pass re-test"))&gt;0),"Open rework row - mark Blocked? or close it",IF(AND($AJ24="Yes – needs DB Dev to fix",M24&lt;&gt;"",SUMPRODUCT(MAX((('Rework Log'!$A$3:$A$499=$B24)*('Rework Log'!$G$3:$G$499&lt;&gt;"Yes")*('Rework Log'!$G$3:$G$499&lt;&gt;"Did not pass re-test"))*'Rework Log'!$I$3:$I$499))&gt;0),"Move old DB Dev completion date to Rework Log (col H)",IF(AND($AJ24="Yes – needs PBI Dev to fix",S24&lt;&gt;"",SUMPRODUCT(MAX((('Rework Log'!$A$3:$A$499=$B24)*('Rework Log'!$G$3:$G$499&lt;&gt;"Yes")*('Rework Log'!$G$3:$G$499&lt;&gt;"Did not pass re-test"))*'Rework Log'!$I$3:$I$499))&gt;0),"Move old PBI Dev completion date to Rework Log (col H)",IF(AND($AJ24="Yes – needs QA to fix",Y24&lt;&gt;"",SUMPRODUCT(MAX((('Rework Log'!$A$3:$A$499=$B24)*('Rework Log'!$G$3:$G$499&lt;&gt;"Yes")*('Rework Log'!$G$3:$G$499&lt;&gt;"Did not pass re-test"))*'Rework Log'!$I$3:$I$499))&gt;0),"Move old QA completion date to Rework Log (col H)",IF(COUNTIF($B$2:$B$527,$B24)&gt;1,"Duplicate name - check row",IF(COUNTIF('Rework Log'!$A$3:$A$499,$B24)&gt;0,"",IF(AND(V24&lt;&gt;"",K24&lt;&gt;"",V24&lt;K24),"QA target is before DB Dev target",IF(AND(V24&lt;&gt;"",Q24&lt;&gt;"",V24&lt;Q24),"QA target is before PBI Dev target",IF(AND(AA24&lt;&gt;"",V24&lt;&gt;"",AA24&lt;V24),"DPO Approval target is before QA target",IF(AND(AG24&lt;&gt;"",AA24&lt;&gt;"",AG24&lt;AA24),"Confirmed Deployed date is before DPO Approval target",""))))))))))))</f>
        <v/>
      </c>
      <c r="AL24" s="41" t="s">
        <v>115</v>
      </c>
      <c r="AM24" s="31" t="str" cm="1">
        <f t="array" ref="AM24">_xlfn.LET(_xlpm.rep,$B24,_xlpm.sent,_xlfn.MAXIFS('Rework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4" s="31" t="str" cm="1">
        <f t="array" ref="AN24">_xlfn.LET(_xlpm.rep,$B24,_xlpm.sent,_xlfn.MAXIFS('Rework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5" spans="1:40" ht="14.45" hidden="1">
      <c r="A25" s="33" t="s">
        <v>40</v>
      </c>
      <c r="B25" s="33" t="s">
        <v>116</v>
      </c>
      <c r="C25" s="33" t="s">
        <v>42</v>
      </c>
      <c r="D25" t="str" cm="1">
        <f t="array" aca="1" ref="D25" ca="1">IF($B25="","",IF(LEFT($AJ25,3)="Yes","Blocked - "&amp;MID($AJ25,7,100)&amp;IF(SUMPRODUCT(('Rework Log'!$A$3:$A$499=$B25)*('Rework Log'!$G$3:$G$499&lt;&gt;"Yes")*('Rework Log'!$G$3:$G$499&lt;&gt;"Did not pass re-test"))=0,"",IF(SUMPRODUCT(MAX((('Rework Log'!$A$3:$A$499=$B25)*('Rework Log'!$G$3:$G$499&lt;&gt;"Yes")*('Rework Log'!$G$3:$G$499&lt;&gt;"Did not pass re-test"))*'Rework Log'!$I$3:$I$499))=0," - unclaimed"," - promised "&amp;TEXT(SUMPRODUCT(MAX((('Rework Log'!$A$3:$A$499=$B25)*('Rework Log'!$G$3:$G$499&lt;&gt;"Yes")*('Rework Log'!$G$3:$G$499&lt;&gt;"Did not pass re-test"))*'Rework Log'!$I$3:$I$499)),"m/d"))),IF(C25="NOT STARTED",IF(H25="","No plan date set",IF(H25&lt;TODAY(),"Review - planned start passed","On track")),IF(C25="DB Dev",IF(AND(L25="",K25=""),"No target set",IF(AND(IF(L25&lt;&gt;"",L25,K25)&lt;TODAY(),M25=""),"Overdue","On track")),IF(C25="PBI Dev",IF(AND(R25="",Q25=""),"No target set",IF(AND(IF(R25&lt;&gt;"",R25,Q25)&lt;TODAY(),S25=""),"Overdue","On track")),IF(C25="QA",_xlfn.LET(_xlpm.tgt,IF(AM25&lt;&gt;"",AM25,IF(W25&lt;&gt;"",W25,V25)),_xlpm.sent,_xlfn.MAXIFS('Rework Log'!$B$3:$B$499,'Rework Log'!$A$3:$A$499,$B25,'Rework Log'!$C$3:$C$499,"QA"),_xlpm.act,IF(AND(Y25&lt;&gt;"",Y25&gt;_xlpm.sent),Y25,""),IF(_xlpm.tgt="","No target set",IF(AND(_xlpm.tgt&lt;TODAY(),_xlpm.act=""),"Overdue","On track"))),IF(C25="DPO Approval",_xlfn.LET(_xlpm.tgt,IF(AN25&lt;&gt;"",AN25,IF(AB25&lt;&gt;"",AB25,AA25)),_xlpm.sent,_xlfn.MAXIFS('Rework Log'!$B$3:$B$499,'Rework Log'!$A$3:$A$499,$B25,'Rework Log'!$C$3:$C$499,"DPO*"),_xlpm.act,IF(AND(AC25&lt;&gt;"",AC25&gt;_xlpm.sent),AC25,""),IF(_xlpm.tgt="","No target set",IF(AND(_xlpm.tgt&lt;TODAY(),_xlpm.act=""),"Overdue","On track"))),IF(C25="RELEASED IN PROD","Delivered",""))))))))</f>
        <v>Delivered</v>
      </c>
      <c r="E25" s="33">
        <v>24</v>
      </c>
      <c r="F25" s="34"/>
      <c r="G25" s="33"/>
      <c r="H25" s="50">
        <v>46203</v>
      </c>
      <c r="I25" s="55" t="s">
        <v>102</v>
      </c>
      <c r="J25" s="33" t="s">
        <v>59</v>
      </c>
      <c r="K25" s="4">
        <v>46185</v>
      </c>
      <c r="L25" s="36"/>
      <c r="M25" s="36">
        <v>46162</v>
      </c>
      <c r="N25" s="36" t="s">
        <v>45</v>
      </c>
      <c r="O25" s="36"/>
      <c r="P25" s="63" t="s">
        <v>77</v>
      </c>
      <c r="Q25" s="4">
        <v>46192</v>
      </c>
      <c r="R25" s="36"/>
      <c r="S25" s="36">
        <v>46164</v>
      </c>
      <c r="T25" s="69"/>
      <c r="U25" s="33" t="s">
        <v>47</v>
      </c>
      <c r="V25" s="59">
        <v>46199</v>
      </c>
      <c r="W25" s="36"/>
      <c r="X25" s="36"/>
      <c r="Y25" s="36">
        <v>46204</v>
      </c>
      <c r="Z25" s="36"/>
      <c r="AA25" s="52">
        <v>46202</v>
      </c>
      <c r="AB25" s="36"/>
      <c r="AC25" s="36"/>
      <c r="AD25" s="33" t="s">
        <v>110</v>
      </c>
      <c r="AE25" s="33" t="s">
        <v>49</v>
      </c>
      <c r="AF25" s="38" t="s">
        <v>50</v>
      </c>
      <c r="AG25" s="36">
        <v>46204</v>
      </c>
      <c r="AH25" s="39"/>
      <c r="AI25" s="33"/>
      <c r="AJ25" s="40" t="s">
        <v>53</v>
      </c>
      <c r="AK25" s="73" t="str">
        <f>IF($B25="","",IF(AND(LEFT($AJ25,3)="Yes",SUMPRODUCT(('Rework Log'!$A$3:$A$499=$B25)*('Rework Log'!$G$3:$G$499&lt;&gt;"Yes")*('Rework Log'!$G$3:$G$499&lt;&gt;"Did not pass re-test"))=0),"Blocked - log it on Rework Log",IF(AND(LEFT($AJ25,3)&lt;&gt;"Yes",SUMPRODUCT(('Rework Log'!$A$3:$A$499=$B25)*('Rework Log'!$G$3:$G$499&lt;&gt;"Yes")*('Rework Log'!$G$3:$G$499&lt;&gt;"Did not pass re-test"))&gt;0),"Open rework row - mark Blocked? or close it",IF(AND($AJ25="Yes – needs DB Dev to fix",M25&lt;&gt;"",SUMPRODUCT(MAX((('Rework Log'!$A$3:$A$499=$B25)*('Rework Log'!$G$3:$G$499&lt;&gt;"Yes")*('Rework Log'!$G$3:$G$499&lt;&gt;"Did not pass re-test"))*'Rework Log'!$I$3:$I$499))&gt;0),"Move old DB Dev completion date to Rework Log (col H)",IF(AND($AJ25="Yes – needs PBI Dev to fix",S25&lt;&gt;"",SUMPRODUCT(MAX((('Rework Log'!$A$3:$A$499=$B25)*('Rework Log'!$G$3:$G$499&lt;&gt;"Yes")*('Rework Log'!$G$3:$G$499&lt;&gt;"Did not pass re-test"))*'Rework Log'!$I$3:$I$499))&gt;0),"Move old PBI Dev completion date to Rework Log (col H)",IF(AND($AJ25="Yes – needs QA to fix",Y25&lt;&gt;"",SUMPRODUCT(MAX((('Rework Log'!$A$3:$A$499=$B25)*('Rework Log'!$G$3:$G$499&lt;&gt;"Yes")*('Rework Log'!$G$3:$G$499&lt;&gt;"Did not pass re-test"))*'Rework Log'!$I$3:$I$499))&gt;0),"Move old QA completion date to Rework Log (col H)",IF(COUNTIF($B$2:$B$527,$B25)&gt;1,"Duplicate name - check row",IF(COUNTIF('Rework Log'!$A$3:$A$499,$B25)&gt;0,"",IF(AND(V25&lt;&gt;"",K25&lt;&gt;"",V25&lt;K25),"QA target is before DB Dev target",IF(AND(V25&lt;&gt;"",Q25&lt;&gt;"",V25&lt;Q25),"QA target is before PBI Dev target",IF(AND(AA25&lt;&gt;"",V25&lt;&gt;"",AA25&lt;V25),"DPO Approval target is before QA target",IF(AND(AG25&lt;&gt;"",AA25&lt;&gt;"",AG25&lt;AA25),"Confirmed Deployed date is before DPO Approval target",""))))))))))))</f>
        <v/>
      </c>
      <c r="AL25" s="41" t="s">
        <v>115</v>
      </c>
      <c r="AM25" s="31" t="str" cm="1">
        <f t="array" ref="AM25">_xlfn.LET(_xlpm.rep,$B25,_xlpm.sent,_xlfn.MAXIFS('Rework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5" s="31" t="str" cm="1">
        <f t="array" ref="AN25">_xlfn.LET(_xlpm.rep,$B25,_xlpm.sent,_xlfn.MAXIFS('Rework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6" spans="1:40" ht="14.45" hidden="1">
      <c r="A26" s="33" t="s">
        <v>40</v>
      </c>
      <c r="B26" s="33" t="s">
        <v>117</v>
      </c>
      <c r="C26" s="33" t="s">
        <v>42</v>
      </c>
      <c r="D26" t="str" cm="1">
        <f t="array" aca="1" ref="D26" ca="1">IF($B26="","",IF(LEFT($AJ26,3)="Yes","Blocked - "&amp;MID($AJ26,7,100)&amp;IF(SUMPRODUCT(('Rework Log'!$A$3:$A$499=$B26)*('Rework Log'!$G$3:$G$499&lt;&gt;"Yes")*('Rework Log'!$G$3:$G$499&lt;&gt;"Did not pass re-test"))=0,"",IF(SUMPRODUCT(MAX((('Rework Log'!$A$3:$A$499=$B26)*('Rework Log'!$G$3:$G$499&lt;&gt;"Yes")*('Rework Log'!$G$3:$G$499&lt;&gt;"Did not pass re-test"))*'Rework Log'!$I$3:$I$499))=0," - unclaimed"," - promised "&amp;TEXT(SUMPRODUCT(MAX((('Rework Log'!$A$3:$A$499=$B26)*('Rework Log'!$G$3:$G$499&lt;&gt;"Yes")*('Rework Log'!$G$3:$G$499&lt;&gt;"Did not pass re-test"))*'Rework Log'!$I$3:$I$499)),"m/d"))),IF(C26="NOT STARTED",IF(H26="","No plan date set",IF(H26&lt;TODAY(),"Review - planned start passed","On track")),IF(C26="DB Dev",IF(AND(L26="",K26=""),"No target set",IF(AND(IF(L26&lt;&gt;"",L26,K26)&lt;TODAY(),M26=""),"Overdue","On track")),IF(C26="PBI Dev",IF(AND(R26="",Q26=""),"No target set",IF(AND(IF(R26&lt;&gt;"",R26,Q26)&lt;TODAY(),S26=""),"Overdue","On track")),IF(C26="QA",_xlfn.LET(_xlpm.tgt,IF(AM26&lt;&gt;"",AM26,IF(W26&lt;&gt;"",W26,V26)),_xlpm.sent,_xlfn.MAXIFS('Rework Log'!$B$3:$B$499,'Rework Log'!$A$3:$A$499,$B26,'Rework Log'!$C$3:$C$499,"QA"),_xlpm.act,IF(AND(Y26&lt;&gt;"",Y26&gt;_xlpm.sent),Y26,""),IF(_xlpm.tgt="","No target set",IF(AND(_xlpm.tgt&lt;TODAY(),_xlpm.act=""),"Overdue","On track"))),IF(C26="DPO Approval",_xlfn.LET(_xlpm.tgt,IF(AN26&lt;&gt;"",AN26,IF(AB26&lt;&gt;"",AB26,AA26)),_xlpm.sent,_xlfn.MAXIFS('Rework Log'!$B$3:$B$499,'Rework Log'!$A$3:$A$499,$B26,'Rework Log'!$C$3:$C$499,"DPO*"),_xlpm.act,IF(AND(AC26&lt;&gt;"",AC26&gt;_xlpm.sent),AC26,""),IF(_xlpm.tgt="","No target set",IF(AND(_xlpm.tgt&lt;TODAY(),_xlpm.act=""),"Overdue","On track"))),IF(C26="RELEASED IN PROD","Delivered",""))))))))</f>
        <v>Delivered</v>
      </c>
      <c r="E26" s="33">
        <v>25</v>
      </c>
      <c r="F26" s="34"/>
      <c r="G26" s="33"/>
      <c r="H26" s="50">
        <v>46203</v>
      </c>
      <c r="I26" s="55" t="s">
        <v>102</v>
      </c>
      <c r="J26" s="33" t="s">
        <v>118</v>
      </c>
      <c r="K26" s="4">
        <v>46185</v>
      </c>
      <c r="L26" s="36"/>
      <c r="M26" s="36">
        <v>46169</v>
      </c>
      <c r="N26" s="36" t="s">
        <v>45</v>
      </c>
      <c r="O26" s="36"/>
      <c r="P26" s="63" t="s">
        <v>60</v>
      </c>
      <c r="Q26" s="4">
        <v>46192</v>
      </c>
      <c r="R26" s="36"/>
      <c r="S26" s="36">
        <v>46191</v>
      </c>
      <c r="T26" s="69"/>
      <c r="U26" s="33" t="s">
        <v>88</v>
      </c>
      <c r="V26" s="59">
        <v>46199</v>
      </c>
      <c r="W26" s="36"/>
      <c r="X26" s="36"/>
      <c r="Y26" s="36">
        <v>46196</v>
      </c>
      <c r="Z26" s="36"/>
      <c r="AA26" s="52">
        <v>46202</v>
      </c>
      <c r="AB26" s="36"/>
      <c r="AC26" s="36"/>
      <c r="AD26" s="33" t="s">
        <v>119</v>
      </c>
      <c r="AE26" s="33" t="s">
        <v>49</v>
      </c>
      <c r="AF26" s="38" t="s">
        <v>50</v>
      </c>
      <c r="AG26" s="36">
        <v>46196</v>
      </c>
      <c r="AH26" s="39" t="s">
        <v>120</v>
      </c>
      <c r="AI26" s="33" t="s">
        <v>121</v>
      </c>
      <c r="AJ26" s="40" t="s">
        <v>53</v>
      </c>
      <c r="AK26" s="73" t="str">
        <f>IF($B26="","",IF(AND(LEFT($AJ26,3)="Yes",SUMPRODUCT(('Rework Log'!$A$3:$A$499=$B26)*('Rework Log'!$G$3:$G$499&lt;&gt;"Yes")*('Rework Log'!$G$3:$G$499&lt;&gt;"Did not pass re-test"))=0),"Blocked - log it on Rework Log",IF(AND(LEFT($AJ26,3)&lt;&gt;"Yes",SUMPRODUCT(('Rework Log'!$A$3:$A$499=$B26)*('Rework Log'!$G$3:$G$499&lt;&gt;"Yes")*('Rework Log'!$G$3:$G$499&lt;&gt;"Did not pass re-test"))&gt;0),"Open rework row - mark Blocked? or close it",IF(AND($AJ26="Yes – needs DB Dev to fix",M26&lt;&gt;"",SUMPRODUCT(MAX((('Rework Log'!$A$3:$A$499=$B26)*('Rework Log'!$G$3:$G$499&lt;&gt;"Yes")*('Rework Log'!$G$3:$G$499&lt;&gt;"Did not pass re-test"))*'Rework Log'!$I$3:$I$499))&gt;0),"Move old DB Dev completion date to Rework Log (col H)",IF(AND($AJ26="Yes – needs PBI Dev to fix",S26&lt;&gt;"",SUMPRODUCT(MAX((('Rework Log'!$A$3:$A$499=$B26)*('Rework Log'!$G$3:$G$499&lt;&gt;"Yes")*('Rework Log'!$G$3:$G$499&lt;&gt;"Did not pass re-test"))*'Rework Log'!$I$3:$I$499))&gt;0),"Move old PBI Dev completion date to Rework Log (col H)",IF(AND($AJ26="Yes – needs QA to fix",Y26&lt;&gt;"",SUMPRODUCT(MAX((('Rework Log'!$A$3:$A$499=$B26)*('Rework Log'!$G$3:$G$499&lt;&gt;"Yes")*('Rework Log'!$G$3:$G$499&lt;&gt;"Did not pass re-test"))*'Rework Log'!$I$3:$I$499))&gt;0),"Move old QA completion date to Rework Log (col H)",IF(COUNTIF($B$2:$B$527,$B26)&gt;1,"Duplicate name - check row",IF(COUNTIF('Rework Log'!$A$3:$A$499,$B26)&gt;0,"",IF(AND(V26&lt;&gt;"",K26&lt;&gt;"",V26&lt;K26),"QA target is before DB Dev target",IF(AND(V26&lt;&gt;"",Q26&lt;&gt;"",V26&lt;Q26),"QA target is before PBI Dev target",IF(AND(AA26&lt;&gt;"",V26&lt;&gt;"",AA26&lt;V26),"DPO Approval target is before QA target",IF(AND(AG26&lt;&gt;"",AA26&lt;&gt;"",AG26&lt;AA26),"Confirmed Deployed date is before DPO Approval target",""))))))))))))</f>
        <v>Confirmed Deployed date is before DPO Approval target</v>
      </c>
      <c r="AL26" s="41"/>
      <c r="AM26" s="31" t="str" cm="1">
        <f t="array" ref="AM26">_xlfn.LET(_xlpm.rep,$B26,_xlpm.sent,_xlfn.MAXIFS('Rework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6" s="31" t="str" cm="1">
        <f t="array" ref="AN26">_xlfn.LET(_xlpm.rep,$B26,_xlpm.sent,_xlfn.MAXIFS('Rework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7" spans="1:40" ht="14.45" hidden="1">
      <c r="A27" s="33" t="s">
        <v>40</v>
      </c>
      <c r="B27" s="33" t="s">
        <v>122</v>
      </c>
      <c r="C27" s="33" t="s">
        <v>42</v>
      </c>
      <c r="D27" t="str" cm="1">
        <f t="array" aca="1" ref="D27" ca="1">IF($B27="","",IF(LEFT($AJ27,3)="Yes","Blocked - "&amp;MID($AJ27,7,100)&amp;IF(SUMPRODUCT(('Rework Log'!$A$3:$A$499=$B27)*('Rework Log'!$G$3:$G$499&lt;&gt;"Yes")*('Rework Log'!$G$3:$G$499&lt;&gt;"Did not pass re-test"))=0,"",IF(SUMPRODUCT(MAX((('Rework Log'!$A$3:$A$499=$B27)*('Rework Log'!$G$3:$G$499&lt;&gt;"Yes")*('Rework Log'!$G$3:$G$499&lt;&gt;"Did not pass re-test"))*'Rework Log'!$I$3:$I$499))=0," - unclaimed"," - promised "&amp;TEXT(SUMPRODUCT(MAX((('Rework Log'!$A$3:$A$499=$B27)*('Rework Log'!$G$3:$G$499&lt;&gt;"Yes")*('Rework Log'!$G$3:$G$499&lt;&gt;"Did not pass re-test"))*'Rework Log'!$I$3:$I$499)),"m/d"))),IF(C27="NOT STARTED",IF(H27="","No plan date set",IF(H27&lt;TODAY(),"Review - planned start passed","On track")),IF(C27="DB Dev",IF(AND(L27="",K27=""),"No target set",IF(AND(IF(L27&lt;&gt;"",L27,K27)&lt;TODAY(),M27=""),"Overdue","On track")),IF(C27="PBI Dev",IF(AND(R27="",Q27=""),"No target set",IF(AND(IF(R27&lt;&gt;"",R27,Q27)&lt;TODAY(),S27=""),"Overdue","On track")),IF(C27="QA",_xlfn.LET(_xlpm.tgt,IF(AM27&lt;&gt;"",AM27,IF(W27&lt;&gt;"",W27,V27)),_xlpm.sent,_xlfn.MAXIFS('Rework Log'!$B$3:$B$499,'Rework Log'!$A$3:$A$499,$B27,'Rework Log'!$C$3:$C$499,"QA"),_xlpm.act,IF(AND(Y27&lt;&gt;"",Y27&gt;_xlpm.sent),Y27,""),IF(_xlpm.tgt="","No target set",IF(AND(_xlpm.tgt&lt;TODAY(),_xlpm.act=""),"Overdue","On track"))),IF(C27="DPO Approval",_xlfn.LET(_xlpm.tgt,IF(AN27&lt;&gt;"",AN27,IF(AB27&lt;&gt;"",AB27,AA27)),_xlpm.sent,_xlfn.MAXIFS('Rework Log'!$B$3:$B$499,'Rework Log'!$A$3:$A$499,$B27,'Rework Log'!$C$3:$C$499,"DPO*"),_xlpm.act,IF(AND(AC27&lt;&gt;"",AC27&gt;_xlpm.sent),AC27,""),IF(_xlpm.tgt="","No target set",IF(AND(_xlpm.tgt&lt;TODAY(),_xlpm.act=""),"Overdue","On track"))),IF(C27="RELEASED IN PROD","Delivered",""))))))))</f>
        <v>Delivered</v>
      </c>
      <c r="E27" s="33">
        <v>26</v>
      </c>
      <c r="F27" s="34"/>
      <c r="G27" s="33"/>
      <c r="H27" s="50">
        <v>46203</v>
      </c>
      <c r="I27" s="55" t="s">
        <v>102</v>
      </c>
      <c r="J27" s="33" t="s">
        <v>103</v>
      </c>
      <c r="K27" s="4">
        <v>46185</v>
      </c>
      <c r="L27" s="36"/>
      <c r="M27" s="36">
        <v>46168</v>
      </c>
      <c r="N27" s="36" t="s">
        <v>45</v>
      </c>
      <c r="O27" s="36"/>
      <c r="P27" s="63" t="s">
        <v>77</v>
      </c>
      <c r="Q27" s="4">
        <v>46192</v>
      </c>
      <c r="R27" s="36"/>
      <c r="S27" s="36">
        <v>46189</v>
      </c>
      <c r="T27" s="69"/>
      <c r="U27" s="54" t="s">
        <v>88</v>
      </c>
      <c r="V27" s="59">
        <v>46199</v>
      </c>
      <c r="W27" s="36"/>
      <c r="X27" s="36"/>
      <c r="Y27" s="36">
        <v>46189</v>
      </c>
      <c r="Z27" s="36"/>
      <c r="AA27" s="52">
        <v>46202</v>
      </c>
      <c r="AB27" s="36"/>
      <c r="AC27" s="36"/>
      <c r="AD27" s="33"/>
      <c r="AE27" s="33" t="s">
        <v>72</v>
      </c>
      <c r="AF27" s="38" t="s">
        <v>50</v>
      </c>
      <c r="AG27" s="36">
        <v>46192</v>
      </c>
      <c r="AH27" s="39" t="s">
        <v>123</v>
      </c>
      <c r="AI27" s="33"/>
      <c r="AJ27" s="40" t="s">
        <v>53</v>
      </c>
      <c r="AK27" s="73" t="str">
        <f>IF($B27="","",IF(AND(LEFT($AJ27,3)="Yes",SUMPRODUCT(('Rework Log'!$A$3:$A$499=$B27)*('Rework Log'!$G$3:$G$499&lt;&gt;"Yes")*('Rework Log'!$G$3:$G$499&lt;&gt;"Did not pass re-test"))=0),"Blocked - log it on Rework Log",IF(AND(LEFT($AJ27,3)&lt;&gt;"Yes",SUMPRODUCT(('Rework Log'!$A$3:$A$499=$B27)*('Rework Log'!$G$3:$G$499&lt;&gt;"Yes")*('Rework Log'!$G$3:$G$499&lt;&gt;"Did not pass re-test"))&gt;0),"Open rework row - mark Blocked? or close it",IF(AND($AJ27="Yes – needs DB Dev to fix",M27&lt;&gt;"",SUMPRODUCT(MAX((('Rework Log'!$A$3:$A$499=$B27)*('Rework Log'!$G$3:$G$499&lt;&gt;"Yes")*('Rework Log'!$G$3:$G$499&lt;&gt;"Did not pass re-test"))*'Rework Log'!$I$3:$I$499))&gt;0),"Move old DB Dev completion date to Rework Log (col H)",IF(AND($AJ27="Yes – needs PBI Dev to fix",S27&lt;&gt;"",SUMPRODUCT(MAX((('Rework Log'!$A$3:$A$499=$B27)*('Rework Log'!$G$3:$G$499&lt;&gt;"Yes")*('Rework Log'!$G$3:$G$499&lt;&gt;"Did not pass re-test"))*'Rework Log'!$I$3:$I$499))&gt;0),"Move old PBI Dev completion date to Rework Log (col H)",IF(AND($AJ27="Yes – needs QA to fix",Y27&lt;&gt;"",SUMPRODUCT(MAX((('Rework Log'!$A$3:$A$499=$B27)*('Rework Log'!$G$3:$G$499&lt;&gt;"Yes")*('Rework Log'!$G$3:$G$499&lt;&gt;"Did not pass re-test"))*'Rework Log'!$I$3:$I$499))&gt;0),"Move old QA completion date to Rework Log (col H)",IF(COUNTIF($B$2:$B$527,$B27)&gt;1,"Duplicate name - check row",IF(COUNTIF('Rework Log'!$A$3:$A$499,$B27)&gt;0,"",IF(AND(V27&lt;&gt;"",K27&lt;&gt;"",V27&lt;K27),"QA target is before DB Dev target",IF(AND(V27&lt;&gt;"",Q27&lt;&gt;"",V27&lt;Q27),"QA target is before PBI Dev target",IF(AND(AA27&lt;&gt;"",V27&lt;&gt;"",AA27&lt;V27),"DPO Approval target is before QA target",IF(AND(AG27&lt;&gt;"",AA27&lt;&gt;"",AG27&lt;AA27),"Confirmed Deployed date is before DPO Approval target",""))))))))))))</f>
        <v>Confirmed Deployed date is before DPO Approval target</v>
      </c>
      <c r="AL27" s="41"/>
      <c r="AM27" s="31" t="str" cm="1">
        <f t="array" ref="AM27">_xlfn.LET(_xlpm.rep,$B27,_xlpm.sent,_xlfn.MAXIFS('Rework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7" s="31" t="str" cm="1">
        <f t="array" ref="AN27">_xlfn.LET(_xlpm.rep,$B27,_xlpm.sent,_xlfn.MAXIFS('Rework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8" spans="1:40" ht="14.45" hidden="1">
      <c r="A28" s="33" t="s">
        <v>40</v>
      </c>
      <c r="B28" s="33" t="s">
        <v>124</v>
      </c>
      <c r="C28" s="33" t="s">
        <v>42</v>
      </c>
      <c r="D28" t="str" cm="1">
        <f t="array" aca="1" ref="D28" ca="1">IF($B28="","",IF(LEFT($AJ28,3)="Yes","Blocked - "&amp;MID($AJ28,7,100)&amp;IF(SUMPRODUCT(('Rework Log'!$A$3:$A$499=$B28)*('Rework Log'!$G$3:$G$499&lt;&gt;"Yes")*('Rework Log'!$G$3:$G$499&lt;&gt;"Did not pass re-test"))=0,"",IF(SUMPRODUCT(MAX((('Rework Log'!$A$3:$A$499=$B28)*('Rework Log'!$G$3:$G$499&lt;&gt;"Yes")*('Rework Log'!$G$3:$G$499&lt;&gt;"Did not pass re-test"))*'Rework Log'!$I$3:$I$499))=0," - unclaimed"," - promised "&amp;TEXT(SUMPRODUCT(MAX((('Rework Log'!$A$3:$A$499=$B28)*('Rework Log'!$G$3:$G$499&lt;&gt;"Yes")*('Rework Log'!$G$3:$G$499&lt;&gt;"Did not pass re-test"))*'Rework Log'!$I$3:$I$499)),"m/d"))),IF(C28="NOT STARTED",IF(H28="","No plan date set",IF(H28&lt;TODAY(),"Review - planned start passed","On track")),IF(C28="DB Dev",IF(AND(L28="",K28=""),"No target set",IF(AND(IF(L28&lt;&gt;"",L28,K28)&lt;TODAY(),M28=""),"Overdue","On track")),IF(C28="PBI Dev",IF(AND(R28="",Q28=""),"No target set",IF(AND(IF(R28&lt;&gt;"",R28,Q28)&lt;TODAY(),S28=""),"Overdue","On track")),IF(C28="QA",_xlfn.LET(_xlpm.tgt,IF(AM28&lt;&gt;"",AM28,IF(W28&lt;&gt;"",W28,V28)),_xlpm.sent,_xlfn.MAXIFS('Rework Log'!$B$3:$B$499,'Rework Log'!$A$3:$A$499,$B28,'Rework Log'!$C$3:$C$499,"QA"),_xlpm.act,IF(AND(Y28&lt;&gt;"",Y28&gt;_xlpm.sent),Y28,""),IF(_xlpm.tgt="","No target set",IF(AND(_xlpm.tgt&lt;TODAY(),_xlpm.act=""),"Overdue","On track"))),IF(C28="DPO Approval",_xlfn.LET(_xlpm.tgt,IF(AN28&lt;&gt;"",AN28,IF(AB28&lt;&gt;"",AB28,AA28)),_xlpm.sent,_xlfn.MAXIFS('Rework Log'!$B$3:$B$499,'Rework Log'!$A$3:$A$499,$B28,'Rework Log'!$C$3:$C$499,"DPO*"),_xlpm.act,IF(AND(AC28&lt;&gt;"",AC28&gt;_xlpm.sent),AC28,""),IF(_xlpm.tgt="","No target set",IF(AND(_xlpm.tgt&lt;TODAY(),_xlpm.act=""),"Overdue","On track"))),IF(C28="RELEASED IN PROD","Delivered",""))))))))</f>
        <v>Delivered</v>
      </c>
      <c r="E28" s="33">
        <v>27</v>
      </c>
      <c r="F28" s="34"/>
      <c r="G28" s="33"/>
      <c r="H28" s="50">
        <v>46203</v>
      </c>
      <c r="I28" s="55" t="s">
        <v>102</v>
      </c>
      <c r="J28" s="33" t="s">
        <v>84</v>
      </c>
      <c r="K28" s="4">
        <v>46185</v>
      </c>
      <c r="L28" s="36"/>
      <c r="M28" s="36">
        <v>46169</v>
      </c>
      <c r="N28" s="36" t="s">
        <v>45</v>
      </c>
      <c r="O28" s="36"/>
      <c r="P28" s="63" t="s">
        <v>77</v>
      </c>
      <c r="Q28" s="4">
        <v>46192</v>
      </c>
      <c r="R28" s="36"/>
      <c r="S28" s="36">
        <v>46195</v>
      </c>
      <c r="T28" s="69"/>
      <c r="U28" s="33"/>
      <c r="V28" s="59">
        <v>46199</v>
      </c>
      <c r="W28" s="36"/>
      <c r="X28" s="36"/>
      <c r="Y28" s="36">
        <v>46197</v>
      </c>
      <c r="Z28" s="36"/>
      <c r="AA28" s="52">
        <v>46202</v>
      </c>
      <c r="AB28" s="36"/>
      <c r="AC28" s="36"/>
      <c r="AD28" s="33" t="s">
        <v>125</v>
      </c>
      <c r="AE28" s="33" t="s">
        <v>72</v>
      </c>
      <c r="AF28" s="38" t="s">
        <v>50</v>
      </c>
      <c r="AG28" s="36">
        <v>46197</v>
      </c>
      <c r="AH28" s="39"/>
      <c r="AI28" s="33"/>
      <c r="AJ28" s="40" t="s">
        <v>53</v>
      </c>
      <c r="AK28" s="73" t="str">
        <f>IF($B28="","",IF(AND(LEFT($AJ28,3)="Yes",SUMPRODUCT(('Rework Log'!$A$3:$A$499=$B28)*('Rework Log'!$G$3:$G$499&lt;&gt;"Yes")*('Rework Log'!$G$3:$G$499&lt;&gt;"Did not pass re-test"))=0),"Blocked - log it on Rework Log",IF(AND(LEFT($AJ28,3)&lt;&gt;"Yes",SUMPRODUCT(('Rework Log'!$A$3:$A$499=$B28)*('Rework Log'!$G$3:$G$499&lt;&gt;"Yes")*('Rework Log'!$G$3:$G$499&lt;&gt;"Did not pass re-test"))&gt;0),"Open rework row - mark Blocked? or close it",IF(AND($AJ28="Yes – needs DB Dev to fix",M28&lt;&gt;"",SUMPRODUCT(MAX((('Rework Log'!$A$3:$A$499=$B28)*('Rework Log'!$G$3:$G$499&lt;&gt;"Yes")*('Rework Log'!$G$3:$G$499&lt;&gt;"Did not pass re-test"))*'Rework Log'!$I$3:$I$499))&gt;0),"Move old DB Dev completion date to Rework Log (col H)",IF(AND($AJ28="Yes – needs PBI Dev to fix",S28&lt;&gt;"",SUMPRODUCT(MAX((('Rework Log'!$A$3:$A$499=$B28)*('Rework Log'!$G$3:$G$499&lt;&gt;"Yes")*('Rework Log'!$G$3:$G$499&lt;&gt;"Did not pass re-test"))*'Rework Log'!$I$3:$I$499))&gt;0),"Move old PBI Dev completion date to Rework Log (col H)",IF(AND($AJ28="Yes – needs QA to fix",Y28&lt;&gt;"",SUMPRODUCT(MAX((('Rework Log'!$A$3:$A$499=$B28)*('Rework Log'!$G$3:$G$499&lt;&gt;"Yes")*('Rework Log'!$G$3:$G$499&lt;&gt;"Did not pass re-test"))*'Rework Log'!$I$3:$I$499))&gt;0),"Move old QA completion date to Rework Log (col H)",IF(COUNTIF($B$2:$B$527,$B28)&gt;1,"Duplicate name - check row",IF(COUNTIF('Rework Log'!$A$3:$A$499,$B28)&gt;0,"",IF(AND(V28&lt;&gt;"",K28&lt;&gt;"",V28&lt;K28),"QA target is before DB Dev target",IF(AND(V28&lt;&gt;"",Q28&lt;&gt;"",V28&lt;Q28),"QA target is before PBI Dev target",IF(AND(AA28&lt;&gt;"",V28&lt;&gt;"",AA28&lt;V28),"DPO Approval target is before QA target",IF(AND(AG28&lt;&gt;"",AA28&lt;&gt;"",AG28&lt;AA28),"Confirmed Deployed date is before DPO Approval target",""))))))))))))</f>
        <v>Confirmed Deployed date is before DPO Approval target</v>
      </c>
      <c r="AL28" s="41" t="s">
        <v>126</v>
      </c>
      <c r="AM28" s="31" t="str" cm="1">
        <f t="array" ref="AM28">_xlfn.LET(_xlpm.rep,$B28,_xlpm.sent,_xlfn.MAXIFS('Rework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8" s="31" t="str" cm="1">
        <f t="array" ref="AN28">_xlfn.LET(_xlpm.rep,$B28,_xlpm.sent,_xlfn.MAXIFS('Rework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9" spans="1:40" ht="14.45">
      <c r="A29" s="33" t="s">
        <v>127</v>
      </c>
      <c r="B29" s="33" t="s">
        <v>128</v>
      </c>
      <c r="C29" s="33" t="s">
        <v>129</v>
      </c>
      <c r="D29" t="str" cm="1">
        <f t="array" aca="1" ref="D29" ca="1">IF($B29="","",IF(LEFT($AJ29,3)="Yes","Blocked - "&amp;MID($AJ29,7,100)&amp;IF(SUMPRODUCT(('Rework Log'!$A$3:$A$499=$B29)*('Rework Log'!$G$3:$G$499&lt;&gt;"Yes")*('Rework Log'!$G$3:$G$499&lt;&gt;"Did not pass re-test"))=0,"",IF(SUMPRODUCT(MAX((('Rework Log'!$A$3:$A$499=$B29)*('Rework Log'!$G$3:$G$499&lt;&gt;"Yes")*('Rework Log'!$G$3:$G$499&lt;&gt;"Did not pass re-test"))*'Rework Log'!$I$3:$I$499))=0," - unclaimed"," - promised "&amp;TEXT(SUMPRODUCT(MAX((('Rework Log'!$A$3:$A$499=$B29)*('Rework Log'!$G$3:$G$499&lt;&gt;"Yes")*('Rework Log'!$G$3:$G$499&lt;&gt;"Did not pass re-test"))*'Rework Log'!$I$3:$I$499)),"m/d"))),IF(C29="NOT STARTED",IF(H29="","No plan date set",IF(H29&lt;TODAY(),"Review - planned start passed","On track")),IF(C29="DB Dev",_xlfn.LET(_xlpm.sent,_xlfn.MAXIFS('Rework Log'!$B$3:$B$499,'Rework Log'!$A$3:$A$499,$B29,'Rework Log'!$D$3:$D$499,"DB Dev"),_xlpm.expfix,_xlfn.MAXIFS('Rework Log'!$I$3:$I$499,'Rework Log'!$A$3:$A$499,$B29,'Rework Log'!$D$3:$D$499,"DB Dev",'Rework Log'!$B$3:$B$499,_xlpm.sent),_xlpm.tgt,IF(_xlpm.expfix&gt;0,_xlpm.expfix,IF(L29&lt;&gt;"",L29,K29)),_xlpm.act,IF(AND(M29&lt;&gt;"",M29&gt;=_xlpm.sent),M29,""),IF(_xlpm.tgt="","No target set",IF(AND(_xlpm.tgt&lt;TODAY(),_xlpm.act=""),"Overdue","On track"))),IF(C29="PBI Dev",_xlfn.LET(_xlpm.sent,_xlfn.MAXIFS('Rework Log'!$B$3:$B$499,'Rework Log'!$A$3:$A$499,$B29,'Rework Log'!$D$3:$D$499,"PBI Dev"),_xlpm.expfix,_xlfn.MAXIFS('Rework Log'!$I$3:$I$499,'Rework Log'!$A$3:$A$499,$B29,'Rework Log'!$D$3:$D$499,"PBI Dev",'Rework Log'!$B$3:$B$499,_xlpm.sent),_xlpm.tgt,IF(_xlpm.expfix&gt;0,_xlpm.expfix,IF(R29&lt;&gt;"",R29,Q29)),_xlpm.act,IF(AND(S29&lt;&gt;"",S29&gt;=_xlpm.sent),S29,""),IF(_xlpm.tgt="","No target set",IF(AND(_xlpm.tgt&lt;TODAY(),_xlpm.act=""),"Overdue","On track"))),IF(C29="QA",_xlfn.LET(_xlpm.tgt,IF(AM29&lt;&gt;"",AM29,IF(W29&lt;&gt;"",W29,V29)),_xlpm.sent,_xlfn.MAXIFS('Rework Log'!$B$3:$B$499,'Rework Log'!$A$3:$A$499,$B29,'Rework Log'!$C$3:$C$499,"QA"),_xlpm.act,IF(AND(Y29&lt;&gt;"",Y29&gt;=_xlpm.sent),Y29,""),IF(_xlpm.tgt="","No target set",IF(AND(_xlpm.tgt&lt;TODAY(),_xlpm.act=""),"Overdue","On track"))),IF(C29="DPO Approval",_xlfn.LET(_xlpm.tgt,IF(AN29&lt;&gt;"",AN29,IF(AB29&lt;&gt;"",AB29,AA29)),_xlpm.sent,_xlfn.MAXIFS('Rework Log'!$B$3:$B$499,'Rework Log'!$A$3:$A$499,$B29,'Rework Log'!$C$3:$C$499,"DPO*"),_xlpm.act,IF(AND(AC29&lt;&gt;"",AC29&gt;=_xlpm.sent),AC29,""),IF(_xlpm.tgt="","No target set",IF(AND(_xlpm.tgt&lt;TODAY(),_xlpm.act=""),"Overdue","On track"))),IF(C29="RELEASED IN PROD","Delivered",""))))))))</f>
        <v>Overdue</v>
      </c>
      <c r="E29" s="33">
        <v>1</v>
      </c>
      <c r="F29" s="34" t="s">
        <v>130</v>
      </c>
      <c r="G29" s="33"/>
      <c r="H29" s="50">
        <v>46234</v>
      </c>
      <c r="I29" s="61" t="s">
        <v>131</v>
      </c>
      <c r="J29" s="33" t="s">
        <v>76</v>
      </c>
      <c r="K29" s="4">
        <v>46213</v>
      </c>
      <c r="L29" s="36">
        <v>46244</v>
      </c>
      <c r="M29" s="37">
        <v>46245</v>
      </c>
      <c r="N29" s="47" t="s">
        <v>45</v>
      </c>
      <c r="O29" s="36" t="s">
        <v>132</v>
      </c>
      <c r="P29" s="65" t="s">
        <v>60</v>
      </c>
      <c r="Q29" s="4">
        <v>46220</v>
      </c>
      <c r="R29" s="36">
        <v>46245</v>
      </c>
      <c r="S29" s="74">
        <v>46245</v>
      </c>
      <c r="T29" s="69"/>
      <c r="U29" s="54" t="s">
        <v>130</v>
      </c>
      <c r="V29" s="59">
        <v>46227</v>
      </c>
      <c r="W29" s="36">
        <v>46248</v>
      </c>
      <c r="X29" s="36"/>
      <c r="Y29" s="36">
        <v>46252</v>
      </c>
      <c r="Z29" s="36"/>
      <c r="AA29" s="52">
        <v>46232</v>
      </c>
      <c r="AB29" s="36">
        <v>46267</v>
      </c>
      <c r="AC29" s="36"/>
      <c r="AD29" s="33" t="s">
        <v>133</v>
      </c>
      <c r="AE29" s="33" t="s">
        <v>49</v>
      </c>
      <c r="AF29" s="38"/>
      <c r="AG29" s="36"/>
      <c r="AH29" s="39"/>
      <c r="AI29" s="33"/>
      <c r="AJ29" s="40" t="s">
        <v>53</v>
      </c>
      <c r="AK29" s="73" t="str">
        <f>IF($B29="","",IF(AND(LEFT($AJ29,3)="Yes",SUMPRODUCT(('Rework Log'!$A$3:$A$499=$B29)*('Rework Log'!$G$3:$G$499&lt;&gt;"Yes")*('Rework Log'!$G$3:$G$499&lt;&gt;"Did not pass re-test"))=0),"Blocked - log it on Rework Log",IF(AND(LEFT($AJ29,3)&lt;&gt;"Yes",SUMPRODUCT(('Rework Log'!$A$3:$A$499=$B29)*('Rework Log'!$G$3:$G$499&lt;&gt;"Yes")*('Rework Log'!$G$3:$G$499&lt;&gt;"Did not pass re-test"))&gt;0),"Open rework row - mark Blocked? or close it",IF(AND($AJ29="Yes – needs DB Dev to fix",M29&lt;&gt;"",SUMPRODUCT(MAX((('Rework Log'!$A$3:$A$499=$B29)*('Rework Log'!$G$3:$G$499&lt;&gt;"Yes")*('Rework Log'!$G$3:$G$499&lt;&gt;"Did not pass re-test"))*'Rework Log'!$I$3:$I$499))&gt;0),"Move old DB Dev completion date to Rework Log (col H)",IF(AND($AJ29="Yes – needs PBI Dev to fix",S29&lt;&gt;"",SUMPRODUCT(MAX((('Rework Log'!$A$3:$A$499=$B29)*('Rework Log'!$G$3:$G$499&lt;&gt;"Yes")*('Rework Log'!$G$3:$G$499&lt;&gt;"Did not pass re-test"))*'Rework Log'!$I$3:$I$499))&gt;0),"Move old PBI Dev completion date to Rework Log (col H)",IF(AND($AJ29="Yes – needs QA to fix",Y29&lt;&gt;"",SUMPRODUCT(MAX((('Rework Log'!$A$3:$A$499=$B29)*('Rework Log'!$G$3:$G$499&lt;&gt;"Yes")*('Rework Log'!$G$3:$G$499&lt;&gt;"Did not pass re-test"))*'Rework Log'!$I$3:$I$499))&gt;0),"Move old QA completion date to Rework Log (col H)",IF(COUNTIF($B$2:$B$527,$B29)&gt;1,"Duplicate name - check row",IF(COUNTIF('Rework Log'!$A$3:$A$499,$B29)&gt;0,"",IF(AND(V29&lt;&gt;"",K29&lt;&gt;"",V29&lt;K29),"QA target is before DB Dev target",IF(AND(V29&lt;&gt;"",Q29&lt;&gt;"",V29&lt;Q29),"QA target is before PBI Dev target",IF(AND(AA29&lt;&gt;"",V29&lt;&gt;"",AA29&lt;V29),"DPO Approval target is before QA target",IF(AND(AG29&lt;&gt;"",AA29&lt;&gt;"",AG29&lt;AA29),"Confirmed Deployed date is before DPO Approval target",""))))))))))))</f>
        <v/>
      </c>
      <c r="AL29" s="41" t="s">
        <v>134</v>
      </c>
      <c r="AM29" s="32" cm="1">
        <f t="array" ref="AM29">_xlfn.LET(_xlpm.rep,$B29,_xlpm.sent,_xlfn.MAXIFS('Rework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46248</v>
      </c>
      <c r="AN29" s="32" t="str" cm="1">
        <f t="array" ref="AN29">_xlfn.LET(_xlpm.rep,$B29,_xlpm.sent,_xlfn.MAXIFS('Rework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0" spans="1:40" ht="14.45">
      <c r="A30" s="33" t="s">
        <v>127</v>
      </c>
      <c r="B30" s="33" t="s">
        <v>135</v>
      </c>
      <c r="C30" s="33" t="s">
        <v>129</v>
      </c>
      <c r="D30" t="str" cm="1">
        <f t="array" aca="1" ref="D30" ca="1">IF($B30="","",IF(LEFT($AJ30,3)="Yes","Blocked - "&amp;MID($AJ30,7,100)&amp;IF(SUMPRODUCT(('Rework Log'!$A$3:$A$499=$B30)*('Rework Log'!$G$3:$G$499&lt;&gt;"Yes")*('Rework Log'!$G$3:$G$499&lt;&gt;"Did not pass re-test"))=0,"",IF(SUMPRODUCT(MAX((('Rework Log'!$A$3:$A$499=$B30)*('Rework Log'!$G$3:$G$499&lt;&gt;"Yes")*('Rework Log'!$G$3:$G$499&lt;&gt;"Did not pass re-test"))*'Rework Log'!$I$3:$I$499))=0," - unclaimed"," - promised "&amp;TEXT(SUMPRODUCT(MAX((('Rework Log'!$A$3:$A$499=$B30)*('Rework Log'!$G$3:$G$499&lt;&gt;"Yes")*('Rework Log'!$G$3:$G$499&lt;&gt;"Did not pass re-test"))*'Rework Log'!$I$3:$I$499)),"m/d"))),IF(C30="NOT STARTED",IF(H30="","No plan date set",IF(H30&lt;TODAY(),"Review - planned start passed","On track")),IF(C30="DB Dev",IF(AND(L30="",K30=""),"No target set",IF(AND(IF(L30&lt;&gt;"",L30,K30)&lt;TODAY(),M30=""),"Overdue","On track")),IF(C30="PBI Dev",IF(AND(R30="",Q30=""),"No target set",IF(AND(IF(R30&lt;&gt;"",R30,Q30)&lt;TODAY(),S30=""),"Overdue","On track")),IF(C30="QA",_xlfn.LET(_xlpm.tgt,IF(AM30&lt;&gt;"",AM30,IF(W30&lt;&gt;"",W30,V30)),_xlpm.sent,_xlfn.MAXIFS('Rework Log'!$B$3:$B$499,'Rework Log'!$A$3:$A$499,$B30,'Rework Log'!$C$3:$C$499,"QA"),_xlpm.act,IF(AND(Y30&lt;&gt;"",Y30&gt;_xlpm.sent),Y30,""),IF(_xlpm.tgt="","No target set",IF(AND(_xlpm.tgt&lt;TODAY(),_xlpm.act=""),"Overdue","On track"))),IF(C30="DPO Approval",_xlfn.LET(_xlpm.tgt,IF(AN30&lt;&gt;"",AN30,IF(AB30&lt;&gt;"",AB30,AA30)),_xlpm.sent,_xlfn.MAXIFS('Rework Log'!$B$3:$B$499,'Rework Log'!$A$3:$A$499,$B30,'Rework Log'!$C$3:$C$499,"DPO*"),_xlpm.act,IF(AND(AC30&lt;&gt;"",AC30&gt;_xlpm.sent),AC30,""),IF(_xlpm.tgt="","No target set",IF(AND(_xlpm.tgt&lt;TODAY(),_xlpm.act=""),"Overdue","On track"))),IF(C30="RELEASED IN PROD","Delivered",""))))))))</f>
        <v>Overdue</v>
      </c>
      <c r="E30" s="33">
        <v>2</v>
      </c>
      <c r="F30" s="34" t="s">
        <v>130</v>
      </c>
      <c r="G30" s="33"/>
      <c r="H30" s="50">
        <v>46234</v>
      </c>
      <c r="I30" s="61" t="s">
        <v>131</v>
      </c>
      <c r="J30" s="33" t="s">
        <v>118</v>
      </c>
      <c r="K30" s="4">
        <v>46213</v>
      </c>
      <c r="L30" s="36">
        <v>46244</v>
      </c>
      <c r="M30" s="35">
        <v>46255</v>
      </c>
      <c r="N30" s="47" t="s">
        <v>45</v>
      </c>
      <c r="O30" s="36" t="s">
        <v>132</v>
      </c>
      <c r="P30" s="65" t="s">
        <v>77</v>
      </c>
      <c r="Q30" s="4">
        <v>46220</v>
      </c>
      <c r="R30" s="36">
        <v>46245</v>
      </c>
      <c r="S30" s="36">
        <v>46246</v>
      </c>
      <c r="T30" s="69"/>
      <c r="U30" s="54" t="s">
        <v>130</v>
      </c>
      <c r="V30" s="59">
        <v>46227</v>
      </c>
      <c r="W30" s="36">
        <v>46260</v>
      </c>
      <c r="X30" s="36"/>
      <c r="Y30" s="36">
        <v>46255</v>
      </c>
      <c r="Z30" s="36"/>
      <c r="AA30" s="52">
        <v>46232</v>
      </c>
      <c r="AB30" s="36">
        <v>46267</v>
      </c>
      <c r="AC30" s="36"/>
      <c r="AD30" s="33" t="s">
        <v>136</v>
      </c>
      <c r="AE30" s="33" t="s">
        <v>49</v>
      </c>
      <c r="AF30" s="38"/>
      <c r="AG30" s="36"/>
      <c r="AH30" s="39"/>
      <c r="AI30" s="33"/>
      <c r="AJ30" s="40" t="s">
        <v>53</v>
      </c>
      <c r="AK30" s="73" t="str">
        <f>IF($B30="","",IF(AND(LEFT($AJ30,3)="Yes",SUMPRODUCT(('Rework Log'!$A$3:$A$499=$B30)*('Rework Log'!$G$3:$G$499&lt;&gt;"Yes")*('Rework Log'!$G$3:$G$499&lt;&gt;"Did not pass re-test"))=0),"Blocked - log it on Rework Log",IF(AND(LEFT($AJ30,3)&lt;&gt;"Yes",SUMPRODUCT(('Rework Log'!$A$3:$A$499=$B30)*('Rework Log'!$G$3:$G$499&lt;&gt;"Yes")*('Rework Log'!$G$3:$G$499&lt;&gt;"Did not pass re-test"))&gt;0),"Open rework row - mark Blocked? or close it",IF(AND($AJ30="Yes – needs DB Dev to fix",M30&lt;&gt;"",SUMPRODUCT(MAX((('Rework Log'!$A$3:$A$499=$B30)*('Rework Log'!$G$3:$G$499&lt;&gt;"Yes")*('Rework Log'!$G$3:$G$499&lt;&gt;"Did not pass re-test"))*'Rework Log'!$I$3:$I$499))&gt;0),"Move old DB Dev completion date to Rework Log (col H)",IF(AND($AJ30="Yes – needs PBI Dev to fix",S30&lt;&gt;"",SUMPRODUCT(MAX((('Rework Log'!$A$3:$A$499=$B30)*('Rework Log'!$G$3:$G$499&lt;&gt;"Yes")*('Rework Log'!$G$3:$G$499&lt;&gt;"Did not pass re-test"))*'Rework Log'!$I$3:$I$499))&gt;0),"Move old PBI Dev completion date to Rework Log (col H)",IF(AND($AJ30="Yes – needs QA to fix",Y30&lt;&gt;"",SUMPRODUCT(MAX((('Rework Log'!$A$3:$A$499=$B30)*('Rework Log'!$G$3:$G$499&lt;&gt;"Yes")*('Rework Log'!$G$3:$G$499&lt;&gt;"Did not pass re-test"))*'Rework Log'!$I$3:$I$499))&gt;0),"Move old QA completion date to Rework Log (col H)",IF(COUNTIF($B$2:$B$527,$B30)&gt;1,"Duplicate name - check row",IF(COUNTIF('Rework Log'!$A$3:$A$499,$B30)&gt;0,"",IF(AND(V30&lt;&gt;"",K30&lt;&gt;"",V30&lt;K30),"QA target is before DB Dev target",IF(AND(V30&lt;&gt;"",Q30&lt;&gt;"",V30&lt;Q30),"QA target is before PBI Dev target",IF(AND(AA30&lt;&gt;"",V30&lt;&gt;"",AA30&lt;V30),"DPO Approval target is before QA target",IF(AND(AG30&lt;&gt;"",AA30&lt;&gt;"",AG30&lt;AA30),"Confirmed Deployed date is before DPO Approval target",""))))))))))))</f>
        <v/>
      </c>
      <c r="AL30" s="41" t="s">
        <v>137</v>
      </c>
      <c r="AM30" s="32" cm="1">
        <f t="array" ref="AM30">_xlfn.LET(_xlpm.rep,$B30,_xlpm.sent,_xlfn.MAXIFS('Rework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46260</v>
      </c>
      <c r="AN30" s="32" t="str" cm="1">
        <f t="array" ref="AN30">_xlfn.LET(_xlpm.rep,$B30,_xlpm.sent,_xlfn.MAXIFS('Rework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1" spans="1:40" ht="14.45">
      <c r="A31" s="33" t="s">
        <v>127</v>
      </c>
      <c r="B31" s="33" t="s">
        <v>138</v>
      </c>
      <c r="C31" s="33" t="s">
        <v>129</v>
      </c>
      <c r="D31" t="str" cm="1">
        <f t="array" aca="1" ref="D31" ca="1">IF($B31="","",IF(LEFT($AJ31,3)="Yes","Blocked - "&amp;MID($AJ31,7,100)&amp;IF(SUMPRODUCT(('Rework Log'!$A$3:$A$499=$B31)*('Rework Log'!$G$3:$G$499&lt;&gt;"Yes")*('Rework Log'!$G$3:$G$499&lt;&gt;"Did not pass re-test"))=0,"",IF(SUMPRODUCT(MAX((('Rework Log'!$A$3:$A$499=$B31)*('Rework Log'!$G$3:$G$499&lt;&gt;"Yes")*('Rework Log'!$G$3:$G$499&lt;&gt;"Did not pass re-test"))*'Rework Log'!$I$3:$I$499))=0," - unclaimed"," - promised "&amp;TEXT(SUMPRODUCT(MAX((('Rework Log'!$A$3:$A$499=$B31)*('Rework Log'!$G$3:$G$499&lt;&gt;"Yes")*('Rework Log'!$G$3:$G$499&lt;&gt;"Did not pass re-test"))*'Rework Log'!$I$3:$I$499)),"m/d"))),IF(C31="NOT STARTED",IF(H31="","No plan date set",IF(H31&lt;TODAY(),"Review - planned start passed","On track")),IF(C31="DB Dev",IF(AND(L31="",K31=""),"No target set",IF(AND(IF(L31&lt;&gt;"",L31,K31)&lt;TODAY(),M31=""),"Overdue","On track")),IF(C31="PBI Dev",IF(AND(R31="",Q31=""),"No target set",IF(AND(IF(R31&lt;&gt;"",R31,Q31)&lt;TODAY(),S31=""),"Overdue","On track")),IF(C31="QA",_xlfn.LET(_xlpm.tgt,IF(AM31&lt;&gt;"",AM31,IF(W31&lt;&gt;"",W31,V31)),_xlpm.sent,_xlfn.MAXIFS('Rework Log'!$B$3:$B$499,'Rework Log'!$A$3:$A$499,$B31,'Rework Log'!$C$3:$C$499,"QA"),_xlpm.act,IF(AND(Y31&lt;&gt;"",Y31&gt;_xlpm.sent),Y31,""),IF(_xlpm.tgt="","No target set",IF(AND(_xlpm.tgt&lt;TODAY(),_xlpm.act=""),"Overdue","On track"))),IF(C31="DPO Approval",_xlfn.LET(_xlpm.tgt,IF(AN31&lt;&gt;"",AN31,IF(AB31&lt;&gt;"",AB31,AA31)),_xlpm.sent,_xlfn.MAXIFS('Rework Log'!$B$3:$B$499,'Rework Log'!$A$3:$A$499,$B31,'Rework Log'!$C$3:$C$499,"DPO*"),_xlpm.act,IF(AND(AC31&lt;&gt;"",AC31&gt;_xlpm.sent),AC31,""),IF(_xlpm.tgt="","No target set",IF(AND(_xlpm.tgt&lt;TODAY(),_xlpm.act=""),"Overdue","On track"))),IF(C31="RELEASED IN PROD","Delivered",""))))))))</f>
        <v>Overdue</v>
      </c>
      <c r="E31" s="33">
        <v>3</v>
      </c>
      <c r="F31" s="34" t="s">
        <v>130</v>
      </c>
      <c r="G31" s="33"/>
      <c r="H31" s="50">
        <v>46234</v>
      </c>
      <c r="I31" s="61" t="s">
        <v>131</v>
      </c>
      <c r="J31" s="33" t="s">
        <v>118</v>
      </c>
      <c r="K31" s="4">
        <v>46213</v>
      </c>
      <c r="L31" s="36">
        <v>46245</v>
      </c>
      <c r="M31" s="35">
        <v>46246</v>
      </c>
      <c r="N31" s="47" t="s">
        <v>45</v>
      </c>
      <c r="O31" s="36" t="s">
        <v>132</v>
      </c>
      <c r="P31" s="65" t="s">
        <v>77</v>
      </c>
      <c r="Q31" s="4">
        <v>46220</v>
      </c>
      <c r="R31" s="36">
        <v>46246</v>
      </c>
      <c r="S31" s="36">
        <v>46251</v>
      </c>
      <c r="T31" s="69"/>
      <c r="U31" s="54" t="s">
        <v>130</v>
      </c>
      <c r="V31" s="59">
        <v>46227</v>
      </c>
      <c r="W31" s="36">
        <v>46253</v>
      </c>
      <c r="X31" s="36"/>
      <c r="Y31" s="36">
        <v>46258</v>
      </c>
      <c r="Z31" s="36"/>
      <c r="AA31" s="52">
        <v>46232</v>
      </c>
      <c r="AB31" s="36">
        <v>46267</v>
      </c>
      <c r="AC31" s="36"/>
      <c r="AD31" s="33" t="s">
        <v>133</v>
      </c>
      <c r="AE31" s="33" t="s">
        <v>49</v>
      </c>
      <c r="AF31" s="38"/>
      <c r="AG31" s="36"/>
      <c r="AH31" s="39"/>
      <c r="AI31" s="33"/>
      <c r="AJ31" s="40" t="s">
        <v>53</v>
      </c>
      <c r="AK31" s="73" t="str">
        <f>IF($B31="","",IF(AND(LEFT($AJ31,3)="Yes",SUMPRODUCT(('Rework Log'!$A$3:$A$499=$B31)*('Rework Log'!$G$3:$G$499&lt;&gt;"Yes")*('Rework Log'!$G$3:$G$499&lt;&gt;"Did not pass re-test"))=0),"Blocked - log it on Rework Log",IF(AND(LEFT($AJ31,3)&lt;&gt;"Yes",SUMPRODUCT(('Rework Log'!$A$3:$A$499=$B31)*('Rework Log'!$G$3:$G$499&lt;&gt;"Yes")*('Rework Log'!$G$3:$G$499&lt;&gt;"Did not pass re-test"))&gt;0),"Open rework row - mark Blocked? or close it",IF(AND($AJ31="Yes – needs DB Dev to fix",M31&lt;&gt;"",SUMPRODUCT(MAX((('Rework Log'!$A$3:$A$499=$B31)*('Rework Log'!$G$3:$G$499&lt;&gt;"Yes")*('Rework Log'!$G$3:$G$499&lt;&gt;"Did not pass re-test"))*'Rework Log'!$I$3:$I$499))&gt;0),"Move old DB Dev completion date to Rework Log (col H)",IF(AND($AJ31="Yes – needs PBI Dev to fix",S31&lt;&gt;"",SUMPRODUCT(MAX((('Rework Log'!$A$3:$A$499=$B31)*('Rework Log'!$G$3:$G$499&lt;&gt;"Yes")*('Rework Log'!$G$3:$G$499&lt;&gt;"Did not pass re-test"))*'Rework Log'!$I$3:$I$499))&gt;0),"Move old PBI Dev completion date to Rework Log (col H)",IF(AND($AJ31="Yes – needs QA to fix",Y31&lt;&gt;"",SUMPRODUCT(MAX((('Rework Log'!$A$3:$A$499=$B31)*('Rework Log'!$G$3:$G$499&lt;&gt;"Yes")*('Rework Log'!$G$3:$G$499&lt;&gt;"Did not pass re-test"))*'Rework Log'!$I$3:$I$499))&gt;0),"Move old QA completion date to Rework Log (col H)",IF(COUNTIF($B$2:$B$527,$B31)&gt;1,"Duplicate name - check row",IF(COUNTIF('Rework Log'!$A$3:$A$499,$B31)&gt;0,"",IF(AND(V31&lt;&gt;"",K31&lt;&gt;"",V31&lt;K31),"QA target is before DB Dev target",IF(AND(V31&lt;&gt;"",Q31&lt;&gt;"",V31&lt;Q31),"QA target is before PBI Dev target",IF(AND(AA31&lt;&gt;"",V31&lt;&gt;"",AA31&lt;V31),"DPO Approval target is before QA target",IF(AND(AG31&lt;&gt;"",AA31&lt;&gt;"",AG31&lt;AA31),"Confirmed Deployed date is before DPO Approval target",""))))))))))))</f>
        <v/>
      </c>
      <c r="AL31" s="41" t="s">
        <v>139</v>
      </c>
      <c r="AM31" s="32" cm="1">
        <f t="array" ref="AM31">_xlfn.LET(_xlpm.rep,$B31,_xlpm.sent,_xlfn.MAXIFS('Rework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46272</v>
      </c>
      <c r="AN31" s="32" t="str" cm="1">
        <f t="array" ref="AN31">_xlfn.LET(_xlpm.rep,$B31,_xlpm.sent,_xlfn.MAXIFS('Rework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2" spans="1:40" ht="14.45">
      <c r="A32" s="33" t="s">
        <v>127</v>
      </c>
      <c r="B32" s="33" t="s">
        <v>140</v>
      </c>
      <c r="C32" s="33" t="s">
        <v>141</v>
      </c>
      <c r="D32" t="str" cm="1">
        <f t="array" aca="1" ref="D32" ca="1">IF($B32="","",IF(LEFT($AJ32,3)="Yes","Blocked - "&amp;MID($AJ32,7,100)&amp;IF(SUMPRODUCT(('Rework Log'!$A$3:$A$499=$B32)*('Rework Log'!$G$3:$G$499&lt;&gt;"Yes")*('Rework Log'!$G$3:$G$499&lt;&gt;"Did not pass re-test"))=0,"",IF(SUMPRODUCT(MAX((('Rework Log'!$A$3:$A$499=$B32)*('Rework Log'!$G$3:$G$499&lt;&gt;"Yes")*('Rework Log'!$G$3:$G$499&lt;&gt;"Did not pass re-test"))*'Rework Log'!$I$3:$I$499))=0," - unclaimed"," - promised "&amp;TEXT(SUMPRODUCT(MAX((('Rework Log'!$A$3:$A$499=$B32)*('Rework Log'!$G$3:$G$499&lt;&gt;"Yes")*('Rework Log'!$G$3:$G$499&lt;&gt;"Did not pass re-test"))*'Rework Log'!$I$3:$I$499)),"m/d"))),IF(C32="NOT STARTED",IF(H32="","No plan date set",IF(H32&lt;TODAY(),"Review - planned start passed","On track")),IF(C32="DB Dev",IF(AND(L32="",K32=""),"No target set",IF(AND(IF(L32&lt;&gt;"",L32,K32)&lt;TODAY(),M32=""),"Overdue","On track")),IF(C32="PBI Dev",IF(AND(R32="",Q32=""),"No target set",IF(AND(IF(R32&lt;&gt;"",R32,Q32)&lt;TODAY(),S32=""),"Overdue","On track")),IF(C32="QA",_xlfn.LET(_xlpm.tgt,IF(AM32&lt;&gt;"",AM32,IF(W32&lt;&gt;"",W32,V32)),_xlpm.sent,_xlfn.MAXIFS('Rework Log'!$B$3:$B$499,'Rework Log'!$A$3:$A$499,$B32,'Rework Log'!$C$3:$C$499,"QA"),_xlpm.act,IF(AND(Y32&lt;&gt;"",Y32&gt;_xlpm.sent),Y32,""),IF(_xlpm.tgt="","No target set",IF(AND(_xlpm.tgt&lt;TODAY(),_xlpm.act=""),"Overdue","On track"))),IF(C32="DPO Approval",_xlfn.LET(_xlpm.tgt,IF(AN32&lt;&gt;"",AN32,IF(AB32&lt;&gt;"",AB32,AA32)),_xlpm.sent,_xlfn.MAXIFS('Rework Log'!$B$3:$B$499,'Rework Log'!$A$3:$A$499,$B32,'Rework Log'!$C$3:$C$499,"DPO*"),_xlpm.act,IF(AND(AC32&lt;&gt;"",AC32&gt;_xlpm.sent),AC32,""),IF(_xlpm.tgt="","No target set",IF(AND(_xlpm.tgt&lt;TODAY(),_xlpm.act=""),"Overdue","On track"))),IF(C32="RELEASED IN PROD","Delivered",""))))))))</f>
        <v>On track</v>
      </c>
      <c r="E32" s="33">
        <v>4</v>
      </c>
      <c r="F32" s="34" t="s">
        <v>130</v>
      </c>
      <c r="G32" s="33"/>
      <c r="H32" s="50">
        <v>46234</v>
      </c>
      <c r="I32" s="61" t="s">
        <v>131</v>
      </c>
      <c r="J32" s="33" t="s">
        <v>59</v>
      </c>
      <c r="K32" s="4">
        <v>46213</v>
      </c>
      <c r="L32" s="36"/>
      <c r="M32" s="37">
        <v>46266</v>
      </c>
      <c r="N32" s="47" t="s">
        <v>45</v>
      </c>
      <c r="O32" s="36" t="s">
        <v>132</v>
      </c>
      <c r="P32" s="65" t="s">
        <v>46</v>
      </c>
      <c r="Q32" s="4">
        <v>46220</v>
      </c>
      <c r="R32" s="36">
        <v>46251</v>
      </c>
      <c r="S32" s="36">
        <v>46253</v>
      </c>
      <c r="T32" s="69"/>
      <c r="U32" s="54" t="s">
        <v>47</v>
      </c>
      <c r="V32" s="59">
        <v>46227</v>
      </c>
      <c r="W32" s="36">
        <v>46269</v>
      </c>
      <c r="X32" s="36"/>
      <c r="Y32" s="36"/>
      <c r="Z32" s="36"/>
      <c r="AA32" s="52">
        <v>46232</v>
      </c>
      <c r="AB32" s="36">
        <v>46267</v>
      </c>
      <c r="AC32" s="36"/>
      <c r="AD32" s="33" t="s">
        <v>142</v>
      </c>
      <c r="AE32" s="33" t="s">
        <v>49</v>
      </c>
      <c r="AF32" s="38"/>
      <c r="AG32" s="36"/>
      <c r="AH32" s="39"/>
      <c r="AI32" s="33"/>
      <c r="AJ32" s="40" t="s">
        <v>53</v>
      </c>
      <c r="AK32" s="73" t="str">
        <f>IF($B32="","",IF(AND(LEFT($AJ32,3)="Yes",SUMPRODUCT(('Rework Log'!$A$3:$A$499=$B32)*('Rework Log'!$G$3:$G$499&lt;&gt;"Yes")*('Rework Log'!$G$3:$G$499&lt;&gt;"Did not pass re-test"))=0),"Blocked - log it on Rework Log",IF(AND(LEFT($AJ32,3)&lt;&gt;"Yes",SUMPRODUCT(('Rework Log'!$A$3:$A$499=$B32)*('Rework Log'!$G$3:$G$499&lt;&gt;"Yes")*('Rework Log'!$G$3:$G$499&lt;&gt;"Did not pass re-test"))&gt;0),"Open rework row - mark Blocked? or close it",IF(AND($AJ32="Yes – needs DB Dev to fix",M32&lt;&gt;"",SUMPRODUCT(MAX((('Rework Log'!$A$3:$A$499=$B32)*('Rework Log'!$G$3:$G$499&lt;&gt;"Yes")*('Rework Log'!$G$3:$G$499&lt;&gt;"Did not pass re-test"))*'Rework Log'!$I$3:$I$499))&gt;0),"Move old DB Dev completion date to Rework Log (col H)",IF(AND($AJ32="Yes – needs PBI Dev to fix",S32&lt;&gt;"",SUMPRODUCT(MAX((('Rework Log'!$A$3:$A$499=$B32)*('Rework Log'!$G$3:$G$499&lt;&gt;"Yes")*('Rework Log'!$G$3:$G$499&lt;&gt;"Did not pass re-test"))*'Rework Log'!$I$3:$I$499))&gt;0),"Move old PBI Dev completion date to Rework Log (col H)",IF(AND($AJ32="Yes – needs QA to fix",Y32&lt;&gt;"",SUMPRODUCT(MAX((('Rework Log'!$A$3:$A$499=$B32)*('Rework Log'!$G$3:$G$499&lt;&gt;"Yes")*('Rework Log'!$G$3:$G$499&lt;&gt;"Did not pass re-test"))*'Rework Log'!$I$3:$I$499))&gt;0),"Move old QA completion date to Rework Log (col H)",IF(COUNTIF($B$2:$B$527,$B32)&gt;1,"Duplicate name - check row",IF(COUNTIF('Rework Log'!$A$3:$A$499,$B32)&gt;0,"",IF(AND(V32&lt;&gt;"",K32&lt;&gt;"",V32&lt;K32),"QA target is before DB Dev target",IF(AND(V32&lt;&gt;"",Q32&lt;&gt;"",V32&lt;Q32),"QA target is before PBI Dev target",IF(AND(AA32&lt;&gt;"",V32&lt;&gt;"",AA32&lt;V32),"DPO Approval target is before QA target",IF(AND(AG32&lt;&gt;"",AA32&lt;&gt;"",AG32&lt;AA32),"Confirmed Deployed date is before DPO Approval target",""))))))))))))</f>
        <v/>
      </c>
      <c r="AL32" s="41" t="s">
        <v>143</v>
      </c>
      <c r="AM32" s="32" cm="1">
        <f t="array" ref="AM32">_xlfn.LET(_xlpm.rep,$B32,_xlpm.sent,_xlfn.MAXIFS('Rework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46269</v>
      </c>
      <c r="AN32" s="32" t="str" cm="1">
        <f t="array" ref="AN32">_xlfn.LET(_xlpm.rep,$B32,_xlpm.sent,_xlfn.MAXIFS('Rework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3" spans="1:40" ht="14.45">
      <c r="A33" s="33" t="s">
        <v>127</v>
      </c>
      <c r="B33" s="33" t="s">
        <v>144</v>
      </c>
      <c r="C33" s="33" t="s">
        <v>129</v>
      </c>
      <c r="D33" t="str" cm="1">
        <f t="array" aca="1" ref="D33" ca="1">IF($B33="","",IF(LEFT($AJ33,3)="Yes","Blocked - "&amp;MID($AJ33,7,100)&amp;IF(SUMPRODUCT(('Rework Log'!$A$3:$A$499=$B33)*('Rework Log'!$G$3:$G$499&lt;&gt;"Yes")*('Rework Log'!$G$3:$G$499&lt;&gt;"Did not pass re-test"))=0,"",IF(SUMPRODUCT(MAX((('Rework Log'!$A$3:$A$499=$B33)*('Rework Log'!$G$3:$G$499&lt;&gt;"Yes")*('Rework Log'!$G$3:$G$499&lt;&gt;"Did not pass re-test"))*'Rework Log'!$I$3:$I$499))=0," - unclaimed"," - promised "&amp;TEXT(SUMPRODUCT(MAX((('Rework Log'!$A$3:$A$499=$B33)*('Rework Log'!$G$3:$G$499&lt;&gt;"Yes")*('Rework Log'!$G$3:$G$499&lt;&gt;"Did not pass re-test"))*'Rework Log'!$I$3:$I$499)),"m/d"))),IF(C33="NOT STARTED",IF(H33="","No plan date set",IF(H33&lt;TODAY(),"Review - planned start passed","On track")),IF(C33="DB Dev",IF(AND(L33="",K33=""),"No target set",IF(AND(IF(L33&lt;&gt;"",L33,K33)&lt;TODAY(),M33=""),"Overdue","On track")),IF(C33="PBI Dev",IF(AND(R33="",Q33=""),"No target set",IF(AND(IF(R33&lt;&gt;"",R33,Q33)&lt;TODAY(),S33=""),"Overdue","On track")),IF(C33="QA",_xlfn.LET(_xlpm.tgt,IF(AM33&lt;&gt;"",AM33,IF(W33&lt;&gt;"",W33,V33)),_xlpm.sent,_xlfn.MAXIFS('Rework Log'!$B$3:$B$499,'Rework Log'!$A$3:$A$499,$B33,'Rework Log'!$C$3:$C$499,"QA"),_xlpm.act,IF(AND(Y33&lt;&gt;"",Y33&gt;_xlpm.sent),Y33,""),IF(_xlpm.tgt="","No target set",IF(AND(_xlpm.tgt&lt;TODAY(),_xlpm.act=""),"Overdue","On track"))),IF(C33="DPO Approval",_xlfn.LET(_xlpm.tgt,IF(AN33&lt;&gt;"",AN33,IF(AB33&lt;&gt;"",AB33,AA33)),_xlpm.sent,_xlfn.MAXIFS('Rework Log'!$B$3:$B$499,'Rework Log'!$A$3:$A$499,$B33,'Rework Log'!$C$3:$C$499,"DPO*"),_xlpm.act,IF(AND(AC33&lt;&gt;"",AC33&gt;_xlpm.sent),AC33,""),IF(_xlpm.tgt="","No target set",IF(AND(_xlpm.tgt&lt;TODAY(),_xlpm.act=""),"Overdue","On track"))),IF(C33="RELEASED IN PROD","Delivered",""))))))))</f>
        <v>Overdue</v>
      </c>
      <c r="E33" s="33">
        <v>5</v>
      </c>
      <c r="F33" s="34" t="s">
        <v>130</v>
      </c>
      <c r="G33" s="33"/>
      <c r="H33" s="50">
        <v>46234</v>
      </c>
      <c r="I33" s="61" t="s">
        <v>131</v>
      </c>
      <c r="J33" s="33" t="s">
        <v>103</v>
      </c>
      <c r="K33" s="4">
        <v>46213</v>
      </c>
      <c r="L33" s="36">
        <v>46246</v>
      </c>
      <c r="M33" s="37">
        <v>46251</v>
      </c>
      <c r="N33" s="47" t="s">
        <v>45</v>
      </c>
      <c r="O33" s="36" t="s">
        <v>132</v>
      </c>
      <c r="P33" s="65" t="s">
        <v>77</v>
      </c>
      <c r="Q33" s="4">
        <v>46220</v>
      </c>
      <c r="R33" s="36">
        <v>46246</v>
      </c>
      <c r="S33" s="36">
        <v>46244</v>
      </c>
      <c r="T33" s="69"/>
      <c r="U33" s="54" t="s">
        <v>47</v>
      </c>
      <c r="V33" s="59">
        <v>46227</v>
      </c>
      <c r="W33" s="36">
        <v>46254</v>
      </c>
      <c r="X33" s="36"/>
      <c r="Y33" s="36">
        <v>46254</v>
      </c>
      <c r="Z33" s="36"/>
      <c r="AA33" s="52">
        <v>46232</v>
      </c>
      <c r="AB33" s="36">
        <v>46267</v>
      </c>
      <c r="AC33" s="36"/>
      <c r="AD33" s="33" t="s">
        <v>133</v>
      </c>
      <c r="AE33" s="33" t="s">
        <v>49</v>
      </c>
      <c r="AF33" s="38"/>
      <c r="AG33" s="36"/>
      <c r="AH33" s="39"/>
      <c r="AI33" s="33"/>
      <c r="AJ33" s="40" t="s">
        <v>53</v>
      </c>
      <c r="AK33" s="73"/>
      <c r="AL33" s="41" t="s">
        <v>145</v>
      </c>
      <c r="AM33" s="32" cm="1">
        <f t="array" ref="AM33">_xlfn.LET(_xlpm.rep,$B33,_xlpm.sent,_xlfn.MAXIFS('Rework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46254</v>
      </c>
      <c r="AN33" s="32" t="str" cm="1">
        <f t="array" ref="AN33">_xlfn.LET(_xlpm.rep,$B33,_xlpm.sent,_xlfn.MAXIFS('Rework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4" spans="1:40" ht="14.45">
      <c r="A34" s="33" t="s">
        <v>127</v>
      </c>
      <c r="B34" s="33" t="s">
        <v>146</v>
      </c>
      <c r="C34" s="33" t="s">
        <v>129</v>
      </c>
      <c r="D34" t="str" cm="1">
        <f t="array" aca="1" ref="D34" ca="1">IF($B34="","",IF(LEFT($AJ34,3)="Yes","Blocked - "&amp;MID($AJ34,7,100)&amp;IF(SUMPRODUCT(('Rework Log'!$A$3:$A$499=$B34)*('Rework Log'!$G$3:$G$499&lt;&gt;"Yes")*('Rework Log'!$G$3:$G$499&lt;&gt;"Did not pass re-test"))=0,"",IF(SUMPRODUCT(MAX((('Rework Log'!$A$3:$A$499=$B34)*('Rework Log'!$G$3:$G$499&lt;&gt;"Yes")*('Rework Log'!$G$3:$G$499&lt;&gt;"Did not pass re-test"))*'Rework Log'!$I$3:$I$499))=0," - unclaimed"," - promised "&amp;TEXT(SUMPRODUCT(MAX((('Rework Log'!$A$3:$A$499=$B34)*('Rework Log'!$G$3:$G$499&lt;&gt;"Yes")*('Rework Log'!$G$3:$G$499&lt;&gt;"Did not pass re-test"))*'Rework Log'!$I$3:$I$499)),"m/d"))),IF(C34="NOT STARTED",IF(H34="","No plan date set",IF(H34&lt;TODAY(),"Review - planned start passed","On track")),IF(C34="DB Dev",IF(AND(L34="",K34=""),"No target set",IF(AND(IF(L34&lt;&gt;"",L34,K34)&lt;TODAY(),M34=""),"Overdue","On track")),IF(C34="PBI Dev",IF(AND(R34="",Q34=""),"No target set",IF(AND(IF(R34&lt;&gt;"",R34,Q34)&lt;TODAY(),S34=""),"Overdue","On track")),IF(C34="QA",_xlfn.LET(_xlpm.tgt,IF(AM34&lt;&gt;"",AM34,IF(W34&lt;&gt;"",W34,V34)),_xlpm.sent,_xlfn.MAXIFS('Rework Log'!$B$3:$B$499,'Rework Log'!$A$3:$A$499,$B34,'Rework Log'!$C$3:$C$499,"QA"),_xlpm.act,IF(AND(Y34&lt;&gt;"",Y34&gt;_xlpm.sent),Y34,""),IF(_xlpm.tgt="","No target set",IF(AND(_xlpm.tgt&lt;TODAY(),_xlpm.act=""),"Overdue","On track"))),IF(C34="DPO Approval",_xlfn.LET(_xlpm.tgt,IF(AN34&lt;&gt;"",AN34,IF(AB34&lt;&gt;"",AB34,AA34)),_xlpm.sent,_xlfn.MAXIFS('Rework Log'!$B$3:$B$499,'Rework Log'!$A$3:$A$499,$B34,'Rework Log'!$C$3:$C$499,"DPO*"),_xlpm.act,IF(AND(AC34&lt;&gt;"",AC34&gt;_xlpm.sent),AC34,""),IF(_xlpm.tgt="","No target set",IF(AND(_xlpm.tgt&lt;TODAY(),_xlpm.act=""),"Overdue","On track"))),IF(C34="RELEASED IN PROD","Delivered",""))))))))</f>
        <v>On track</v>
      </c>
      <c r="E34" s="33">
        <v>6</v>
      </c>
      <c r="F34" s="34" t="s">
        <v>147</v>
      </c>
      <c r="G34" s="33"/>
      <c r="H34" s="50">
        <v>46234</v>
      </c>
      <c r="I34" s="61" t="s">
        <v>131</v>
      </c>
      <c r="J34" s="33" t="s">
        <v>84</v>
      </c>
      <c r="K34" s="4">
        <v>46213</v>
      </c>
      <c r="L34" s="36">
        <v>46246</v>
      </c>
      <c r="M34" s="36">
        <v>46252</v>
      </c>
      <c r="N34" s="36" t="s">
        <v>45</v>
      </c>
      <c r="O34" s="36" t="s">
        <v>132</v>
      </c>
      <c r="P34" s="65" t="s">
        <v>60</v>
      </c>
      <c r="Q34" s="4">
        <v>46220</v>
      </c>
      <c r="R34" s="36">
        <v>46246</v>
      </c>
      <c r="S34" s="36">
        <v>46251</v>
      </c>
      <c r="T34" s="69"/>
      <c r="U34" s="54" t="s">
        <v>147</v>
      </c>
      <c r="V34" s="59">
        <v>46227</v>
      </c>
      <c r="W34" s="36">
        <v>46255</v>
      </c>
      <c r="X34" s="36"/>
      <c r="Y34" s="36">
        <v>46255</v>
      </c>
      <c r="Z34" s="36"/>
      <c r="AA34" s="52">
        <v>46232</v>
      </c>
      <c r="AB34" s="36">
        <v>46269</v>
      </c>
      <c r="AC34" s="36"/>
      <c r="AD34" s="33" t="s">
        <v>133</v>
      </c>
      <c r="AE34" s="33" t="s">
        <v>49</v>
      </c>
      <c r="AF34" s="38"/>
      <c r="AG34" s="36"/>
      <c r="AH34" s="39"/>
      <c r="AI34" s="33"/>
      <c r="AJ34" s="40" t="s">
        <v>53</v>
      </c>
      <c r="AK34" s="73" t="str">
        <f>IF($B34="","",IF(AND(LEFT($AJ34,3)="Yes",SUMPRODUCT(('Rework Log'!$A$3:$A$499=$B34)*('Rework Log'!$G$3:$G$499&lt;&gt;"Yes")*('Rework Log'!$G$3:$G$499&lt;&gt;"Did not pass re-test"))=0),"Blocked - log it on Rework Log",IF(AND(LEFT($AJ34,3)&lt;&gt;"Yes",SUMPRODUCT(('Rework Log'!$A$3:$A$499=$B34)*('Rework Log'!$G$3:$G$499&lt;&gt;"Yes")*('Rework Log'!$G$3:$G$499&lt;&gt;"Did not pass re-test"))&gt;0),"Open rework row - mark Blocked? or close it",IF(AND($AJ34="Yes – needs DB Dev to fix",M34&lt;&gt;"",SUMPRODUCT(MAX((('Rework Log'!$A$3:$A$499=$B34)*('Rework Log'!$G$3:$G$499&lt;&gt;"Yes")*('Rework Log'!$G$3:$G$499&lt;&gt;"Did not pass re-test"))*'Rework Log'!$I$3:$I$499))&gt;0),"Move old DB Dev completion date to Rework Log (col H)",IF(AND($AJ34="Yes – needs PBI Dev to fix",S34&lt;&gt;"",SUMPRODUCT(MAX((('Rework Log'!$A$3:$A$499=$B34)*('Rework Log'!$G$3:$G$499&lt;&gt;"Yes")*('Rework Log'!$G$3:$G$499&lt;&gt;"Did not pass re-test"))*'Rework Log'!$I$3:$I$499))&gt;0),"Move old PBI Dev completion date to Rework Log (col H)",IF(AND($AJ34="Yes – needs QA to fix",Y34&lt;&gt;"",SUMPRODUCT(MAX((('Rework Log'!$A$3:$A$499=$B34)*('Rework Log'!$G$3:$G$499&lt;&gt;"Yes")*('Rework Log'!$G$3:$G$499&lt;&gt;"Did not pass re-test"))*'Rework Log'!$I$3:$I$499))&gt;0),"Move old QA completion date to Rework Log (col H)",IF(COUNTIF($B$2:$B$527,$B34)&gt;1,"Duplicate name - check row",IF(COUNTIF('Rework Log'!$A$3:$A$499,$B34)&gt;0,"",IF(AND(V34&lt;&gt;"",K34&lt;&gt;"",V34&lt;K34),"QA target is before DB Dev target",IF(AND(V34&lt;&gt;"",Q34&lt;&gt;"",V34&lt;Q34),"QA target is before PBI Dev target",IF(AND(AA34&lt;&gt;"",V34&lt;&gt;"",AA34&lt;V34),"DPO Approval target is before QA target",IF(AND(AG34&lt;&gt;"",AA34&lt;&gt;"",AG34&lt;AA34),"Confirmed Deployed date is before DPO Approval target",""))))))))))))</f>
        <v/>
      </c>
      <c r="AL34" s="41" t="s">
        <v>148</v>
      </c>
      <c r="AM34" s="32" cm="1">
        <f t="array" ref="AM34">_xlfn.LET(_xlpm.rep,$B34,_xlpm.sent,_xlfn.MAXIFS('Rework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46255</v>
      </c>
      <c r="AN34" s="32" t="str" cm="1">
        <f t="array" ref="AN34">_xlfn.LET(_xlpm.rep,$B34,_xlpm.sent,_xlfn.MAXIFS('Rework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5" spans="1:40" ht="14.45">
      <c r="A35" s="33" t="s">
        <v>127</v>
      </c>
      <c r="B35" s="33" t="s">
        <v>149</v>
      </c>
      <c r="C35" s="33" t="s">
        <v>150</v>
      </c>
      <c r="D35" t="str" cm="1">
        <f t="array" aca="1" ref="D35" ca="1">IF($B35="","",IF(LEFT($AJ35,3)="Yes","Blocked - "&amp;MID($AJ35,7,100)&amp;IF(SUMPRODUCT(('Rework Log'!$A$3:$A$499=$B35)*('Rework Log'!$G$3:$G$499&lt;&gt;"Yes")*('Rework Log'!$G$3:$G$499&lt;&gt;"Did not pass re-test"))=0,"",IF(SUMPRODUCT(MAX((('Rework Log'!$A$3:$A$499=$B35)*('Rework Log'!$G$3:$G$499&lt;&gt;"Yes")*('Rework Log'!$G$3:$G$499&lt;&gt;"Did not pass re-test"))*'Rework Log'!$I$3:$I$499))=0," - unclaimed"," - promised "&amp;TEXT(SUMPRODUCT(MAX((('Rework Log'!$A$3:$A$499=$B35)*('Rework Log'!$G$3:$G$499&lt;&gt;"Yes")*('Rework Log'!$G$3:$G$499&lt;&gt;"Did not pass re-test"))*'Rework Log'!$I$3:$I$499)),"m/d"))),IF(C35="NOT STARTED",IF(H35="","No plan date set",IF(H35&lt;TODAY(),"Review - planned start passed","On track")),IF(C35="DB Dev",IF(AND(L35="",K35=""),"No target set",IF(AND(IF(L35&lt;&gt;"",L35,K35)&lt;TODAY(),M35=""),"Overdue","On track")),IF(C35="PBI Dev",IF(AND(R35="",Q35=""),"No target set",IF(AND(IF(R35&lt;&gt;"",R35,Q35)&lt;TODAY(),S35=""),"Overdue","On track")),IF(C35="QA",_xlfn.LET(_xlpm.tgt,IF(AM35&lt;&gt;"",AM35,IF(W35&lt;&gt;"",W35,V35)),_xlpm.sent,_xlfn.MAXIFS('Rework Log'!$B$3:$B$499,'Rework Log'!$A$3:$A$499,$B35,'Rework Log'!$C$3:$C$499,"QA"),_xlpm.act,IF(AND(Y35&lt;&gt;"",Y35&gt;_xlpm.sent),Y35,""),IF(_xlpm.tgt="","No target set",IF(AND(_xlpm.tgt&lt;TODAY(),_xlpm.act=""),"Overdue","On track"))),IF(C35="DPO Approval",_xlfn.LET(_xlpm.tgt,IF(AN35&lt;&gt;"",AN35,IF(AB35&lt;&gt;"",AB35,AA35)),_xlpm.sent,_xlfn.MAXIFS('Rework Log'!$B$3:$B$499,'Rework Log'!$A$3:$A$499,$B35,'Rework Log'!$C$3:$C$499,"DPO*"),_xlpm.act,IF(AND(AC35&lt;&gt;"",AC35&gt;_xlpm.sent),AC35,""),IF(_xlpm.tgt="","No target set",IF(AND(_xlpm.tgt&lt;TODAY(),_xlpm.act=""),"Overdue","On track"))),IF(C35="RELEASED IN PROD","Delivered",""))))))))</f>
        <v>On track</v>
      </c>
      <c r="E35" s="33">
        <v>7</v>
      </c>
      <c r="F35" s="34" t="s">
        <v>147</v>
      </c>
      <c r="G35" s="33"/>
      <c r="H35" s="50">
        <v>46234</v>
      </c>
      <c r="I35" s="61" t="s">
        <v>131</v>
      </c>
      <c r="J35" s="33" t="s">
        <v>118</v>
      </c>
      <c r="K35" s="4">
        <v>46213</v>
      </c>
      <c r="L35" s="36">
        <v>46244</v>
      </c>
      <c r="M35" s="35">
        <v>46258</v>
      </c>
      <c r="N35" s="47" t="s">
        <v>45</v>
      </c>
      <c r="O35" s="36" t="s">
        <v>132</v>
      </c>
      <c r="P35" s="65" t="s">
        <v>46</v>
      </c>
      <c r="Q35" s="4">
        <v>46220</v>
      </c>
      <c r="R35" s="36">
        <v>46251</v>
      </c>
      <c r="S35" s="36">
        <v>46266</v>
      </c>
      <c r="T35" s="69"/>
      <c r="U35" s="54" t="s">
        <v>147</v>
      </c>
      <c r="V35" s="59">
        <v>46227</v>
      </c>
      <c r="W35" s="36">
        <v>46269</v>
      </c>
      <c r="X35" s="36"/>
      <c r="Y35" s="36">
        <v>46267</v>
      </c>
      <c r="Z35" s="36"/>
      <c r="AA35" s="52">
        <v>46232</v>
      </c>
      <c r="AB35" s="36">
        <v>46274</v>
      </c>
      <c r="AC35" s="36"/>
      <c r="AD35" s="33" t="s">
        <v>151</v>
      </c>
      <c r="AE35" s="33" t="s">
        <v>49</v>
      </c>
      <c r="AF35" s="38"/>
      <c r="AG35" s="36"/>
      <c r="AH35" s="39"/>
      <c r="AI35" s="33"/>
      <c r="AJ35" s="40" t="s">
        <v>53</v>
      </c>
      <c r="AK35" s="73" t="str">
        <f>IF($B35="","",IF(AND(LEFT($AJ35,3)="Yes",SUMPRODUCT(('Rework Log'!$A$3:$A$499=$B35)*('Rework Log'!$G$3:$G$499&lt;&gt;"Yes")*('Rework Log'!$G$3:$G$499&lt;&gt;"Did not pass re-test"))=0),"Blocked - log it on Rework Log",IF(AND(LEFT($AJ35,3)&lt;&gt;"Yes",SUMPRODUCT(('Rework Log'!$A$3:$A$499=$B35)*('Rework Log'!$G$3:$G$499&lt;&gt;"Yes")*('Rework Log'!$G$3:$G$499&lt;&gt;"Did not pass re-test"))&gt;0),"Open rework row - mark Blocked? or close it",IF(AND($AJ35="Yes – needs DB Dev to fix",M35&lt;&gt;"",SUMPRODUCT(MAX((('Rework Log'!$A$3:$A$499=$B35)*('Rework Log'!$G$3:$G$499&lt;&gt;"Yes")*('Rework Log'!$G$3:$G$499&lt;&gt;"Did not pass re-test"))*'Rework Log'!$I$3:$I$499))&gt;0),"Move old DB Dev completion date to Rework Log (col H)",IF(AND($AJ35="Yes – needs PBI Dev to fix",S35&lt;&gt;"",SUMPRODUCT(MAX((('Rework Log'!$A$3:$A$499=$B35)*('Rework Log'!$G$3:$G$499&lt;&gt;"Yes")*('Rework Log'!$G$3:$G$499&lt;&gt;"Did not pass re-test"))*'Rework Log'!$I$3:$I$499))&gt;0),"Move old PBI Dev completion date to Rework Log (col H)",IF(AND($AJ35="Yes – needs QA to fix",Y35&lt;&gt;"",SUMPRODUCT(MAX((('Rework Log'!$A$3:$A$499=$B35)*('Rework Log'!$G$3:$G$499&lt;&gt;"Yes")*('Rework Log'!$G$3:$G$499&lt;&gt;"Did not pass re-test"))*'Rework Log'!$I$3:$I$499))&gt;0),"Move old QA completion date to Rework Log (col H)",IF(COUNTIF($B$2:$B$527,$B35)&gt;1,"Duplicate name - check row",IF(COUNTIF('Rework Log'!$A$3:$A$499,$B35)&gt;0,"",IF(AND(V35&lt;&gt;"",K35&lt;&gt;"",V35&lt;K35),"QA target is before DB Dev target",IF(AND(V35&lt;&gt;"",Q35&lt;&gt;"",V35&lt;Q35),"QA target is before PBI Dev target",IF(AND(AA35&lt;&gt;"",V35&lt;&gt;"",AA35&lt;V35),"DPO Approval target is before QA target",IF(AND(AG35&lt;&gt;"",AA35&lt;&gt;"",AG35&lt;AA35),"Confirmed Deployed date is before DPO Approval target",""))))))))))))</f>
        <v/>
      </c>
      <c r="AL35" s="41" t="s">
        <v>152</v>
      </c>
      <c r="AM35" s="32" cm="1">
        <f t="array" ref="AM35">_xlfn.LET(_xlpm.rep,$B35,_xlpm.sent,_xlfn.MAXIFS('Rework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46269</v>
      </c>
      <c r="AN35" s="32" t="str" cm="1">
        <f t="array" ref="AN35">_xlfn.LET(_xlpm.rep,$B35,_xlpm.sent,_xlfn.MAXIFS('Rework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6" spans="1:40" ht="14.45">
      <c r="A36" s="33" t="s">
        <v>127</v>
      </c>
      <c r="B36" s="33" t="s">
        <v>153</v>
      </c>
      <c r="C36" s="33" t="s">
        <v>154</v>
      </c>
      <c r="D36" t="str" cm="1">
        <f t="array" aca="1" ref="D36" ca="1">IF($B36="","",IF(LEFT($AJ36,3)="Yes","Blocked - "&amp;MID($AJ36,7,100)&amp;IF(SUMPRODUCT(('Rework Log'!$A$3:$A$499=$B36)*('Rework Log'!$G$3:$G$499&lt;&gt;"Yes")*('Rework Log'!$G$3:$G$499&lt;&gt;"Did not pass re-test"))=0,"",IF(SUMPRODUCT(MAX((('Rework Log'!$A$3:$A$499=$B36)*('Rework Log'!$G$3:$G$499&lt;&gt;"Yes")*('Rework Log'!$G$3:$G$499&lt;&gt;"Did not pass re-test"))*'Rework Log'!$I$3:$I$499))=0," - unclaimed"," - promised "&amp;TEXT(SUMPRODUCT(MAX((('Rework Log'!$A$3:$A$499=$B36)*('Rework Log'!$G$3:$G$499&lt;&gt;"Yes")*('Rework Log'!$G$3:$G$499&lt;&gt;"Did not pass re-test"))*'Rework Log'!$I$3:$I$499)),"m/d"))),IF(C36="NOT STARTED",IF(H36="","No plan date set",IF(H36&lt;TODAY(),"Review - planned start passed","On track")),IF(C36="DB Dev",IF(AND(L36="",K36=""),"No target set",IF(AND(IF(L36&lt;&gt;"",L36,K36)&lt;TODAY(),M36=""),"Overdue","On track")),IF(C36="PBI Dev",IF(AND(R36="",Q36=""),"No target set",IF(AND(IF(R36&lt;&gt;"",R36,Q36)&lt;TODAY(),S36=""),"Overdue","On track")),IF(C36="QA",_xlfn.LET(_xlpm.tgt,IF(AM36&lt;&gt;"",AM36,IF(W36&lt;&gt;"",W36,V36)),_xlpm.sent,_xlfn.MAXIFS('Rework Log'!$B$3:$B$499,'Rework Log'!$A$3:$A$499,$B36,'Rework Log'!$C$3:$C$499,"QA"),_xlpm.act,IF(AND(Y36&lt;&gt;"",Y36&gt;_xlpm.sent),Y36,""),IF(_xlpm.tgt="","No target set",IF(AND(_xlpm.tgt&lt;TODAY(),_xlpm.act=""),"Overdue","On track"))),IF(C36="DPO Approval",_xlfn.LET(_xlpm.tgt,IF(AN36&lt;&gt;"",AN36,IF(AB36&lt;&gt;"",AB36,AA36)),_xlpm.sent,_xlfn.MAXIFS('Rework Log'!$B$3:$B$499,'Rework Log'!$A$3:$A$499,$B36,'Rework Log'!$C$3:$C$499,"DPO*"),_xlpm.act,IF(AND(AC36&lt;&gt;"",AC36&gt;_xlpm.sent),AC36,""),IF(_xlpm.tgt="","No target set",IF(AND(_xlpm.tgt&lt;TODAY(),_xlpm.act=""),"Overdue","On track"))),IF(C36="RELEASED IN PROD","Delivered",""))))))))</f>
        <v>On track</v>
      </c>
      <c r="E36" s="33">
        <v>8</v>
      </c>
      <c r="F36" s="34" t="s">
        <v>147</v>
      </c>
      <c r="G36" s="33"/>
      <c r="H36" s="50">
        <v>46234</v>
      </c>
      <c r="I36" s="61" t="s">
        <v>131</v>
      </c>
      <c r="J36" s="33" t="s">
        <v>118</v>
      </c>
      <c r="K36" s="4">
        <v>46213</v>
      </c>
      <c r="L36" s="36">
        <v>46245</v>
      </c>
      <c r="M36" s="36">
        <v>46258</v>
      </c>
      <c r="N36" s="36" t="s">
        <v>45</v>
      </c>
      <c r="O36" s="36" t="s">
        <v>132</v>
      </c>
      <c r="P36" s="65" t="s">
        <v>77</v>
      </c>
      <c r="Q36" s="4">
        <v>46220</v>
      </c>
      <c r="R36" s="36">
        <v>46246</v>
      </c>
      <c r="S36" s="36">
        <v>46246</v>
      </c>
      <c r="T36" s="69"/>
      <c r="U36" s="54" t="s">
        <v>147</v>
      </c>
      <c r="V36" s="59">
        <v>46227</v>
      </c>
      <c r="W36" s="36">
        <v>46261</v>
      </c>
      <c r="X36" s="36"/>
      <c r="Y36" s="36">
        <v>46267</v>
      </c>
      <c r="Z36" s="36"/>
      <c r="AA36" s="52">
        <v>46232</v>
      </c>
      <c r="AB36" s="36">
        <v>46269</v>
      </c>
      <c r="AC36" s="36"/>
      <c r="AD36" s="33" t="s">
        <v>133</v>
      </c>
      <c r="AE36" s="33" t="s">
        <v>49</v>
      </c>
      <c r="AF36" s="38"/>
      <c r="AG36" s="36"/>
      <c r="AH36" s="39"/>
      <c r="AI36" s="33"/>
      <c r="AJ36" s="40" t="s">
        <v>53</v>
      </c>
      <c r="AK36" s="73" t="str">
        <f>IF($B36="","",IF(AND(LEFT($AJ36,3)="Yes",SUMPRODUCT(('Rework Log'!$A$3:$A$499=$B36)*('Rework Log'!$G$3:$G$499&lt;&gt;"Yes")*('Rework Log'!$G$3:$G$499&lt;&gt;"Did not pass re-test"))=0),"Blocked - log it on Rework Log",IF(AND(LEFT($AJ36,3)&lt;&gt;"Yes",SUMPRODUCT(('Rework Log'!$A$3:$A$499=$B36)*('Rework Log'!$G$3:$G$499&lt;&gt;"Yes")*('Rework Log'!$G$3:$G$499&lt;&gt;"Did not pass re-test"))&gt;0),"Open rework row - mark Blocked? or close it",IF(AND($AJ36="Yes – needs DB Dev to fix",M36&lt;&gt;"",SUMPRODUCT(MAX((('Rework Log'!$A$3:$A$499=$B36)*('Rework Log'!$G$3:$G$499&lt;&gt;"Yes")*('Rework Log'!$G$3:$G$499&lt;&gt;"Did not pass re-test"))*'Rework Log'!$I$3:$I$499))&gt;0),"Move old DB Dev completion date to Rework Log (col H)",IF(AND($AJ36="Yes – needs PBI Dev to fix",S36&lt;&gt;"",SUMPRODUCT(MAX((('Rework Log'!$A$3:$A$499=$B36)*('Rework Log'!$G$3:$G$499&lt;&gt;"Yes")*('Rework Log'!$G$3:$G$499&lt;&gt;"Did not pass re-test"))*'Rework Log'!$I$3:$I$499))&gt;0),"Move old PBI Dev completion date to Rework Log (col H)",IF(AND($AJ36="Yes – needs QA to fix",Y36&lt;&gt;"",SUMPRODUCT(MAX((('Rework Log'!$A$3:$A$499=$B36)*('Rework Log'!$G$3:$G$499&lt;&gt;"Yes")*('Rework Log'!$G$3:$G$499&lt;&gt;"Did not pass re-test"))*'Rework Log'!$I$3:$I$499))&gt;0),"Move old QA completion date to Rework Log (col H)",IF(COUNTIF($B$2:$B$527,$B36)&gt;1,"Duplicate name - check row",IF(COUNTIF('Rework Log'!$A$3:$A$499,$B36)&gt;0,"",IF(AND(V36&lt;&gt;"",K36&lt;&gt;"",V36&lt;K36),"QA target is before DB Dev target",IF(AND(V36&lt;&gt;"",Q36&lt;&gt;"",V36&lt;Q36),"QA target is before PBI Dev target",IF(AND(AA36&lt;&gt;"",V36&lt;&gt;"",AA36&lt;V36),"DPO Approval target is before QA target",IF(AND(AG36&lt;&gt;"",AA36&lt;&gt;"",AG36&lt;AA36),"Confirmed Deployed date is before DPO Approval target",""))))))))))))</f>
        <v/>
      </c>
      <c r="AL36" s="41" t="s">
        <v>152</v>
      </c>
      <c r="AM36" s="32" cm="1">
        <f t="array" ref="AM36">_xlfn.LET(_xlpm.rep,$B36,_xlpm.sent,_xlfn.MAXIFS('Rework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46261</v>
      </c>
      <c r="AN36" s="32" t="str" cm="1">
        <f t="array" ref="AN36">_xlfn.LET(_xlpm.rep,$B36,_xlpm.sent,_xlfn.MAXIFS('Rework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7" spans="1:40" ht="14.45">
      <c r="A37" s="33" t="s">
        <v>127</v>
      </c>
      <c r="B37" s="33" t="s">
        <v>155</v>
      </c>
      <c r="C37" s="33" t="s">
        <v>129</v>
      </c>
      <c r="D37" t="str" cm="1">
        <f t="array" aca="1" ref="D37" ca="1">IF($B37="","",IF(LEFT($AJ37,3)="Yes","Blocked - "&amp;MID($AJ37,7,100)&amp;IF(SUMPRODUCT(('Rework Log'!$A$3:$A$499=$B37)*('Rework Log'!$G$3:$G$499&lt;&gt;"Yes")*('Rework Log'!$G$3:$G$499&lt;&gt;"Did not pass re-test"))=0,"",IF(SUMPRODUCT(MAX((('Rework Log'!$A$3:$A$499=$B37)*('Rework Log'!$G$3:$G$499&lt;&gt;"Yes")*('Rework Log'!$G$3:$G$499&lt;&gt;"Did not pass re-test"))*'Rework Log'!$I$3:$I$499))=0," - unclaimed"," - promised "&amp;TEXT(SUMPRODUCT(MAX((('Rework Log'!$A$3:$A$499=$B37)*('Rework Log'!$G$3:$G$499&lt;&gt;"Yes")*('Rework Log'!$G$3:$G$499&lt;&gt;"Did not pass re-test"))*'Rework Log'!$I$3:$I$499)),"m/d"))),IF(C37="NOT STARTED",IF(H37="","No plan date set",IF(H37&lt;TODAY(),"Review - planned start passed","On track")),IF(C37="DB Dev",IF(AND(L37="",K37=""),"No target set",IF(AND(IF(L37&lt;&gt;"",L37,K37)&lt;TODAY(),M37=""),"Overdue","On track")),IF(C37="PBI Dev",IF(AND(R37="",Q37=""),"No target set",IF(AND(IF(R37&lt;&gt;"",R37,Q37)&lt;TODAY(),S37=""),"Overdue","On track")),IF(C37="QA",_xlfn.LET(_xlpm.tgt,IF(AM37&lt;&gt;"",AM37,IF(W37&lt;&gt;"",W37,V37)),_xlpm.sent,_xlfn.MAXIFS('Rework Log'!$B$3:$B$499,'Rework Log'!$A$3:$A$499,$B37,'Rework Log'!$C$3:$C$499,"QA"),_xlpm.act,IF(AND(Y37&lt;&gt;"",Y37&gt;_xlpm.sent),Y37,""),IF(_xlpm.tgt="","No target set",IF(AND(_xlpm.tgt&lt;TODAY(),_xlpm.act=""),"Overdue","On track"))),IF(C37="DPO Approval",_xlfn.LET(_xlpm.tgt,IF(AN37&lt;&gt;"",AN37,IF(AB37&lt;&gt;"",AB37,AA37)),_xlpm.sent,_xlfn.MAXIFS('Rework Log'!$B$3:$B$499,'Rework Log'!$A$3:$A$499,$B37,'Rework Log'!$C$3:$C$499,"DPO*"),_xlpm.act,IF(AND(AC37&lt;&gt;"",AC37&gt;_xlpm.sent),AC37,""),IF(_xlpm.tgt="","No target set",IF(AND(_xlpm.tgt&lt;TODAY(),_xlpm.act=""),"Overdue","On track"))),IF(C37="RELEASED IN PROD","Delivered",""))))))))</f>
        <v>On track</v>
      </c>
      <c r="E37" s="33">
        <v>9</v>
      </c>
      <c r="F37" s="34" t="s">
        <v>147</v>
      </c>
      <c r="G37" s="33"/>
      <c r="H37" s="50">
        <v>46234</v>
      </c>
      <c r="I37" s="61" t="s">
        <v>131</v>
      </c>
      <c r="J37" s="33" t="s">
        <v>84</v>
      </c>
      <c r="K37" s="4">
        <v>46213</v>
      </c>
      <c r="L37" s="36">
        <v>46246</v>
      </c>
      <c r="M37" s="36">
        <v>46255</v>
      </c>
      <c r="N37" s="36" t="s">
        <v>45</v>
      </c>
      <c r="O37" s="36" t="s">
        <v>132</v>
      </c>
      <c r="P37" s="65" t="s">
        <v>60</v>
      </c>
      <c r="Q37" s="4">
        <v>46220</v>
      </c>
      <c r="R37" s="36">
        <v>46255</v>
      </c>
      <c r="S37" s="36">
        <v>46255</v>
      </c>
      <c r="T37" s="69"/>
      <c r="U37" s="54" t="s">
        <v>147</v>
      </c>
      <c r="V37" s="59">
        <v>46227</v>
      </c>
      <c r="W37" s="36">
        <v>46260</v>
      </c>
      <c r="X37" s="36"/>
      <c r="Y37" s="36">
        <v>46255</v>
      </c>
      <c r="Z37" s="36"/>
      <c r="AA37" s="52">
        <v>46232</v>
      </c>
      <c r="AB37" s="36">
        <v>46269</v>
      </c>
      <c r="AC37" s="36"/>
      <c r="AD37" s="33" t="s">
        <v>156</v>
      </c>
      <c r="AE37" s="33" t="s">
        <v>49</v>
      </c>
      <c r="AF37" s="38"/>
      <c r="AG37" s="36"/>
      <c r="AH37" s="39"/>
      <c r="AI37" s="33"/>
      <c r="AJ37" s="40" t="s">
        <v>53</v>
      </c>
      <c r="AK37" s="73" t="str">
        <f>IF($B37="","",IF(AND(LEFT($AJ37,3)="Yes",SUMPRODUCT(('Rework Log'!$A$3:$A$499=$B37)*('Rework Log'!$G$3:$G$499&lt;&gt;"Yes")*('Rework Log'!$G$3:$G$499&lt;&gt;"Did not pass re-test"))=0),"Blocked - log it on Rework Log",IF(AND(LEFT($AJ37,3)&lt;&gt;"Yes",SUMPRODUCT(('Rework Log'!$A$3:$A$499=$B37)*('Rework Log'!$G$3:$G$499&lt;&gt;"Yes")*('Rework Log'!$G$3:$G$499&lt;&gt;"Did not pass re-test"))&gt;0),"Open rework row - mark Blocked? or close it",IF(AND($AJ37="Yes – needs DB Dev to fix",M37&lt;&gt;"",SUMPRODUCT(MAX((('Rework Log'!$A$3:$A$499=$B37)*('Rework Log'!$G$3:$G$499&lt;&gt;"Yes")*('Rework Log'!$G$3:$G$499&lt;&gt;"Did not pass re-test"))*'Rework Log'!$I$3:$I$499))&gt;0),"Move old DB Dev completion date to Rework Log (col H)",IF(AND($AJ37="Yes – needs PBI Dev to fix",S37&lt;&gt;"",SUMPRODUCT(MAX((('Rework Log'!$A$3:$A$499=$B37)*('Rework Log'!$G$3:$G$499&lt;&gt;"Yes")*('Rework Log'!$G$3:$G$499&lt;&gt;"Did not pass re-test"))*'Rework Log'!$I$3:$I$499))&gt;0),"Move old PBI Dev completion date to Rework Log (col H)",IF(AND($AJ37="Yes – needs QA to fix",Y37&lt;&gt;"",SUMPRODUCT(MAX((('Rework Log'!$A$3:$A$499=$B37)*('Rework Log'!$G$3:$G$499&lt;&gt;"Yes")*('Rework Log'!$G$3:$G$499&lt;&gt;"Did not pass re-test"))*'Rework Log'!$I$3:$I$499))&gt;0),"Move old QA completion date to Rework Log (col H)",IF(COUNTIF($B$2:$B$527,$B37)&gt;1,"Duplicate name - check row",IF(COUNTIF('Rework Log'!$A$3:$A$499,$B37)&gt;0,"",IF(AND(V37&lt;&gt;"",K37&lt;&gt;"",V37&lt;K37),"QA target is before DB Dev target",IF(AND(V37&lt;&gt;"",Q37&lt;&gt;"",V37&lt;Q37),"QA target is before PBI Dev target",IF(AND(AA37&lt;&gt;"",V37&lt;&gt;"",AA37&lt;V37),"DPO Approval target is before QA target",IF(AND(AG37&lt;&gt;"",AA37&lt;&gt;"",AG37&lt;AA37),"Confirmed Deployed date is before DPO Approval target",""))))))))))))</f>
        <v/>
      </c>
      <c r="AL37" s="41" t="s">
        <v>157</v>
      </c>
      <c r="AM37" s="32" cm="1">
        <f t="array" ref="AM37">_xlfn.LET(_xlpm.rep,$B37,_xlpm.sent,_xlfn.MAXIFS('Rework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46260</v>
      </c>
      <c r="AN37" s="32" t="str" cm="1">
        <f t="array" ref="AN37">_xlfn.LET(_xlpm.rep,$B37,_xlpm.sent,_xlfn.MAXIFS('Rework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8" spans="1:40" ht="14.45">
      <c r="A38" s="33" t="s">
        <v>127</v>
      </c>
      <c r="B38" s="33" t="s">
        <v>158</v>
      </c>
      <c r="C38" s="33" t="s">
        <v>129</v>
      </c>
      <c r="D38" t="str" cm="1">
        <f t="array" aca="1" ref="D38" ca="1">IF($B38="","",IF(LEFT($AJ38,3)="Yes","Blocked - "&amp;MID($AJ38,7,100)&amp;IF(SUMPRODUCT(('Rework Log'!$A$3:$A$499=$B38)*('Rework Log'!$G$3:$G$499&lt;&gt;"Yes")*('Rework Log'!$G$3:$G$499&lt;&gt;"Did not pass re-test"))=0,"",IF(SUMPRODUCT(MAX((('Rework Log'!$A$3:$A$499=$B38)*('Rework Log'!$G$3:$G$499&lt;&gt;"Yes")*('Rework Log'!$G$3:$G$499&lt;&gt;"Did not pass re-test"))*'Rework Log'!$I$3:$I$499))=0," - unclaimed"," - promised "&amp;TEXT(SUMPRODUCT(MAX((('Rework Log'!$A$3:$A$499=$B38)*('Rework Log'!$G$3:$G$499&lt;&gt;"Yes")*('Rework Log'!$G$3:$G$499&lt;&gt;"Did not pass re-test"))*'Rework Log'!$I$3:$I$499)),"m/d"))),IF(C38="NOT STARTED",IF(H38="","No plan date set",IF(H38&lt;TODAY(),"Review - planned start passed","On track")),IF(C38="DB Dev",IF(AND(L38="",K38=""),"No target set",IF(AND(IF(L38&lt;&gt;"",L38,K38)&lt;TODAY(),M38=""),"Overdue","On track")),IF(C38="PBI Dev",IF(AND(R38="",Q38=""),"No target set",IF(AND(IF(R38&lt;&gt;"",R38,Q38)&lt;TODAY(),S38=""),"Overdue","On track")),IF(C38="QA",_xlfn.LET(_xlpm.tgt,IF(AM38&lt;&gt;"",AM38,IF(W38&lt;&gt;"",W38,V38)),_xlpm.sent,_xlfn.MAXIFS('Rework Log'!$B$3:$B$499,'Rework Log'!$A$3:$A$499,$B38,'Rework Log'!$C$3:$C$499,"QA"),_xlpm.act,IF(AND(Y38&lt;&gt;"",Y38&gt;_xlpm.sent),Y38,""),IF(_xlpm.tgt="","No target set",IF(AND(_xlpm.tgt&lt;TODAY(),_xlpm.act=""),"Overdue","On track"))),IF(C38="DPO Approval",_xlfn.LET(_xlpm.tgt,IF(AN38&lt;&gt;"",AN38,IF(AB38&lt;&gt;"",AB38,AA38)),_xlpm.sent,_xlfn.MAXIFS('Rework Log'!$B$3:$B$499,'Rework Log'!$A$3:$A$499,$B38,'Rework Log'!$C$3:$C$499,"DPO*"),_xlpm.act,IF(AND(AC38&lt;&gt;"",AC38&gt;_xlpm.sent),AC38,""),IF(_xlpm.tgt="","No target set",IF(AND(_xlpm.tgt&lt;TODAY(),_xlpm.act=""),"Overdue","On track"))),IF(C38="RELEASED IN PROD","Delivered",""))))))))</f>
        <v>On track</v>
      </c>
      <c r="E38" s="33" t="s">
        <v>159</v>
      </c>
      <c r="F38" s="34" t="s">
        <v>147</v>
      </c>
      <c r="G38" s="33"/>
      <c r="H38" s="50">
        <v>46234</v>
      </c>
      <c r="I38" s="61" t="s">
        <v>131</v>
      </c>
      <c r="J38" s="33" t="s">
        <v>160</v>
      </c>
      <c r="K38" s="4">
        <v>46213</v>
      </c>
      <c r="L38" s="36">
        <v>46246</v>
      </c>
      <c r="M38" s="35">
        <v>46254</v>
      </c>
      <c r="N38" s="47" t="s">
        <v>45</v>
      </c>
      <c r="O38" s="36" t="s">
        <v>132</v>
      </c>
      <c r="P38" s="65" t="s">
        <v>60</v>
      </c>
      <c r="Q38" s="4">
        <v>46220</v>
      </c>
      <c r="R38" s="36">
        <v>46254</v>
      </c>
      <c r="S38" s="36">
        <v>46254</v>
      </c>
      <c r="T38" s="69"/>
      <c r="U38" s="54" t="s">
        <v>147</v>
      </c>
      <c r="V38" s="59">
        <v>46227</v>
      </c>
      <c r="W38" s="36">
        <v>46259</v>
      </c>
      <c r="X38" s="36"/>
      <c r="Y38" s="36">
        <v>46254</v>
      </c>
      <c r="Z38" s="36"/>
      <c r="AA38" s="52">
        <v>46232</v>
      </c>
      <c r="AB38" s="36">
        <v>46269</v>
      </c>
      <c r="AC38" s="36"/>
      <c r="AD38" s="33" t="s">
        <v>156</v>
      </c>
      <c r="AE38" s="33" t="s">
        <v>49</v>
      </c>
      <c r="AF38" s="38"/>
      <c r="AG38" s="36"/>
      <c r="AH38" s="39"/>
      <c r="AI38" s="33"/>
      <c r="AJ38" s="40" t="s">
        <v>53</v>
      </c>
      <c r="AK38" s="73" t="str">
        <f>IF($B38="","",IF(AND(LEFT($AJ38,3)="Yes",SUMPRODUCT(('Rework Log'!$A$3:$A$499=$B38)*('Rework Log'!$G$3:$G$499&lt;&gt;"Yes")*('Rework Log'!$G$3:$G$499&lt;&gt;"Did not pass re-test"))=0),"Blocked - log it on Rework Log",IF(AND(LEFT($AJ38,3)&lt;&gt;"Yes",SUMPRODUCT(('Rework Log'!$A$3:$A$499=$B38)*('Rework Log'!$G$3:$G$499&lt;&gt;"Yes")*('Rework Log'!$G$3:$G$499&lt;&gt;"Did not pass re-test"))&gt;0),"Open rework row - mark Blocked? or close it",IF(AND($AJ38="Yes – needs DB Dev to fix",M38&lt;&gt;"",SUMPRODUCT(MAX((('Rework Log'!$A$3:$A$499=$B38)*('Rework Log'!$G$3:$G$499&lt;&gt;"Yes")*('Rework Log'!$G$3:$G$499&lt;&gt;"Did not pass re-test"))*'Rework Log'!$I$3:$I$499))&gt;0),"Move old DB Dev completion date to Rework Log (col H)",IF(AND($AJ38="Yes – needs PBI Dev to fix",S38&lt;&gt;"",SUMPRODUCT(MAX((('Rework Log'!$A$3:$A$499=$B38)*('Rework Log'!$G$3:$G$499&lt;&gt;"Yes")*('Rework Log'!$G$3:$G$499&lt;&gt;"Did not pass re-test"))*'Rework Log'!$I$3:$I$499))&gt;0),"Move old PBI Dev completion date to Rework Log (col H)",IF(AND($AJ38="Yes – needs QA to fix",Y38&lt;&gt;"",SUMPRODUCT(MAX((('Rework Log'!$A$3:$A$499=$B38)*('Rework Log'!$G$3:$G$499&lt;&gt;"Yes")*('Rework Log'!$G$3:$G$499&lt;&gt;"Did not pass re-test"))*'Rework Log'!$I$3:$I$499))&gt;0),"Move old QA completion date to Rework Log (col H)",IF(COUNTIF($B$2:$B$527,$B38)&gt;1,"Duplicate name - check row",IF(COUNTIF('Rework Log'!$A$3:$A$499,$B38)&gt;0,"",IF(AND(V38&lt;&gt;"",K38&lt;&gt;"",V38&lt;K38),"QA target is before DB Dev target",IF(AND(V38&lt;&gt;"",Q38&lt;&gt;"",V38&lt;Q38),"QA target is before PBI Dev target",IF(AND(AA38&lt;&gt;"",V38&lt;&gt;"",AA38&lt;V38),"DPO Approval target is before QA target",IF(AND(AG38&lt;&gt;"",AA38&lt;&gt;"",AG38&lt;AA38),"Confirmed Deployed date is before DPO Approval target",""))))))))))))</f>
        <v/>
      </c>
      <c r="AL38" s="41"/>
      <c r="AM38" s="32" cm="1">
        <f t="array" ref="AM38">_xlfn.LET(_xlpm.rep,$B38,_xlpm.sent,_xlfn.MAXIFS('Rework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46259</v>
      </c>
      <c r="AN38" s="32" t="str" cm="1">
        <f t="array" ref="AN38">_xlfn.LET(_xlpm.rep,$B38,_xlpm.sent,_xlfn.MAXIFS('Rework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9" spans="1:40" ht="14.45">
      <c r="A39" s="33" t="s">
        <v>127</v>
      </c>
      <c r="B39" s="33" t="s">
        <v>161</v>
      </c>
      <c r="C39" s="33" t="s">
        <v>129</v>
      </c>
      <c r="D39" t="str" cm="1">
        <f t="array" aca="1" ref="D39" ca="1">IF($B39="","",IF(LEFT($AJ39,3)="Yes","Blocked - "&amp;MID($AJ39,7,100)&amp;IF(SUMPRODUCT(('Rework Log'!$A$3:$A$499=$B39)*('Rework Log'!$G$3:$G$499&lt;&gt;"Yes")*('Rework Log'!$G$3:$G$499&lt;&gt;"Did not pass re-test"))=0,"",IF(SUMPRODUCT(MAX((('Rework Log'!$A$3:$A$499=$B39)*('Rework Log'!$G$3:$G$499&lt;&gt;"Yes")*('Rework Log'!$G$3:$G$499&lt;&gt;"Did not pass re-test"))*'Rework Log'!$I$3:$I$499))=0," - unclaimed"," - promised "&amp;TEXT(SUMPRODUCT(MAX((('Rework Log'!$A$3:$A$499=$B39)*('Rework Log'!$G$3:$G$499&lt;&gt;"Yes")*('Rework Log'!$G$3:$G$499&lt;&gt;"Did not pass re-test"))*'Rework Log'!$I$3:$I$499)),"m/d"))),IF(C39="NOT STARTED",IF(H39="","No plan date set",IF(H39&lt;TODAY(),"Review - planned start passed","On track")),IF(C39="DB Dev",IF(AND(L39="",K39=""),"No target set",IF(AND(IF(L39&lt;&gt;"",L39,K39)&lt;TODAY(),M39=""),"Overdue","On track")),IF(C39="PBI Dev",IF(AND(R39="",Q39=""),"No target set",IF(AND(IF(R39&lt;&gt;"",R39,Q39)&lt;TODAY(),S39=""),"Overdue","On track")),IF(C39="QA",_xlfn.LET(_xlpm.tgt,IF(AM39&lt;&gt;"",AM39,IF(W39&lt;&gt;"",W39,V39)),_xlpm.sent,_xlfn.MAXIFS('Rework Log'!$B$3:$B$499,'Rework Log'!$A$3:$A$499,$B39,'Rework Log'!$C$3:$C$499,"QA"),_xlpm.act,IF(AND(Y39&lt;&gt;"",Y39&gt;_xlpm.sent),Y39,""),IF(_xlpm.tgt="","No target set",IF(AND(_xlpm.tgt&lt;TODAY(),_xlpm.act=""),"Overdue","On track"))),IF(C39="DPO Approval",_xlfn.LET(_xlpm.tgt,IF(AN39&lt;&gt;"",AN39,IF(AB39&lt;&gt;"",AB39,AA39)),_xlpm.sent,_xlfn.MAXIFS('Rework Log'!$B$3:$B$499,'Rework Log'!$A$3:$A$499,$B39,'Rework Log'!$C$3:$C$499,"DPO*"),_xlpm.act,IF(AND(AC39&lt;&gt;"",AC39&gt;_xlpm.sent),AC39,""),IF(_xlpm.tgt="","No target set",IF(AND(_xlpm.tgt&lt;TODAY(),_xlpm.act=""),"Overdue","On track"))),IF(C39="RELEASED IN PROD","Delivered",""))))))))</f>
        <v>On track</v>
      </c>
      <c r="E39" s="33">
        <v>11</v>
      </c>
      <c r="F39" s="34" t="s">
        <v>147</v>
      </c>
      <c r="G39" s="33"/>
      <c r="H39" s="50">
        <v>46234</v>
      </c>
      <c r="I39" s="61" t="s">
        <v>131</v>
      </c>
      <c r="J39" s="33" t="s">
        <v>160</v>
      </c>
      <c r="K39" s="4">
        <v>46213</v>
      </c>
      <c r="L39" s="36">
        <v>46246</v>
      </c>
      <c r="M39" s="36">
        <v>46245</v>
      </c>
      <c r="N39" s="36" t="s">
        <v>45</v>
      </c>
      <c r="O39" s="36" t="s">
        <v>132</v>
      </c>
      <c r="P39" s="65" t="s">
        <v>77</v>
      </c>
      <c r="Q39" s="4">
        <v>46220</v>
      </c>
      <c r="R39" s="36">
        <v>46247</v>
      </c>
      <c r="S39" s="36">
        <v>46258</v>
      </c>
      <c r="T39" s="69"/>
      <c r="U39" s="54" t="s">
        <v>47</v>
      </c>
      <c r="V39" s="59">
        <v>46227</v>
      </c>
      <c r="W39" s="36">
        <v>46261</v>
      </c>
      <c r="X39" s="36"/>
      <c r="Y39" s="36">
        <v>46258</v>
      </c>
      <c r="Z39" s="36"/>
      <c r="AA39" s="52">
        <v>46232</v>
      </c>
      <c r="AB39" s="36">
        <v>46269</v>
      </c>
      <c r="AC39" s="36"/>
      <c r="AD39" s="33" t="s">
        <v>156</v>
      </c>
      <c r="AE39" s="33" t="s">
        <v>49</v>
      </c>
      <c r="AF39" s="38"/>
      <c r="AG39" s="36"/>
      <c r="AH39" s="39"/>
      <c r="AI39" s="33"/>
      <c r="AJ39" s="40" t="s">
        <v>53</v>
      </c>
      <c r="AK39" s="73" t="str">
        <f>IF($B39="","",IF(AND(LEFT($AJ39,3)="Yes",SUMPRODUCT(('Rework Log'!$A$3:$A$499=$B39)*('Rework Log'!$G$3:$G$499&lt;&gt;"Yes")*('Rework Log'!$G$3:$G$499&lt;&gt;"Did not pass re-test"))=0),"Blocked - log it on Rework Log",IF(AND(LEFT($AJ39,3)&lt;&gt;"Yes",SUMPRODUCT(('Rework Log'!$A$3:$A$499=$B39)*('Rework Log'!$G$3:$G$499&lt;&gt;"Yes")*('Rework Log'!$G$3:$G$499&lt;&gt;"Did not pass re-test"))&gt;0),"Open rework row - mark Blocked? or close it",IF(AND($AJ39="Yes – needs DB Dev to fix",M39&lt;&gt;"",SUMPRODUCT(MAX((('Rework Log'!$A$3:$A$499=$B39)*('Rework Log'!$G$3:$G$499&lt;&gt;"Yes")*('Rework Log'!$G$3:$G$499&lt;&gt;"Did not pass re-test"))*'Rework Log'!$I$3:$I$499))&gt;0),"Move old DB Dev completion date to Rework Log (col H)",IF(AND($AJ39="Yes – needs PBI Dev to fix",S39&lt;&gt;"",SUMPRODUCT(MAX((('Rework Log'!$A$3:$A$499=$B39)*('Rework Log'!$G$3:$G$499&lt;&gt;"Yes")*('Rework Log'!$G$3:$G$499&lt;&gt;"Did not pass re-test"))*'Rework Log'!$I$3:$I$499))&gt;0),"Move old PBI Dev completion date to Rework Log (col H)",IF(AND($AJ39="Yes – needs QA to fix",Y39&lt;&gt;"",SUMPRODUCT(MAX((('Rework Log'!$A$3:$A$499=$B39)*('Rework Log'!$G$3:$G$499&lt;&gt;"Yes")*('Rework Log'!$G$3:$G$499&lt;&gt;"Did not pass re-test"))*'Rework Log'!$I$3:$I$499))&gt;0),"Move old QA completion date to Rework Log (col H)",IF(COUNTIF($B$2:$B$527,$B39)&gt;1,"Duplicate name - check row",IF(COUNTIF('Rework Log'!$A$3:$A$499,$B39)&gt;0,"",IF(AND(V39&lt;&gt;"",K39&lt;&gt;"",V39&lt;K39),"QA target is before DB Dev target",IF(AND(V39&lt;&gt;"",Q39&lt;&gt;"",V39&lt;Q39),"QA target is before PBI Dev target",IF(AND(AA39&lt;&gt;"",V39&lt;&gt;"",AA39&lt;V39),"DPO Approval target is before QA target",IF(AND(AG39&lt;&gt;"",AA39&lt;&gt;"",AG39&lt;AA39),"Confirmed Deployed date is before DPO Approval target",""))))))))))))</f>
        <v/>
      </c>
      <c r="AL39" s="41" t="s">
        <v>152</v>
      </c>
      <c r="AM39" s="32" cm="1">
        <f t="array" ref="AM39">_xlfn.LET(_xlpm.rep,$B39,_xlpm.sent,_xlfn.MAXIFS('Rework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46272</v>
      </c>
      <c r="AN39" s="32" t="str" cm="1">
        <f t="array" ref="AN39">_xlfn.LET(_xlpm.rep,$B39,_xlpm.sent,_xlfn.MAXIFS('Rework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0" spans="1:40" ht="14.45">
      <c r="A40" s="33" t="s">
        <v>127</v>
      </c>
      <c r="B40" s="33" t="s">
        <v>162</v>
      </c>
      <c r="C40" s="33" t="s">
        <v>129</v>
      </c>
      <c r="D40" t="str" cm="1">
        <f t="array" aca="1" ref="D40" ca="1">IF($B40="","",IF(LEFT($AJ40,3)="Yes","Blocked - "&amp;MID($AJ40,7,100)&amp;IF(SUMPRODUCT(('Rework Log'!$A$3:$A$499=$B40)*('Rework Log'!$G$3:$G$499&lt;&gt;"Yes")*('Rework Log'!$G$3:$G$499&lt;&gt;"Did not pass re-test"))=0,"",IF(SUMPRODUCT(MAX((('Rework Log'!$A$3:$A$499=$B40)*('Rework Log'!$G$3:$G$499&lt;&gt;"Yes")*('Rework Log'!$G$3:$G$499&lt;&gt;"Did not pass re-test"))*'Rework Log'!$I$3:$I$499))=0," - unclaimed"," - promised "&amp;TEXT(SUMPRODUCT(MAX((('Rework Log'!$A$3:$A$499=$B40)*('Rework Log'!$G$3:$G$499&lt;&gt;"Yes")*('Rework Log'!$G$3:$G$499&lt;&gt;"Did not pass re-test"))*'Rework Log'!$I$3:$I$499)),"m/d"))),IF(C40="NOT STARTED",IF(H40="","No plan date set",IF(H40&lt;TODAY(),"Review - planned start passed","On track")),IF(C40="DB Dev",IF(AND(L40="",K40=""),"No target set",IF(AND(IF(L40&lt;&gt;"",L40,K40)&lt;TODAY(),M40=""),"Overdue","On track")),IF(C40="PBI Dev",IF(AND(R40="",Q40=""),"No target set",IF(AND(IF(R40&lt;&gt;"",R40,Q40)&lt;TODAY(),S40=""),"Overdue","On track")),IF(C40="QA",_xlfn.LET(_xlpm.tgt,IF(AM40&lt;&gt;"",AM40,IF(W40&lt;&gt;"",W40,V40)),_xlpm.sent,_xlfn.MAXIFS('Rework Log'!$B$3:$B$499,'Rework Log'!$A$3:$A$499,$B40,'Rework Log'!$C$3:$C$499,"QA"),_xlpm.act,IF(AND(Y40&lt;&gt;"",Y40&gt;_xlpm.sent),Y40,""),IF(_xlpm.tgt="","No target set",IF(AND(_xlpm.tgt&lt;TODAY(),_xlpm.act=""),"Overdue","On track"))),IF(C40="DPO Approval",_xlfn.LET(_xlpm.tgt,IF(AN40&lt;&gt;"",AN40,IF(AB40&lt;&gt;"",AB40,AA40)),_xlpm.sent,_xlfn.MAXIFS('Rework Log'!$B$3:$B$499,'Rework Log'!$A$3:$A$499,$B40,'Rework Log'!$C$3:$C$499,"DPO*"),_xlpm.act,IF(AND(AC40&lt;&gt;"",AC40&gt;_xlpm.sent),AC40,""),IF(_xlpm.tgt="","No target set",IF(AND(_xlpm.tgt&lt;TODAY(),_xlpm.act=""),"Overdue","On track"))),IF(C40="RELEASED IN PROD","Delivered",""))))))))</f>
        <v>Overdue</v>
      </c>
      <c r="E40" s="33">
        <v>13</v>
      </c>
      <c r="F40" s="34" t="s">
        <v>130</v>
      </c>
      <c r="G40" s="33"/>
      <c r="H40" s="50">
        <v>46234</v>
      </c>
      <c r="I40" s="61" t="s">
        <v>131</v>
      </c>
      <c r="J40" s="33" t="s">
        <v>76</v>
      </c>
      <c r="K40" s="4">
        <v>46213</v>
      </c>
      <c r="L40" s="36">
        <v>46251</v>
      </c>
      <c r="M40" s="37">
        <v>46251</v>
      </c>
      <c r="N40" s="47" t="s">
        <v>45</v>
      </c>
      <c r="O40" s="36" t="s">
        <v>132</v>
      </c>
      <c r="P40" s="65" t="s">
        <v>77</v>
      </c>
      <c r="Q40" s="4">
        <v>46220</v>
      </c>
      <c r="R40" s="36">
        <v>46251</v>
      </c>
      <c r="S40" s="36">
        <v>46255</v>
      </c>
      <c r="T40" s="69"/>
      <c r="U40" s="54" t="s">
        <v>47</v>
      </c>
      <c r="V40" s="59">
        <v>46227</v>
      </c>
      <c r="W40" s="36">
        <v>46254</v>
      </c>
      <c r="X40" s="36"/>
      <c r="Y40" s="36">
        <v>46258</v>
      </c>
      <c r="Z40" s="36"/>
      <c r="AA40" s="52">
        <v>46232</v>
      </c>
      <c r="AB40" s="36">
        <v>46267</v>
      </c>
      <c r="AC40" s="36"/>
      <c r="AD40" s="33" t="s">
        <v>133</v>
      </c>
      <c r="AE40" s="33" t="s">
        <v>49</v>
      </c>
      <c r="AF40" s="38"/>
      <c r="AG40" s="36"/>
      <c r="AH40" s="39"/>
      <c r="AI40" s="33"/>
      <c r="AJ40" s="40" t="s">
        <v>53</v>
      </c>
      <c r="AK40" s="73" t="str">
        <f>IF($B40="","",IF(AND(LEFT($AJ40,3)="Yes",SUMPRODUCT(('Rework Log'!$A$3:$A$499=$B40)*('Rework Log'!$G$3:$G$499&lt;&gt;"Yes")*('Rework Log'!$G$3:$G$499&lt;&gt;"Did not pass re-test"))=0),"Blocked - log it on Rework Log",IF(AND(LEFT($AJ40,3)&lt;&gt;"Yes",SUMPRODUCT(('Rework Log'!$A$3:$A$499=$B40)*('Rework Log'!$G$3:$G$499&lt;&gt;"Yes")*('Rework Log'!$G$3:$G$499&lt;&gt;"Did not pass re-test"))&gt;0),"Open rework row - mark Blocked? or close it",IF(AND($AJ40="Yes – needs DB Dev to fix",M40&lt;&gt;"",SUMPRODUCT(MAX((('Rework Log'!$A$3:$A$499=$B40)*('Rework Log'!$G$3:$G$499&lt;&gt;"Yes")*('Rework Log'!$G$3:$G$499&lt;&gt;"Did not pass re-test"))*'Rework Log'!$I$3:$I$499))&gt;0),"Move old DB Dev completion date to Rework Log (col H)",IF(AND($AJ40="Yes – needs PBI Dev to fix",S40&lt;&gt;"",SUMPRODUCT(MAX((('Rework Log'!$A$3:$A$499=$B40)*('Rework Log'!$G$3:$G$499&lt;&gt;"Yes")*('Rework Log'!$G$3:$G$499&lt;&gt;"Did not pass re-test"))*'Rework Log'!$I$3:$I$499))&gt;0),"Move old PBI Dev completion date to Rework Log (col H)",IF(AND($AJ40="Yes – needs QA to fix",Y40&lt;&gt;"",SUMPRODUCT(MAX((('Rework Log'!$A$3:$A$499=$B40)*('Rework Log'!$G$3:$G$499&lt;&gt;"Yes")*('Rework Log'!$G$3:$G$499&lt;&gt;"Did not pass re-test"))*'Rework Log'!$I$3:$I$499))&gt;0),"Move old QA completion date to Rework Log (col H)",IF(COUNTIF($B$2:$B$527,$B40)&gt;1,"Duplicate name - check row",IF(COUNTIF('Rework Log'!$A$3:$A$499,$B40)&gt;0,"",IF(AND(V40&lt;&gt;"",K40&lt;&gt;"",V40&lt;K40),"QA target is before DB Dev target",IF(AND(V40&lt;&gt;"",Q40&lt;&gt;"",V40&lt;Q40),"QA target is before PBI Dev target",IF(AND(AA40&lt;&gt;"",V40&lt;&gt;"",AA40&lt;V40),"DPO Approval target is before QA target",IF(AND(AG40&lt;&gt;"",AA40&lt;&gt;"",AG40&lt;AA40),"Confirmed Deployed date is before DPO Approval target",""))))))))))))</f>
        <v/>
      </c>
      <c r="AL40" s="41" t="s">
        <v>163</v>
      </c>
      <c r="AM40" s="32" cm="1">
        <f t="array" ref="AM40">_xlfn.LET(_xlpm.rep,$B40,_xlpm.sent,_xlfn.MAXIFS('Rework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46272</v>
      </c>
      <c r="AN40" s="32" t="str" cm="1">
        <f t="array" ref="AN40">_xlfn.LET(_xlpm.rep,$B40,_xlpm.sent,_xlfn.MAXIFS('Rework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1" spans="1:40" ht="14.45">
      <c r="A41" s="33" t="s">
        <v>127</v>
      </c>
      <c r="B41" s="33" t="s">
        <v>164</v>
      </c>
      <c r="C41" s="33" t="s">
        <v>129</v>
      </c>
      <c r="D41" t="str" cm="1">
        <f t="array" aca="1" ref="D41" ca="1">IF($B41="","",IF(LEFT($AJ41,3)="Yes","Blocked - "&amp;MID($AJ41,7,100)&amp;IF(SUMPRODUCT(('Rework Log'!$A$3:$A$499=$B41)*('Rework Log'!$G$3:$G$499&lt;&gt;"Yes")*('Rework Log'!$G$3:$G$499&lt;&gt;"Did not pass re-test"))=0,"",IF(SUMPRODUCT(MAX((('Rework Log'!$A$3:$A$499=$B41)*('Rework Log'!$G$3:$G$499&lt;&gt;"Yes")*('Rework Log'!$G$3:$G$499&lt;&gt;"Did not pass re-test"))*'Rework Log'!$I$3:$I$499))=0," - unclaimed"," - promised "&amp;TEXT(SUMPRODUCT(MAX((('Rework Log'!$A$3:$A$499=$B41)*('Rework Log'!$G$3:$G$499&lt;&gt;"Yes")*('Rework Log'!$G$3:$G$499&lt;&gt;"Did not pass re-test"))*'Rework Log'!$I$3:$I$499)),"m/d"))),IF(C41="NOT STARTED",IF(H41="","No plan date set",IF(H41&lt;TODAY(),"Review - planned start passed","On track")),IF(C41="DB Dev",IF(AND(L41="",K41=""),"No target set",IF(AND(IF(L41&lt;&gt;"",L41,K41)&lt;TODAY(),M41=""),"Overdue","On track")),IF(C41="PBI Dev",IF(AND(R41="",Q41=""),"No target set",IF(AND(IF(R41&lt;&gt;"",R41,Q41)&lt;TODAY(),S41=""),"Overdue","On track")),IF(C41="QA",_xlfn.LET(_xlpm.tgt,IF(AM41&lt;&gt;"",AM41,IF(W41&lt;&gt;"",W41,V41)),_xlpm.sent,_xlfn.MAXIFS('Rework Log'!$B$3:$B$499,'Rework Log'!$A$3:$A$499,$B41,'Rework Log'!$C$3:$C$499,"QA"),_xlpm.act,IF(AND(Y41&lt;&gt;"",Y41&gt;_xlpm.sent),Y41,""),IF(_xlpm.tgt="","No target set",IF(AND(_xlpm.tgt&lt;TODAY(),_xlpm.act=""),"Overdue","On track"))),IF(C41="DPO Approval",_xlfn.LET(_xlpm.tgt,IF(AN41&lt;&gt;"",AN41,IF(AB41&lt;&gt;"",AB41,AA41)),_xlpm.sent,_xlfn.MAXIFS('Rework Log'!$B$3:$B$499,'Rework Log'!$A$3:$A$499,$B41,'Rework Log'!$C$3:$C$499,"DPO*"),_xlpm.act,IF(AND(AC41&lt;&gt;"",AC41&gt;_xlpm.sent),AC41,""),IF(_xlpm.tgt="","No target set",IF(AND(_xlpm.tgt&lt;TODAY(),_xlpm.act=""),"Overdue","On track"))),IF(C41="RELEASED IN PROD","Delivered",""))))))))</f>
        <v>Overdue</v>
      </c>
      <c r="E41" s="33">
        <v>14</v>
      </c>
      <c r="F41" s="34" t="s">
        <v>130</v>
      </c>
      <c r="G41" s="33"/>
      <c r="H41" s="50">
        <v>46234</v>
      </c>
      <c r="I41" s="61" t="s">
        <v>131</v>
      </c>
      <c r="J41" s="33" t="s">
        <v>59</v>
      </c>
      <c r="K41" s="4">
        <v>46213</v>
      </c>
      <c r="L41" s="35">
        <v>46248</v>
      </c>
      <c r="M41" s="37">
        <v>46248</v>
      </c>
      <c r="N41" s="47" t="s">
        <v>45</v>
      </c>
      <c r="O41" s="36" t="s">
        <v>132</v>
      </c>
      <c r="P41" s="65" t="s">
        <v>60</v>
      </c>
      <c r="Q41" s="4">
        <v>46220</v>
      </c>
      <c r="R41" s="36">
        <v>46251</v>
      </c>
      <c r="S41" s="36">
        <v>46251</v>
      </c>
      <c r="T41" s="69"/>
      <c r="U41" s="54" t="s">
        <v>47</v>
      </c>
      <c r="V41" s="59">
        <v>46227</v>
      </c>
      <c r="W41" s="36">
        <v>46258</v>
      </c>
      <c r="X41" s="36"/>
      <c r="Y41" s="36">
        <v>46258</v>
      </c>
      <c r="Z41" s="36"/>
      <c r="AA41" s="52">
        <v>46232</v>
      </c>
      <c r="AB41" s="36">
        <v>46267</v>
      </c>
      <c r="AC41" s="36"/>
      <c r="AD41" s="33" t="s">
        <v>133</v>
      </c>
      <c r="AE41" s="33" t="s">
        <v>49</v>
      </c>
      <c r="AF41" s="38"/>
      <c r="AG41" s="36"/>
      <c r="AH41" s="39"/>
      <c r="AI41" s="33"/>
      <c r="AJ41" s="40" t="s">
        <v>53</v>
      </c>
      <c r="AK41" s="73" t="str">
        <f>IF($B41="","",IF(AND(LEFT($AJ41,3)="Yes",SUMPRODUCT(('Rework Log'!$A$3:$A$499=$B41)*('Rework Log'!$G$3:$G$499&lt;&gt;"Yes")*('Rework Log'!$G$3:$G$499&lt;&gt;"Did not pass re-test"))=0),"Blocked - log it on Rework Log",IF(AND(LEFT($AJ41,3)&lt;&gt;"Yes",SUMPRODUCT(('Rework Log'!$A$3:$A$499=$B41)*('Rework Log'!$G$3:$G$499&lt;&gt;"Yes")*('Rework Log'!$G$3:$G$499&lt;&gt;"Did not pass re-test"))&gt;0),"Open rework row - mark Blocked? or close it",IF(AND($AJ41="Yes – needs DB Dev to fix",M41&lt;&gt;"",SUMPRODUCT(MAX((('Rework Log'!$A$3:$A$499=$B41)*('Rework Log'!$G$3:$G$499&lt;&gt;"Yes")*('Rework Log'!$G$3:$G$499&lt;&gt;"Did not pass re-test"))*'Rework Log'!$I$3:$I$499))&gt;0),"Move old DB Dev completion date to Rework Log (col H)",IF(AND($AJ41="Yes – needs PBI Dev to fix",S41&lt;&gt;"",SUMPRODUCT(MAX((('Rework Log'!$A$3:$A$499=$B41)*('Rework Log'!$G$3:$G$499&lt;&gt;"Yes")*('Rework Log'!$G$3:$G$499&lt;&gt;"Did not pass re-test"))*'Rework Log'!$I$3:$I$499))&gt;0),"Move old PBI Dev completion date to Rework Log (col H)",IF(AND($AJ41="Yes – needs QA to fix",Y41&lt;&gt;"",SUMPRODUCT(MAX((('Rework Log'!$A$3:$A$499=$B41)*('Rework Log'!$G$3:$G$499&lt;&gt;"Yes")*('Rework Log'!$G$3:$G$499&lt;&gt;"Did not pass re-test"))*'Rework Log'!$I$3:$I$499))&gt;0),"Move old QA completion date to Rework Log (col H)",IF(COUNTIF($B$2:$B$527,$B41)&gt;1,"Duplicate name - check row",IF(COUNTIF('Rework Log'!$A$3:$A$499,$B41)&gt;0,"",IF(AND(V41&lt;&gt;"",K42&lt;&gt;"",V41&lt;K42),"QA target is before DB Dev target",IF(AND(V41&lt;&gt;"",Q41&lt;&gt;"",V41&lt;Q41),"QA target is before PBI Dev target",IF(AND(AA41&lt;&gt;"",V41&lt;&gt;"",AA41&lt;V41),"DPO Approval target is before QA target",IF(AND(AG41&lt;&gt;"",AA41&lt;&gt;"",AG41&lt;AA41),"Confirmed Deployed date is before DPO Approval target",""))))))))))))</f>
        <v/>
      </c>
      <c r="AL41" s="41" t="s">
        <v>165</v>
      </c>
      <c r="AM41" s="32" t="str" cm="1">
        <f t="array" ref="AM41">_xlfn.LET(_xlpm.rep,$B41,_xlpm.sent,_xlfn.MAXIFS('Rework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1" s="32" t="str" cm="1">
        <f t="array" ref="AN41">_xlfn.LET(_xlpm.rep,$B41,_xlpm.sent,_xlfn.MAXIFS('Rework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2" spans="1:40" ht="14.45">
      <c r="A42" s="33" t="s">
        <v>127</v>
      </c>
      <c r="B42" s="33" t="s">
        <v>166</v>
      </c>
      <c r="C42" s="33" t="s">
        <v>129</v>
      </c>
      <c r="D42" t="str" cm="1">
        <f t="array" aca="1" ref="D42" ca="1">IF($B42="","",IF(LEFT($AJ42,3)="Yes","Blocked - "&amp;MID($AJ42,7,100)&amp;IF(SUMPRODUCT(('Rework Log'!$A$3:$A$499=$B42)*('Rework Log'!$G$3:$G$499&lt;&gt;"Yes")*('Rework Log'!$G$3:$G$499&lt;&gt;"Did not pass re-test"))=0,"",IF(SUMPRODUCT(MAX((('Rework Log'!$A$3:$A$499=$B42)*('Rework Log'!$G$3:$G$499&lt;&gt;"Yes")*('Rework Log'!$G$3:$G$499&lt;&gt;"Did not pass re-test"))*'Rework Log'!$I$3:$I$499))=0," - unclaimed"," - promised "&amp;TEXT(SUMPRODUCT(MAX((('Rework Log'!$A$3:$A$499=$B42)*('Rework Log'!$G$3:$G$499&lt;&gt;"Yes")*('Rework Log'!$G$3:$G$499&lt;&gt;"Did not pass re-test"))*'Rework Log'!$I$3:$I$499)),"m/d"))),IF(C42="NOT STARTED",IF(H42="","No plan date set",IF(H42&lt;TODAY(),"Review - planned start passed","On track")),IF(C42="DB Dev",IF(AND(L42="",K42=""),"No target set",IF(AND(IF(L42&lt;&gt;"",L42,K42)&lt;TODAY(),M42=""),"Overdue","On track")),IF(C42="PBI Dev",IF(AND(R42="",Q42=""),"No target set",IF(AND(IF(R42&lt;&gt;"",R42,Q42)&lt;TODAY(),S42=""),"Overdue","On track")),IF(C42="QA",_xlfn.LET(_xlpm.tgt,IF(AM42&lt;&gt;"",AM42,IF(W42&lt;&gt;"",W42,V42)),_xlpm.sent,_xlfn.MAXIFS('Rework Log'!$B$3:$B$499,'Rework Log'!$A$3:$A$499,$B42,'Rework Log'!$C$3:$C$499,"QA"),_xlpm.act,IF(AND(Y42&lt;&gt;"",Y42&gt;_xlpm.sent),Y42,""),IF(_xlpm.tgt="","No target set",IF(AND(_xlpm.tgt&lt;TODAY(),_xlpm.act=""),"Overdue","On track"))),IF(C42="DPO Approval",_xlfn.LET(_xlpm.tgt,IF(AN42&lt;&gt;"",AN42,IF(AB42&lt;&gt;"",AB42,AA42)),_xlpm.sent,_xlfn.MAXIFS('Rework Log'!$B$3:$B$499,'Rework Log'!$A$3:$A$499,$B42,'Rework Log'!$C$3:$C$499,"DPO*"),_xlpm.act,IF(AND(AC42&lt;&gt;"",AC42&gt;_xlpm.sent),AC42,""),IF(_xlpm.tgt="","No target set",IF(AND(_xlpm.tgt&lt;TODAY(),_xlpm.act=""),"Overdue","On track"))),IF(C42="RELEASED IN PROD","Delivered",""))))))))</f>
        <v>On track</v>
      </c>
      <c r="E42" s="33">
        <v>15</v>
      </c>
      <c r="F42" s="34" t="s">
        <v>147</v>
      </c>
      <c r="G42" s="33"/>
      <c r="H42" s="50">
        <v>46234</v>
      </c>
      <c r="I42" s="61" t="s">
        <v>131</v>
      </c>
      <c r="J42" s="33" t="s">
        <v>76</v>
      </c>
      <c r="K42" s="4">
        <v>46213</v>
      </c>
      <c r="L42" s="36">
        <v>46245</v>
      </c>
      <c r="M42" s="36">
        <v>46245</v>
      </c>
      <c r="N42" s="36" t="s">
        <v>45</v>
      </c>
      <c r="O42" s="36" t="s">
        <v>167</v>
      </c>
      <c r="P42" s="65" t="s">
        <v>46</v>
      </c>
      <c r="Q42" s="4">
        <v>46220</v>
      </c>
      <c r="R42" s="36">
        <v>46248</v>
      </c>
      <c r="S42" s="36">
        <v>46248</v>
      </c>
      <c r="T42" s="69"/>
      <c r="U42" s="54" t="s">
        <v>47</v>
      </c>
      <c r="V42" s="59">
        <v>46227</v>
      </c>
      <c r="W42" s="36">
        <v>46255</v>
      </c>
      <c r="X42" s="36"/>
      <c r="Y42" s="36">
        <v>46261</v>
      </c>
      <c r="Z42" s="36"/>
      <c r="AA42" s="52">
        <v>46232</v>
      </c>
      <c r="AB42" s="36">
        <v>46269</v>
      </c>
      <c r="AC42" s="36"/>
      <c r="AD42" s="33" t="s">
        <v>156</v>
      </c>
      <c r="AE42" s="33" t="s">
        <v>49</v>
      </c>
      <c r="AF42" s="38"/>
      <c r="AG42" s="36"/>
      <c r="AH42" s="39"/>
      <c r="AI42" s="33"/>
      <c r="AJ42" s="40" t="s">
        <v>53</v>
      </c>
      <c r="AK42" s="48"/>
      <c r="AL42" s="45" t="s">
        <v>168</v>
      </c>
      <c r="AM42" s="32" t="str" cm="1">
        <f t="array" ref="AM42">_xlfn.LET(_xlpm.rep,$B42,_xlpm.sent,_xlfn.MAXIFS('Rework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2" s="32" t="str" cm="1">
        <f t="array" ref="AN42">_xlfn.LET(_xlpm.rep,$B42,_xlpm.sent,_xlfn.MAXIFS('Rework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3" spans="1:40" ht="14.45">
      <c r="A43" s="33" t="s">
        <v>127</v>
      </c>
      <c r="B43" s="33" t="s">
        <v>169</v>
      </c>
      <c r="C43" s="33" t="s">
        <v>141</v>
      </c>
      <c r="D43" t="str" cm="1">
        <f t="array" aca="1" ref="D43" ca="1">IF($B43="","",IF(LEFT($AJ43,3)="Yes","Blocked - "&amp;MID($AJ43,7,100)&amp;IF(SUMPRODUCT(('Rework Log'!$A$3:$A$499=$B43)*('Rework Log'!$G$3:$G$499&lt;&gt;"Yes")*('Rework Log'!$G$3:$G$499&lt;&gt;"Did not pass re-test"))=0,"",IF(SUMPRODUCT(MAX((('Rework Log'!$A$3:$A$499=$B43)*('Rework Log'!$G$3:$G$499&lt;&gt;"Yes")*('Rework Log'!$G$3:$G$499&lt;&gt;"Did not pass re-test"))*'Rework Log'!$I$3:$I$499))=0," - unclaimed"," - promised "&amp;TEXT(SUMPRODUCT(MAX((('Rework Log'!$A$3:$A$499=$B43)*('Rework Log'!$G$3:$G$499&lt;&gt;"Yes")*('Rework Log'!$G$3:$G$499&lt;&gt;"Did not pass re-test"))*'Rework Log'!$I$3:$I$499)),"m/d"))),IF(C43="NOT STARTED",IF(H43="","No plan date set",IF(H43&lt;TODAY(),"Review - planned start passed","On track")),IF(C43="DB Dev",IF(AND(L43="",K43=""),"No target set",IF(AND(IF(L43&lt;&gt;"",L43,K43)&lt;TODAY(),M43=""),"Overdue","On track")),IF(C43="PBI Dev",IF(AND(R43="",Q43=""),"No target set",IF(AND(IF(R43&lt;&gt;"",R43,Q43)&lt;TODAY(),S43=""),"Overdue","On track")),IF(C43="QA",_xlfn.LET(_xlpm.tgt,IF(AM43&lt;&gt;"",AM43,IF(W43&lt;&gt;"",W43,V43)),_xlpm.sent,_xlfn.MAXIFS('Rework Log'!$B$3:$B$499,'Rework Log'!$A$3:$A$499,$B43,'Rework Log'!$C$3:$C$499,"QA"),_xlpm.act,IF(AND(Y43&lt;&gt;"",Y43&gt;_xlpm.sent),Y43,""),IF(_xlpm.tgt="","No target set",IF(AND(_xlpm.tgt&lt;TODAY(),_xlpm.act=""),"Overdue","On track"))),IF(C43="DPO Approval",_xlfn.LET(_xlpm.tgt,IF(AN43&lt;&gt;"",AN43,IF(AB43&lt;&gt;"",AB43,AA43)),_xlpm.sent,_xlfn.MAXIFS('Rework Log'!$B$3:$B$499,'Rework Log'!$A$3:$A$499,$B43,'Rework Log'!$C$3:$C$499,"DPO*"),_xlpm.act,IF(AND(AC43&lt;&gt;"",AC43&gt;_xlpm.sent),AC43,""),IF(_xlpm.tgt="","No target set",IF(AND(_xlpm.tgt&lt;TODAY(),_xlpm.act=""),"Overdue","On track"))),IF(C43="RELEASED IN PROD","Delivered",""))))))))</f>
        <v>Overdue</v>
      </c>
      <c r="E43" s="33" t="s">
        <v>170</v>
      </c>
      <c r="F43" s="34" t="s">
        <v>147</v>
      </c>
      <c r="G43" s="33"/>
      <c r="H43" s="50">
        <v>46265</v>
      </c>
      <c r="I43" s="61" t="s">
        <v>171</v>
      </c>
      <c r="J43" s="33" t="s">
        <v>103</v>
      </c>
      <c r="K43" s="4">
        <v>46234</v>
      </c>
      <c r="L43" s="36">
        <v>46251</v>
      </c>
      <c r="M43" s="36">
        <v>46252</v>
      </c>
      <c r="N43" s="36" t="s">
        <v>172</v>
      </c>
      <c r="O43" s="36" t="s">
        <v>173</v>
      </c>
      <c r="P43" s="65" t="s">
        <v>60</v>
      </c>
      <c r="Q43" s="4">
        <v>46241</v>
      </c>
      <c r="R43" s="36">
        <v>46260</v>
      </c>
      <c r="S43" s="36">
        <v>46260</v>
      </c>
      <c r="T43" s="69"/>
      <c r="U43" s="54" t="s">
        <v>47</v>
      </c>
      <c r="V43" s="59">
        <v>46255</v>
      </c>
      <c r="W43" s="36">
        <v>46262</v>
      </c>
      <c r="X43" s="36"/>
      <c r="Y43" s="36"/>
      <c r="Z43" s="36"/>
      <c r="AA43" s="52">
        <v>46260</v>
      </c>
      <c r="AB43" s="36">
        <v>46274</v>
      </c>
      <c r="AC43" s="36"/>
      <c r="AD43" s="33" t="s">
        <v>133</v>
      </c>
      <c r="AE43" s="33" t="s">
        <v>49</v>
      </c>
      <c r="AF43" s="38"/>
      <c r="AG43" s="36"/>
      <c r="AH43" s="39"/>
      <c r="AI43" s="33"/>
      <c r="AJ43" s="40" t="s">
        <v>53</v>
      </c>
      <c r="AK43" s="73" t="str">
        <f>IF($B43="","",IF(AND(LEFT($AJ43,3)="Yes",SUMPRODUCT(('Rework Log'!$A$3:$A$499=$B43)*('Rework Log'!$G$3:$G$499&lt;&gt;"Yes")*('Rework Log'!$G$3:$G$499&lt;&gt;"Did not pass re-test"))=0),"Blocked - log it on Rework Log",IF(AND(LEFT($AJ43,3)&lt;&gt;"Yes",SUMPRODUCT(('Rework Log'!$A$3:$A$499=$B43)*('Rework Log'!$G$3:$G$499&lt;&gt;"Yes")*('Rework Log'!$G$3:$G$499&lt;&gt;"Did not pass re-test"))&gt;0),"Open rework row - mark Blocked? or close it",IF(AND($AJ43="Yes – needs DB Dev to fix",M43&lt;&gt;"",SUMPRODUCT(MAX((('Rework Log'!$A$3:$A$499=$B43)*('Rework Log'!$G$3:$G$499&lt;&gt;"Yes")*('Rework Log'!$G$3:$G$499&lt;&gt;"Did not pass re-test"))*'Rework Log'!$I$3:$I$499))&gt;0),"Move old DB Dev completion date to Rework Log (col H)",IF(AND($AJ43="Yes – needs PBI Dev to fix",S43&lt;&gt;"",SUMPRODUCT(MAX((('Rework Log'!$A$3:$A$499=$B43)*('Rework Log'!$G$3:$G$499&lt;&gt;"Yes")*('Rework Log'!$G$3:$G$499&lt;&gt;"Did not pass re-test"))*'Rework Log'!$I$3:$I$499))&gt;0),"Move old PBI Dev completion date to Rework Log (col H)",IF(AND($AJ43="Yes – needs QA to fix",Y43&lt;&gt;"",SUMPRODUCT(MAX((('Rework Log'!$A$3:$A$499=$B43)*('Rework Log'!$G$3:$G$499&lt;&gt;"Yes")*('Rework Log'!$G$3:$G$499&lt;&gt;"Did not pass re-test"))*'Rework Log'!$I$3:$I$499))&gt;0),"Move old QA completion date to Rework Log (col H)",IF(COUNTIF($B$2:$B$527,$B43)&gt;1,"Duplicate name - check row",IF(COUNTIF('Rework Log'!$A$3:$A$499,$B43)&gt;0,"",IF(AND(V43&lt;&gt;"",K43&lt;&gt;"",V43&lt;K43),"QA target is before DB Dev target",IF(AND(V43&lt;&gt;"",Q43&lt;&gt;"",V43&lt;Q43),"QA target is before PBI Dev target",IF(AND(AA43&lt;&gt;"",V43&lt;&gt;"",AA43&lt;V43),"DPO Approval target is before QA target",IF(AND(AG43&lt;&gt;"",AA43&lt;&gt;"",AG43&lt;AA43),"Confirmed Deployed date is before DPO Approval target",""))))))))))))</f>
        <v/>
      </c>
      <c r="AL43" s="41" t="s">
        <v>174</v>
      </c>
      <c r="AM43" s="32" t="str" cm="1">
        <f t="array" ref="AM43">_xlfn.LET(_xlpm.rep,$B43,_xlpm.sent,_xlfn.MAXIFS('Rework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3" s="32" t="str" cm="1">
        <f t="array" ref="AN43">_xlfn.LET(_xlpm.rep,$B43,_xlpm.sent,_xlfn.MAXIFS('Rework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4" spans="1:40" ht="152.25">
      <c r="A44" s="33" t="s">
        <v>127</v>
      </c>
      <c r="B44" s="33" t="s">
        <v>175</v>
      </c>
      <c r="C44" s="33" t="s">
        <v>129</v>
      </c>
      <c r="D44" t="str" cm="1">
        <f t="array" aca="1" ref="D44" ca="1">IF($B44="","",IF(LEFT($AJ44,3)="Yes","Blocked - "&amp;MID($AJ44,7,100)&amp;IF(SUMPRODUCT(('Rework Log'!$A$3:$A$499=$B44)*('Rework Log'!$G$3:$G$499&lt;&gt;"Yes")*('Rework Log'!$G$3:$G$499&lt;&gt;"Did not pass re-test"))=0,"",IF(SUMPRODUCT(MAX((('Rework Log'!$A$3:$A$499=$B44)*('Rework Log'!$G$3:$G$499&lt;&gt;"Yes")*('Rework Log'!$G$3:$G$499&lt;&gt;"Did not pass re-test"))*'Rework Log'!$I$3:$I$499))=0," - unclaimed"," - promised "&amp;TEXT(SUMPRODUCT(MAX((('Rework Log'!$A$3:$A$499=$B44)*('Rework Log'!$G$3:$G$499&lt;&gt;"Yes")*('Rework Log'!$G$3:$G$499&lt;&gt;"Did not pass re-test"))*'Rework Log'!$I$3:$I$499)),"m/d"))),IF(C44="NOT STARTED",IF(H44="","No plan date set",IF(H44&lt;TODAY(),"Review - planned start passed","On track")),IF(C44="DB Dev",IF(AND(L44="",K44=""),"No target set",IF(AND(IF(L44&lt;&gt;"",L44,K44)&lt;TODAY(),M44=""),"Overdue","On track")),IF(C44="PBI Dev",IF(AND(R44="",Q44=""),"No target set",IF(AND(IF(R44&lt;&gt;"",R44,Q44)&lt;TODAY(),S44=""),"Overdue","On track")),IF(C44="QA",_xlfn.LET(_xlpm.tgt,IF(AM44&lt;&gt;"",AM44,IF(W44&lt;&gt;"",W44,V44)),_xlpm.sent,_xlfn.MAXIFS('Rework Log'!$B$3:$B$499,'Rework Log'!$A$3:$A$499,$B44,'Rework Log'!$C$3:$C$499,"QA"),_xlpm.act,IF(AND(Y44&lt;&gt;"",Y44&gt;_xlpm.sent),Y44,""),IF(_xlpm.tgt="","No target set",IF(AND(_xlpm.tgt&lt;TODAY(),_xlpm.act=""),"Overdue","On track"))),IF(C44="DPO Approval",_xlfn.LET(_xlpm.tgt,IF(AN44&lt;&gt;"",AN44,IF(AB44&lt;&gt;"",AB44,AA44)),_xlpm.sent,_xlfn.MAXIFS('Rework Log'!$B$3:$B$499,'Rework Log'!$A$3:$A$499,$B44,'Rework Log'!$C$3:$C$499,"DPO*"),_xlpm.act,IF(AND(AC44&lt;&gt;"",AC44&gt;_xlpm.sent),AC44,""),IF(_xlpm.tgt="","No target set",IF(AND(_xlpm.tgt&lt;TODAY(),_xlpm.act=""),"Overdue","On track"))),IF(C44="RELEASED IN PROD","Delivered",""))))))))</f>
        <v>On track</v>
      </c>
      <c r="E44" s="33">
        <v>18</v>
      </c>
      <c r="F44" s="34" t="s">
        <v>147</v>
      </c>
      <c r="G44" s="33"/>
      <c r="H44" s="50">
        <v>46265</v>
      </c>
      <c r="I44" s="61" t="s">
        <v>171</v>
      </c>
      <c r="J44" s="33" t="s">
        <v>59</v>
      </c>
      <c r="K44" s="4">
        <v>46234</v>
      </c>
      <c r="L44" s="36">
        <v>46255</v>
      </c>
      <c r="M44" s="36">
        <v>46255</v>
      </c>
      <c r="N44" s="36" t="s">
        <v>45</v>
      </c>
      <c r="O44" s="36" t="s">
        <v>173</v>
      </c>
      <c r="P44" s="65" t="s">
        <v>46</v>
      </c>
      <c r="Q44" s="4">
        <v>46241</v>
      </c>
      <c r="R44" s="36">
        <v>46258</v>
      </c>
      <c r="S44" s="36">
        <v>46258</v>
      </c>
      <c r="T44" s="69"/>
      <c r="U44" s="54" t="s">
        <v>47</v>
      </c>
      <c r="V44" s="59">
        <v>46255</v>
      </c>
      <c r="W44" s="36">
        <v>46261</v>
      </c>
      <c r="X44" s="36">
        <v>46268</v>
      </c>
      <c r="Y44" s="36">
        <v>46268</v>
      </c>
      <c r="Z44" s="36"/>
      <c r="AA44" s="52">
        <v>46260</v>
      </c>
      <c r="AB44" s="36">
        <v>46273</v>
      </c>
      <c r="AC44" s="36"/>
      <c r="AD44" s="33" t="s">
        <v>176</v>
      </c>
      <c r="AE44" s="33" t="s">
        <v>49</v>
      </c>
      <c r="AF44" s="38"/>
      <c r="AG44" s="36"/>
      <c r="AH44" s="39"/>
      <c r="AI44" s="33"/>
      <c r="AJ44" s="40" t="s">
        <v>53</v>
      </c>
      <c r="AK44" s="73" t="str">
        <f>IF($B44="","",IF(AND(LEFT($AJ44,3)="Yes",SUMPRODUCT(('Rework Log'!$A$3:$A$499=$B44)*('Rework Log'!$G$3:$G$499&lt;&gt;"Yes")*('Rework Log'!$G$3:$G$499&lt;&gt;"Did not pass re-test"))=0),"Blocked - log it on Rework Log",IF(AND(LEFT($AJ44,3)&lt;&gt;"Yes",SUMPRODUCT(('Rework Log'!$A$3:$A$499=$B44)*('Rework Log'!$G$3:$G$499&lt;&gt;"Yes")*('Rework Log'!$G$3:$G$499&lt;&gt;"Did not pass re-test"))&gt;0),"Open rework row - mark Blocked? or close it",IF(AND($AJ44="Yes – needs DB Dev to fix",M44&lt;&gt;"",SUMPRODUCT(MAX((('Rework Log'!$A$3:$A$499=$B44)*('Rework Log'!$G$3:$G$499&lt;&gt;"Yes")*('Rework Log'!$G$3:$G$499&lt;&gt;"Did not pass re-test"))*'Rework Log'!$I$3:$I$499))&gt;0),"Move old DB Dev completion date to Rework Log (col H)",IF(AND($AJ44="Yes – needs PBI Dev to fix",S44&lt;&gt;"",SUMPRODUCT(MAX((('Rework Log'!$A$3:$A$499=$B44)*('Rework Log'!$G$3:$G$499&lt;&gt;"Yes")*('Rework Log'!$G$3:$G$499&lt;&gt;"Did not pass re-test"))*'Rework Log'!$I$3:$I$499))&gt;0),"Move old PBI Dev completion date to Rework Log (col H)",IF(AND($AJ44="Yes – needs QA to fix",Y44&lt;&gt;"",SUMPRODUCT(MAX((('Rework Log'!$A$3:$A$499=$B44)*('Rework Log'!$G$3:$G$499&lt;&gt;"Yes")*('Rework Log'!$G$3:$G$499&lt;&gt;"Did not pass re-test"))*'Rework Log'!$I$3:$I$499))&gt;0),"Move old QA completion date to Rework Log (col H)",IF(COUNTIF($B$2:$B$527,$B44)&gt;1,"Duplicate name - check row",IF(COUNTIF('Rework Log'!$A$3:$A$499,$B44)&gt;0,"",IF(AND(V44&lt;&gt;"",K44&lt;&gt;"",V44&lt;K44),"QA target is before DB Dev target",IF(AND(V44&lt;&gt;"",Q44&lt;&gt;"",V44&lt;Q44),"QA target is before PBI Dev target",IF(AND(AA44&lt;&gt;"",V44&lt;&gt;"",AA44&lt;V44),"DPO Approval target is before QA target",IF(AND(AG44&lt;&gt;"",AA44&lt;&gt;"",AG44&lt;AA44),"Confirmed Deployed date is before DPO Approval target",""))))))))))))</f>
        <v/>
      </c>
      <c r="AL44" s="119" t="s">
        <v>177</v>
      </c>
      <c r="AM44" s="32" t="str" cm="1">
        <f t="array" ref="AM44">_xlfn.LET(_xlpm.rep,$B44,_xlpm.sent,_xlfn.MAXIFS('Rework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4" s="32" t="str" cm="1">
        <f t="array" ref="AN44">_xlfn.LET(_xlpm.rep,$B44,_xlpm.sent,_xlfn.MAXIFS('Rework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5" spans="1:40" ht="14.45">
      <c r="A45" s="33" t="s">
        <v>127</v>
      </c>
      <c r="B45" s="33" t="s">
        <v>178</v>
      </c>
      <c r="C45" s="33" t="s">
        <v>129</v>
      </c>
      <c r="D45" t="str" cm="1">
        <f t="array" aca="1" ref="D45" ca="1">IF($B45="","",IF(LEFT($AJ45,3)="Yes","Blocked - "&amp;MID($AJ45,7,100)&amp;IF(SUMPRODUCT(('Rework Log'!$A$3:$A$499=$B45)*('Rework Log'!$G$3:$G$499&lt;&gt;"Yes")*('Rework Log'!$G$3:$G$499&lt;&gt;"Did not pass re-test"))=0,"",IF(SUMPRODUCT(MAX((('Rework Log'!$A$3:$A$499=$B45)*('Rework Log'!$G$3:$G$499&lt;&gt;"Yes")*('Rework Log'!$G$3:$G$499&lt;&gt;"Did not pass re-test"))*'Rework Log'!$I$3:$I$499))=0," - unclaimed"," - promised "&amp;TEXT(SUMPRODUCT(MAX((('Rework Log'!$A$3:$A$499=$B45)*('Rework Log'!$G$3:$G$499&lt;&gt;"Yes")*('Rework Log'!$G$3:$G$499&lt;&gt;"Did not pass re-test"))*'Rework Log'!$I$3:$I$499)),"m/d"))),IF(C45="NOT STARTED",IF(H45="","No plan date set",IF(H45&lt;TODAY(),"Review - planned start passed","On track")),IF(C45="DB Dev",IF(AND(L45="",K45=""),"No target set",IF(AND(IF(L45&lt;&gt;"",L45,K45)&lt;TODAY(),M45=""),"Overdue","On track")),IF(C45="PBI Dev",IF(AND(R45="",Q45=""),"No target set",IF(AND(IF(R45&lt;&gt;"",R45,Q45)&lt;TODAY(),S45=""),"Overdue","On track")),IF(C45="QA",_xlfn.LET(_xlpm.tgt,IF(AM45&lt;&gt;"",AM45,IF(W45&lt;&gt;"",W45,V45)),_xlpm.sent,_xlfn.MAXIFS('Rework Log'!$B$3:$B$499,'Rework Log'!$A$3:$A$499,$B45,'Rework Log'!$C$3:$C$499,"QA"),_xlpm.act,IF(AND(Y45&lt;&gt;"",Y45&gt;_xlpm.sent),Y45,""),IF(_xlpm.tgt="","No target set",IF(AND(_xlpm.tgt&lt;TODAY(),_xlpm.act=""),"Overdue","On track"))),IF(C45="DPO Approval",_xlfn.LET(_xlpm.tgt,IF(AN45&lt;&gt;"",AN45,IF(AB45&lt;&gt;"",AB45,AA45)),_xlpm.sent,_xlfn.MAXIFS('Rework Log'!$B$3:$B$499,'Rework Log'!$A$3:$A$499,$B45,'Rework Log'!$C$3:$C$499,"DPO*"),_xlpm.act,IF(AND(AC45&lt;&gt;"",AC45&gt;_xlpm.sent),AC45,""),IF(_xlpm.tgt="","No target set",IF(AND(_xlpm.tgt&lt;TODAY(),_xlpm.act=""),"Overdue","On track"))),IF(C45="RELEASED IN PROD","Delivered",""))))))))</f>
        <v>Overdue</v>
      </c>
      <c r="E45" s="33">
        <v>19</v>
      </c>
      <c r="F45" s="34" t="s">
        <v>130</v>
      </c>
      <c r="G45" s="33"/>
      <c r="H45" s="50">
        <v>46265</v>
      </c>
      <c r="I45" s="61" t="s">
        <v>171</v>
      </c>
      <c r="J45" s="33" t="s">
        <v>44</v>
      </c>
      <c r="K45" s="4">
        <v>46234</v>
      </c>
      <c r="L45" s="36">
        <v>46249</v>
      </c>
      <c r="M45" s="36">
        <v>46244</v>
      </c>
      <c r="N45" s="36"/>
      <c r="O45" s="36" t="s">
        <v>173</v>
      </c>
      <c r="P45" s="65" t="s">
        <v>77</v>
      </c>
      <c r="Q45" s="4">
        <v>46241</v>
      </c>
      <c r="R45" s="36">
        <v>46252</v>
      </c>
      <c r="S45" s="36">
        <v>46265</v>
      </c>
      <c r="T45" s="69"/>
      <c r="U45" s="54" t="s">
        <v>47</v>
      </c>
      <c r="V45" s="59">
        <v>46255</v>
      </c>
      <c r="W45" s="36">
        <v>46268</v>
      </c>
      <c r="X45" s="36"/>
      <c r="Y45" s="36">
        <v>46265</v>
      </c>
      <c r="Z45" s="36"/>
      <c r="AA45" s="52">
        <v>46260</v>
      </c>
      <c r="AB45" s="36"/>
      <c r="AC45" s="36"/>
      <c r="AD45" s="33" t="s">
        <v>176</v>
      </c>
      <c r="AE45" s="33" t="s">
        <v>49</v>
      </c>
      <c r="AF45" s="38"/>
      <c r="AG45" s="36"/>
      <c r="AH45" s="39"/>
      <c r="AI45" s="33"/>
      <c r="AJ45" s="40" t="s">
        <v>53</v>
      </c>
      <c r="AK45" s="73" t="str">
        <f>IF($B45="","",IF(AND(LEFT($AJ45,3)="Yes",SUMPRODUCT(('Rework Log'!$A$3:$A$499=$B45)*('Rework Log'!$G$3:$G$499&lt;&gt;"Yes")*('Rework Log'!$G$3:$G$499&lt;&gt;"Did not pass re-test"))=0),"Blocked - log it on Rework Log",IF(AND(LEFT($AJ45,3)&lt;&gt;"Yes",SUMPRODUCT(('Rework Log'!$A$3:$A$499=$B45)*('Rework Log'!$G$3:$G$499&lt;&gt;"Yes")*('Rework Log'!$G$3:$G$499&lt;&gt;"Did not pass re-test"))&gt;0),"Open rework row - mark Blocked? or close it",IF(AND($AJ45="Yes – needs DB Dev to fix",M45&lt;&gt;"",SUMPRODUCT(MAX((('Rework Log'!$A$3:$A$499=$B45)*('Rework Log'!$G$3:$G$499&lt;&gt;"Yes")*('Rework Log'!$G$3:$G$499&lt;&gt;"Did not pass re-test"))*'Rework Log'!$I$3:$I$499))&gt;0),"Move old DB Dev completion date to Rework Log (col H)",IF(AND($AJ45="Yes – needs PBI Dev to fix",S45&lt;&gt;"",SUMPRODUCT(MAX((('Rework Log'!$A$3:$A$499=$B45)*('Rework Log'!$G$3:$G$499&lt;&gt;"Yes")*('Rework Log'!$G$3:$G$499&lt;&gt;"Did not pass re-test"))*'Rework Log'!$I$3:$I$499))&gt;0),"Move old PBI Dev completion date to Rework Log (col H)",IF(AND($AJ45="Yes – needs QA to fix",Y45&lt;&gt;"",SUMPRODUCT(MAX((('Rework Log'!$A$3:$A$499=$B45)*('Rework Log'!$G$3:$G$499&lt;&gt;"Yes")*('Rework Log'!$G$3:$G$499&lt;&gt;"Did not pass re-test"))*'Rework Log'!$I$3:$I$499))&gt;0),"Move old QA completion date to Rework Log (col H)",IF(COUNTIF($B$2:$B$527,$B45)&gt;1,"Duplicate name - check row",IF(COUNTIF('Rework Log'!$A$3:$A$499,$B45)&gt;0,"",IF(AND(V45&lt;&gt;"",K45&lt;&gt;"",V45&lt;K45),"QA target is before DB Dev target",IF(AND(V45&lt;&gt;"",Q45&lt;&gt;"",V45&lt;Q45),"QA target is before PBI Dev target",IF(AND(AA45&lt;&gt;"",V45&lt;&gt;"",AA45&lt;V45),"DPO Approval target is before QA target",IF(AND(AG45&lt;&gt;"",AA45&lt;&gt;"",AG45&lt;AA45),"Confirmed Deployed date is before DPO Approval target",""))))))))))))</f>
        <v/>
      </c>
      <c r="AL45" s="41" t="s">
        <v>179</v>
      </c>
      <c r="AM45" s="32" t="str" cm="1">
        <f t="array" ref="AM45">_xlfn.LET(_xlpm.rep,$B45,_xlpm.sent,_xlfn.MAXIFS('Rework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5" s="32" t="str" cm="1">
        <f t="array" ref="AN45">_xlfn.LET(_xlpm.rep,$B45,_xlpm.sent,_xlfn.MAXIFS('Rework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6" spans="1:40" ht="14.45">
      <c r="A46" s="33" t="s">
        <v>127</v>
      </c>
      <c r="B46" s="33" t="s">
        <v>180</v>
      </c>
      <c r="C46" s="33" t="s">
        <v>141</v>
      </c>
      <c r="D46" t="str" cm="1">
        <f t="array" aca="1" ref="D46" ca="1">IF($B46="","",IF(LEFT($AJ46,3)="Yes","Blocked - "&amp;MID($AJ46,7,100)&amp;IF(SUMPRODUCT(('Rework Log'!$A$3:$A$499=$B46)*('Rework Log'!$G$3:$G$499&lt;&gt;"Yes")*('Rework Log'!$G$3:$G$499&lt;&gt;"Did not pass re-test"))=0,"",IF(SUMPRODUCT(MAX((('Rework Log'!$A$3:$A$499=$B46)*('Rework Log'!$G$3:$G$499&lt;&gt;"Yes")*('Rework Log'!$G$3:$G$499&lt;&gt;"Did not pass re-test"))*'Rework Log'!$I$3:$I$499))=0," - unclaimed"," - promised "&amp;TEXT(SUMPRODUCT(MAX((('Rework Log'!$A$3:$A$499=$B46)*('Rework Log'!$G$3:$G$499&lt;&gt;"Yes")*('Rework Log'!$G$3:$G$499&lt;&gt;"Did not pass re-test"))*'Rework Log'!$I$3:$I$499)),"m/d"))),IF(C46="NOT STARTED",IF(H46="","No plan date set",IF(H46&lt;TODAY(),"Review - planned start passed","On track")),IF(C46="DB Dev",IF(AND(L46="",K46=""),"No target set",IF(AND(IF(L46&lt;&gt;"",L46,K46)&lt;TODAY(),M46=""),"Overdue","On track")),IF(C46="PBI Dev",IF(AND(R46="",Q46=""),"No target set",IF(AND(IF(R46&lt;&gt;"",R46,Q46)&lt;TODAY(),S46=""),"Overdue","On track")),IF(C46="QA",_xlfn.LET(_xlpm.tgt,IF(AM46&lt;&gt;"",AM46,IF(W46&lt;&gt;"",W46,V46)),_xlpm.sent,_xlfn.MAXIFS('Rework Log'!$B$3:$B$499,'Rework Log'!$A$3:$A$499,$B46,'Rework Log'!$C$3:$C$499,"QA"),_xlpm.act,IF(AND(Y46&lt;&gt;"",Y46&gt;_xlpm.sent),Y46,""),IF(_xlpm.tgt="","No target set",IF(AND(_xlpm.tgt&lt;TODAY(),_xlpm.act=""),"Overdue","On track"))),IF(C46="DPO Approval",_xlfn.LET(_xlpm.tgt,IF(AN46&lt;&gt;"",AN46,IF(AB46&lt;&gt;"",AB46,AA46)),_xlpm.sent,_xlfn.MAXIFS('Rework Log'!$B$3:$B$499,'Rework Log'!$A$3:$A$499,$B46,'Rework Log'!$C$3:$C$499,"DPO*"),_xlpm.act,IF(AND(AC46&lt;&gt;"",AC46&gt;_xlpm.sent),AC46,""),IF(_xlpm.tgt="","No target set",IF(AND(_xlpm.tgt&lt;TODAY(),_xlpm.act=""),"Overdue","On track"))),IF(C46="RELEASED IN PROD","Delivered",""))))))))</f>
        <v>On track</v>
      </c>
      <c r="E46" s="33">
        <v>20</v>
      </c>
      <c r="F46" s="34" t="s">
        <v>130</v>
      </c>
      <c r="G46" s="33"/>
      <c r="H46" s="50">
        <v>46265</v>
      </c>
      <c r="I46" s="61" t="s">
        <v>171</v>
      </c>
      <c r="J46" s="33" t="s">
        <v>84</v>
      </c>
      <c r="K46" s="4">
        <v>46234</v>
      </c>
      <c r="L46" s="36">
        <v>46213</v>
      </c>
      <c r="M46" s="36">
        <v>46244</v>
      </c>
      <c r="N46" s="36"/>
      <c r="O46" s="36" t="s">
        <v>181</v>
      </c>
      <c r="P46" s="65" t="s">
        <v>60</v>
      </c>
      <c r="Q46" s="4">
        <v>46241</v>
      </c>
      <c r="R46" s="36">
        <v>46261</v>
      </c>
      <c r="S46" s="36">
        <v>46261</v>
      </c>
      <c r="T46" s="69"/>
      <c r="U46" s="54" t="s">
        <v>47</v>
      </c>
      <c r="V46" s="59">
        <v>46255</v>
      </c>
      <c r="W46" s="36">
        <v>46266</v>
      </c>
      <c r="X46" s="36"/>
      <c r="Y46" s="36">
        <v>46266</v>
      </c>
      <c r="Z46" s="36"/>
      <c r="AA46" s="52">
        <v>46260</v>
      </c>
      <c r="AB46" s="36"/>
      <c r="AC46" s="36"/>
      <c r="AD46" s="33" t="s">
        <v>133</v>
      </c>
      <c r="AE46" s="33" t="s">
        <v>49</v>
      </c>
      <c r="AF46" s="38"/>
      <c r="AG46" s="36"/>
      <c r="AH46" s="39"/>
      <c r="AI46" s="33"/>
      <c r="AJ46" s="40" t="s">
        <v>53</v>
      </c>
      <c r="AK46" s="73" t="str">
        <f>IF($B46="","",IF(AND(LEFT($AJ46,3)="Yes",SUMPRODUCT(('Rework Log'!$A$3:$A$499=$B46)*('Rework Log'!$G$3:$G$499&lt;&gt;"Yes")*('Rework Log'!$G$3:$G$499&lt;&gt;"Did not pass re-test"))=0),"Blocked - log it on Rework Log",IF(AND(LEFT($AJ46,3)&lt;&gt;"Yes",SUMPRODUCT(('Rework Log'!$A$3:$A$499=$B46)*('Rework Log'!$G$3:$G$499&lt;&gt;"Yes")*('Rework Log'!$G$3:$G$499&lt;&gt;"Did not pass re-test"))&gt;0),"Open rework row - mark Blocked? or close it",IF(AND($AJ46="Yes – needs DB Dev to fix",M46&lt;&gt;"",SUMPRODUCT(MAX((('Rework Log'!$A$3:$A$499=$B46)*('Rework Log'!$G$3:$G$499&lt;&gt;"Yes")*('Rework Log'!$G$3:$G$499&lt;&gt;"Did not pass re-test"))*'Rework Log'!$I$3:$I$499))&gt;0),"Move old DB Dev completion date to Rework Log (col H)",IF(AND($AJ46="Yes – needs PBI Dev to fix",S46&lt;&gt;"",SUMPRODUCT(MAX((('Rework Log'!$A$3:$A$499=$B46)*('Rework Log'!$G$3:$G$499&lt;&gt;"Yes")*('Rework Log'!$G$3:$G$499&lt;&gt;"Did not pass re-test"))*'Rework Log'!$I$3:$I$499))&gt;0),"Move old PBI Dev completion date to Rework Log (col H)",IF(AND($AJ46="Yes – needs QA to fix",Y46&lt;&gt;"",SUMPRODUCT(MAX((('Rework Log'!$A$3:$A$499=$B46)*('Rework Log'!$G$3:$G$499&lt;&gt;"Yes")*('Rework Log'!$G$3:$G$499&lt;&gt;"Did not pass re-test"))*'Rework Log'!$I$3:$I$499))&gt;0),"Move old QA completion date to Rework Log (col H)",IF(COUNTIF($B$2:$B$527,$B46)&gt;1,"Duplicate name - check row",IF(COUNTIF('Rework Log'!$A$3:$A$499,$B46)&gt;0,"",IF(AND(V46&lt;&gt;"",K46&lt;&gt;"",V46&lt;K46),"QA target is before DB Dev target",IF(AND(V46&lt;&gt;"",Q46&lt;&gt;"",V46&lt;Q46),"QA target is before PBI Dev target",IF(AND(AA46&lt;&gt;"",V46&lt;&gt;"",AA46&lt;V46),"DPO Approval target is before QA target",IF(AND(AG46&lt;&gt;"",AA46&lt;&gt;"",AG46&lt;AA46),"Confirmed Deployed date is before DPO Approval target",""))))))))))))</f>
        <v/>
      </c>
      <c r="AL46" s="41" t="s">
        <v>179</v>
      </c>
      <c r="AM46" s="32" t="str" cm="1">
        <f t="array" ref="AM46">_xlfn.LET(_xlpm.rep,$B46,_xlpm.sent,_xlfn.MAXIFS('Rework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6" s="32" t="str" cm="1">
        <f t="array" ref="AN46">_xlfn.LET(_xlpm.rep,$B46,_xlpm.sent,_xlfn.MAXIFS('Rework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7" spans="1:40" ht="14.45">
      <c r="A47" s="33" t="s">
        <v>127</v>
      </c>
      <c r="B47" s="33" t="s">
        <v>182</v>
      </c>
      <c r="C47" s="33" t="s">
        <v>129</v>
      </c>
      <c r="D47" t="str" cm="1">
        <f t="array" aca="1" ref="D47" ca="1">IF($B47="","",IF(LEFT($AJ47,3)="Yes","Blocked - "&amp;MID($AJ47,7,100)&amp;IF(SUMPRODUCT(('Rework Log'!$A$3:$A$499=$B47)*('Rework Log'!$G$3:$G$499&lt;&gt;"Yes")*('Rework Log'!$G$3:$G$499&lt;&gt;"Did not pass re-test"))=0,"",IF(SUMPRODUCT(MAX((('Rework Log'!$A$3:$A$499=$B47)*('Rework Log'!$G$3:$G$499&lt;&gt;"Yes")*('Rework Log'!$G$3:$G$499&lt;&gt;"Did not pass re-test"))*'Rework Log'!$I$3:$I$499))=0," - unclaimed"," - promised "&amp;TEXT(SUMPRODUCT(MAX((('Rework Log'!$A$3:$A$499=$B47)*('Rework Log'!$G$3:$G$499&lt;&gt;"Yes")*('Rework Log'!$G$3:$G$499&lt;&gt;"Did not pass re-test"))*'Rework Log'!$I$3:$I$499)),"m/d"))),IF(C47="NOT STARTED",IF(H47="","No plan date set",IF(H47&lt;TODAY(),"Review - planned start passed","On track")),IF(C47="DB Dev",IF(AND(L47="",K47=""),"No target set",IF(AND(IF(L47&lt;&gt;"",L47,K47)&lt;TODAY(),M47=""),"Overdue","On track")),IF(C47="PBI Dev",IF(AND(R47="",Q47=""),"No target set",IF(AND(IF(R47&lt;&gt;"",R47,Q47)&lt;TODAY(),S47=""),"Overdue","On track")),IF(C47="QA",_xlfn.LET(_xlpm.tgt,IF(AM47&lt;&gt;"",AM47,IF(W47&lt;&gt;"",W47,V47)),_xlpm.sent,_xlfn.MAXIFS('Rework Log'!$B$3:$B$499,'Rework Log'!$A$3:$A$499,$B47,'Rework Log'!$C$3:$C$499,"QA"),_xlpm.act,IF(AND(Y47&lt;&gt;"",Y47&gt;_xlpm.sent),Y47,""),IF(_xlpm.tgt="","No target set",IF(AND(_xlpm.tgt&lt;TODAY(),_xlpm.act=""),"Overdue","On track"))),IF(C47="DPO Approval",_xlfn.LET(_xlpm.tgt,IF(AN47&lt;&gt;"",AN47,IF(AB47&lt;&gt;"",AB47,AA47)),_xlpm.sent,_xlfn.MAXIFS('Rework Log'!$B$3:$B$499,'Rework Log'!$A$3:$A$499,$B47,'Rework Log'!$C$3:$C$499,"DPO*"),_xlpm.act,IF(AND(AC47&lt;&gt;"",AC47&gt;_xlpm.sent),AC47,""),IF(_xlpm.tgt="","No target set",IF(AND(_xlpm.tgt&lt;TODAY(),_xlpm.act=""),"Overdue","On track"))),IF(C47="RELEASED IN PROD","Delivered",""))))))))</f>
        <v>On track</v>
      </c>
      <c r="E47" s="33">
        <v>21</v>
      </c>
      <c r="F47" s="34" t="s">
        <v>130</v>
      </c>
      <c r="G47" s="33"/>
      <c r="H47" s="50">
        <v>46265</v>
      </c>
      <c r="I47" s="61" t="s">
        <v>171</v>
      </c>
      <c r="J47" s="33" t="s">
        <v>160</v>
      </c>
      <c r="K47" s="4">
        <v>46234</v>
      </c>
      <c r="L47" s="36">
        <v>46246</v>
      </c>
      <c r="M47" s="36">
        <v>46246</v>
      </c>
      <c r="N47" s="36"/>
      <c r="O47" s="36" t="s">
        <v>183</v>
      </c>
      <c r="P47" s="65" t="s">
        <v>77</v>
      </c>
      <c r="Q47" s="4">
        <v>46241</v>
      </c>
      <c r="R47" s="36">
        <v>46261</v>
      </c>
      <c r="S47" s="36">
        <v>46261</v>
      </c>
      <c r="T47" s="69"/>
      <c r="U47" s="54" t="s">
        <v>130</v>
      </c>
      <c r="V47" s="59">
        <v>46255</v>
      </c>
      <c r="W47" s="36">
        <v>46265</v>
      </c>
      <c r="X47" s="36"/>
      <c r="Y47" s="36">
        <v>46265</v>
      </c>
      <c r="Z47" s="36"/>
      <c r="AA47" s="52">
        <v>46260</v>
      </c>
      <c r="AB47" s="36">
        <v>46280</v>
      </c>
      <c r="AC47" s="36"/>
      <c r="AD47" s="33" t="s">
        <v>133</v>
      </c>
      <c r="AE47" s="33" t="s">
        <v>49</v>
      </c>
      <c r="AF47" s="38"/>
      <c r="AG47" s="36"/>
      <c r="AH47" s="39"/>
      <c r="AI47" s="33"/>
      <c r="AJ47" s="40" t="s">
        <v>53</v>
      </c>
      <c r="AK47" s="73" t="str">
        <f>IF($B47="","",IF(AND(LEFT($AJ47,3)="Yes",SUMPRODUCT(('Rework Log'!$A$3:$A$499=$B47)*('Rework Log'!$G$3:$G$499&lt;&gt;"Yes")*('Rework Log'!$G$3:$G$499&lt;&gt;"Did not pass re-test"))=0),"Blocked - log it on Rework Log",IF(AND(LEFT($AJ47,3)&lt;&gt;"Yes",SUMPRODUCT(('Rework Log'!$A$3:$A$499=$B47)*('Rework Log'!$G$3:$G$499&lt;&gt;"Yes")*('Rework Log'!$G$3:$G$499&lt;&gt;"Did not pass re-test"))&gt;0),"Open rework row - mark Blocked? or close it",IF(AND($AJ47="Yes – needs DB Dev to fix",M47&lt;&gt;"",SUMPRODUCT(MAX((('Rework Log'!$A$3:$A$499=$B47)*('Rework Log'!$G$3:$G$499&lt;&gt;"Yes")*('Rework Log'!$G$3:$G$499&lt;&gt;"Did not pass re-test"))*'Rework Log'!$I$3:$I$499))&gt;0),"Move old DB Dev completion date to Rework Log (col H)",IF(AND($AJ47="Yes – needs PBI Dev to fix",S47&lt;&gt;"",SUMPRODUCT(MAX((('Rework Log'!$A$3:$A$499=$B47)*('Rework Log'!$G$3:$G$499&lt;&gt;"Yes")*('Rework Log'!$G$3:$G$499&lt;&gt;"Did not pass re-test"))*'Rework Log'!$I$3:$I$499))&gt;0),"Move old PBI Dev completion date to Rework Log (col H)",IF(AND($AJ47="Yes – needs QA to fix",Y47&lt;&gt;"",SUMPRODUCT(MAX((('Rework Log'!$A$3:$A$499=$B47)*('Rework Log'!$G$3:$G$499&lt;&gt;"Yes")*('Rework Log'!$G$3:$G$499&lt;&gt;"Did not pass re-test"))*'Rework Log'!$I$3:$I$499))&gt;0),"Move old QA completion date to Rework Log (col H)",IF(COUNTIF($B$2:$B$527,$B47)&gt;1,"Duplicate name - check row",IF(COUNTIF('Rework Log'!$A$3:$A$499,$B47)&gt;0,"",IF(AND(V47&lt;&gt;"",K47&lt;&gt;"",V47&lt;K47),"QA target is before DB Dev target",IF(AND(V47&lt;&gt;"",Q47&lt;&gt;"",V47&lt;Q47),"QA target is before PBI Dev target",IF(AND(AA47&lt;&gt;"",V47&lt;&gt;"",AA47&lt;V47),"DPO Approval target is before QA target",IF(AND(AG47&lt;&gt;"",AA47&lt;&gt;"",AG47&lt;AA47),"Confirmed Deployed date is before DPO Approval target",""))))))))))))</f>
        <v/>
      </c>
      <c r="AL47" s="41" t="s">
        <v>179</v>
      </c>
      <c r="AM47" s="32" t="str" cm="1">
        <f t="array" ref="AM47">_xlfn.LET(_xlpm.rep,$B47,_xlpm.sent,_xlfn.MAXIFS('Rework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7" s="32" t="str" cm="1">
        <f t="array" ref="AN47">_xlfn.LET(_xlpm.rep,$B47,_xlpm.sent,_xlfn.MAXIFS('Rework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8" spans="1:40" ht="14.45">
      <c r="A48" s="33" t="s">
        <v>127</v>
      </c>
      <c r="B48" s="33" t="s">
        <v>184</v>
      </c>
      <c r="C48" s="33" t="s">
        <v>141</v>
      </c>
      <c r="D48" t="str" cm="1">
        <f t="array" aca="1" ref="D48" ca="1">IF($B48="","",IF(LEFT($AJ48,3)="Yes","Blocked - "&amp;MID($AJ48,7,100)&amp;IF(SUMPRODUCT(('Rework Log'!$A$3:$A$499=$B48)*('Rework Log'!$G$3:$G$499&lt;&gt;"Yes")*('Rework Log'!$G$3:$G$499&lt;&gt;"Did not pass re-test"))=0,"",IF(SUMPRODUCT(MAX((('Rework Log'!$A$3:$A$499=$B48)*('Rework Log'!$G$3:$G$499&lt;&gt;"Yes")*('Rework Log'!$G$3:$G$499&lt;&gt;"Did not pass re-test"))*'Rework Log'!$I$3:$I$499))=0," - unclaimed"," - promised "&amp;TEXT(SUMPRODUCT(MAX((('Rework Log'!$A$3:$A$499=$B48)*('Rework Log'!$G$3:$G$499&lt;&gt;"Yes")*('Rework Log'!$G$3:$G$499&lt;&gt;"Did not pass re-test"))*'Rework Log'!$I$3:$I$499)),"m/d"))),IF(C48="NOT STARTED",IF(H48="","No plan date set",IF(H48&lt;TODAY(),"Review - planned start passed","On track")),IF(C48="DB Dev",IF(AND(L48="",K48=""),"No target set",IF(AND(IF(L48&lt;&gt;"",L48,K48)&lt;TODAY(),M48=""),"Overdue","On track")),IF(C48="PBI Dev",IF(AND(R48="",Q48=""),"No target set",IF(AND(IF(R48&lt;&gt;"",R48,Q48)&lt;TODAY(),S48=""),"Overdue","On track")),IF(C48="QA",_xlfn.LET(_xlpm.tgt,IF(AM48&lt;&gt;"",AM48,IF(W48&lt;&gt;"",W48,V48)),_xlpm.sent,_xlfn.MAXIFS('Rework Log'!$B$3:$B$499,'Rework Log'!$A$3:$A$499,$B48,'Rework Log'!$C$3:$C$499,"QA"),_xlpm.act,IF(AND(Y48&lt;&gt;"",Y48&gt;_xlpm.sent),Y48,""),IF(_xlpm.tgt="","No target set",IF(AND(_xlpm.tgt&lt;TODAY(),_xlpm.act=""),"Overdue","On track"))),IF(C48="DPO Approval",_xlfn.LET(_xlpm.tgt,IF(AN48&lt;&gt;"",AN48,IF(AB48&lt;&gt;"",AB48,AA48)),_xlpm.sent,_xlfn.MAXIFS('Rework Log'!$B$3:$B$499,'Rework Log'!$A$3:$A$499,$B48,'Rework Log'!$C$3:$C$499,"DPO*"),_xlpm.act,IF(AND(AC48&lt;&gt;"",AC48&gt;_xlpm.sent),AC48,""),IF(_xlpm.tgt="","No target set",IF(AND(_xlpm.tgt&lt;TODAY(),_xlpm.act=""),"Overdue","On track"))),IF(C48="RELEASED IN PROD","Delivered",""))))))))</f>
        <v>On track</v>
      </c>
      <c r="E48" s="33">
        <v>22</v>
      </c>
      <c r="F48" s="34" t="s">
        <v>147</v>
      </c>
      <c r="G48" s="33"/>
      <c r="H48" s="50">
        <v>46265</v>
      </c>
      <c r="I48" s="61" t="s">
        <v>171</v>
      </c>
      <c r="J48" s="33" t="s">
        <v>103</v>
      </c>
      <c r="K48" s="4">
        <v>46234</v>
      </c>
      <c r="L48" s="36">
        <v>46255</v>
      </c>
      <c r="M48" s="36">
        <v>46253</v>
      </c>
      <c r="N48" s="36"/>
      <c r="O48" s="36" t="s">
        <v>183</v>
      </c>
      <c r="P48" s="65" t="s">
        <v>46</v>
      </c>
      <c r="Q48" s="4">
        <v>46241</v>
      </c>
      <c r="R48" s="36">
        <v>46255</v>
      </c>
      <c r="S48" s="36">
        <v>46255</v>
      </c>
      <c r="T48" s="69"/>
      <c r="U48" s="54" t="s">
        <v>147</v>
      </c>
      <c r="V48" s="59">
        <v>46255</v>
      </c>
      <c r="W48" s="36">
        <v>46269</v>
      </c>
      <c r="X48" s="36"/>
      <c r="Y48" s="36"/>
      <c r="Z48" s="36"/>
      <c r="AA48" s="52">
        <v>46260</v>
      </c>
      <c r="AB48" s="47">
        <v>46268</v>
      </c>
      <c r="AC48" s="36"/>
      <c r="AD48" s="33" t="s">
        <v>176</v>
      </c>
      <c r="AE48" s="33" t="s">
        <v>49</v>
      </c>
      <c r="AF48" s="38"/>
      <c r="AG48" s="36"/>
      <c r="AH48" s="39"/>
      <c r="AI48" s="33"/>
      <c r="AJ48" s="40" t="s">
        <v>53</v>
      </c>
      <c r="AK48" s="73" t="str">
        <f>IF($B48="","",IF(AND(LEFT($AJ48,3)="Yes",SUMPRODUCT(('Rework Log'!$A$3:$A$499=$B48)*('Rework Log'!$G$3:$G$499&lt;&gt;"Yes")*('Rework Log'!$G$3:$G$499&lt;&gt;"Did not pass re-test"))=0),"Blocked - log it on Rework Log",IF(AND(LEFT($AJ48,3)&lt;&gt;"Yes",SUMPRODUCT(('Rework Log'!$A$3:$A$499=$B48)*('Rework Log'!$G$3:$G$499&lt;&gt;"Yes")*('Rework Log'!$G$3:$G$499&lt;&gt;"Did not pass re-test"))&gt;0),"Open rework row - mark Blocked? or close it",IF(AND($AJ48="Yes – needs DB Dev to fix",M48&lt;&gt;"",SUMPRODUCT(MAX((('Rework Log'!$A$3:$A$499=$B48)*('Rework Log'!$G$3:$G$499&lt;&gt;"Yes")*('Rework Log'!$G$3:$G$499&lt;&gt;"Did not pass re-test"))*'Rework Log'!$I$3:$I$499))&gt;0),"Move old DB Dev completion date to Rework Log (col H)",IF(AND($AJ48="Yes – needs PBI Dev to fix",S48&lt;&gt;"",SUMPRODUCT(MAX((('Rework Log'!$A$3:$A$499=$B48)*('Rework Log'!$G$3:$G$499&lt;&gt;"Yes")*('Rework Log'!$G$3:$G$499&lt;&gt;"Did not pass re-test"))*'Rework Log'!$I$3:$I$499))&gt;0),"Move old PBI Dev completion date to Rework Log (col H)",IF(AND($AJ48="Yes – needs QA to fix",Y48&lt;&gt;"",SUMPRODUCT(MAX((('Rework Log'!$A$3:$A$499=$B48)*('Rework Log'!$G$3:$G$499&lt;&gt;"Yes")*('Rework Log'!$G$3:$G$499&lt;&gt;"Did not pass re-test"))*'Rework Log'!$I$3:$I$499))&gt;0),"Move old QA completion date to Rework Log (col H)",IF(COUNTIF($B$2:$B$527,$B48)&gt;1,"Duplicate name - check row",IF(COUNTIF('Rework Log'!$A$3:$A$499,$B48)&gt;0,"",IF(AND(V48&lt;&gt;"",K48&lt;&gt;"",V48&lt;K48),"QA target is before DB Dev target",IF(AND(V48&lt;&gt;"",Q48&lt;&gt;"",V48&lt;Q48),"QA target is before PBI Dev target",IF(AND(AA48&lt;&gt;"",V48&lt;&gt;"",AA48&lt;V48),"DPO Approval target is before QA target",IF(AND(AG48&lt;&gt;"",AA48&lt;&gt;"",AG48&lt;AA48),"Confirmed Deployed date is before DPO Approval target",""))))))))))))</f>
        <v/>
      </c>
      <c r="AL48" s="41" t="s">
        <v>185</v>
      </c>
      <c r="AM48" s="32" t="str" cm="1">
        <f t="array" ref="AM48">_xlfn.LET(_xlpm.rep,$B48,_xlpm.sent,_xlfn.MAXIFS('Rework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8" s="32" t="str" cm="1">
        <f t="array" ref="AN48">_xlfn.LET(_xlpm.rep,$B48,_xlpm.sent,_xlfn.MAXIFS('Rework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9" spans="1:40" ht="14.45">
      <c r="A49" s="33" t="s">
        <v>127</v>
      </c>
      <c r="B49" s="33" t="s">
        <v>186</v>
      </c>
      <c r="C49" s="33" t="s">
        <v>141</v>
      </c>
      <c r="D49" t="str" cm="1">
        <f t="array" aca="1" ref="D49" ca="1">IF($B49="","",IF(LEFT($AJ49,3)="Yes","Blocked - "&amp;MID($AJ49,7,100)&amp;IF(SUMPRODUCT(('Rework Log'!$A$3:$A$499=$B49)*('Rework Log'!$G$3:$G$499&lt;&gt;"Yes")*('Rework Log'!$G$3:$G$499&lt;&gt;"Did not pass re-test"))=0,"",IF(SUMPRODUCT(MAX((('Rework Log'!$A$3:$A$499=$B49)*('Rework Log'!$G$3:$G$499&lt;&gt;"Yes")*('Rework Log'!$G$3:$G$499&lt;&gt;"Did not pass re-test"))*'Rework Log'!$I$3:$I$499))=0," - unclaimed"," - promised "&amp;TEXT(SUMPRODUCT(MAX((('Rework Log'!$A$3:$A$499=$B49)*('Rework Log'!$G$3:$G$499&lt;&gt;"Yes")*('Rework Log'!$G$3:$G$499&lt;&gt;"Did not pass re-test"))*'Rework Log'!$I$3:$I$499)),"m/d"))),IF(C49="NOT STARTED",IF(H49="","No plan date set",IF(H49&lt;TODAY(),"Review - planned start passed","On track")),IF(C49="DB Dev",IF(AND(L49="",K49=""),"No target set",IF(AND(IF(L49&lt;&gt;"",L49,K49)&lt;TODAY(),M49=""),"Overdue","On track")),IF(C49="PBI Dev",IF(AND(R49="",Q49=""),"No target set",IF(AND(IF(R49&lt;&gt;"",R49,Q49)&lt;TODAY(),S49=""),"Overdue","On track")),IF(C49="QA",_xlfn.LET(_xlpm.tgt,IF(AM49&lt;&gt;"",AM49,IF(W49&lt;&gt;"",W49,V49)),_xlpm.sent,_xlfn.MAXIFS('Rework Log'!$B$3:$B$499,'Rework Log'!$A$3:$A$499,$B49,'Rework Log'!$C$3:$C$499,"QA"),_xlpm.act,IF(AND(Y49&lt;&gt;"",Y49&gt;_xlpm.sent),Y49,""),IF(_xlpm.tgt="","No target set",IF(AND(_xlpm.tgt&lt;TODAY(),_xlpm.act=""),"Overdue","On track"))),IF(C49="DPO Approval",_xlfn.LET(_xlpm.tgt,IF(AN49&lt;&gt;"",AN49,IF(AB49&lt;&gt;"",AB49,AA49)),_xlpm.sent,_xlfn.MAXIFS('Rework Log'!$B$3:$B$499,'Rework Log'!$A$3:$A$499,$B49,'Rework Log'!$C$3:$C$499,"DPO*"),_xlpm.act,IF(AND(AC49&lt;&gt;"",AC49&gt;_xlpm.sent),AC49,""),IF(_xlpm.tgt="","No target set",IF(AND(_xlpm.tgt&lt;TODAY(),_xlpm.act=""),"Overdue","On track"))),IF(C49="RELEASED IN PROD","Delivered",""))))))))</f>
        <v>On track</v>
      </c>
      <c r="E49" s="33">
        <v>23</v>
      </c>
      <c r="F49" s="34" t="s">
        <v>130</v>
      </c>
      <c r="G49" s="33"/>
      <c r="H49" s="50">
        <v>46265</v>
      </c>
      <c r="I49" s="61" t="s">
        <v>171</v>
      </c>
      <c r="J49" s="33" t="s">
        <v>160</v>
      </c>
      <c r="K49" s="4">
        <v>46234</v>
      </c>
      <c r="L49" s="36">
        <v>46253</v>
      </c>
      <c r="M49" s="36">
        <v>46265</v>
      </c>
      <c r="N49" s="36"/>
      <c r="O49" s="36" t="s">
        <v>132</v>
      </c>
      <c r="P49" s="65" t="s">
        <v>46</v>
      </c>
      <c r="Q49" s="4">
        <v>46241</v>
      </c>
      <c r="R49" s="36">
        <v>46259</v>
      </c>
      <c r="S49" s="36">
        <v>46266</v>
      </c>
      <c r="T49" s="69"/>
      <c r="U49" s="54" t="s">
        <v>130</v>
      </c>
      <c r="V49" s="59">
        <v>46255</v>
      </c>
      <c r="W49" s="36">
        <v>46272</v>
      </c>
      <c r="X49" s="36"/>
      <c r="Y49" s="36"/>
      <c r="Z49" s="36"/>
      <c r="AA49" s="52">
        <v>46260</v>
      </c>
      <c r="AB49" s="36"/>
      <c r="AC49" s="36"/>
      <c r="AD49" s="33" t="s">
        <v>156</v>
      </c>
      <c r="AE49" s="33" t="s">
        <v>72</v>
      </c>
      <c r="AF49" s="38"/>
      <c r="AG49" s="36"/>
      <c r="AH49" s="39"/>
      <c r="AI49" s="33"/>
      <c r="AJ49" s="40" t="s">
        <v>53</v>
      </c>
      <c r="AK49" s="73" t="str">
        <f>IF($B49="","",IF(AND(LEFT($AJ49,3)="Yes",SUMPRODUCT(('Rework Log'!$A$3:$A$499=$B49)*('Rework Log'!$G$3:$G$499&lt;&gt;"Yes")*('Rework Log'!$G$3:$G$499&lt;&gt;"Did not pass re-test"))=0),"Blocked - log it on Rework Log",IF(AND(LEFT($AJ49,3)&lt;&gt;"Yes",SUMPRODUCT(('Rework Log'!$A$3:$A$499=$B49)*('Rework Log'!$G$3:$G$499&lt;&gt;"Yes")*('Rework Log'!$G$3:$G$499&lt;&gt;"Did not pass re-test"))&gt;0),"Open rework row - mark Blocked? or close it",IF(AND($AJ49="Yes – needs DB Dev to fix",M49&lt;&gt;"",SUMPRODUCT(MAX((('Rework Log'!$A$3:$A$499=$B49)*('Rework Log'!$G$3:$G$499&lt;&gt;"Yes")*('Rework Log'!$G$3:$G$499&lt;&gt;"Did not pass re-test"))*'Rework Log'!$I$3:$I$499))&gt;0),"Move old DB Dev completion date to Rework Log (col H)",IF(AND($AJ49="Yes – needs PBI Dev to fix",S49&lt;&gt;"",SUMPRODUCT(MAX((('Rework Log'!$A$3:$A$499=$B49)*('Rework Log'!$G$3:$G$499&lt;&gt;"Yes")*('Rework Log'!$G$3:$G$499&lt;&gt;"Did not pass re-test"))*'Rework Log'!$I$3:$I$499))&gt;0),"Move old PBI Dev completion date to Rework Log (col H)",IF(AND($AJ49="Yes – needs QA to fix",Y49&lt;&gt;"",SUMPRODUCT(MAX((('Rework Log'!$A$3:$A$499=$B49)*('Rework Log'!$G$3:$G$499&lt;&gt;"Yes")*('Rework Log'!$G$3:$G$499&lt;&gt;"Did not pass re-test"))*'Rework Log'!$I$3:$I$499))&gt;0),"Move old QA completion date to Rework Log (col H)",IF(COUNTIF($B$2:$B$527,$B49)&gt;1,"Duplicate name - check row",IF(COUNTIF('Rework Log'!$A$3:$A$499,$B49)&gt;0,"",IF(AND(V49&lt;&gt;"",K49&lt;&gt;"",V49&lt;K49),"QA target is before DB Dev target",IF(AND(V49&lt;&gt;"",Q49&lt;&gt;"",V49&lt;Q49),"QA target is before PBI Dev target",IF(AND(AA49&lt;&gt;"",V49&lt;&gt;"",AA49&lt;V49),"DPO Approval target is before QA target",IF(AND(AG49&lt;&gt;"",AA49&lt;&gt;"",AG49&lt;AA49),"Confirmed Deployed date is before DPO Approval target",""))))))))))))</f>
        <v>Open rework row - mark Blocked? or close it</v>
      </c>
      <c r="AL49" s="41"/>
      <c r="AM49" s="32" cm="1">
        <f t="array" ref="AM49">_xlfn.LET(_xlpm.rep,$B49,_xlpm.sent,_xlfn.MAXIFS('Rework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46272</v>
      </c>
      <c r="AN49" s="32" t="str" cm="1">
        <f t="array" ref="AN49">_xlfn.LET(_xlpm.rep,$B49,_xlpm.sent,_xlfn.MAXIFS('Rework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0" spans="1:40" ht="15" customHeight="1">
      <c r="A50" s="33" t="s">
        <v>127</v>
      </c>
      <c r="B50" s="33" t="s">
        <v>187</v>
      </c>
      <c r="C50" s="33" t="s">
        <v>141</v>
      </c>
      <c r="D50" t="str" cm="1">
        <f t="array" aca="1" ref="D50" ca="1">IF($B50="","",IF(LEFT($AJ50,3)="Yes","Blocked - "&amp;MID($AJ50,7,100)&amp;IF(SUMPRODUCT(('Rework Log'!$A$3:$A$499=$B50)*('Rework Log'!$G$3:$G$499&lt;&gt;"Yes")*('Rework Log'!$G$3:$G$499&lt;&gt;"Did not pass re-test"))=0,"",IF(SUMPRODUCT(MAX((('Rework Log'!$A$3:$A$499=$B50)*('Rework Log'!$G$3:$G$499&lt;&gt;"Yes")*('Rework Log'!$G$3:$G$499&lt;&gt;"Did not pass re-test"))*'Rework Log'!$I$3:$I$499))=0," - unclaimed"," - promised "&amp;TEXT(SUMPRODUCT(MAX((('Rework Log'!$A$3:$A$499=$B50)*('Rework Log'!$G$3:$G$499&lt;&gt;"Yes")*('Rework Log'!$G$3:$G$499&lt;&gt;"Did not pass re-test"))*'Rework Log'!$I$3:$I$499)),"m/d"))),IF(C50="NOT STARTED",IF(H50="","No plan date set",IF(H50&lt;TODAY(),"Review - planned start passed","On track")),IF(C50="DB Dev",IF(AND(L50="",K50=""),"No target set",IF(AND(IF(L50&lt;&gt;"",L50,K50)&lt;TODAY(),M50=""),"Overdue","On track")),IF(C50="PBI Dev",IF(AND(R50="",Q50=""),"No target set",IF(AND(IF(R50&lt;&gt;"",R50,Q50)&lt;TODAY(),S50=""),"Overdue","On track")),IF(C50="QA",_xlfn.LET(_xlpm.tgt,IF(AM50&lt;&gt;"",AM50,IF(W50&lt;&gt;"",W50,V50)),_xlpm.sent,_xlfn.MAXIFS('Rework Log'!$B$3:$B$499,'Rework Log'!$A$3:$A$499,$B50,'Rework Log'!$C$3:$C$499,"QA"),_xlpm.act,IF(AND(Y50&lt;&gt;"",Y50&gt;_xlpm.sent),Y50,""),IF(_xlpm.tgt="","No target set",IF(AND(_xlpm.tgt&lt;TODAY(),_xlpm.act=""),"Overdue","On track"))),IF(C50="DPO Approval",_xlfn.LET(_xlpm.tgt,IF(AN50&lt;&gt;"",AN50,IF(AB50&lt;&gt;"",AB50,AA50)),_xlpm.sent,_xlfn.MAXIFS('Rework Log'!$B$3:$B$499,'Rework Log'!$A$3:$A$499,$B50,'Rework Log'!$C$3:$C$499,"DPO*"),_xlpm.act,IF(AND(AC50&lt;&gt;"",AC50&gt;_xlpm.sent),AC50,""),IF(_xlpm.tgt="","No target set",IF(AND(_xlpm.tgt&lt;TODAY(),_xlpm.act=""),"Overdue","On track"))),IF(C50="RELEASED IN PROD","Delivered",""))))))))</f>
        <v>On track</v>
      </c>
      <c r="E50" s="33">
        <v>25</v>
      </c>
      <c r="F50" s="34" t="s">
        <v>147</v>
      </c>
      <c r="G50" s="33"/>
      <c r="H50" s="50">
        <v>46265</v>
      </c>
      <c r="I50" s="61" t="s">
        <v>171</v>
      </c>
      <c r="J50" s="33" t="s">
        <v>44</v>
      </c>
      <c r="K50" s="4">
        <v>46234</v>
      </c>
      <c r="L50" s="36">
        <v>46249</v>
      </c>
      <c r="M50" s="36">
        <v>46245</v>
      </c>
      <c r="N50" s="36"/>
      <c r="O50" s="36" t="s">
        <v>183</v>
      </c>
      <c r="P50" s="65" t="s">
        <v>60</v>
      </c>
      <c r="Q50" s="4">
        <v>46241</v>
      </c>
      <c r="R50" s="36">
        <v>46252</v>
      </c>
      <c r="S50" s="36">
        <v>46252</v>
      </c>
      <c r="T50" s="69"/>
      <c r="U50" s="54" t="s">
        <v>147</v>
      </c>
      <c r="V50" s="59">
        <v>46255</v>
      </c>
      <c r="W50" s="36">
        <v>46269</v>
      </c>
      <c r="X50" s="36"/>
      <c r="Y50" s="36"/>
      <c r="Z50" s="36"/>
      <c r="AA50" s="52">
        <v>46260</v>
      </c>
      <c r="AB50" s="36">
        <v>46266</v>
      </c>
      <c r="AC50" s="36"/>
      <c r="AD50" s="33" t="s">
        <v>176</v>
      </c>
      <c r="AE50" s="33" t="s">
        <v>72</v>
      </c>
      <c r="AF50" s="38"/>
      <c r="AG50" s="36"/>
      <c r="AH50" s="39"/>
      <c r="AI50" s="33"/>
      <c r="AJ50" s="40" t="s">
        <v>53</v>
      </c>
      <c r="AK50" s="73" t="str">
        <f>IF($B50="","",IF(AND(LEFT($AJ50,3)="Yes",SUMPRODUCT(('Rework Log'!$A$3:$A$499=$B50)*('Rework Log'!$G$3:$G$499&lt;&gt;"Yes")*('Rework Log'!$G$3:$G$499&lt;&gt;"Did not pass re-test"))=0),"Blocked - log it on Rework Log",IF(AND(LEFT($AJ50,3)&lt;&gt;"Yes",SUMPRODUCT(('Rework Log'!$A$3:$A$499=$B50)*('Rework Log'!$G$3:$G$499&lt;&gt;"Yes")*('Rework Log'!$G$3:$G$499&lt;&gt;"Did not pass re-test"))&gt;0),"Open rework row - mark Blocked? or close it",IF(AND($AJ50="Yes – needs DB Dev to fix",M50&lt;&gt;"",SUMPRODUCT(MAX((('Rework Log'!$A$3:$A$499=$B50)*('Rework Log'!$G$3:$G$499&lt;&gt;"Yes")*('Rework Log'!$G$3:$G$499&lt;&gt;"Did not pass re-test"))*'Rework Log'!$I$3:$I$499))&gt;0),"Move old DB Dev completion date to Rework Log (col H)",IF(AND($AJ50="Yes – needs PBI Dev to fix",S50&lt;&gt;"",SUMPRODUCT(MAX((('Rework Log'!$A$3:$A$499=$B50)*('Rework Log'!$G$3:$G$499&lt;&gt;"Yes")*('Rework Log'!$G$3:$G$499&lt;&gt;"Did not pass re-test"))*'Rework Log'!$I$3:$I$499))&gt;0),"Move old PBI Dev completion date to Rework Log (col H)",IF(AND($AJ50="Yes – needs QA to fix",Y50&lt;&gt;"",SUMPRODUCT(MAX((('Rework Log'!$A$3:$A$499=$B50)*('Rework Log'!$G$3:$G$499&lt;&gt;"Yes")*('Rework Log'!$G$3:$G$499&lt;&gt;"Did not pass re-test"))*'Rework Log'!$I$3:$I$499))&gt;0),"Move old QA completion date to Rework Log (col H)",IF(COUNTIF($B$2:$B$527,$B50)&gt;1,"Duplicate name - check row",IF(COUNTIF('Rework Log'!$A$3:$A$499,$B50)&gt;0,"",IF(AND(V50&lt;&gt;"",K50&lt;&gt;"",V50&lt;K50),"QA target is before DB Dev target",IF(AND(V50&lt;&gt;"",Q50&lt;&gt;"",V50&lt;Q50),"QA target is before PBI Dev target",IF(AND(AA50&lt;&gt;"",V50&lt;&gt;"",AA50&lt;V50),"DPO Approval target is before QA target",IF(AND(AG50&lt;&gt;"",AA50&lt;&gt;"",AG50&lt;AA50),"Confirmed Deployed date is before DPO Approval target",""))))))))))))</f>
        <v/>
      </c>
      <c r="AL50" s="41"/>
      <c r="AM50" s="32" t="str" cm="1">
        <f t="array" ref="AM50">_xlfn.LET(_xlpm.rep,$B50,_xlpm.sent,_xlfn.MAXIFS('Rework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0" s="32" t="str" cm="1">
        <f t="array" ref="AN50">_xlfn.LET(_xlpm.rep,$B50,_xlpm.sent,_xlfn.MAXIFS('Rework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1" spans="1:40" ht="14.45">
      <c r="A51" s="33" t="s">
        <v>127</v>
      </c>
      <c r="B51" s="33" t="s">
        <v>188</v>
      </c>
      <c r="C51" s="33" t="s">
        <v>141</v>
      </c>
      <c r="D51" t="str" cm="1">
        <f t="array" aca="1" ref="D51" ca="1">IF($B51="","",IF(LEFT($AJ51,3)="Yes","Blocked - "&amp;MID($AJ51,7,100)&amp;IF(SUMPRODUCT(('Rework Log'!$A$3:$A$499=$B51)*('Rework Log'!$G$3:$G$499&lt;&gt;"Yes")*('Rework Log'!$G$3:$G$499&lt;&gt;"Did not pass re-test"))=0,"",IF(SUMPRODUCT(MAX((('Rework Log'!$A$3:$A$499=$B51)*('Rework Log'!$G$3:$G$499&lt;&gt;"Yes")*('Rework Log'!$G$3:$G$499&lt;&gt;"Did not pass re-test"))*'Rework Log'!$I$3:$I$499))=0," - unclaimed"," - promised "&amp;TEXT(SUMPRODUCT(MAX((('Rework Log'!$A$3:$A$499=$B51)*('Rework Log'!$G$3:$G$499&lt;&gt;"Yes")*('Rework Log'!$G$3:$G$499&lt;&gt;"Did not pass re-test"))*'Rework Log'!$I$3:$I$499)),"m/d"))),IF(C51="NOT STARTED",IF(H51="","No plan date set",IF(H51&lt;TODAY(),"Review - planned start passed","On track")),IF(C51="DB Dev",IF(AND(L51="",K51=""),"No target set",IF(AND(IF(L51&lt;&gt;"",L51,K51)&lt;TODAY(),M51=""),"Overdue","On track")),IF(C51="PBI Dev",IF(AND(R51="",Q51=""),"No target set",IF(AND(IF(R51&lt;&gt;"",R51,Q51)&lt;TODAY(),S51=""),"Overdue","On track")),IF(C51="QA",_xlfn.LET(_xlpm.tgt,IF(AM51&lt;&gt;"",AM51,IF(W51&lt;&gt;"",W51,V51)),_xlpm.sent,_xlfn.MAXIFS('Rework Log'!$B$3:$B$499,'Rework Log'!$A$3:$A$499,$B51,'Rework Log'!$C$3:$C$499,"QA"),_xlpm.act,IF(AND(Y51&lt;&gt;"",Y51&gt;_xlpm.sent),Y51,""),IF(_xlpm.tgt="","No target set",IF(AND(_xlpm.tgt&lt;TODAY(),_xlpm.act=""),"Overdue","On track"))),IF(C51="DPO Approval",_xlfn.LET(_xlpm.tgt,IF(AN51&lt;&gt;"",AN51,IF(AB51&lt;&gt;"",AB51,AA51)),_xlpm.sent,_xlfn.MAXIFS('Rework Log'!$B$3:$B$499,'Rework Log'!$A$3:$A$499,$B51,'Rework Log'!$C$3:$C$499,"DPO*"),_xlpm.act,IF(AND(AC51&lt;&gt;"",AC51&gt;_xlpm.sent),AC51,""),IF(_xlpm.tgt="","No target set",IF(AND(_xlpm.tgt&lt;TODAY(),_xlpm.act=""),"Overdue","On track"))),IF(C51="RELEASED IN PROD","Delivered",""))))))))</f>
        <v>On track</v>
      </c>
      <c r="E51" s="33">
        <v>26</v>
      </c>
      <c r="F51" s="34" t="s">
        <v>147</v>
      </c>
      <c r="G51" s="33"/>
      <c r="H51" s="50">
        <v>46265</v>
      </c>
      <c r="I51" s="61" t="s">
        <v>171</v>
      </c>
      <c r="J51" s="33" t="s">
        <v>76</v>
      </c>
      <c r="K51" s="4">
        <v>46234</v>
      </c>
      <c r="L51" s="36">
        <v>46248</v>
      </c>
      <c r="M51" s="36">
        <v>46248</v>
      </c>
      <c r="N51" s="36" t="s">
        <v>45</v>
      </c>
      <c r="O51" s="36" t="s">
        <v>183</v>
      </c>
      <c r="P51" s="65" t="s">
        <v>77</v>
      </c>
      <c r="Q51" s="4">
        <v>46241</v>
      </c>
      <c r="R51" s="36">
        <v>46255</v>
      </c>
      <c r="S51" s="36">
        <v>46260</v>
      </c>
      <c r="T51" s="69"/>
      <c r="U51" s="54" t="s">
        <v>147</v>
      </c>
      <c r="V51" s="59">
        <v>46255</v>
      </c>
      <c r="W51" s="36">
        <v>46269</v>
      </c>
      <c r="X51" s="36"/>
      <c r="Y51" s="36"/>
      <c r="Z51" s="36"/>
      <c r="AA51" s="52">
        <v>46260</v>
      </c>
      <c r="AB51" s="36">
        <v>46269</v>
      </c>
      <c r="AC51" s="36"/>
      <c r="AD51" s="33" t="s">
        <v>189</v>
      </c>
      <c r="AE51" s="33" t="s">
        <v>72</v>
      </c>
      <c r="AF51" s="38"/>
      <c r="AG51" s="36"/>
      <c r="AH51" s="39"/>
      <c r="AI51" s="33"/>
      <c r="AJ51" s="40" t="s">
        <v>53</v>
      </c>
      <c r="AK51" s="73" t="str">
        <f>IF($B51="","",IF(AND(LEFT($AJ51,3)="Yes",SUMPRODUCT(('Rework Log'!$A$3:$A$499=$B51)*('Rework Log'!$G$3:$G$499&lt;&gt;"Yes")*('Rework Log'!$G$3:$G$499&lt;&gt;"Did not pass re-test"))=0),"Blocked - log it on Rework Log",IF(AND(LEFT($AJ51,3)&lt;&gt;"Yes",SUMPRODUCT(('Rework Log'!$A$3:$A$499=$B51)*('Rework Log'!$G$3:$G$499&lt;&gt;"Yes")*('Rework Log'!$G$3:$G$499&lt;&gt;"Did not pass re-test"))&gt;0),"Open rework row - mark Blocked? or close it",IF(AND($AJ51="Yes – needs DB Dev to fix",M51&lt;&gt;"",SUMPRODUCT(MAX((('Rework Log'!$A$3:$A$499=$B51)*('Rework Log'!$G$3:$G$499&lt;&gt;"Yes")*('Rework Log'!$G$3:$G$499&lt;&gt;"Did not pass re-test"))*'Rework Log'!$I$3:$I$499))&gt;0),"Move old DB Dev completion date to Rework Log (col H)",IF(AND($AJ51="Yes – needs PBI Dev to fix",S51&lt;&gt;"",SUMPRODUCT(MAX((('Rework Log'!$A$3:$A$499=$B51)*('Rework Log'!$G$3:$G$499&lt;&gt;"Yes")*('Rework Log'!$G$3:$G$499&lt;&gt;"Did not pass re-test"))*'Rework Log'!$I$3:$I$499))&gt;0),"Move old PBI Dev completion date to Rework Log (col H)",IF(AND($AJ51="Yes – needs QA to fix",Y51&lt;&gt;"",SUMPRODUCT(MAX((('Rework Log'!$A$3:$A$499=$B51)*('Rework Log'!$G$3:$G$499&lt;&gt;"Yes")*('Rework Log'!$G$3:$G$499&lt;&gt;"Did not pass re-test"))*'Rework Log'!$I$3:$I$499))&gt;0),"Move old QA completion date to Rework Log (col H)",IF(COUNTIF($B$2:$B$527,$B51)&gt;1,"Duplicate name - check row",IF(COUNTIF('Rework Log'!$A$3:$A$499,$B51)&gt;0,"",IF(AND(V51&lt;&gt;"",K51&lt;&gt;"",V51&lt;K51),"QA target is before DB Dev target",IF(AND(V51&lt;&gt;"",Q51&lt;&gt;"",V51&lt;Q51),"QA target is before PBI Dev target",IF(AND(AA51&lt;&gt;"",V51&lt;&gt;"",AA51&lt;V51),"DPO Approval target is before QA target",IF(AND(AG51&lt;&gt;"",AA51&lt;&gt;"",AG51&lt;AA51),"Confirmed Deployed date is before DPO Approval target",""))))))))))))</f>
        <v/>
      </c>
      <c r="AL51" s="41" t="s">
        <v>185</v>
      </c>
      <c r="AM51" s="32" t="str" cm="1">
        <f t="array" ref="AM51">_xlfn.LET(_xlpm.rep,$B51,_xlpm.sent,_xlfn.MAXIFS('Rework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1" s="32" t="str" cm="1">
        <f t="array" ref="AN51">_xlfn.LET(_xlpm.rep,$B51,_xlpm.sent,_xlfn.MAXIFS('Rework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2" spans="1:40" ht="16.899999999999999" customHeight="1">
      <c r="A52" s="33" t="s">
        <v>127</v>
      </c>
      <c r="B52" s="33" t="s">
        <v>190</v>
      </c>
      <c r="C52" s="33" t="s">
        <v>141</v>
      </c>
      <c r="D52" t="str" cm="1">
        <f t="array" aca="1" ref="D52" ca="1">IF($B52="","",IF(LEFT($AJ52,3)="Yes","Blocked - "&amp;MID($AJ52,7,100)&amp;IF(SUMPRODUCT(('Rework Log'!$A$3:$A$499=$B52)*('Rework Log'!$G$3:$G$499&lt;&gt;"Yes")*('Rework Log'!$G$3:$G$499&lt;&gt;"Did not pass re-test"))=0,"",IF(SUMPRODUCT(MAX((('Rework Log'!$A$3:$A$499=$B52)*('Rework Log'!$G$3:$G$499&lt;&gt;"Yes")*('Rework Log'!$G$3:$G$499&lt;&gt;"Did not pass re-test"))*'Rework Log'!$I$3:$I$499))=0," - unclaimed"," - promised "&amp;TEXT(SUMPRODUCT(MAX((('Rework Log'!$A$3:$A$499=$B52)*('Rework Log'!$G$3:$G$499&lt;&gt;"Yes")*('Rework Log'!$G$3:$G$499&lt;&gt;"Did not pass re-test"))*'Rework Log'!$I$3:$I$499)),"m/d"))),IF(C52="NOT STARTED",IF(H52="","No plan date set",IF(H52&lt;TODAY(),"Review - planned start passed","On track")),IF(C52="DB Dev",IF(AND(L52="",K52=""),"No target set",IF(AND(IF(L52&lt;&gt;"",L52,K52)&lt;TODAY(),M52=""),"Overdue","On track")),IF(C52="PBI Dev",IF(AND(R52="",Q52=""),"No target set",IF(AND(IF(R52&lt;&gt;"",R52,Q52)&lt;TODAY(),S52=""),"Overdue","On track")),IF(C52="QA",_xlfn.LET(_xlpm.tgt,IF(AM52&lt;&gt;"",AM52,IF(W52&lt;&gt;"",W52,V52)),_xlpm.sent,_xlfn.MAXIFS('Rework Log'!$B$3:$B$499,'Rework Log'!$A$3:$A$499,$B52,'Rework Log'!$C$3:$C$499,"QA"),_xlpm.act,IF(AND(Y52&lt;&gt;"",Y52&gt;_xlpm.sent),Y52,""),IF(_xlpm.tgt="","No target set",IF(AND(_xlpm.tgt&lt;TODAY(),_xlpm.act=""),"Overdue","On track"))),IF(C52="DPO Approval",_xlfn.LET(_xlpm.tgt,IF(AN52&lt;&gt;"",AN52,IF(AB52&lt;&gt;"",AB52,AA52)),_xlpm.sent,_xlfn.MAXIFS('Rework Log'!$B$3:$B$499,'Rework Log'!$A$3:$A$499,$B52,'Rework Log'!$C$3:$C$499,"DPO*"),_xlpm.act,IF(AND(AC52&lt;&gt;"",AC52&gt;_xlpm.sent),AC52,""),IF(_xlpm.tgt="","No target set",IF(AND(_xlpm.tgt&lt;TODAY(),_xlpm.act=""),"Overdue","On track"))),IF(C52="RELEASED IN PROD","Delivered",""))))))))</f>
        <v>On track</v>
      </c>
      <c r="E52" s="33">
        <v>27</v>
      </c>
      <c r="F52" s="34" t="s">
        <v>130</v>
      </c>
      <c r="G52" s="33"/>
      <c r="H52" s="50">
        <v>46265</v>
      </c>
      <c r="I52" s="61" t="s">
        <v>171</v>
      </c>
      <c r="J52" s="33" t="s">
        <v>118</v>
      </c>
      <c r="K52" s="4">
        <v>46234</v>
      </c>
      <c r="L52" s="36">
        <v>46253</v>
      </c>
      <c r="M52" s="36">
        <v>46252</v>
      </c>
      <c r="N52" s="36"/>
      <c r="O52" s="36" t="s">
        <v>183</v>
      </c>
      <c r="P52" s="65" t="s">
        <v>46</v>
      </c>
      <c r="Q52" s="4">
        <v>46241</v>
      </c>
      <c r="R52" s="36">
        <v>46266</v>
      </c>
      <c r="S52" s="36">
        <v>46267</v>
      </c>
      <c r="T52" s="69"/>
      <c r="U52" s="54" t="s">
        <v>47</v>
      </c>
      <c r="V52" s="59">
        <v>46255</v>
      </c>
      <c r="W52" s="36">
        <v>46269</v>
      </c>
      <c r="X52" s="36"/>
      <c r="Y52" s="36"/>
      <c r="Z52" s="36"/>
      <c r="AA52" s="52">
        <v>46260</v>
      </c>
      <c r="AB52" s="36"/>
      <c r="AC52" s="36"/>
      <c r="AD52" s="33" t="s">
        <v>191</v>
      </c>
      <c r="AE52" s="33" t="s">
        <v>72</v>
      </c>
      <c r="AF52" s="38"/>
      <c r="AG52" s="36"/>
      <c r="AH52" s="39"/>
      <c r="AI52" s="33"/>
      <c r="AJ52" s="40" t="s">
        <v>53</v>
      </c>
      <c r="AK52" s="73" t="str">
        <f>IF($B52="","",IF(AND(LEFT($AJ52,3)="Yes",SUMPRODUCT(('Rework Log'!$A$3:$A$499=$B52)*('Rework Log'!$G$3:$G$499&lt;&gt;"Yes")*('Rework Log'!$G$3:$G$499&lt;&gt;"Did not pass re-test"))=0),"Blocked - log it on Rework Log",IF(AND(LEFT($AJ52,3)&lt;&gt;"Yes",SUMPRODUCT(('Rework Log'!$A$3:$A$499=$B52)*('Rework Log'!$G$3:$G$499&lt;&gt;"Yes")*('Rework Log'!$G$3:$G$499&lt;&gt;"Did not pass re-test"))&gt;0),"Open rework row - mark Blocked? or close it",IF(AND($AJ52="Yes – needs DB Dev to fix",M52&lt;&gt;"",SUMPRODUCT(MAX((('Rework Log'!$A$3:$A$499=$B52)*('Rework Log'!$G$3:$G$499&lt;&gt;"Yes")*('Rework Log'!$G$3:$G$499&lt;&gt;"Did not pass re-test"))*'Rework Log'!$I$3:$I$499))&gt;0),"Move old DB Dev completion date to Rework Log (col H)",IF(AND($AJ52="Yes – needs PBI Dev to fix",S52&lt;&gt;"",SUMPRODUCT(MAX((('Rework Log'!$A$3:$A$499=$B52)*('Rework Log'!$G$3:$G$499&lt;&gt;"Yes")*('Rework Log'!$G$3:$G$499&lt;&gt;"Did not pass re-test"))*'Rework Log'!$I$3:$I$499))&gt;0),"Move old PBI Dev completion date to Rework Log (col H)",IF(AND($AJ52="Yes – needs QA to fix",Y52&lt;&gt;"",SUMPRODUCT(MAX((('Rework Log'!$A$3:$A$499=$B52)*('Rework Log'!$G$3:$G$499&lt;&gt;"Yes")*('Rework Log'!$G$3:$G$499&lt;&gt;"Did not pass re-test"))*'Rework Log'!$I$3:$I$499))&gt;0),"Move old QA completion date to Rework Log (col H)",IF(COUNTIF($B$2:$B$527,$B52)&gt;1,"Duplicate name - check row",IF(COUNTIF('Rework Log'!$A$3:$A$499,$B52)&gt;0,"",IF(AND(V52&lt;&gt;"",K52&lt;&gt;"",V52&lt;K52),"QA target is before DB Dev target",IF(AND(V52&lt;&gt;"",Q52&lt;&gt;"",V52&lt;Q52),"QA target is before PBI Dev target",IF(AND(AA52&lt;&gt;"",V52&lt;&gt;"",AA52&lt;V52),"DPO Approval target is before QA target",IF(AND(AG52&lt;&gt;"",AA52&lt;&gt;"",AG52&lt;AA52),"Confirmed Deployed date is before DPO Approval target",""))))))))))))</f>
        <v/>
      </c>
      <c r="AL52" s="80" t="s">
        <v>192</v>
      </c>
      <c r="AM52" s="32" t="str" cm="1">
        <f t="array" ref="AM52">_xlfn.LET(_xlpm.rep,$B52,_xlpm.sent,_xlfn.MAXIFS('Rework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2" s="32" t="str" cm="1">
        <f t="array" ref="AN52">_xlfn.LET(_xlpm.rep,$B52,_xlpm.sent,_xlfn.MAXIFS('Rework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3" spans="1:40" ht="14.45">
      <c r="A53" s="33" t="s">
        <v>127</v>
      </c>
      <c r="B53" s="33" t="s">
        <v>193</v>
      </c>
      <c r="C53" s="33" t="s">
        <v>141</v>
      </c>
      <c r="D53" t="str" cm="1">
        <f t="array" aca="1" ref="D53" ca="1">IF($B53="","",IF(LEFT($AJ53,3)="Yes","Blocked - "&amp;MID($AJ53,7,100)&amp;IF(SUMPRODUCT(('Rework Log'!$A$3:$A$499=$B53)*('Rework Log'!$G$3:$G$499&lt;&gt;"Yes")*('Rework Log'!$G$3:$G$499&lt;&gt;"Did not pass re-test"))=0,"",IF(SUMPRODUCT(MAX((('Rework Log'!$A$3:$A$499=$B53)*('Rework Log'!$G$3:$G$499&lt;&gt;"Yes")*('Rework Log'!$G$3:$G$499&lt;&gt;"Did not pass re-test"))*'Rework Log'!$I$3:$I$499))=0," - unclaimed"," - promised "&amp;TEXT(SUMPRODUCT(MAX((('Rework Log'!$A$3:$A$499=$B53)*('Rework Log'!$G$3:$G$499&lt;&gt;"Yes")*('Rework Log'!$G$3:$G$499&lt;&gt;"Did not pass re-test"))*'Rework Log'!$I$3:$I$499)),"m/d"))),IF(C53="NOT STARTED",IF(H53="","No plan date set",IF(H53&lt;TODAY(),"Review - planned start passed","On track")),IF(C53="DB Dev",IF(AND(L53="",K53=""),"No target set",IF(AND(IF(L53&lt;&gt;"",L53,K53)&lt;TODAY(),M53=""),"Overdue","On track")),IF(C53="PBI Dev",IF(AND(R53="",Q53=""),"No target set",IF(AND(IF(R53&lt;&gt;"",R53,Q53)&lt;TODAY(),S53=""),"Overdue","On track")),IF(C53="QA",_xlfn.LET(_xlpm.tgt,IF(AM53&lt;&gt;"",AM53,IF(W53&lt;&gt;"",W53,V53)),_xlpm.sent,_xlfn.MAXIFS('Rework Log'!$B$3:$B$499,'Rework Log'!$A$3:$A$499,$B53,'Rework Log'!$C$3:$C$499,"QA"),_xlpm.act,IF(AND(Y53&lt;&gt;"",Y53&gt;_xlpm.sent),Y53,""),IF(_xlpm.tgt="","No target set",IF(AND(_xlpm.tgt&lt;TODAY(),_xlpm.act=""),"Overdue","On track"))),IF(C53="DPO Approval",_xlfn.LET(_xlpm.tgt,IF(AN53&lt;&gt;"",AN53,IF(AB53&lt;&gt;"",AB53,AA53)),_xlpm.sent,_xlfn.MAXIFS('Rework Log'!$B$3:$B$499,'Rework Log'!$A$3:$A$499,$B53,'Rework Log'!$C$3:$C$499,"DPO*"),_xlpm.act,IF(AND(AC53&lt;&gt;"",AC53&gt;_xlpm.sent),AC53,""),IF(_xlpm.tgt="","No target set",IF(AND(_xlpm.tgt&lt;TODAY(),_xlpm.act=""),"Overdue","On track"))),IF(C53="RELEASED IN PROD","Delivered",""))))))))</f>
        <v>On track</v>
      </c>
      <c r="E53" s="33">
        <v>29</v>
      </c>
      <c r="F53" s="34" t="s">
        <v>147</v>
      </c>
      <c r="G53" s="33"/>
      <c r="H53" s="50">
        <v>46265</v>
      </c>
      <c r="I53" s="61" t="s">
        <v>171</v>
      </c>
      <c r="J53" s="33" t="s">
        <v>76</v>
      </c>
      <c r="K53" s="4">
        <v>46234</v>
      </c>
      <c r="L53" s="36">
        <v>46251</v>
      </c>
      <c r="M53" s="36">
        <v>46251</v>
      </c>
      <c r="N53" s="36" t="s">
        <v>172</v>
      </c>
      <c r="O53" s="36" t="s">
        <v>132</v>
      </c>
      <c r="P53" s="65" t="s">
        <v>77</v>
      </c>
      <c r="Q53" s="4">
        <v>46241</v>
      </c>
      <c r="R53" s="36">
        <v>46265</v>
      </c>
      <c r="S53" s="36">
        <v>46262</v>
      </c>
      <c r="T53" s="69"/>
      <c r="U53" s="54" t="s">
        <v>147</v>
      </c>
      <c r="V53" s="59">
        <v>46255</v>
      </c>
      <c r="W53" s="36">
        <v>46269</v>
      </c>
      <c r="X53" s="36"/>
      <c r="Y53" s="36"/>
      <c r="Z53" s="36"/>
      <c r="AA53" s="52">
        <v>46260</v>
      </c>
      <c r="AB53" s="47">
        <v>46280</v>
      </c>
      <c r="AC53" s="36"/>
      <c r="AD53" s="33" t="s">
        <v>194</v>
      </c>
      <c r="AE53" s="33" t="s">
        <v>72</v>
      </c>
      <c r="AF53" s="38"/>
      <c r="AG53" s="36"/>
      <c r="AH53" s="39"/>
      <c r="AI53" s="33"/>
      <c r="AJ53" s="40" t="s">
        <v>53</v>
      </c>
      <c r="AK53" s="73" t="str">
        <f>IF($B53="","",IF(AND(LEFT($AJ53,3)="Yes",SUMPRODUCT(('Rework Log'!$A$3:$A$499=$B53)*('Rework Log'!$G$3:$G$499&lt;&gt;"Yes")*('Rework Log'!$G$3:$G$499&lt;&gt;"Did not pass re-test"))=0),"Blocked - log it on Rework Log",IF(AND(LEFT($AJ53,3)&lt;&gt;"Yes",SUMPRODUCT(('Rework Log'!$A$3:$A$499=$B53)*('Rework Log'!$G$3:$G$499&lt;&gt;"Yes")*('Rework Log'!$G$3:$G$499&lt;&gt;"Did not pass re-test"))&gt;0),"Open rework row - mark Blocked? or close it",IF(AND($AJ53="Yes – needs DB Dev to fix",M53&lt;&gt;"",SUMPRODUCT(MAX((('Rework Log'!$A$3:$A$499=$B53)*('Rework Log'!$G$3:$G$499&lt;&gt;"Yes")*('Rework Log'!$G$3:$G$499&lt;&gt;"Did not pass re-test"))*'Rework Log'!$I$3:$I$499))&gt;0),"Move old DB Dev completion date to Rework Log (col H)",IF(AND($AJ53="Yes – needs PBI Dev to fix",S53&lt;&gt;"",SUMPRODUCT(MAX((('Rework Log'!$A$3:$A$499=$B53)*('Rework Log'!$G$3:$G$499&lt;&gt;"Yes")*('Rework Log'!$G$3:$G$499&lt;&gt;"Did not pass re-test"))*'Rework Log'!$I$3:$I$499))&gt;0),"Move old PBI Dev completion date to Rework Log (col H)",IF(AND($AJ53="Yes – needs QA to fix",Y53&lt;&gt;"",SUMPRODUCT(MAX((('Rework Log'!$A$3:$A$499=$B53)*('Rework Log'!$G$3:$G$499&lt;&gt;"Yes")*('Rework Log'!$G$3:$G$499&lt;&gt;"Did not pass re-test"))*'Rework Log'!$I$3:$I$499))&gt;0),"Move old QA completion date to Rework Log (col H)",IF(COUNTIF($B$2:$B$527,$B53)&gt;1,"Duplicate name - check row",IF(COUNTIF('Rework Log'!$A$3:$A$499,$B53)&gt;0,"",IF(AND(V53&lt;&gt;"",K53&lt;&gt;"",V53&lt;K53),"QA target is before DB Dev target",IF(AND(V53&lt;&gt;"",Q53&lt;&gt;"",V53&lt;Q53),"QA target is before PBI Dev target",IF(AND(AA53&lt;&gt;"",V53&lt;&gt;"",AA53&lt;V53),"DPO Approval target is before QA target",IF(AND(AG53&lt;&gt;"",AA53&lt;&gt;"",AG53&lt;AA53),"Confirmed Deployed date is before DPO Approval target",""))))))))))))</f>
        <v/>
      </c>
      <c r="AL53" s="41"/>
      <c r="AM53" s="32" t="str" cm="1">
        <f t="array" ref="AM53">_xlfn.LET(_xlpm.rep,$B53,_xlpm.sent,_xlfn.MAXIFS('Rework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3" s="32" t="str" cm="1">
        <f t="array" ref="AN53">_xlfn.LET(_xlpm.rep,$B53,_xlpm.sent,_xlfn.MAXIFS('Rework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4" spans="1:40" ht="14.45">
      <c r="A54" s="33" t="s">
        <v>127</v>
      </c>
      <c r="B54" s="33" t="s">
        <v>195</v>
      </c>
      <c r="C54" s="33" t="s">
        <v>141</v>
      </c>
      <c r="D54" t="str" cm="1">
        <f t="array" aca="1" ref="D54" ca="1">IF($B54="","",IF(LEFT($AJ54,3)="Yes","Blocked - "&amp;MID($AJ54,7,100)&amp;IF(SUMPRODUCT(('Rework Log'!$A$3:$A$499=$B54)*('Rework Log'!$G$3:$G$499&lt;&gt;"Yes")*('Rework Log'!$G$3:$G$499&lt;&gt;"Did not pass re-test"))=0,"",IF(SUMPRODUCT(MAX((('Rework Log'!$A$3:$A$499=$B54)*('Rework Log'!$G$3:$G$499&lt;&gt;"Yes")*('Rework Log'!$G$3:$G$499&lt;&gt;"Did not pass re-test"))*'Rework Log'!$I$3:$I$499))=0," - unclaimed"," - promised "&amp;TEXT(SUMPRODUCT(MAX((('Rework Log'!$A$3:$A$499=$B54)*('Rework Log'!$G$3:$G$499&lt;&gt;"Yes")*('Rework Log'!$G$3:$G$499&lt;&gt;"Did not pass re-test"))*'Rework Log'!$I$3:$I$499)),"m/d"))),IF(C54="NOT STARTED",IF(H54="","No plan date set",IF(H54&lt;TODAY(),"Review - planned start passed","On track")),IF(C54="DB Dev",IF(AND(L54="",K54=""),"No target set",IF(AND(IF(L54&lt;&gt;"",L54,K54)&lt;TODAY(),M54=""),"Overdue","On track")),IF(C54="PBI Dev",IF(AND(R54="",Q54=""),"No target set",IF(AND(IF(R54&lt;&gt;"",R54,Q54)&lt;TODAY(),S54=""),"Overdue","On track")),IF(C54="QA",_xlfn.LET(_xlpm.tgt,IF(AM54&lt;&gt;"",AM54,IF(W54&lt;&gt;"",W54,V54)),_xlpm.sent,_xlfn.MAXIFS('Rework Log'!$B$3:$B$499,'Rework Log'!$A$3:$A$499,$B54,'Rework Log'!$C$3:$C$499,"QA"),_xlpm.act,IF(AND(Y54&lt;&gt;"",Y54&gt;_xlpm.sent),Y54,""),IF(_xlpm.tgt="","No target set",IF(AND(_xlpm.tgt&lt;TODAY(),_xlpm.act=""),"Overdue","On track"))),IF(C54="DPO Approval",_xlfn.LET(_xlpm.tgt,IF(AN54&lt;&gt;"",AN54,IF(AB54&lt;&gt;"",AB54,AA54)),_xlpm.sent,_xlfn.MAXIFS('Rework Log'!$B$3:$B$499,'Rework Log'!$A$3:$A$499,$B54,'Rework Log'!$C$3:$C$499,"DPO*"),_xlpm.act,IF(AND(AC54&lt;&gt;"",AC54&gt;_xlpm.sent),AC54,""),IF(_xlpm.tgt="","No target set",IF(AND(_xlpm.tgt&lt;TODAY(),_xlpm.act=""),"Overdue","On track"))),IF(C54="RELEASED IN PROD","Delivered",""))))))))</f>
        <v>On track</v>
      </c>
      <c r="E54" s="33">
        <v>30</v>
      </c>
      <c r="F54" s="34" t="s">
        <v>130</v>
      </c>
      <c r="G54" s="33"/>
      <c r="H54" s="50">
        <v>46265</v>
      </c>
      <c r="I54" s="61" t="s">
        <v>171</v>
      </c>
      <c r="J54" s="33" t="s">
        <v>84</v>
      </c>
      <c r="K54" s="4">
        <v>46234</v>
      </c>
      <c r="L54" s="36">
        <v>46255</v>
      </c>
      <c r="M54" s="36">
        <v>46253</v>
      </c>
      <c r="N54" s="36"/>
      <c r="O54" s="36" t="s">
        <v>132</v>
      </c>
      <c r="P54" s="65" t="s">
        <v>60</v>
      </c>
      <c r="Q54" s="4">
        <v>46241</v>
      </c>
      <c r="R54" s="36">
        <v>46262</v>
      </c>
      <c r="S54" s="36"/>
      <c r="T54" s="69"/>
      <c r="U54" s="54" t="s">
        <v>47</v>
      </c>
      <c r="V54" s="59">
        <v>46255</v>
      </c>
      <c r="W54" s="36">
        <v>46267</v>
      </c>
      <c r="X54" s="36"/>
      <c r="Y54" s="36">
        <v>46267</v>
      </c>
      <c r="Z54" s="36"/>
      <c r="AA54" s="52">
        <v>46260</v>
      </c>
      <c r="AB54" s="36"/>
      <c r="AC54" s="36"/>
      <c r="AD54" s="33" t="s">
        <v>196</v>
      </c>
      <c r="AE54" s="33" t="s">
        <v>72</v>
      </c>
      <c r="AF54" s="38"/>
      <c r="AG54" s="36"/>
      <c r="AH54" s="39"/>
      <c r="AI54" s="33"/>
      <c r="AJ54" s="40" t="s">
        <v>53</v>
      </c>
      <c r="AK54" s="73" t="str">
        <f>IF($B54="","",IF(AND(LEFT($AJ54,3)="Yes",SUMPRODUCT(('Rework Log'!$A$3:$A$499=$B54)*('Rework Log'!$G$3:$G$499&lt;&gt;"Yes")*('Rework Log'!$G$3:$G$499&lt;&gt;"Did not pass re-test"))=0),"Blocked - log it on Rework Log",IF(AND(LEFT($AJ54,3)&lt;&gt;"Yes",SUMPRODUCT(('Rework Log'!$A$3:$A$499=$B54)*('Rework Log'!$G$3:$G$499&lt;&gt;"Yes")*('Rework Log'!$G$3:$G$499&lt;&gt;"Did not pass re-test"))&gt;0),"Open rework row - mark Blocked? or close it",IF(AND($AJ54="Yes – needs DB Dev to fix",M54&lt;&gt;"",SUMPRODUCT(MAX((('Rework Log'!$A$3:$A$499=$B54)*('Rework Log'!$G$3:$G$499&lt;&gt;"Yes")*('Rework Log'!$G$3:$G$499&lt;&gt;"Did not pass re-test"))*'Rework Log'!$I$3:$I$499))&gt;0),"Move old DB Dev completion date to Rework Log (col H)",IF(AND($AJ54="Yes – needs PBI Dev to fix",S54&lt;&gt;"",SUMPRODUCT(MAX((('Rework Log'!$A$3:$A$499=$B54)*('Rework Log'!$G$3:$G$499&lt;&gt;"Yes")*('Rework Log'!$G$3:$G$499&lt;&gt;"Did not pass re-test"))*'Rework Log'!$I$3:$I$499))&gt;0),"Move old PBI Dev completion date to Rework Log (col H)",IF(AND($AJ54="Yes – needs QA to fix",Y54&lt;&gt;"",SUMPRODUCT(MAX((('Rework Log'!$A$3:$A$499=$B54)*('Rework Log'!$G$3:$G$499&lt;&gt;"Yes")*('Rework Log'!$G$3:$G$499&lt;&gt;"Did not pass re-test"))*'Rework Log'!$I$3:$I$499))&gt;0),"Move old QA completion date to Rework Log (col H)",IF(COUNTIF($B$2:$B$527,$B54)&gt;1,"Duplicate name - check row",IF(COUNTIF('Rework Log'!$A$3:$A$499,$B54)&gt;0,"",IF(AND(V54&lt;&gt;"",K54&lt;&gt;"",V54&lt;K54),"QA target is before DB Dev target",IF(AND(V54&lt;&gt;"",Q54&lt;&gt;"",V54&lt;Q54),"QA target is before PBI Dev target",IF(AND(AA54&lt;&gt;"",V54&lt;&gt;"",AA54&lt;V54),"DPO Approval target is before QA target",IF(AND(AG54&lt;&gt;"",AA54&lt;&gt;"",AG54&lt;AA54),"Confirmed Deployed date is before DPO Approval target",""))))))))))))</f>
        <v/>
      </c>
      <c r="AL54" s="41"/>
      <c r="AM54" s="32" t="str" cm="1">
        <f t="array" ref="AM54">_xlfn.LET(_xlpm.rep,$B54,_xlpm.sent,_xlfn.MAXIFS('Rework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4" s="32" t="str" cm="1">
        <f t="array" ref="AN54">_xlfn.LET(_xlpm.rep,$B54,_xlpm.sent,_xlfn.MAXIFS('Rework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5" spans="1:40" ht="14.45">
      <c r="A55" s="33" t="s">
        <v>127</v>
      </c>
      <c r="B55" s="33" t="s">
        <v>197</v>
      </c>
      <c r="C55" s="33" t="s">
        <v>141</v>
      </c>
      <c r="D55" t="str" cm="1">
        <f t="array" aca="1" ref="D55" ca="1">IF($B55="","",IF(LEFT($AJ55,3)="Yes","Blocked - "&amp;MID($AJ55,7,100)&amp;IF(SUMPRODUCT(('Rework Log'!$A$3:$A$499=$B55)*('Rework Log'!$G$3:$G$499&lt;&gt;"Yes")*('Rework Log'!$G$3:$G$499&lt;&gt;"Did not pass re-test"))=0,"",IF(SUMPRODUCT(MAX((('Rework Log'!$A$3:$A$499=$B55)*('Rework Log'!$G$3:$G$499&lt;&gt;"Yes")*('Rework Log'!$G$3:$G$499&lt;&gt;"Did not pass re-test"))*'Rework Log'!$I$3:$I$499))=0," - unclaimed"," - promised "&amp;TEXT(SUMPRODUCT(MAX((('Rework Log'!$A$3:$A$499=$B55)*('Rework Log'!$G$3:$G$499&lt;&gt;"Yes")*('Rework Log'!$G$3:$G$499&lt;&gt;"Did not pass re-test"))*'Rework Log'!$I$3:$I$499)),"m/d"))),IF(C55="NOT STARTED",IF(H55="","No plan date set",IF(H55&lt;TODAY(),"Review - planned start passed","On track")),IF(C55="DB Dev",IF(AND(L55="",K55=""),"No target set",IF(AND(IF(L55&lt;&gt;"",L55,K55)&lt;TODAY(),M55=""),"Overdue","On track")),IF(C55="PBI Dev",IF(AND(R55="",Q55=""),"No target set",IF(AND(IF(R55&lt;&gt;"",R55,Q55)&lt;TODAY(),S55=""),"Overdue","On track")),IF(C55="QA",_xlfn.LET(_xlpm.tgt,IF(AM55&lt;&gt;"",AM55,IF(W55&lt;&gt;"",W55,V55)),_xlpm.sent,_xlfn.MAXIFS('Rework Log'!$B$3:$B$499,'Rework Log'!$A$3:$A$499,$B55,'Rework Log'!$C$3:$C$499,"QA"),_xlpm.act,IF(AND(Y55&lt;&gt;"",Y55&gt;_xlpm.sent),Y55,""),IF(_xlpm.tgt="","No target set",IF(AND(_xlpm.tgt&lt;TODAY(),_xlpm.act=""),"Overdue","On track"))),IF(C55="DPO Approval",_xlfn.LET(_xlpm.tgt,IF(AN55&lt;&gt;"",AN55,IF(AB55&lt;&gt;"",AB55,AA55)),_xlpm.sent,_xlfn.MAXIFS('Rework Log'!$B$3:$B$499,'Rework Log'!$A$3:$A$499,$B55,'Rework Log'!$C$3:$C$499,"DPO*"),_xlpm.act,IF(AND(AC55&lt;&gt;"",AC55&gt;_xlpm.sent),AC55,""),IF(_xlpm.tgt="","No target set",IF(AND(_xlpm.tgt&lt;TODAY(),_xlpm.act=""),"Overdue","On track"))),IF(C55="RELEASED IN PROD","Delivered",""))))))))</f>
        <v>On track</v>
      </c>
      <c r="E55" s="33">
        <v>31</v>
      </c>
      <c r="F55" s="34" t="s">
        <v>147</v>
      </c>
      <c r="G55" s="33"/>
      <c r="H55" s="50">
        <v>46295</v>
      </c>
      <c r="I55" s="55" t="s">
        <v>198</v>
      </c>
      <c r="J55" s="33" t="s">
        <v>76</v>
      </c>
      <c r="K55" s="4">
        <v>46262</v>
      </c>
      <c r="L55" s="36">
        <v>46253</v>
      </c>
      <c r="M55" s="36">
        <v>46253</v>
      </c>
      <c r="N55" s="36"/>
      <c r="O55" s="36" t="s">
        <v>199</v>
      </c>
      <c r="P55" s="63" t="s">
        <v>77</v>
      </c>
      <c r="Q55" s="4">
        <v>46269</v>
      </c>
      <c r="R55" s="36">
        <v>46267</v>
      </c>
      <c r="S55" s="36">
        <v>46267</v>
      </c>
      <c r="T55" s="69" t="s">
        <v>200</v>
      </c>
      <c r="U55" s="33"/>
      <c r="V55" s="59">
        <v>46276</v>
      </c>
      <c r="W55" s="36"/>
      <c r="X55" s="36"/>
      <c r="Y55" s="36"/>
      <c r="Z55" s="36"/>
      <c r="AA55" s="52">
        <v>46290</v>
      </c>
      <c r="AB55" s="36"/>
      <c r="AC55" s="36"/>
      <c r="AD55" s="33" t="s">
        <v>201</v>
      </c>
      <c r="AE55" s="33" t="s">
        <v>49</v>
      </c>
      <c r="AF55" s="38"/>
      <c r="AG55" s="36"/>
      <c r="AH55" s="39"/>
      <c r="AI55" s="33"/>
      <c r="AJ55" s="40" t="s">
        <v>53</v>
      </c>
      <c r="AK55" s="73" t="str">
        <f>IF($B55="","",IF(AND(LEFT($AJ55,3)="Yes",SUMPRODUCT(('Rework Log'!$A$3:$A$499=$B55)*('Rework Log'!$G$3:$G$499&lt;&gt;"Yes")*('Rework Log'!$G$3:$G$499&lt;&gt;"Did not pass re-test"))=0),"Blocked - log it on Rework Log",IF(AND(LEFT($AJ55,3)&lt;&gt;"Yes",SUMPRODUCT(('Rework Log'!$A$3:$A$499=$B55)*('Rework Log'!$G$3:$G$499&lt;&gt;"Yes")*('Rework Log'!$G$3:$G$499&lt;&gt;"Did not pass re-test"))&gt;0),"Open rework row - mark Blocked? or close it",IF(AND($AJ55="Yes – needs DB Dev to fix",M55&lt;&gt;"",SUMPRODUCT(MAX((('Rework Log'!$A$3:$A$499=$B55)*('Rework Log'!$G$3:$G$499&lt;&gt;"Yes")*('Rework Log'!$G$3:$G$499&lt;&gt;"Did not pass re-test"))*'Rework Log'!$I$3:$I$499))&gt;0),"Move old DB Dev completion date to Rework Log (col H)",IF(AND($AJ55="Yes – needs PBI Dev to fix",S55&lt;&gt;"",SUMPRODUCT(MAX((('Rework Log'!$A$3:$A$499=$B55)*('Rework Log'!$G$3:$G$499&lt;&gt;"Yes")*('Rework Log'!$G$3:$G$499&lt;&gt;"Did not pass re-test"))*'Rework Log'!$I$3:$I$499))&gt;0),"Move old PBI Dev completion date to Rework Log (col H)",IF(AND($AJ55="Yes – needs QA to fix",Y55&lt;&gt;"",SUMPRODUCT(MAX((('Rework Log'!$A$3:$A$499=$B55)*('Rework Log'!$G$3:$G$499&lt;&gt;"Yes")*('Rework Log'!$G$3:$G$499&lt;&gt;"Did not pass re-test"))*'Rework Log'!$I$3:$I$499))&gt;0),"Move old QA completion date to Rework Log (col H)",IF(COUNTIF($B$2:$B$527,$B55)&gt;1,"Duplicate name - check row",IF(COUNTIF('Rework Log'!$A$3:$A$499,$B55)&gt;0,"",IF(AND(V55&lt;&gt;"",K55&lt;&gt;"",V55&lt;K55),"QA target is before DB Dev target",IF(AND(V55&lt;&gt;"",Q55&lt;&gt;"",V55&lt;Q55),"QA target is before PBI Dev target",IF(AND(AA55&lt;&gt;"",V55&lt;&gt;"",AA55&lt;V55),"DPO Approval target is before QA target",IF(AND(AG55&lt;&gt;"",AA55&lt;&gt;"",AG55&lt;AA55),"Confirmed Deployed date is before DPO Approval target",""))))))))))))</f>
        <v/>
      </c>
      <c r="AL55" s="41"/>
      <c r="AM55" s="32" t="str" cm="1">
        <f t="array" ref="AM55">_xlfn.LET(_xlpm.rep,$B55,_xlpm.sent,_xlfn.MAXIFS('Rework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5" s="32" t="str" cm="1">
        <f t="array" ref="AN55">_xlfn.LET(_xlpm.rep,$B55,_xlpm.sent,_xlfn.MAXIFS('Rework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6" spans="1:40" ht="14.45">
      <c r="A56" s="33" t="s">
        <v>127</v>
      </c>
      <c r="B56" s="33" t="s">
        <v>202</v>
      </c>
      <c r="C56" s="33" t="s">
        <v>150</v>
      </c>
      <c r="D56" t="str" cm="1">
        <f t="array" aca="1" ref="D56" ca="1">IF($B56="","",IF(LEFT($AJ56,3)="Yes","Blocked - "&amp;MID($AJ56,7,100)&amp;IF(SUMPRODUCT(('Rework Log'!$A$3:$A$499=$B56)*('Rework Log'!$G$3:$G$499&lt;&gt;"Yes")*('Rework Log'!$G$3:$G$499&lt;&gt;"Did not pass re-test"))=0,"",IF(SUMPRODUCT(MAX((('Rework Log'!$A$3:$A$499=$B56)*('Rework Log'!$G$3:$G$499&lt;&gt;"Yes")*('Rework Log'!$G$3:$G$499&lt;&gt;"Did not pass re-test"))*'Rework Log'!$I$3:$I$499))=0," - unclaimed"," - promised "&amp;TEXT(SUMPRODUCT(MAX((('Rework Log'!$A$3:$A$499=$B56)*('Rework Log'!$G$3:$G$499&lt;&gt;"Yes")*('Rework Log'!$G$3:$G$499&lt;&gt;"Did not pass re-test"))*'Rework Log'!$I$3:$I$499)),"m/d"))),IF(C56="NOT STARTED",IF(H56="","No plan date set",IF(H56&lt;TODAY(),"Review - planned start passed","On track")),IF(C56="DB Dev",IF(AND(L56="",K56=""),"No target set",IF(AND(IF(L56&lt;&gt;"",L56,K56)&lt;TODAY(),M56=""),"Overdue","On track")),IF(C56="PBI Dev",IF(AND(R56="",Q56=""),"No target set",IF(AND(IF(R56&lt;&gt;"",R56,Q56)&lt;TODAY(),S56=""),"Overdue","On track")),IF(C56="QA",_xlfn.LET(_xlpm.tgt,IF(AM56&lt;&gt;"",AM56,IF(W56&lt;&gt;"",W56,V56)),_xlpm.sent,_xlfn.MAXIFS('Rework Log'!$B$3:$B$499,'Rework Log'!$A$3:$A$499,$B56,'Rework Log'!$C$3:$C$499,"QA"),_xlpm.act,IF(AND(Y56&lt;&gt;"",Y56&gt;_xlpm.sent),Y56,""),IF(_xlpm.tgt="","No target set",IF(AND(_xlpm.tgt&lt;TODAY(),_xlpm.act=""),"Overdue","On track"))),IF(C56="DPO Approval",_xlfn.LET(_xlpm.tgt,IF(AN56&lt;&gt;"",AN56,IF(AB56&lt;&gt;"",AB56,AA56)),_xlpm.sent,_xlfn.MAXIFS('Rework Log'!$B$3:$B$499,'Rework Log'!$A$3:$A$499,$B56,'Rework Log'!$C$3:$C$499,"DPO*"),_xlpm.act,IF(AND(AC56&lt;&gt;"",AC56&gt;_xlpm.sent),AC56,""),IF(_xlpm.tgt="","No target set",IF(AND(_xlpm.tgt&lt;TODAY(),_xlpm.act=""),"Overdue","On track"))),IF(C56="RELEASED IN PROD","Delivered",""))))))))</f>
        <v>On track</v>
      </c>
      <c r="E56" s="33">
        <v>32</v>
      </c>
      <c r="F56" s="34" t="s">
        <v>130</v>
      </c>
      <c r="G56" s="33"/>
      <c r="H56" s="50">
        <v>46295</v>
      </c>
      <c r="I56" s="55" t="s">
        <v>198</v>
      </c>
      <c r="J56" s="33" t="s">
        <v>76</v>
      </c>
      <c r="K56" s="4">
        <v>46262</v>
      </c>
      <c r="L56" s="36">
        <v>46253</v>
      </c>
      <c r="M56" s="36">
        <v>46253</v>
      </c>
      <c r="N56" s="36" t="s">
        <v>172</v>
      </c>
      <c r="O56" s="36" t="s">
        <v>199</v>
      </c>
      <c r="P56" s="63" t="s">
        <v>60</v>
      </c>
      <c r="Q56" s="4">
        <v>46269</v>
      </c>
      <c r="R56" s="36">
        <v>46266</v>
      </c>
      <c r="S56" s="36">
        <v>46266</v>
      </c>
      <c r="T56" s="69" t="s">
        <v>200</v>
      </c>
      <c r="U56" s="33"/>
      <c r="V56" s="59">
        <v>46276</v>
      </c>
      <c r="W56" s="36"/>
      <c r="X56" s="36"/>
      <c r="Y56" s="36"/>
      <c r="Z56" s="36"/>
      <c r="AA56" s="52">
        <v>46290</v>
      </c>
      <c r="AB56" s="36"/>
      <c r="AC56" s="36"/>
      <c r="AD56" s="33" t="s">
        <v>203</v>
      </c>
      <c r="AE56" s="33" t="s">
        <v>49</v>
      </c>
      <c r="AF56" s="38"/>
      <c r="AG56" s="36"/>
      <c r="AH56" s="39"/>
      <c r="AI56" s="33"/>
      <c r="AJ56" s="40" t="s">
        <v>53</v>
      </c>
      <c r="AK56" s="73" t="str">
        <f>IF($B56="","",IF(AND(LEFT($AJ56,3)="Yes",SUMPRODUCT(('Rework Log'!$A$3:$A$499=$B56)*('Rework Log'!$G$3:$G$499&lt;&gt;"Yes")*('Rework Log'!$G$3:$G$499&lt;&gt;"Did not pass re-test"))=0),"Blocked - log it on Rework Log",IF(AND(LEFT($AJ56,3)&lt;&gt;"Yes",SUMPRODUCT(('Rework Log'!$A$3:$A$499=$B56)*('Rework Log'!$G$3:$G$499&lt;&gt;"Yes")*('Rework Log'!$G$3:$G$499&lt;&gt;"Did not pass re-test"))&gt;0),"Open rework row - mark Blocked? or close it",IF(AND($AJ56="Yes – needs DB Dev to fix",M56&lt;&gt;"",SUMPRODUCT(MAX((('Rework Log'!$A$3:$A$499=$B56)*('Rework Log'!$G$3:$G$499&lt;&gt;"Yes")*('Rework Log'!$G$3:$G$499&lt;&gt;"Did not pass re-test"))*'Rework Log'!$I$3:$I$499))&gt;0),"Move old DB Dev completion date to Rework Log (col H)",IF(AND($AJ56="Yes – needs PBI Dev to fix",S56&lt;&gt;"",SUMPRODUCT(MAX((('Rework Log'!$A$3:$A$499=$B56)*('Rework Log'!$G$3:$G$499&lt;&gt;"Yes")*('Rework Log'!$G$3:$G$499&lt;&gt;"Did not pass re-test"))*'Rework Log'!$I$3:$I$499))&gt;0),"Move old PBI Dev completion date to Rework Log (col H)",IF(AND($AJ56="Yes – needs QA to fix",Y56&lt;&gt;"",SUMPRODUCT(MAX((('Rework Log'!$A$3:$A$499=$B56)*('Rework Log'!$G$3:$G$499&lt;&gt;"Yes")*('Rework Log'!$G$3:$G$499&lt;&gt;"Did not pass re-test"))*'Rework Log'!$I$3:$I$499))&gt;0),"Move old QA completion date to Rework Log (col H)",IF(COUNTIF($B$2:$B$527,$B56)&gt;1,"Duplicate name - check row",IF(COUNTIF('Rework Log'!$A$3:$A$499,$B56)&gt;0,"",IF(AND(V56&lt;&gt;"",K56&lt;&gt;"",V56&lt;K56),"QA target is before DB Dev target",IF(AND(V56&lt;&gt;"",Q56&lt;&gt;"",V56&lt;Q56),"QA target is before PBI Dev target",IF(AND(AA56&lt;&gt;"",V56&lt;&gt;"",AA56&lt;V56),"DPO Approval target is before QA target",IF(AND(AG56&lt;&gt;"",AA56&lt;&gt;"",AG56&lt;AA56),"Confirmed Deployed date is before DPO Approval target",""))))))))))))</f>
        <v/>
      </c>
      <c r="AL56" s="41" t="s">
        <v>204</v>
      </c>
      <c r="AM56" s="32" t="str" cm="1">
        <f t="array" ref="AM56">_xlfn.LET(_xlpm.rep,$B56,_xlpm.sent,_xlfn.MAXIFS('Rework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6" s="32" t="str" cm="1">
        <f t="array" ref="AN56">_xlfn.LET(_xlpm.rep,$B56,_xlpm.sent,_xlfn.MAXIFS('Rework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7" spans="1:40" ht="14.45">
      <c r="A57" s="33" t="s">
        <v>127</v>
      </c>
      <c r="B57" s="33" t="s">
        <v>205</v>
      </c>
      <c r="C57" s="33" t="s">
        <v>206</v>
      </c>
      <c r="D57" t="str" cm="1">
        <f t="array" aca="1" ref="D57" ca="1">IF($B57="","",IF(LEFT($AJ57,3)="Yes","Blocked - "&amp;MID($AJ57,7,100)&amp;IF(SUMPRODUCT(('Rework Log'!$A$3:$A$499=$B57)*('Rework Log'!$G$3:$G$499&lt;&gt;"Yes")*('Rework Log'!$G$3:$G$499&lt;&gt;"Did not pass re-test"))=0,"",IF(SUMPRODUCT(MAX((('Rework Log'!$A$3:$A$499=$B57)*('Rework Log'!$G$3:$G$499&lt;&gt;"Yes")*('Rework Log'!$G$3:$G$499&lt;&gt;"Did not pass re-test"))*'Rework Log'!$I$3:$I$499))=0," - unclaimed"," - promised "&amp;TEXT(SUMPRODUCT(MAX((('Rework Log'!$A$3:$A$499=$B57)*('Rework Log'!$G$3:$G$499&lt;&gt;"Yes")*('Rework Log'!$G$3:$G$499&lt;&gt;"Did not pass re-test"))*'Rework Log'!$I$3:$I$499)),"m/d"))),IF(C57="NOT STARTED",IF(H57="","No plan date set",IF(H57&lt;TODAY(),"Review - planned start passed","On track")),IF(C57="DB Dev",IF(AND(L57="",K57=""),"No target set",IF(AND(IF(L57&lt;&gt;"",L57,K57)&lt;TODAY(),M57=""),"Overdue","On track")),IF(C57="PBI Dev",IF(AND(R57="",Q57=""),"No target set",IF(AND(IF(R57&lt;&gt;"",R57,Q57)&lt;TODAY(),S57=""),"Overdue","On track")),IF(C57="QA",_xlfn.LET(_xlpm.tgt,IF(AM57&lt;&gt;"",AM57,IF(W57&lt;&gt;"",W57,V57)),_xlpm.sent,_xlfn.MAXIFS('Rework Log'!$B$3:$B$499,'Rework Log'!$A$3:$A$499,$B57,'Rework Log'!$C$3:$C$499,"QA"),_xlpm.act,IF(AND(Y57&lt;&gt;"",Y57&gt;_xlpm.sent),Y57,""),IF(_xlpm.tgt="","No target set",IF(AND(_xlpm.tgt&lt;TODAY(),_xlpm.act=""),"Overdue","On track"))),IF(C57="DPO Approval",_xlfn.LET(_xlpm.tgt,IF(AN57&lt;&gt;"",AN57,IF(AB57&lt;&gt;"",AB57,AA57)),_xlpm.sent,_xlfn.MAXIFS('Rework Log'!$B$3:$B$499,'Rework Log'!$A$3:$A$499,$B57,'Rework Log'!$C$3:$C$499,"DPO*"),_xlpm.act,IF(AND(AC57&lt;&gt;"",AC57&gt;_xlpm.sent),AC57,""),IF(_xlpm.tgt="","No target set",IF(AND(_xlpm.tgt&lt;TODAY(),_xlpm.act=""),"Overdue","On track"))),IF(C57="RELEASED IN PROD","Delivered",""))))))))</f>
        <v>On track</v>
      </c>
      <c r="E57" s="33">
        <v>33</v>
      </c>
      <c r="F57" s="34" t="s">
        <v>147</v>
      </c>
      <c r="G57" s="33"/>
      <c r="H57" s="50">
        <v>46295</v>
      </c>
      <c r="I57" s="55" t="s">
        <v>198</v>
      </c>
      <c r="J57" s="33" t="s">
        <v>118</v>
      </c>
      <c r="K57" s="4">
        <v>46262</v>
      </c>
      <c r="L57" s="36">
        <v>46254</v>
      </c>
      <c r="M57" s="36"/>
      <c r="N57" s="36"/>
      <c r="O57" s="36" t="s">
        <v>199</v>
      </c>
      <c r="P57" s="63" t="s">
        <v>46</v>
      </c>
      <c r="Q57" s="4">
        <v>46269</v>
      </c>
      <c r="R57" s="36">
        <v>46268</v>
      </c>
      <c r="S57" s="36">
        <v>46268</v>
      </c>
      <c r="T57" s="69" t="s">
        <v>200</v>
      </c>
      <c r="U57" s="33"/>
      <c r="V57" s="59">
        <v>46276</v>
      </c>
      <c r="W57" s="36"/>
      <c r="X57" s="36"/>
      <c r="Y57" s="36"/>
      <c r="Z57" s="36"/>
      <c r="AA57" s="52">
        <v>46290</v>
      </c>
      <c r="AB57" s="36"/>
      <c r="AC57" s="36"/>
      <c r="AD57" s="33" t="s">
        <v>194</v>
      </c>
      <c r="AE57" s="33" t="s">
        <v>49</v>
      </c>
      <c r="AF57" s="38"/>
      <c r="AG57" s="36"/>
      <c r="AH57" s="39"/>
      <c r="AI57" s="33"/>
      <c r="AJ57" s="40" t="s">
        <v>53</v>
      </c>
      <c r="AK57" s="73" t="str">
        <f>IF($B57="","",IF(AND(LEFT($AJ57,3)="Yes",SUMPRODUCT(('Rework Log'!$A$3:$A$499=$B57)*('Rework Log'!$G$3:$G$499&lt;&gt;"Yes")*('Rework Log'!$G$3:$G$499&lt;&gt;"Did not pass re-test"))=0),"Blocked - log it on Rework Log",IF(AND(LEFT($AJ57,3)&lt;&gt;"Yes",SUMPRODUCT(('Rework Log'!$A$3:$A$499=$B57)*('Rework Log'!$G$3:$G$499&lt;&gt;"Yes")*('Rework Log'!$G$3:$G$499&lt;&gt;"Did not pass re-test"))&gt;0),"Open rework row - mark Blocked? or close it",IF(AND($AJ57="Yes – needs DB Dev to fix",M57&lt;&gt;"",SUMPRODUCT(MAX((('Rework Log'!$A$3:$A$499=$B57)*('Rework Log'!$G$3:$G$499&lt;&gt;"Yes")*('Rework Log'!$G$3:$G$499&lt;&gt;"Did not pass re-test"))*'Rework Log'!$I$3:$I$499))&gt;0),"Move old DB Dev completion date to Rework Log (col H)",IF(AND($AJ57="Yes – needs PBI Dev to fix",S57&lt;&gt;"",SUMPRODUCT(MAX((('Rework Log'!$A$3:$A$499=$B57)*('Rework Log'!$G$3:$G$499&lt;&gt;"Yes")*('Rework Log'!$G$3:$G$499&lt;&gt;"Did not pass re-test"))*'Rework Log'!$I$3:$I$499))&gt;0),"Move old PBI Dev completion date to Rework Log (col H)",IF(AND($AJ57="Yes – needs QA to fix",Y57&lt;&gt;"",SUMPRODUCT(MAX((('Rework Log'!$A$3:$A$499=$B57)*('Rework Log'!$G$3:$G$499&lt;&gt;"Yes")*('Rework Log'!$G$3:$G$499&lt;&gt;"Did not pass re-test"))*'Rework Log'!$I$3:$I$499))&gt;0),"Move old QA completion date to Rework Log (col H)",IF(COUNTIF($B$2:$B$527,$B57)&gt;1,"Duplicate name - check row",IF(COUNTIF('Rework Log'!$A$3:$A$499,$B57)&gt;0,"",IF(AND(V57&lt;&gt;"",K57&lt;&gt;"",V57&lt;K57),"QA target is before DB Dev target",IF(AND(V57&lt;&gt;"",Q57&lt;&gt;"",V57&lt;Q57),"QA target is before PBI Dev target",IF(AND(AA57&lt;&gt;"",V57&lt;&gt;"",AA57&lt;V57),"DPO Approval target is before QA target",IF(AND(AG57&lt;&gt;"",AA57&lt;&gt;"",AG57&lt;AA57),"Confirmed Deployed date is before DPO Approval target",""))))))))))))</f>
        <v/>
      </c>
      <c r="AL57" s="41" t="s">
        <v>204</v>
      </c>
      <c r="AM57" s="32" t="str" cm="1">
        <f t="array" ref="AM57">_xlfn.LET(_xlpm.rep,$B57,_xlpm.sent,_xlfn.MAXIFS('Rework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7" s="32" t="str" cm="1">
        <f t="array" ref="AN57">_xlfn.LET(_xlpm.rep,$B57,_xlpm.sent,_xlfn.MAXIFS('Rework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8" spans="1:40" ht="14.45">
      <c r="A58" s="33" t="s">
        <v>127</v>
      </c>
      <c r="B58" s="33" t="s">
        <v>207</v>
      </c>
      <c r="C58" s="33" t="s">
        <v>150</v>
      </c>
      <c r="D58" t="e" cm="1">
        <f t="array" aca="1" ref="D58" ca="1">IF($B58="","",IF(LEFT($AJ58,3)="Yes","Blocked - "&amp;MID($AJ58,7,100)&amp;IF(SUMPRODUCT(('Rework Log'!$A$3:$A$499=$B58)*('Rework Log'!$G$3:$G$499&lt;&gt;"Yes")*('Rework Log'!$G$3:$G$499&lt;&gt;"Did not pass re-test"))=0,"",IF(SUMPRODUCT(MAX((('Rework Log'!$A$3:$A$499=$B58)*('Rework Log'!$G$3:$G$499&lt;&gt;"Yes")*('Rework Log'!$G$3:$G$499&lt;&gt;"Did not pass re-test"))*'Rework Log'!$I$3:$I$499))=0," - unclaimed"," - promised "&amp;TEXT(SUMPRODUCT(MAX((('Rework Log'!$A$3:$A$499=$B58)*('Rework Log'!$G$3:$G$499&lt;&gt;"Yes")*('Rework Log'!$G$3:$G$499&lt;&gt;"Did not pass re-test"))*'Rework Log'!$I$3:$I$499)),"m/d"))),IF(C58="NOT STARTED",IF(H58="","No plan date set",IF(H58&lt;TODAY(),"Review - planned start passed","On track")),IF(C58="DB Dev",IF(AND(L58="",K58=""),"No target set",IF(AND(IF(L58&lt;&gt;"",L58,K58)&lt;TODAY(),M58=""),"Overdue","On track")),IF(C58="PBI Dev",IF(AND(#REF!="",Q58=""),"No target set",IF(AND(IF(#REF!&lt;&gt;"",#REF!,Q58)&lt;TODAY(),S58=""),"Overdue","On track")),IF(C58="QA",_xlfn.LET(_xlpm.tgt,IF(AM58&lt;&gt;"",AM58,IF(W58&lt;&gt;"",W58,V58)),_xlpm.sent,_xlfn.MAXIFS('Rework Log'!$B$3:$B$499,'Rework Log'!$A$3:$A$499,$B58,'Rework Log'!$C$3:$C$499,"QA"),_xlpm.act,IF(AND(Y58&lt;&gt;"",Y58&gt;_xlpm.sent),Y58,""),IF(_xlpm.tgt="","No target set",IF(AND(_xlpm.tgt&lt;TODAY(),_xlpm.act=""),"Overdue","On track"))),IF(C58="DPO Approval",_xlfn.LET(_xlpm.tgt,IF(AN58&lt;&gt;"",AN58,IF(AB58&lt;&gt;"",AB58,AA58)),_xlpm.sent,_xlfn.MAXIFS('Rework Log'!$B$3:$B$499,'Rework Log'!$A$3:$A$499,$B58,'Rework Log'!$C$3:$C$499,"DPO*"),_xlpm.act,IF(AND(AC58&lt;&gt;"",AC58&gt;_xlpm.sent),AC58,""),IF(_xlpm.tgt="","No target set",IF(AND(_xlpm.tgt&lt;TODAY(),_xlpm.act=""),"Overdue","On track"))),IF(C58="RELEASED IN PROD","Delivered",""))))))))</f>
        <v>#REF!</v>
      </c>
      <c r="E58" s="33">
        <v>34</v>
      </c>
      <c r="F58" s="34" t="s">
        <v>130</v>
      </c>
      <c r="G58" s="33"/>
      <c r="H58" s="50">
        <v>46295</v>
      </c>
      <c r="I58" s="55" t="s">
        <v>198</v>
      </c>
      <c r="J58" s="33" t="s">
        <v>118</v>
      </c>
      <c r="K58" s="4">
        <v>46262</v>
      </c>
      <c r="L58" s="36">
        <v>46254</v>
      </c>
      <c r="M58" s="36"/>
      <c r="N58" s="36"/>
      <c r="O58" s="36" t="s">
        <v>199</v>
      </c>
      <c r="P58" s="63" t="s">
        <v>77</v>
      </c>
      <c r="Q58" s="4">
        <v>46269</v>
      </c>
      <c r="R58" s="36">
        <v>46272</v>
      </c>
      <c r="S58" s="36"/>
      <c r="T58" s="69" t="s">
        <v>200</v>
      </c>
      <c r="U58" s="33"/>
      <c r="V58" s="59">
        <v>46276</v>
      </c>
      <c r="W58" s="36"/>
      <c r="X58" s="36"/>
      <c r="Y58" s="36"/>
      <c r="Z58" s="36"/>
      <c r="AA58" s="52">
        <v>46290</v>
      </c>
      <c r="AB58" s="36"/>
      <c r="AC58" s="36"/>
      <c r="AD58" s="33" t="s">
        <v>133</v>
      </c>
      <c r="AE58" s="33" t="s">
        <v>49</v>
      </c>
      <c r="AF58" s="38"/>
      <c r="AG58" s="36"/>
      <c r="AH58" s="39"/>
      <c r="AI58" s="33"/>
      <c r="AJ58" s="40" t="s">
        <v>53</v>
      </c>
      <c r="AK58" s="73" t="str">
        <f>IF($B58="","",IF(AND(LEFT($AJ58,3)="Yes",SUMPRODUCT(('Rework Log'!$A$3:$A$499=$B58)*('Rework Log'!$G$3:$G$499&lt;&gt;"Yes")*('Rework Log'!$G$3:$G$499&lt;&gt;"Did not pass re-test"))=0),"Blocked - log it on Rework Log",IF(AND(LEFT($AJ58,3)&lt;&gt;"Yes",SUMPRODUCT(('Rework Log'!$A$3:$A$499=$B58)*('Rework Log'!$G$3:$G$499&lt;&gt;"Yes")*('Rework Log'!$G$3:$G$499&lt;&gt;"Did not pass re-test"))&gt;0),"Open rework row - mark Blocked? or close it",IF(AND($AJ58="Yes – needs DB Dev to fix",M58&lt;&gt;"",SUMPRODUCT(MAX((('Rework Log'!$A$3:$A$499=$B58)*('Rework Log'!$G$3:$G$499&lt;&gt;"Yes")*('Rework Log'!$G$3:$G$499&lt;&gt;"Did not pass re-test"))*'Rework Log'!$I$3:$I$499))&gt;0),"Move old DB Dev completion date to Rework Log (col H)",IF(AND($AJ58="Yes – needs PBI Dev to fix",S58&lt;&gt;"",SUMPRODUCT(MAX((('Rework Log'!$A$3:$A$499=$B58)*('Rework Log'!$G$3:$G$499&lt;&gt;"Yes")*('Rework Log'!$G$3:$G$499&lt;&gt;"Did not pass re-test"))*'Rework Log'!$I$3:$I$499))&gt;0),"Move old PBI Dev completion date to Rework Log (col H)",IF(AND($AJ58="Yes – needs QA to fix",Y58&lt;&gt;"",SUMPRODUCT(MAX((('Rework Log'!$A$3:$A$499=$B58)*('Rework Log'!$G$3:$G$499&lt;&gt;"Yes")*('Rework Log'!$G$3:$G$499&lt;&gt;"Did not pass re-test"))*'Rework Log'!$I$3:$I$499))&gt;0),"Move old QA completion date to Rework Log (col H)",IF(COUNTIF($B$2:$B$527,$B58)&gt;1,"Duplicate name - check row",IF(COUNTIF('Rework Log'!$A$3:$A$499,$B58)&gt;0,"",IF(AND(V58&lt;&gt;"",K58&lt;&gt;"",V58&lt;K58),"QA target is before DB Dev target",IF(AND(V58&lt;&gt;"",Q58&lt;&gt;"",V58&lt;Q58),"QA target is before PBI Dev target",IF(AND(AA58&lt;&gt;"",V58&lt;&gt;"",AA58&lt;V58),"DPO Approval target is before QA target",IF(AND(AG58&lt;&gt;"",AA58&lt;&gt;"",AG58&lt;AA58),"Confirmed Deployed date is before DPO Approval target",""))))))))))))</f>
        <v/>
      </c>
      <c r="AL58" s="41"/>
      <c r="AM58" s="32" t="str" cm="1">
        <f t="array" ref="AM58">_xlfn.LET(_xlpm.rep,$B58,_xlpm.sent,_xlfn.MAXIFS('Rework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8" s="32" t="str" cm="1">
        <f t="array" ref="AN58">_xlfn.LET(_xlpm.rep,$B58,_xlpm.sent,_xlfn.MAXIFS('Rework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9" spans="1:40" ht="14.45">
      <c r="A59" s="33" t="s">
        <v>127</v>
      </c>
      <c r="B59" s="33" t="s">
        <v>208</v>
      </c>
      <c r="C59" s="33" t="s">
        <v>150</v>
      </c>
      <c r="D59" t="str" cm="1">
        <f t="array" aca="1" ref="D59" ca="1">IF($B59="","",IF(LEFT($AJ59,3)="Yes","Blocked - "&amp;MID($AJ59,7,100)&amp;IF(SUMPRODUCT(('Rework Log'!$A$3:$A$499=$B59)*('Rework Log'!$G$3:$G$499&lt;&gt;"Yes")*('Rework Log'!$G$3:$G$499&lt;&gt;"Did not pass re-test"))=0,"",IF(SUMPRODUCT(MAX((('Rework Log'!$A$3:$A$499=$B59)*('Rework Log'!$G$3:$G$499&lt;&gt;"Yes")*('Rework Log'!$G$3:$G$499&lt;&gt;"Did not pass re-test"))*'Rework Log'!$I$3:$I$499))=0," - unclaimed"," - promised "&amp;TEXT(SUMPRODUCT(MAX((('Rework Log'!$A$3:$A$499=$B59)*('Rework Log'!$G$3:$G$499&lt;&gt;"Yes")*('Rework Log'!$G$3:$G$499&lt;&gt;"Did not pass re-test"))*'Rework Log'!$I$3:$I$499)),"m/d"))),IF(C59="NOT STARTED",IF(H59="","No plan date set",IF(H59&lt;TODAY(),"Review - planned start passed","On track")),IF(C59="DB Dev",IF(AND(L59="",K59=""),"No target set",IF(AND(IF(L59&lt;&gt;"",L59,K59)&lt;TODAY(),M59=""),"Overdue","On track")),IF(C59="PBI Dev",IF(AND(R59="",Q59=""),"No target set",IF(AND(IF(R59&lt;&gt;"",R59,Q59)&lt;TODAY(),S59=""),"Overdue","On track")),IF(C59="QA",_xlfn.LET(_xlpm.tgt,IF(AM59&lt;&gt;"",AM59,IF(W59&lt;&gt;"",W59,V59)),_xlpm.sent,_xlfn.MAXIFS('Rework Log'!$B$3:$B$499,'Rework Log'!$A$3:$A$499,$B59,'Rework Log'!$C$3:$C$499,"QA"),_xlpm.act,IF(AND(Y59&lt;&gt;"",Y59&gt;_xlpm.sent),Y59,""),IF(_xlpm.tgt="","No target set",IF(AND(_xlpm.tgt&lt;TODAY(),_xlpm.act=""),"Overdue","On track"))),IF(C59="DPO Approval",_xlfn.LET(_xlpm.tgt,IF(AN59&lt;&gt;"",AN59,IF(AB59&lt;&gt;"",AB59,AA59)),_xlpm.sent,_xlfn.MAXIFS('Rework Log'!$B$3:$B$499,'Rework Log'!$A$3:$A$499,$B59,'Rework Log'!$C$3:$C$499,"DPO*"),_xlpm.act,IF(AND(AC59&lt;&gt;"",AC59&gt;_xlpm.sent),AC59,""),IF(_xlpm.tgt="","No target set",IF(AND(_xlpm.tgt&lt;TODAY(),_xlpm.act=""),"Overdue","On track"))),IF(C59="RELEASED IN PROD","Delivered",""))))))))</f>
        <v>On track</v>
      </c>
      <c r="E59" s="33">
        <v>35</v>
      </c>
      <c r="F59" s="34" t="s">
        <v>147</v>
      </c>
      <c r="G59" s="33"/>
      <c r="H59" s="50">
        <v>46295</v>
      </c>
      <c r="I59" s="55" t="s">
        <v>198</v>
      </c>
      <c r="J59" s="33" t="s">
        <v>44</v>
      </c>
      <c r="K59" s="4">
        <v>46262</v>
      </c>
      <c r="L59" s="36">
        <v>46253</v>
      </c>
      <c r="M59" s="36">
        <v>46253</v>
      </c>
      <c r="N59" s="36"/>
      <c r="O59" s="36" t="s">
        <v>199</v>
      </c>
      <c r="P59" s="63" t="s">
        <v>60</v>
      </c>
      <c r="Q59" s="4">
        <v>46269</v>
      </c>
      <c r="R59" s="36">
        <v>46266</v>
      </c>
      <c r="S59" s="36">
        <v>46266</v>
      </c>
      <c r="T59" s="69" t="s">
        <v>200</v>
      </c>
      <c r="U59" s="33"/>
      <c r="V59" s="59">
        <v>46276</v>
      </c>
      <c r="W59" s="36"/>
      <c r="X59" s="36"/>
      <c r="Y59" s="36"/>
      <c r="Z59" s="36"/>
      <c r="AA59" s="52">
        <v>46290</v>
      </c>
      <c r="AB59" s="36"/>
      <c r="AC59" s="36"/>
      <c r="AD59" s="33" t="s">
        <v>194</v>
      </c>
      <c r="AE59" s="33" t="s">
        <v>49</v>
      </c>
      <c r="AF59" s="38"/>
      <c r="AG59" s="36"/>
      <c r="AH59" s="39"/>
      <c r="AI59" s="33"/>
      <c r="AJ59" s="40" t="s">
        <v>53</v>
      </c>
      <c r="AK59" s="73" t="str">
        <f>IF($B59="","",IF(AND(LEFT($AJ59,3)="Yes",SUMPRODUCT(('Rework Log'!$A$3:$A$499=$B59)*('Rework Log'!$G$3:$G$499&lt;&gt;"Yes")*('Rework Log'!$G$3:$G$499&lt;&gt;"Did not pass re-test"))=0),"Blocked - log it on Rework Log",IF(AND(LEFT($AJ59,3)&lt;&gt;"Yes",SUMPRODUCT(('Rework Log'!$A$3:$A$499=$B59)*('Rework Log'!$G$3:$G$499&lt;&gt;"Yes")*('Rework Log'!$G$3:$G$499&lt;&gt;"Did not pass re-test"))&gt;0),"Open rework row - mark Blocked? or close it",IF(AND($AJ59="Yes – needs DB Dev to fix",M59&lt;&gt;"",SUMPRODUCT(MAX((('Rework Log'!$A$3:$A$499=$B59)*('Rework Log'!$G$3:$G$499&lt;&gt;"Yes")*('Rework Log'!$G$3:$G$499&lt;&gt;"Did not pass re-test"))*'Rework Log'!$I$3:$I$499))&gt;0),"Move old DB Dev completion date to Rework Log (col H)",IF(AND($AJ59="Yes – needs PBI Dev to fix",S59&lt;&gt;"",SUMPRODUCT(MAX((('Rework Log'!$A$3:$A$499=$B59)*('Rework Log'!$G$3:$G$499&lt;&gt;"Yes")*('Rework Log'!$G$3:$G$499&lt;&gt;"Did not pass re-test"))*'Rework Log'!$I$3:$I$499))&gt;0),"Move old PBI Dev completion date to Rework Log (col H)",IF(AND($AJ59="Yes – needs QA to fix",Y59&lt;&gt;"",SUMPRODUCT(MAX((('Rework Log'!$A$3:$A$499=$B59)*('Rework Log'!$G$3:$G$499&lt;&gt;"Yes")*('Rework Log'!$G$3:$G$499&lt;&gt;"Did not pass re-test"))*'Rework Log'!$I$3:$I$499))&gt;0),"Move old QA completion date to Rework Log (col H)",IF(COUNTIF($B$2:$B$527,$B59)&gt;1,"Duplicate name - check row",IF(COUNTIF('Rework Log'!$A$3:$A$499,$B59)&gt;0,"",IF(AND(V59&lt;&gt;"",K59&lt;&gt;"",V59&lt;K59),"QA target is before DB Dev target",IF(AND(V59&lt;&gt;"",Q59&lt;&gt;"",V59&lt;Q59),"QA target is before PBI Dev target",IF(AND(AA59&lt;&gt;"",V59&lt;&gt;"",AA59&lt;V59),"DPO Approval target is before QA target",IF(AND(AG59&lt;&gt;"",AA59&lt;&gt;"",AG59&lt;AA59),"Confirmed Deployed date is before DPO Approval target",""))))))))))))</f>
        <v/>
      </c>
      <c r="AL59" s="41"/>
      <c r="AM59" s="32" t="str" cm="1">
        <f t="array" ref="AM59">_xlfn.LET(_xlpm.rep,$B59,_xlpm.sent,_xlfn.MAXIFS('Rework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9" s="32" t="str" cm="1">
        <f t="array" ref="AN59">_xlfn.LET(_xlpm.rep,$B59,_xlpm.sent,_xlfn.MAXIFS('Rework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0" spans="1:40" ht="14.45">
      <c r="A60" s="33" t="s">
        <v>127</v>
      </c>
      <c r="B60" s="33" t="s">
        <v>209</v>
      </c>
      <c r="C60" s="33" t="s">
        <v>150</v>
      </c>
      <c r="D60" t="str" cm="1">
        <f t="array" aca="1" ref="D60" ca="1">IF($B60="","",IF(LEFT($AJ60,3)="Yes","Blocked - "&amp;MID($AJ60,7,100)&amp;IF(SUMPRODUCT(('Rework Log'!$A$3:$A$499=$B60)*('Rework Log'!$G$3:$G$499&lt;&gt;"Yes")*('Rework Log'!$G$3:$G$499&lt;&gt;"Did not pass re-test"))=0,"",IF(SUMPRODUCT(MAX((('Rework Log'!$A$3:$A$499=$B60)*('Rework Log'!$G$3:$G$499&lt;&gt;"Yes")*('Rework Log'!$G$3:$G$499&lt;&gt;"Did not pass re-test"))*'Rework Log'!$I$3:$I$499))=0," - unclaimed"," - promised "&amp;TEXT(SUMPRODUCT(MAX((('Rework Log'!$A$3:$A$499=$B60)*('Rework Log'!$G$3:$G$499&lt;&gt;"Yes")*('Rework Log'!$G$3:$G$499&lt;&gt;"Did not pass re-test"))*'Rework Log'!$I$3:$I$499)),"m/d"))),IF(C60="NOT STARTED",IF(H60="","No plan date set",IF(H60&lt;TODAY(),"Review - planned start passed","On track")),IF(C60="DB Dev",IF(AND(L60="",K60=""),"No target set",IF(AND(IF(L60&lt;&gt;"",L60,K60)&lt;TODAY(),M60=""),"Overdue","On track")),IF(C60="PBI Dev",IF(AND(R60="",Q60=""),"No target set",IF(AND(IF(R60&lt;&gt;"",R60,Q60)&lt;TODAY(),S60=""),"Overdue","On track")),IF(C60="QA",_xlfn.LET(_xlpm.tgt,IF(AM60&lt;&gt;"",AM60,IF(W60&lt;&gt;"",W60,V60)),_xlpm.sent,_xlfn.MAXIFS('Rework Log'!$B$3:$B$499,'Rework Log'!$A$3:$A$499,$B60,'Rework Log'!$C$3:$C$499,"QA"),_xlpm.act,IF(AND(Y60&lt;&gt;"",Y60&gt;_xlpm.sent),Y60,""),IF(_xlpm.tgt="","No target set",IF(AND(_xlpm.tgt&lt;TODAY(),_xlpm.act=""),"Overdue","On track"))),IF(C60="DPO Approval",_xlfn.LET(_xlpm.tgt,IF(AN60&lt;&gt;"",AN60,IF(AB60&lt;&gt;"",AB60,AA60)),_xlpm.sent,_xlfn.MAXIFS('Rework Log'!$B$3:$B$499,'Rework Log'!$A$3:$A$499,$B60,'Rework Log'!$C$3:$C$499,"DPO*"),_xlpm.act,IF(AND(AC60&lt;&gt;"",AC60&gt;_xlpm.sent),AC60,""),IF(_xlpm.tgt="","No target set",IF(AND(_xlpm.tgt&lt;TODAY(),_xlpm.act=""),"Overdue","On track"))),IF(C60="RELEASED IN PROD","Delivered",""))))))))</f>
        <v>On track</v>
      </c>
      <c r="E60" s="33">
        <v>36</v>
      </c>
      <c r="F60" s="34" t="s">
        <v>147</v>
      </c>
      <c r="G60" s="33"/>
      <c r="H60" s="50">
        <v>46295</v>
      </c>
      <c r="I60" s="55" t="s">
        <v>198</v>
      </c>
      <c r="J60" s="33" t="s">
        <v>160</v>
      </c>
      <c r="K60" s="4">
        <v>46262</v>
      </c>
      <c r="L60" s="36">
        <v>46255</v>
      </c>
      <c r="M60" s="36">
        <v>46255</v>
      </c>
      <c r="N60" s="36"/>
      <c r="O60" s="36" t="s">
        <v>199</v>
      </c>
      <c r="P60" s="63" t="s">
        <v>46</v>
      </c>
      <c r="Q60" s="4">
        <v>46269</v>
      </c>
      <c r="R60" s="36"/>
      <c r="S60" s="36"/>
      <c r="T60" s="69" t="s">
        <v>200</v>
      </c>
      <c r="U60" s="33"/>
      <c r="V60" s="59">
        <v>46276</v>
      </c>
      <c r="W60" s="36"/>
      <c r="X60" s="36"/>
      <c r="Y60" s="36"/>
      <c r="Z60" s="36"/>
      <c r="AA60" s="52">
        <v>46290</v>
      </c>
      <c r="AB60" s="36"/>
      <c r="AC60" s="36"/>
      <c r="AD60" s="33" t="s">
        <v>210</v>
      </c>
      <c r="AE60" s="33" t="s">
        <v>72</v>
      </c>
      <c r="AF60" s="38"/>
      <c r="AG60" s="36"/>
      <c r="AH60" s="39"/>
      <c r="AI60" s="33"/>
      <c r="AJ60" s="40" t="s">
        <v>53</v>
      </c>
      <c r="AK60" s="73" t="str">
        <f>IF($B60="","",IF(AND(LEFT($AJ60,3)="Yes",SUMPRODUCT(('Rework Log'!$A$3:$A$499=$B60)*('Rework Log'!$G$3:$G$499&lt;&gt;"Yes")*('Rework Log'!$G$3:$G$499&lt;&gt;"Did not pass re-test"))=0),"Blocked - log it on Rework Log",IF(AND(LEFT($AJ60,3)&lt;&gt;"Yes",SUMPRODUCT(('Rework Log'!$A$3:$A$499=$B60)*('Rework Log'!$G$3:$G$499&lt;&gt;"Yes")*('Rework Log'!$G$3:$G$499&lt;&gt;"Did not pass re-test"))&gt;0),"Open rework row - mark Blocked? or close it",IF(AND($AJ60="Yes – needs DB Dev to fix",M60&lt;&gt;"",SUMPRODUCT(MAX((('Rework Log'!$A$3:$A$499=$B60)*('Rework Log'!$G$3:$G$499&lt;&gt;"Yes")*('Rework Log'!$G$3:$G$499&lt;&gt;"Did not pass re-test"))*'Rework Log'!$I$3:$I$499))&gt;0),"Move old DB Dev completion date to Rework Log (col H)",IF(AND($AJ60="Yes – needs PBI Dev to fix",S60&lt;&gt;"",SUMPRODUCT(MAX((('Rework Log'!$A$3:$A$499=$B60)*('Rework Log'!$G$3:$G$499&lt;&gt;"Yes")*('Rework Log'!$G$3:$G$499&lt;&gt;"Did not pass re-test"))*'Rework Log'!$I$3:$I$499))&gt;0),"Move old PBI Dev completion date to Rework Log (col H)",IF(AND($AJ60="Yes – needs QA to fix",Y60&lt;&gt;"",SUMPRODUCT(MAX((('Rework Log'!$A$3:$A$499=$B60)*('Rework Log'!$G$3:$G$499&lt;&gt;"Yes")*('Rework Log'!$G$3:$G$499&lt;&gt;"Did not pass re-test"))*'Rework Log'!$I$3:$I$499))&gt;0),"Move old QA completion date to Rework Log (col H)",IF(COUNTIF($B$2:$B$527,$B60)&gt;1,"Duplicate name - check row",IF(COUNTIF('Rework Log'!$A$3:$A$499,$B60)&gt;0,"",IF(AND(V60&lt;&gt;"",K60&lt;&gt;"",V60&lt;K60),"QA target is before DB Dev target",IF(AND(V60&lt;&gt;"",Q60&lt;&gt;"",V60&lt;Q60),"QA target is before PBI Dev target",IF(AND(AA60&lt;&gt;"",V60&lt;&gt;"",AA60&lt;V60),"DPO Approval target is before QA target",IF(AND(AG60&lt;&gt;"",AA60&lt;&gt;"",AG60&lt;AA60),"Confirmed Deployed date is before DPO Approval target",""))))))))))))</f>
        <v/>
      </c>
      <c r="AL60" s="41"/>
      <c r="AM60" s="32" t="str" cm="1">
        <f t="array" ref="AM60">_xlfn.LET(_xlpm.rep,$B60,_xlpm.sent,_xlfn.MAXIFS('Rework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0" s="32" t="str" cm="1">
        <f t="array" ref="AN60">_xlfn.LET(_xlpm.rep,$B60,_xlpm.sent,_xlfn.MAXIFS('Rework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1" spans="1:40" ht="14.45">
      <c r="A61" s="33" t="s">
        <v>127</v>
      </c>
      <c r="B61" s="33" t="s">
        <v>211</v>
      </c>
      <c r="C61" s="33" t="s">
        <v>206</v>
      </c>
      <c r="D61" t="str" cm="1">
        <f t="array" aca="1" ref="D61" ca="1">IF($B61="","",IF(LEFT($AJ61,3)="Yes","Blocked - "&amp;MID($AJ61,7,100)&amp;IF(SUMPRODUCT(('Rework Log'!$A$3:$A$499=$B61)*('Rework Log'!$G$3:$G$499&lt;&gt;"Yes")*('Rework Log'!$G$3:$G$499&lt;&gt;"Did not pass re-test"))=0,"",IF(SUMPRODUCT(MAX((('Rework Log'!$A$3:$A$499=$B61)*('Rework Log'!$G$3:$G$499&lt;&gt;"Yes")*('Rework Log'!$G$3:$G$499&lt;&gt;"Did not pass re-test"))*'Rework Log'!$I$3:$I$499))=0," - unclaimed"," - promised "&amp;TEXT(SUMPRODUCT(MAX((('Rework Log'!$A$3:$A$499=$B61)*('Rework Log'!$G$3:$G$499&lt;&gt;"Yes")*('Rework Log'!$G$3:$G$499&lt;&gt;"Did not pass re-test"))*'Rework Log'!$I$3:$I$499)),"m/d"))),IF(C61="NOT STARTED",IF(H61="","No plan date set",IF(H61&lt;TODAY(),"Review - planned start passed","On track")),IF(C61="DB Dev",IF(AND(L61="",K61=""),"No target set",IF(AND(IF(L61&lt;&gt;"",L61,K61)&lt;TODAY(),M61=""),"Overdue","On track")),IF(C61="PBI Dev",IF(AND(R61="",Q61=""),"No target set",IF(AND(IF(R61&lt;&gt;"",R61,Q61)&lt;TODAY(),S61=""),"Overdue","On track")),IF(C61="QA",_xlfn.LET(_xlpm.tgt,IF(AM61&lt;&gt;"",AM61,IF(W61&lt;&gt;"",W61,V61)),_xlpm.sent,_xlfn.MAXIFS('Rework Log'!$B$3:$B$499,'Rework Log'!$A$3:$A$499,$B61,'Rework Log'!$C$3:$C$499,"QA"),_xlpm.act,IF(AND(Y61&lt;&gt;"",Y61&gt;_xlpm.sent),Y61,""),IF(_xlpm.tgt="","No target set",IF(AND(_xlpm.tgt&lt;TODAY(),_xlpm.act=""),"Overdue","On track"))),IF(C61="DPO Approval",_xlfn.LET(_xlpm.tgt,IF(AN61&lt;&gt;"",AN61,IF(AB61&lt;&gt;"",AB61,AA61)),_xlpm.sent,_xlfn.MAXIFS('Rework Log'!$B$3:$B$499,'Rework Log'!$A$3:$A$499,$B61,'Rework Log'!$C$3:$C$499,"DPO*"),_xlpm.act,IF(AND(AC61&lt;&gt;"",AC61&gt;_xlpm.sent),AC61,""),IF(_xlpm.tgt="","No target set",IF(AND(_xlpm.tgt&lt;TODAY(),_xlpm.act=""),"Overdue","On track"))),IF(C61="RELEASED IN PROD","Delivered",""))))))))</f>
        <v>On track</v>
      </c>
      <c r="E61" s="33">
        <v>37</v>
      </c>
      <c r="F61" s="34" t="s">
        <v>130</v>
      </c>
      <c r="G61" s="33"/>
      <c r="H61" s="50">
        <v>46295</v>
      </c>
      <c r="I61" s="55" t="s">
        <v>198</v>
      </c>
      <c r="J61" s="33" t="s">
        <v>44</v>
      </c>
      <c r="K61" s="4">
        <v>46262</v>
      </c>
      <c r="L61" s="36">
        <v>46255</v>
      </c>
      <c r="M61" s="36"/>
      <c r="N61" s="36"/>
      <c r="O61" s="36" t="s">
        <v>199</v>
      </c>
      <c r="P61" s="63" t="s">
        <v>60</v>
      </c>
      <c r="Q61" s="4">
        <v>46269</v>
      </c>
      <c r="R61" s="36">
        <v>46268</v>
      </c>
      <c r="S61" s="36"/>
      <c r="T61" s="69" t="s">
        <v>200</v>
      </c>
      <c r="U61" s="33"/>
      <c r="V61" s="59">
        <v>46276</v>
      </c>
      <c r="W61" s="36"/>
      <c r="X61" s="36"/>
      <c r="Y61" s="36"/>
      <c r="Z61" s="36"/>
      <c r="AA61" s="52">
        <v>46290</v>
      </c>
      <c r="AB61" s="36"/>
      <c r="AC61" s="36"/>
      <c r="AD61" s="33" t="s">
        <v>212</v>
      </c>
      <c r="AE61" s="33" t="s">
        <v>72</v>
      </c>
      <c r="AF61" s="38"/>
      <c r="AG61" s="36"/>
      <c r="AH61" s="39"/>
      <c r="AI61" s="33"/>
      <c r="AJ61" s="40" t="s">
        <v>53</v>
      </c>
      <c r="AK61" s="73" t="str">
        <f>IF($B61="","",IF(AND(LEFT($AJ61,3)="Yes",SUMPRODUCT(('Rework Log'!$A$3:$A$499=$B61)*('Rework Log'!$G$3:$G$499&lt;&gt;"Yes")*('Rework Log'!$G$3:$G$499&lt;&gt;"Did not pass re-test"))=0),"Blocked - log it on Rework Log",IF(AND(LEFT($AJ61,3)&lt;&gt;"Yes",SUMPRODUCT(('Rework Log'!$A$3:$A$499=$B61)*('Rework Log'!$G$3:$G$499&lt;&gt;"Yes")*('Rework Log'!$G$3:$G$499&lt;&gt;"Did not pass re-test"))&gt;0),"Open rework row - mark Blocked? or close it",IF(AND($AJ61="Yes – needs DB Dev to fix",M61&lt;&gt;"",SUMPRODUCT(MAX((('Rework Log'!$A$3:$A$499=$B61)*('Rework Log'!$G$3:$G$499&lt;&gt;"Yes")*('Rework Log'!$G$3:$G$499&lt;&gt;"Did not pass re-test"))*'Rework Log'!$I$3:$I$499))&gt;0),"Move old DB Dev completion date to Rework Log (col H)",IF(AND($AJ61="Yes – needs PBI Dev to fix",S61&lt;&gt;"",SUMPRODUCT(MAX((('Rework Log'!$A$3:$A$499=$B61)*('Rework Log'!$G$3:$G$499&lt;&gt;"Yes")*('Rework Log'!$G$3:$G$499&lt;&gt;"Did not pass re-test"))*'Rework Log'!$I$3:$I$499))&gt;0),"Move old PBI Dev completion date to Rework Log (col H)",IF(AND($AJ61="Yes – needs QA to fix",Y61&lt;&gt;"",SUMPRODUCT(MAX((('Rework Log'!$A$3:$A$499=$B61)*('Rework Log'!$G$3:$G$499&lt;&gt;"Yes")*('Rework Log'!$G$3:$G$499&lt;&gt;"Did not pass re-test"))*'Rework Log'!$I$3:$I$499))&gt;0),"Move old QA completion date to Rework Log (col H)",IF(COUNTIF($B$2:$B$527,$B61)&gt;1,"Duplicate name - check row",IF(COUNTIF('Rework Log'!$A$3:$A$499,$B61)&gt;0,"",IF(AND(V61&lt;&gt;"",K61&lt;&gt;"",V61&lt;K61),"QA target is before DB Dev target",IF(AND(V61&lt;&gt;"",Q61&lt;&gt;"",V61&lt;Q61),"QA target is before PBI Dev target",IF(AND(AA61&lt;&gt;"",V61&lt;&gt;"",AA61&lt;V61),"DPO Approval target is before QA target",IF(AND(AG61&lt;&gt;"",AA61&lt;&gt;"",AG61&lt;AA61),"Confirmed Deployed date is before DPO Approval target",""))))))))))))</f>
        <v/>
      </c>
      <c r="AL61" s="41"/>
      <c r="AM61" s="32" t="str" cm="1">
        <f t="array" ref="AM61">_xlfn.LET(_xlpm.rep,$B61,_xlpm.sent,_xlfn.MAXIFS('Rework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1" s="32" t="str" cm="1">
        <f t="array" ref="AN61">_xlfn.LET(_xlpm.rep,$B61,_xlpm.sent,_xlfn.MAXIFS('Rework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2" spans="1:40" ht="14.45">
      <c r="A62" s="33" t="s">
        <v>127</v>
      </c>
      <c r="B62" s="33" t="s">
        <v>213</v>
      </c>
      <c r="C62" s="33" t="s">
        <v>206</v>
      </c>
      <c r="D62" t="str" cm="1">
        <f t="array" aca="1" ref="D62" ca="1">IF($B62="","",IF(LEFT($AJ62,3)="Yes","Blocked - "&amp;MID($AJ62,7,100)&amp;IF(SUMPRODUCT(('Rework Log'!$A$3:$A$499=$B62)*('Rework Log'!$G$3:$G$499&lt;&gt;"Yes")*('Rework Log'!$G$3:$G$499&lt;&gt;"Did not pass re-test"))=0,"",IF(SUMPRODUCT(MAX((('Rework Log'!$A$3:$A$499=$B62)*('Rework Log'!$G$3:$G$499&lt;&gt;"Yes")*('Rework Log'!$G$3:$G$499&lt;&gt;"Did not pass re-test"))*'Rework Log'!$I$3:$I$499))=0," - unclaimed"," - promised "&amp;TEXT(SUMPRODUCT(MAX((('Rework Log'!$A$3:$A$499=$B62)*('Rework Log'!$G$3:$G$499&lt;&gt;"Yes")*('Rework Log'!$G$3:$G$499&lt;&gt;"Did not pass re-test"))*'Rework Log'!$I$3:$I$499)),"m/d"))),IF(C62="NOT STARTED",IF(H62="","No plan date set",IF(H62&lt;TODAY(),"Review - planned start passed","On track")),IF(C62="DB Dev",IF(AND(L62="",K62=""),"No target set",IF(AND(IF(L62&lt;&gt;"",L62,K62)&lt;TODAY(),M62=""),"Overdue","On track")),IF(C62="PBI Dev",IF(AND(R62="",Q62=""),"No target set",IF(AND(IF(R62&lt;&gt;"",R62,Q62)&lt;TODAY(),S62=""),"Overdue","On track")),IF(C62="QA",_xlfn.LET(_xlpm.tgt,IF(AM62&lt;&gt;"",AM62,IF(W62&lt;&gt;"",W62,V62)),_xlpm.sent,_xlfn.MAXIFS('Rework Log'!$B$3:$B$499,'Rework Log'!$A$3:$A$499,$B62,'Rework Log'!$C$3:$C$499,"QA"),_xlpm.act,IF(AND(Y62&lt;&gt;"",Y62&gt;_xlpm.sent),Y62,""),IF(_xlpm.tgt="","No target set",IF(AND(_xlpm.tgt&lt;TODAY(),_xlpm.act=""),"Overdue","On track"))),IF(C62="DPO Approval",_xlfn.LET(_xlpm.tgt,IF(AN62&lt;&gt;"",AN62,IF(AB62&lt;&gt;"",AB62,AA62)),_xlpm.sent,_xlfn.MAXIFS('Rework Log'!$B$3:$B$499,'Rework Log'!$A$3:$A$499,$B62,'Rework Log'!$C$3:$C$499,"DPO*"),_xlpm.act,IF(AND(AC62&lt;&gt;"",AC62&gt;_xlpm.sent),AC62,""),IF(_xlpm.tgt="","No target set",IF(AND(_xlpm.tgt&lt;TODAY(),_xlpm.act=""),"Overdue","On track"))),IF(C62="RELEASED IN PROD","Delivered",""))))))))</f>
        <v>On track</v>
      </c>
      <c r="E62" s="33">
        <v>38</v>
      </c>
      <c r="F62" s="34" t="s">
        <v>147</v>
      </c>
      <c r="G62" s="33"/>
      <c r="H62" s="50">
        <v>46295</v>
      </c>
      <c r="I62" s="55" t="s">
        <v>198</v>
      </c>
      <c r="J62" s="33" t="s">
        <v>84</v>
      </c>
      <c r="K62" s="4">
        <v>46262</v>
      </c>
      <c r="L62" s="36">
        <v>46260</v>
      </c>
      <c r="M62" s="36">
        <v>46259</v>
      </c>
      <c r="N62" s="36"/>
      <c r="O62" s="36" t="s">
        <v>199</v>
      </c>
      <c r="P62" s="63" t="s">
        <v>77</v>
      </c>
      <c r="Q62" s="4">
        <v>46269</v>
      </c>
      <c r="R62" s="36"/>
      <c r="S62" s="36"/>
      <c r="T62" s="69" t="s">
        <v>200</v>
      </c>
      <c r="U62" s="33"/>
      <c r="V62" s="59">
        <v>46276</v>
      </c>
      <c r="W62" s="36"/>
      <c r="X62" s="36"/>
      <c r="Y62" s="36"/>
      <c r="Z62" s="36"/>
      <c r="AA62" s="52">
        <v>46290</v>
      </c>
      <c r="AB62" s="36"/>
      <c r="AC62" s="36"/>
      <c r="AD62" s="33" t="s">
        <v>214</v>
      </c>
      <c r="AE62" s="33" t="s">
        <v>72</v>
      </c>
      <c r="AF62" s="38"/>
      <c r="AG62" s="36"/>
      <c r="AH62" s="39"/>
      <c r="AI62" s="33"/>
      <c r="AJ62" s="40" t="s">
        <v>53</v>
      </c>
      <c r="AK62" s="73" t="str">
        <f>IF($B62="","",IF(AND(LEFT($AJ62,3)="Yes",SUMPRODUCT(('Rework Log'!$A$3:$A$499=$B62)*('Rework Log'!$G$3:$G$499&lt;&gt;"Yes")*('Rework Log'!$G$3:$G$499&lt;&gt;"Did not pass re-test"))=0),"Blocked - log it on Rework Log",IF(AND(LEFT($AJ62,3)&lt;&gt;"Yes",SUMPRODUCT(('Rework Log'!$A$3:$A$499=$B62)*('Rework Log'!$G$3:$G$499&lt;&gt;"Yes")*('Rework Log'!$G$3:$G$499&lt;&gt;"Did not pass re-test"))&gt;0),"Open rework row - mark Blocked? or close it",IF(AND($AJ62="Yes – needs DB Dev to fix",M62&lt;&gt;"",SUMPRODUCT(MAX((('Rework Log'!$A$3:$A$499=$B62)*('Rework Log'!$G$3:$G$499&lt;&gt;"Yes")*('Rework Log'!$G$3:$G$499&lt;&gt;"Did not pass re-test"))*'Rework Log'!$I$3:$I$499))&gt;0),"Move old DB Dev completion date to Rework Log (col H)",IF(AND($AJ62="Yes – needs PBI Dev to fix",S62&lt;&gt;"",SUMPRODUCT(MAX((('Rework Log'!$A$3:$A$499=$B62)*('Rework Log'!$G$3:$G$499&lt;&gt;"Yes")*('Rework Log'!$G$3:$G$499&lt;&gt;"Did not pass re-test"))*'Rework Log'!$I$3:$I$499))&gt;0),"Move old PBI Dev completion date to Rework Log (col H)",IF(AND($AJ62="Yes – needs QA to fix",Y62&lt;&gt;"",SUMPRODUCT(MAX((('Rework Log'!$A$3:$A$499=$B62)*('Rework Log'!$G$3:$G$499&lt;&gt;"Yes")*('Rework Log'!$G$3:$G$499&lt;&gt;"Did not pass re-test"))*'Rework Log'!$I$3:$I$499))&gt;0),"Move old QA completion date to Rework Log (col H)",IF(COUNTIF($B$2:$B$527,$B62)&gt;1,"Duplicate name - check row",IF(COUNTIF('Rework Log'!$A$3:$A$499,$B62)&gt;0,"",IF(AND(V62&lt;&gt;"",K62&lt;&gt;"",V62&lt;K62),"QA target is before DB Dev target",IF(AND(V62&lt;&gt;"",Q62&lt;&gt;"",V62&lt;Q62),"QA target is before PBI Dev target",IF(AND(AA62&lt;&gt;"",V62&lt;&gt;"",AA62&lt;V62),"DPO Approval target is before QA target",IF(AND(AG62&lt;&gt;"",AA62&lt;&gt;"",AG62&lt;AA62),"Confirmed Deployed date is before DPO Approval target",""))))))))))))</f>
        <v/>
      </c>
      <c r="AL62" s="41"/>
      <c r="AM62" s="32" t="str" cm="1">
        <f t="array" ref="AM62">_xlfn.LET(_xlpm.rep,$B62,_xlpm.sent,_xlfn.MAXIFS('Rework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2" s="32" t="str" cm="1">
        <f t="array" ref="AN62">_xlfn.LET(_xlpm.rep,$B62,_xlpm.sent,_xlfn.MAXIFS('Rework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3" spans="1:40" ht="14.45">
      <c r="A63" s="33" t="s">
        <v>127</v>
      </c>
      <c r="B63" s="33" t="s">
        <v>215</v>
      </c>
      <c r="C63" s="33" t="s">
        <v>206</v>
      </c>
      <c r="D63" t="str" cm="1">
        <f t="array" aca="1" ref="D63" ca="1">IF($B63="","",IF(LEFT($AJ63,3)="Yes","Blocked - "&amp;MID($AJ63,7,100)&amp;IF(SUMPRODUCT(('Rework Log'!$A$3:$A$499=$B63)*('Rework Log'!$G$3:$G$499&lt;&gt;"Yes")*('Rework Log'!$G$3:$G$499&lt;&gt;"Did not pass re-test"))=0,"",IF(SUMPRODUCT(MAX((('Rework Log'!$A$3:$A$499=$B63)*('Rework Log'!$G$3:$G$499&lt;&gt;"Yes")*('Rework Log'!$G$3:$G$499&lt;&gt;"Did not pass re-test"))*'Rework Log'!$I$3:$I$499))=0," - unclaimed"," - promised "&amp;TEXT(SUMPRODUCT(MAX((('Rework Log'!$A$3:$A$499=$B63)*('Rework Log'!$G$3:$G$499&lt;&gt;"Yes")*('Rework Log'!$G$3:$G$499&lt;&gt;"Did not pass re-test"))*'Rework Log'!$I$3:$I$499)),"m/d"))),IF(C63="NOT STARTED",IF(H63="","No plan date set",IF(H63&lt;TODAY(),"Review - planned start passed","On track")),IF(C63="DB Dev",IF(AND(L63="",K63=""),"No target set",IF(AND(IF(L63&lt;&gt;"",L63,K63)&lt;TODAY(),M63=""),"Overdue","On track")),IF(C63="PBI Dev",IF(AND(R63="",Q63=""),"No target set",IF(AND(IF(R63&lt;&gt;"",R63,Q63)&lt;TODAY(),S63=""),"Overdue","On track")),IF(C63="QA",_xlfn.LET(_xlpm.tgt,IF(AM63&lt;&gt;"",AM63,IF(W63&lt;&gt;"",W63,V63)),_xlpm.sent,_xlfn.MAXIFS('Rework Log'!$B$3:$B$499,'Rework Log'!$A$3:$A$499,$B63,'Rework Log'!$C$3:$C$499,"QA"),_xlpm.act,IF(AND(Y63&lt;&gt;"",Y63&gt;_xlpm.sent),Y63,""),IF(_xlpm.tgt="","No target set",IF(AND(_xlpm.tgt&lt;TODAY(),_xlpm.act=""),"Overdue","On track"))),IF(C63="DPO Approval",_xlfn.LET(_xlpm.tgt,IF(AN63&lt;&gt;"",AN63,IF(AB63&lt;&gt;"",AB63,AA63)),_xlpm.sent,_xlfn.MAXIFS('Rework Log'!$B$3:$B$499,'Rework Log'!$A$3:$A$499,$B63,'Rework Log'!$C$3:$C$499,"DPO*"),_xlpm.act,IF(AND(AC63&lt;&gt;"",AC63&gt;_xlpm.sent),AC63,""),IF(_xlpm.tgt="","No target set",IF(AND(_xlpm.tgt&lt;TODAY(),_xlpm.act=""),"Overdue","On track"))),IF(C63="RELEASED IN PROD","Delivered",""))))))))</f>
        <v>On track</v>
      </c>
      <c r="E63" s="33">
        <v>39</v>
      </c>
      <c r="F63" s="34" t="s">
        <v>147</v>
      </c>
      <c r="G63" s="33"/>
      <c r="H63" s="50">
        <v>46295</v>
      </c>
      <c r="I63" s="55" t="s">
        <v>198</v>
      </c>
      <c r="J63" s="33" t="s">
        <v>84</v>
      </c>
      <c r="K63" s="4">
        <v>46276</v>
      </c>
      <c r="L63" s="36">
        <v>46276</v>
      </c>
      <c r="M63" s="36">
        <v>46266</v>
      </c>
      <c r="N63" s="36"/>
      <c r="O63" s="36" t="s">
        <v>199</v>
      </c>
      <c r="P63" s="63" t="s">
        <v>46</v>
      </c>
      <c r="Q63" s="4">
        <v>46286</v>
      </c>
      <c r="R63" s="36"/>
      <c r="S63" s="36"/>
      <c r="T63" s="69" t="s">
        <v>200</v>
      </c>
      <c r="U63" s="33"/>
      <c r="V63" s="59">
        <v>46290</v>
      </c>
      <c r="W63" s="36"/>
      <c r="X63" s="36"/>
      <c r="Y63" s="36"/>
      <c r="Z63" s="36"/>
      <c r="AA63" s="52">
        <v>46295</v>
      </c>
      <c r="AB63" s="36"/>
      <c r="AC63" s="36"/>
      <c r="AD63" s="33" t="s">
        <v>216</v>
      </c>
      <c r="AE63" s="33" t="s">
        <v>72</v>
      </c>
      <c r="AF63" s="38"/>
      <c r="AG63" s="36"/>
      <c r="AH63" s="39"/>
      <c r="AI63" s="33"/>
      <c r="AJ63" s="40" t="s">
        <v>53</v>
      </c>
      <c r="AK63" s="73" t="str">
        <f>IF($B63="","",IF(AND(LEFT($AJ63,3)="Yes",SUMPRODUCT(('Rework Log'!$A$3:$A$499=$B63)*('Rework Log'!$G$3:$G$499&lt;&gt;"Yes")*('Rework Log'!$G$3:$G$499&lt;&gt;"Did not pass re-test"))=0),"Blocked - log it on Rework Log",IF(AND(LEFT($AJ63,3)&lt;&gt;"Yes",SUMPRODUCT(('Rework Log'!$A$3:$A$499=$B63)*('Rework Log'!$G$3:$G$499&lt;&gt;"Yes")*('Rework Log'!$G$3:$G$499&lt;&gt;"Did not pass re-test"))&gt;0),"Open rework row - mark Blocked? or close it",IF(AND($AJ63="Yes – needs DB Dev to fix",M63&lt;&gt;"",SUMPRODUCT(MAX((('Rework Log'!$A$3:$A$499=$B63)*('Rework Log'!$G$3:$G$499&lt;&gt;"Yes")*('Rework Log'!$G$3:$G$499&lt;&gt;"Did not pass re-test"))*'Rework Log'!$I$3:$I$499))&gt;0),"Move old DB Dev completion date to Rework Log (col H)",IF(AND($AJ63="Yes – needs PBI Dev to fix",S63&lt;&gt;"",SUMPRODUCT(MAX((('Rework Log'!$A$3:$A$499=$B63)*('Rework Log'!$G$3:$G$499&lt;&gt;"Yes")*('Rework Log'!$G$3:$G$499&lt;&gt;"Did not pass re-test"))*'Rework Log'!$I$3:$I$499))&gt;0),"Move old PBI Dev completion date to Rework Log (col H)",IF(AND($AJ63="Yes – needs QA to fix",Y63&lt;&gt;"",SUMPRODUCT(MAX((('Rework Log'!$A$3:$A$499=$B63)*('Rework Log'!$G$3:$G$499&lt;&gt;"Yes")*('Rework Log'!$G$3:$G$499&lt;&gt;"Did not pass re-test"))*'Rework Log'!$I$3:$I$499))&gt;0),"Move old QA completion date to Rework Log (col H)",IF(COUNTIF($B$2:$B$527,$B63)&gt;1,"Duplicate name - check row",IF(COUNTIF('Rework Log'!$A$3:$A$499,$B63)&gt;0,"",IF(AND(V63&lt;&gt;"",K63&lt;&gt;"",V63&lt;K63),"QA target is before DB Dev target",IF(AND(V63&lt;&gt;"",Q63&lt;&gt;"",V63&lt;Q63),"QA target is before PBI Dev target",IF(AND(AA63&lt;&gt;"",V63&lt;&gt;"",AA63&lt;V63),"DPO Approval target is before QA target",IF(AND(AG63&lt;&gt;"",AA63&lt;&gt;"",AG63&lt;AA63),"Confirmed Deployed date is before DPO Approval target",""))))))))))))</f>
        <v/>
      </c>
      <c r="AL63" s="41"/>
      <c r="AM63" s="32" t="str" cm="1">
        <f t="array" ref="AM63">_xlfn.LET(_xlpm.rep,$B63,_xlpm.sent,_xlfn.MAXIFS('Rework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3" s="32" t="str" cm="1">
        <f t="array" ref="AN63">_xlfn.LET(_xlpm.rep,$B63,_xlpm.sent,_xlfn.MAXIFS('Rework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4" spans="1:40" ht="14.45">
      <c r="A64" s="33" t="s">
        <v>127</v>
      </c>
      <c r="B64" s="33" t="s">
        <v>217</v>
      </c>
      <c r="C64" s="33" t="s">
        <v>206</v>
      </c>
      <c r="D64" t="str" cm="1">
        <f t="array" aca="1" ref="D64" ca="1">IF($B64="","",IF(LEFT($AJ64,3)="Yes","Blocked - "&amp;MID($AJ64,7,100)&amp;IF(SUMPRODUCT(('Rework Log'!$A$3:$A$499=$B64)*('Rework Log'!$G$3:$G$499&lt;&gt;"Yes")*('Rework Log'!$G$3:$G$499&lt;&gt;"Did not pass re-test"))=0,"",IF(SUMPRODUCT(MAX((('Rework Log'!$A$3:$A$499=$B64)*('Rework Log'!$G$3:$G$499&lt;&gt;"Yes")*('Rework Log'!$G$3:$G$499&lt;&gt;"Did not pass re-test"))*'Rework Log'!$I$3:$I$499))=0," - unclaimed"," - promised "&amp;TEXT(SUMPRODUCT(MAX((('Rework Log'!$A$3:$A$499=$B64)*('Rework Log'!$G$3:$G$499&lt;&gt;"Yes")*('Rework Log'!$G$3:$G$499&lt;&gt;"Did not pass re-test"))*'Rework Log'!$I$3:$I$499)),"m/d"))),IF(C64="NOT STARTED",IF(H64="","No plan date set",IF(H64&lt;TODAY(),"Review - planned start passed","On track")),IF(C64="DB Dev",IF(AND(L64="",K64=""),"No target set",IF(AND(IF(L64&lt;&gt;"",L64,K64)&lt;TODAY(),M64=""),"Overdue","On track")),IF(C64="PBI Dev",IF(AND(R64="",Q64=""),"No target set",IF(AND(IF(R64&lt;&gt;"",R64,Q64)&lt;TODAY(),S64=""),"Overdue","On track")),IF(C64="QA",_xlfn.LET(_xlpm.tgt,IF(AM64&lt;&gt;"",AM64,IF(W64&lt;&gt;"",W64,V64)),_xlpm.sent,_xlfn.MAXIFS('Rework Log'!$B$3:$B$499,'Rework Log'!$A$3:$A$499,$B64,'Rework Log'!$C$3:$C$499,"QA"),_xlpm.act,IF(AND(Y64&lt;&gt;"",Y64&gt;_xlpm.sent),Y64,""),IF(_xlpm.tgt="","No target set",IF(AND(_xlpm.tgt&lt;TODAY(),_xlpm.act=""),"Overdue","On track"))),IF(C64="DPO Approval",_xlfn.LET(_xlpm.tgt,IF(AN64&lt;&gt;"",AN64,IF(AB64&lt;&gt;"",AB64,AA64)),_xlpm.sent,_xlfn.MAXIFS('Rework Log'!$B$3:$B$499,'Rework Log'!$A$3:$A$499,$B64,'Rework Log'!$C$3:$C$499,"DPO*"),_xlpm.act,IF(AND(AC64&lt;&gt;"",AC64&gt;_xlpm.sent),AC64,""),IF(_xlpm.tgt="","No target set",IF(AND(_xlpm.tgt&lt;TODAY(),_xlpm.act=""),"Overdue","On track"))),IF(C64="RELEASED IN PROD","Delivered",""))))))))</f>
        <v>On track</v>
      </c>
      <c r="E64" s="33">
        <v>40</v>
      </c>
      <c r="F64" s="34" t="s">
        <v>130</v>
      </c>
      <c r="G64" s="33"/>
      <c r="H64" s="50">
        <v>46295</v>
      </c>
      <c r="I64" s="55" t="s">
        <v>198</v>
      </c>
      <c r="J64" s="33" t="s">
        <v>103</v>
      </c>
      <c r="K64" s="4">
        <v>46276</v>
      </c>
      <c r="L64" s="36">
        <v>46265</v>
      </c>
      <c r="M64" s="36">
        <v>46266</v>
      </c>
      <c r="N64" s="36"/>
      <c r="O64" s="36" t="s">
        <v>199</v>
      </c>
      <c r="P64" s="63" t="s">
        <v>60</v>
      </c>
      <c r="Q64" s="4">
        <v>46286</v>
      </c>
      <c r="R64" s="36"/>
      <c r="S64" s="36"/>
      <c r="T64" s="69" t="s">
        <v>200</v>
      </c>
      <c r="U64" s="33"/>
      <c r="V64" s="59">
        <v>46290</v>
      </c>
      <c r="W64" s="36"/>
      <c r="X64" s="36"/>
      <c r="Y64" s="36"/>
      <c r="Z64" s="36"/>
      <c r="AA64" s="52">
        <v>46295</v>
      </c>
      <c r="AB64" s="36"/>
      <c r="AC64" s="36"/>
      <c r="AD64" s="33" t="s">
        <v>218</v>
      </c>
      <c r="AE64" s="33" t="s">
        <v>72</v>
      </c>
      <c r="AF64" s="38"/>
      <c r="AG64" s="36"/>
      <c r="AH64" s="39"/>
      <c r="AI64" s="33"/>
      <c r="AJ64" s="40" t="s">
        <v>53</v>
      </c>
      <c r="AK64" s="73" t="str">
        <f>IF($B64="","",IF(AND(LEFT($AJ64,3)="Yes",SUMPRODUCT(('Rework Log'!$A$3:$A$499=$B64)*('Rework Log'!$G$3:$G$499&lt;&gt;"Yes")*('Rework Log'!$G$3:$G$499&lt;&gt;"Did not pass re-test"))=0),"Blocked - log it on Rework Log",IF(AND(LEFT($AJ64,3)&lt;&gt;"Yes",SUMPRODUCT(('Rework Log'!$A$3:$A$499=$B64)*('Rework Log'!$G$3:$G$499&lt;&gt;"Yes")*('Rework Log'!$G$3:$G$499&lt;&gt;"Did not pass re-test"))&gt;0),"Open rework row - mark Blocked? or close it",IF(AND($AJ64="Yes – needs DB Dev to fix",M64&lt;&gt;"",SUMPRODUCT(MAX((('Rework Log'!$A$3:$A$499=$B64)*('Rework Log'!$G$3:$G$499&lt;&gt;"Yes")*('Rework Log'!$G$3:$G$499&lt;&gt;"Did not pass re-test"))*'Rework Log'!$I$3:$I$499))&gt;0),"Move old DB Dev completion date to Rework Log (col H)",IF(AND($AJ64="Yes – needs PBI Dev to fix",S64&lt;&gt;"",SUMPRODUCT(MAX((('Rework Log'!$A$3:$A$499=$B64)*('Rework Log'!$G$3:$G$499&lt;&gt;"Yes")*('Rework Log'!$G$3:$G$499&lt;&gt;"Did not pass re-test"))*'Rework Log'!$I$3:$I$499))&gt;0),"Move old PBI Dev completion date to Rework Log (col H)",IF(AND($AJ64="Yes – needs QA to fix",Y64&lt;&gt;"",SUMPRODUCT(MAX((('Rework Log'!$A$3:$A$499=$B64)*('Rework Log'!$G$3:$G$499&lt;&gt;"Yes")*('Rework Log'!$G$3:$G$499&lt;&gt;"Did not pass re-test"))*'Rework Log'!$I$3:$I$499))&gt;0),"Move old QA completion date to Rework Log (col H)",IF(COUNTIF($B$2:$B$527,$B64)&gt;1,"Duplicate name - check row",IF(COUNTIF('Rework Log'!$A$3:$A$499,$B64)&gt;0,"",IF(AND(V64&lt;&gt;"",K64&lt;&gt;"",V64&lt;K64),"QA target is before DB Dev target",IF(AND(V64&lt;&gt;"",Q64&lt;&gt;"",V64&lt;Q64),"QA target is before PBI Dev target",IF(AND(AA64&lt;&gt;"",V64&lt;&gt;"",AA64&lt;V64),"DPO Approval target is before QA target",IF(AND(AG64&lt;&gt;"",AA64&lt;&gt;"",AG64&lt;AA64),"Confirmed Deployed date is before DPO Approval target",""))))))))))))</f>
        <v/>
      </c>
      <c r="AL64" s="41"/>
      <c r="AM64" s="32" t="str" cm="1">
        <f t="array" ref="AM64">_xlfn.LET(_xlpm.rep,$B64,_xlpm.sent,_xlfn.MAXIFS('Rework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4" s="32" t="str" cm="1">
        <f t="array" ref="AN64">_xlfn.LET(_xlpm.rep,$B64,_xlpm.sent,_xlfn.MAXIFS('Rework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5" spans="1:40" ht="14.45">
      <c r="A65" s="33" t="s">
        <v>127</v>
      </c>
      <c r="B65" s="33" t="s">
        <v>219</v>
      </c>
      <c r="C65" s="33" t="s">
        <v>154</v>
      </c>
      <c r="D65" t="str" cm="1">
        <f t="array" aca="1" ref="D65" ca="1">IF($B65="","",IF(LEFT($AJ65,3)="Yes","Blocked - "&amp;MID($AJ65,7,100)&amp;IF(SUMPRODUCT(('Rework Log'!$A$3:$A$499=$B65)*('Rework Log'!$G$3:$G$499&lt;&gt;"Yes")*('Rework Log'!$G$3:$G$499&lt;&gt;"Did not pass re-test"))=0,"",IF(SUMPRODUCT(MAX((('Rework Log'!$A$3:$A$499=$B65)*('Rework Log'!$G$3:$G$499&lt;&gt;"Yes")*('Rework Log'!$G$3:$G$499&lt;&gt;"Did not pass re-test"))*'Rework Log'!$I$3:$I$499))=0," - unclaimed"," - promised "&amp;TEXT(SUMPRODUCT(MAX((('Rework Log'!$A$3:$A$499=$B65)*('Rework Log'!$G$3:$G$499&lt;&gt;"Yes")*('Rework Log'!$G$3:$G$499&lt;&gt;"Did not pass re-test"))*'Rework Log'!$I$3:$I$499)),"m/d"))),IF(C65="NOT STARTED",IF(H65="","No plan date set",IF(H65&lt;TODAY(),"Review - planned start passed","On track")),IF(C65="DB Dev",IF(AND(L65="",K65=""),"No target set",IF(AND(IF(L65&lt;&gt;"",L65,K65)&lt;TODAY(),M65=""),"Overdue","On track")),IF(C65="PBI Dev",IF(AND(#REF!="",Q65=""),"No target set",IF(AND(IF(#REF!&lt;&gt;"",#REF!,Q65)&lt;TODAY(),R58=""),"Overdue","On track")),IF(C65="QA",_xlfn.LET(_xlpm.tgt,IF(AM65&lt;&gt;"",AM65,IF(W65&lt;&gt;"",W65,V65)),_xlpm.sent,_xlfn.MAXIFS('Rework Log'!$B$3:$B$499,'Rework Log'!$A$3:$A$499,$B65,'Rework Log'!$C$3:$C$499,"QA"),_xlpm.act,IF(AND(Y65&lt;&gt;"",Y65&gt;_xlpm.sent),Y65,""),IF(_xlpm.tgt="","No target set",IF(AND(_xlpm.tgt&lt;TODAY(),_xlpm.act=""),"Overdue","On track"))),IF(C65="DPO Approval",_xlfn.LET(_xlpm.tgt,IF(AN65&lt;&gt;"",AN65,IF(AB65&lt;&gt;"",AB65,AA65)),_xlpm.sent,_xlfn.MAXIFS('Rework Log'!$B$3:$B$499,'Rework Log'!$A$3:$A$499,$B65,'Rework Log'!$C$3:$C$499,"DPO*"),_xlpm.act,IF(AND(AC65&lt;&gt;"",AC65&gt;_xlpm.sent),AC65,""),IF(_xlpm.tgt="","No target set",IF(AND(_xlpm.tgt&lt;TODAY(),_xlpm.act=""),"Overdue","On track"))),IF(C65="RELEASED IN PROD","Delivered",""))))))))</f>
        <v>On track</v>
      </c>
      <c r="E65" s="33">
        <v>41</v>
      </c>
      <c r="F65" s="34" t="s">
        <v>130</v>
      </c>
      <c r="G65" s="33"/>
      <c r="H65" s="50">
        <v>46295</v>
      </c>
      <c r="I65" s="55" t="s">
        <v>198</v>
      </c>
      <c r="J65" s="33" t="s">
        <v>160</v>
      </c>
      <c r="K65" s="4">
        <v>46276</v>
      </c>
      <c r="L65" s="4">
        <v>46262</v>
      </c>
      <c r="M65" s="36">
        <v>46265</v>
      </c>
      <c r="N65" s="36"/>
      <c r="O65" s="36" t="s">
        <v>199</v>
      </c>
      <c r="P65" s="63" t="s">
        <v>77</v>
      </c>
      <c r="Q65" s="4">
        <v>46286</v>
      </c>
      <c r="R65" s="43"/>
      <c r="S65" s="31"/>
      <c r="T65" s="69" t="s">
        <v>200</v>
      </c>
      <c r="U65" s="33"/>
      <c r="V65" s="59">
        <v>46290</v>
      </c>
      <c r="W65" s="36"/>
      <c r="X65" s="36"/>
      <c r="Y65" s="36"/>
      <c r="Z65" s="36"/>
      <c r="AA65" s="52">
        <v>46295</v>
      </c>
      <c r="AB65" s="36"/>
      <c r="AC65" s="36"/>
      <c r="AD65" s="33" t="s">
        <v>133</v>
      </c>
      <c r="AE65" s="33" t="s">
        <v>49</v>
      </c>
      <c r="AF65" s="38"/>
      <c r="AG65" s="36"/>
      <c r="AH65" s="39"/>
      <c r="AI65" s="33"/>
      <c r="AJ65" s="40" t="s">
        <v>53</v>
      </c>
      <c r="AK65" s="73" t="str">
        <f>IF($B65="","",IF(AND(LEFT($AJ65,3)="Yes",SUMPRODUCT(('Rework Log'!$A$3:$A$499=$B65)*('Rework Log'!$G$3:$G$499&lt;&gt;"Yes")*('Rework Log'!$G$3:$G$499&lt;&gt;"Did not pass re-test"))=0),"Blocked - log it on Rework Log",IF(AND(LEFT($AJ65,3)&lt;&gt;"Yes",SUMPRODUCT(('Rework Log'!$A$3:$A$499=$B65)*('Rework Log'!$G$3:$G$499&lt;&gt;"Yes")*('Rework Log'!$G$3:$G$499&lt;&gt;"Did not pass re-test"))&gt;0),"Open rework row - mark Blocked? or close it",IF(AND($AJ65="Yes – needs DB Dev to fix",M65&lt;&gt;"",SUMPRODUCT(MAX((('Rework Log'!$A$3:$A$499=$B65)*('Rework Log'!$G$3:$G$499&lt;&gt;"Yes")*('Rework Log'!$G$3:$G$499&lt;&gt;"Did not pass re-test"))*'Rework Log'!$I$3:$I$499))&gt;0),"Move old DB Dev completion date to Rework Log (col H)",IF(AND($AJ65="Yes – needs PBI Dev to fix",R58&lt;&gt;"",SUMPRODUCT(MAX((('Rework Log'!$A$3:$A$499=$B65)*('Rework Log'!$G$3:$G$499&lt;&gt;"Yes")*('Rework Log'!$G$3:$G$499&lt;&gt;"Did not pass re-test"))*'Rework Log'!$I$3:$I$499))&gt;0),"Move old PBI Dev completion date to Rework Log (col H)",IF(AND($AJ65="Yes – needs QA to fix",Y65&lt;&gt;"",SUMPRODUCT(MAX((('Rework Log'!$A$3:$A$499=$B65)*('Rework Log'!$G$3:$G$499&lt;&gt;"Yes")*('Rework Log'!$G$3:$G$499&lt;&gt;"Did not pass re-test"))*'Rework Log'!$I$3:$I$499))&gt;0),"Move old QA completion date to Rework Log (col H)",IF(COUNTIF($B$2:$B$527,$B65)&gt;1,"Duplicate name - check row",IF(COUNTIF('Rework Log'!$A$3:$A$499,$B65)&gt;0,"",IF(AND(V65&lt;&gt;"",K65&lt;&gt;"",V65&lt;K65),"QA target is before DB Dev target",IF(AND(V65&lt;&gt;"",Q65&lt;&gt;"",V65&lt;Q65),"QA target is before PBI Dev target",IF(AND(AA65&lt;&gt;"",V65&lt;&gt;"",AA65&lt;V65),"DPO Approval target is before QA target",IF(AND(AG65&lt;&gt;"",AA65&lt;&gt;"",AG65&lt;AA65),"Confirmed Deployed date is before DPO Approval target",""))))))))))))</f>
        <v/>
      </c>
      <c r="AL65" s="41"/>
      <c r="AM65" s="32" t="str" cm="1">
        <f t="array" ref="AM65">_xlfn.LET(_xlpm.rep,$B65,_xlpm.sent,_xlfn.MAXIFS('Rework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5" s="32" t="str" cm="1">
        <f t="array" ref="AN65">_xlfn.LET(_xlpm.rep,$B65,_xlpm.sent,_xlfn.MAXIFS('Rework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6" spans="1:40" ht="14.45">
      <c r="A66" s="33" t="s">
        <v>127</v>
      </c>
      <c r="B66" s="33" t="s">
        <v>220</v>
      </c>
      <c r="C66" s="33" t="s">
        <v>206</v>
      </c>
      <c r="D66" t="str" cm="1">
        <f t="array" aca="1" ref="D66" ca="1">IF($B66="","",IF(LEFT($AJ66,3)="Yes","Blocked - "&amp;MID($AJ66,7,100)&amp;IF(SUMPRODUCT(('Rework Log'!$A$3:$A$499=$B66)*('Rework Log'!$G$3:$G$499&lt;&gt;"Yes")*('Rework Log'!$G$3:$G$499&lt;&gt;"Did not pass re-test"))=0,"",IF(SUMPRODUCT(MAX((('Rework Log'!$A$3:$A$499=$B66)*('Rework Log'!$G$3:$G$499&lt;&gt;"Yes")*('Rework Log'!$G$3:$G$499&lt;&gt;"Did not pass re-test"))*'Rework Log'!$I$3:$I$499))=0," - unclaimed"," - promised "&amp;TEXT(SUMPRODUCT(MAX((('Rework Log'!$A$3:$A$499=$B66)*('Rework Log'!$G$3:$G$499&lt;&gt;"Yes")*('Rework Log'!$G$3:$G$499&lt;&gt;"Did not pass re-test"))*'Rework Log'!$I$3:$I$499)),"m/d"))),IF(C66="NOT STARTED",IF(H66="","No plan date set",IF(H66&lt;TODAY(),"Review - planned start passed","On track")),IF(C66="DB Dev",IF(AND(L66="",K66=""),"No target set",IF(AND(IF(L66&lt;&gt;"",L66,K66)&lt;TODAY(),M66=""),"Overdue","On track")),IF(C66="PBI Dev",IF(AND(R66="",Q66=""),"No target set",IF(AND(IF(R66&lt;&gt;"",R66,Q66)&lt;TODAY(),S66=""),"Overdue","On track")),IF(C66="QA",_xlfn.LET(_xlpm.tgt,IF(AM66&lt;&gt;"",AM66,IF(W66&lt;&gt;"",W66,V66)),_xlpm.sent,_xlfn.MAXIFS('Rework Log'!$B$3:$B$499,'Rework Log'!$A$3:$A$499,$B66,'Rework Log'!$C$3:$C$499,"QA"),_xlpm.act,IF(AND(Y66&lt;&gt;"",Y66&gt;_xlpm.sent),Y66,""),IF(_xlpm.tgt="","No target set",IF(AND(_xlpm.tgt&lt;TODAY(),_xlpm.act=""),"Overdue","On track"))),IF(C66="DPO Approval",_xlfn.LET(_xlpm.tgt,IF(AN66&lt;&gt;"",AN66,IF(AB66&lt;&gt;"",AB66,AA66)),_xlpm.sent,_xlfn.MAXIFS('Rework Log'!$B$3:$B$499,'Rework Log'!$A$3:$A$499,$B66,'Rework Log'!$C$3:$C$499,"DPO*"),_xlpm.act,IF(AND(AC66&lt;&gt;"",AC66&gt;_xlpm.sent),AC66,""),IF(_xlpm.tgt="","No target set",IF(AND(_xlpm.tgt&lt;TODAY(),_xlpm.act=""),"Overdue","On track"))),IF(C66="RELEASED IN PROD","Delivered",""))))))))</f>
        <v>On track</v>
      </c>
      <c r="E66" s="33">
        <v>42</v>
      </c>
      <c r="F66" s="34" t="s">
        <v>130</v>
      </c>
      <c r="G66" s="33"/>
      <c r="H66" s="50">
        <v>46295</v>
      </c>
      <c r="I66" s="55" t="s">
        <v>198</v>
      </c>
      <c r="J66" s="33" t="s">
        <v>44</v>
      </c>
      <c r="K66" s="4">
        <v>46276</v>
      </c>
      <c r="L66" s="36"/>
      <c r="M66" s="36"/>
      <c r="N66" s="36"/>
      <c r="O66" s="36" t="s">
        <v>199</v>
      </c>
      <c r="P66" s="63" t="s">
        <v>46</v>
      </c>
      <c r="Q66" s="4">
        <v>46286</v>
      </c>
      <c r="R66" s="36">
        <v>46273</v>
      </c>
      <c r="S66" s="36"/>
      <c r="T66" s="69" t="s">
        <v>200</v>
      </c>
      <c r="U66" s="33"/>
      <c r="V66" s="59">
        <v>46290</v>
      </c>
      <c r="W66" s="36"/>
      <c r="X66" s="36"/>
      <c r="Y66" s="36"/>
      <c r="Z66" s="36"/>
      <c r="AA66" s="52">
        <v>46295</v>
      </c>
      <c r="AB66" s="36"/>
      <c r="AC66" s="36"/>
      <c r="AD66" s="33" t="s">
        <v>218</v>
      </c>
      <c r="AE66" s="33" t="s">
        <v>94</v>
      </c>
      <c r="AF66" s="38"/>
      <c r="AG66" s="36"/>
      <c r="AH66" s="39"/>
      <c r="AI66" s="33"/>
      <c r="AJ66" s="40" t="s">
        <v>53</v>
      </c>
      <c r="AK66" s="73" t="str">
        <f>IF($B66="","",IF(AND(LEFT($AJ66,3)="Yes",SUMPRODUCT(('Rework Log'!$A$3:$A$499=$B66)*('Rework Log'!$G$3:$G$499&lt;&gt;"Yes")*('Rework Log'!$G$3:$G$499&lt;&gt;"Did not pass re-test"))=0),"Blocked - log it on Rework Log",IF(AND(LEFT($AJ66,3)&lt;&gt;"Yes",SUMPRODUCT(('Rework Log'!$A$3:$A$499=$B66)*('Rework Log'!$G$3:$G$499&lt;&gt;"Yes")*('Rework Log'!$G$3:$G$499&lt;&gt;"Did not pass re-test"))&gt;0),"Open rework row - mark Blocked? or close it",IF(AND($AJ66="Yes – needs DB Dev to fix",M66&lt;&gt;"",SUMPRODUCT(MAX((('Rework Log'!$A$3:$A$499=$B66)*('Rework Log'!$G$3:$G$499&lt;&gt;"Yes")*('Rework Log'!$G$3:$G$499&lt;&gt;"Did not pass re-test"))*'Rework Log'!$I$3:$I$499))&gt;0),"Move old DB Dev completion date to Rework Log (col H)",IF(AND($AJ66="Yes – needs PBI Dev to fix",S66&lt;&gt;"",SUMPRODUCT(MAX((('Rework Log'!$A$3:$A$499=$B66)*('Rework Log'!$G$3:$G$499&lt;&gt;"Yes")*('Rework Log'!$G$3:$G$499&lt;&gt;"Did not pass re-test"))*'Rework Log'!$I$3:$I$499))&gt;0),"Move old PBI Dev completion date to Rework Log (col H)",IF(AND($AJ66="Yes – needs QA to fix",Y66&lt;&gt;"",SUMPRODUCT(MAX((('Rework Log'!$A$3:$A$499=$B66)*('Rework Log'!$G$3:$G$499&lt;&gt;"Yes")*('Rework Log'!$G$3:$G$499&lt;&gt;"Did not pass re-test"))*'Rework Log'!$I$3:$I$499))&gt;0),"Move old QA completion date to Rework Log (col H)",IF(COUNTIF($B$2:$B$527,$B66)&gt;1,"Duplicate name - check row",IF(COUNTIF('Rework Log'!$A$3:$A$499,$B66)&gt;0,"",IF(AND(V66&lt;&gt;"",K66&lt;&gt;"",V66&lt;K66),"QA target is before DB Dev target",IF(AND(V66&lt;&gt;"",Q66&lt;&gt;"",V66&lt;Q66),"QA target is before PBI Dev target",IF(AND(AA66&lt;&gt;"",V66&lt;&gt;"",AA66&lt;V66),"DPO Approval target is before QA target",IF(AND(AG66&lt;&gt;"",AA66&lt;&gt;"",AG66&lt;AA66),"Confirmed Deployed date is before DPO Approval target",""))))))))))))</f>
        <v/>
      </c>
      <c r="AL66" s="41"/>
      <c r="AM66" s="32" t="str" cm="1">
        <f t="array" ref="AM66">_xlfn.LET(_xlpm.rep,$B66,_xlpm.sent,_xlfn.MAXIFS('Rework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6" s="32" t="str" cm="1">
        <f t="array" ref="AN66">_xlfn.LET(_xlpm.rep,$B66,_xlpm.sent,_xlfn.MAXIFS('Rework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7" spans="1:40" ht="14.45">
      <c r="A67" s="33" t="s">
        <v>127</v>
      </c>
      <c r="B67" s="33" t="s">
        <v>221</v>
      </c>
      <c r="C67" s="33" t="s">
        <v>206</v>
      </c>
      <c r="D67" t="str" cm="1">
        <f t="array" aca="1" ref="D67" ca="1">IF($B67="","",IF(LEFT($AJ67,3)="Yes","Blocked - "&amp;MID($AJ67,7,100)&amp;IF(SUMPRODUCT(('Rework Log'!$A$3:$A$499=$B67)*('Rework Log'!$G$3:$G$499&lt;&gt;"Yes")*('Rework Log'!$G$3:$G$499&lt;&gt;"Did not pass re-test"))=0,"",IF(SUMPRODUCT(MAX((('Rework Log'!$A$3:$A$499=$B67)*('Rework Log'!$G$3:$G$499&lt;&gt;"Yes")*('Rework Log'!$G$3:$G$499&lt;&gt;"Did not pass re-test"))*'Rework Log'!$I$3:$I$499))=0," - unclaimed"," - promised "&amp;TEXT(SUMPRODUCT(MAX((('Rework Log'!$A$3:$A$499=$B67)*('Rework Log'!$G$3:$G$499&lt;&gt;"Yes")*('Rework Log'!$G$3:$G$499&lt;&gt;"Did not pass re-test"))*'Rework Log'!$I$3:$I$499)),"m/d"))),IF(C67="NOT STARTED",IF(H67="","No plan date set",IF(H67&lt;TODAY(),"Review - planned start passed","On track")),IF(C67="DB Dev",IF(AND(L67="",K67=""),"No target set",IF(AND(IF(L67&lt;&gt;"",L67,K67)&lt;TODAY(),M67=""),"Overdue","On track")),IF(C67="PBI Dev",IF(AND(R67="",Q67=""),"No target set",IF(AND(IF(R67&lt;&gt;"",R67,Q67)&lt;TODAY(),S67=""),"Overdue","On track")),IF(C67="QA",_xlfn.LET(_xlpm.tgt,IF(AM67&lt;&gt;"",AM67,IF(W67&lt;&gt;"",W67,V67)),_xlpm.sent,_xlfn.MAXIFS('Rework Log'!$B$3:$B$499,'Rework Log'!$A$3:$A$499,$B67,'Rework Log'!$C$3:$C$499,"QA"),_xlpm.act,IF(AND(Y67&lt;&gt;"",Y67&gt;_xlpm.sent),Y67,""),IF(_xlpm.tgt="","No target set",IF(AND(_xlpm.tgt&lt;TODAY(),_xlpm.act=""),"Overdue","On track"))),IF(C67="DPO Approval",_xlfn.LET(_xlpm.tgt,IF(AN67&lt;&gt;"",AN67,IF(AB67&lt;&gt;"",AB67,AA67)),_xlpm.sent,_xlfn.MAXIFS('Rework Log'!$B$3:$B$499,'Rework Log'!$A$3:$A$499,$B67,'Rework Log'!$C$3:$C$499,"DPO*"),_xlpm.act,IF(AND(AC67&lt;&gt;"",AC67&gt;_xlpm.sent),AC67,""),IF(_xlpm.tgt="","No target set",IF(AND(_xlpm.tgt&lt;TODAY(),_xlpm.act=""),"Overdue","On track"))),IF(C67="RELEASED IN PROD","Delivered",""))))))))</f>
        <v>On track</v>
      </c>
      <c r="E67" s="33">
        <v>43</v>
      </c>
      <c r="F67" s="34" t="s">
        <v>130</v>
      </c>
      <c r="G67" s="33"/>
      <c r="H67" s="50">
        <v>46295</v>
      </c>
      <c r="I67" s="55" t="s">
        <v>198</v>
      </c>
      <c r="J67" s="33" t="s">
        <v>44</v>
      </c>
      <c r="K67" s="4">
        <v>46276</v>
      </c>
      <c r="L67" s="36">
        <v>46254</v>
      </c>
      <c r="M67" s="36">
        <v>46254</v>
      </c>
      <c r="N67" s="36"/>
      <c r="O67" s="36" t="s">
        <v>199</v>
      </c>
      <c r="P67" s="63" t="s">
        <v>60</v>
      </c>
      <c r="Q67" s="4">
        <v>46286</v>
      </c>
      <c r="R67" s="36">
        <v>46254</v>
      </c>
      <c r="S67" s="36">
        <v>46254</v>
      </c>
      <c r="T67" s="69" t="s">
        <v>200</v>
      </c>
      <c r="U67" s="33"/>
      <c r="V67" s="59">
        <v>46290</v>
      </c>
      <c r="W67" s="36">
        <v>46259</v>
      </c>
      <c r="X67" s="36"/>
      <c r="Y67" s="36"/>
      <c r="Z67" s="36"/>
      <c r="AA67" s="52">
        <v>46295</v>
      </c>
      <c r="AB67" s="36">
        <v>46268</v>
      </c>
      <c r="AC67" s="36"/>
      <c r="AD67" s="33" t="s">
        <v>222</v>
      </c>
      <c r="AE67" s="33" t="s">
        <v>94</v>
      </c>
      <c r="AF67" s="38"/>
      <c r="AG67" s="36"/>
      <c r="AH67" s="39"/>
      <c r="AI67" s="33"/>
      <c r="AJ67" s="40" t="s">
        <v>53</v>
      </c>
      <c r="AK67" s="73" t="str">
        <f>IF($B67="","",IF(AND(LEFT($AJ67,3)="Yes",SUMPRODUCT(('Rework Log'!$A$3:$A$499=$B67)*('Rework Log'!$G$3:$G$499&lt;&gt;"Yes")*('Rework Log'!$G$3:$G$499&lt;&gt;"Did not pass re-test"))=0),"Blocked - log it on Rework Log",IF(AND(LEFT($AJ67,3)&lt;&gt;"Yes",SUMPRODUCT(('Rework Log'!$A$3:$A$499=$B67)*('Rework Log'!$G$3:$G$499&lt;&gt;"Yes")*('Rework Log'!$G$3:$G$499&lt;&gt;"Did not pass re-test"))&gt;0),"Open rework row - mark Blocked? or close it",IF(AND($AJ67="Yes – needs DB Dev to fix",M67&lt;&gt;"",SUMPRODUCT(MAX((('Rework Log'!$A$3:$A$499=$B67)*('Rework Log'!$G$3:$G$499&lt;&gt;"Yes")*('Rework Log'!$G$3:$G$499&lt;&gt;"Did not pass re-test"))*'Rework Log'!$I$3:$I$499))&gt;0),"Move old DB Dev completion date to Rework Log (col H)",IF(AND($AJ67="Yes – needs PBI Dev to fix",S67&lt;&gt;"",SUMPRODUCT(MAX((('Rework Log'!$A$3:$A$499=$B67)*('Rework Log'!$G$3:$G$499&lt;&gt;"Yes")*('Rework Log'!$G$3:$G$499&lt;&gt;"Did not pass re-test"))*'Rework Log'!$I$3:$I$499))&gt;0),"Move old PBI Dev completion date to Rework Log (col H)",IF(AND($AJ67="Yes – needs QA to fix",Y67&lt;&gt;"",SUMPRODUCT(MAX((('Rework Log'!$A$3:$A$499=$B67)*('Rework Log'!$G$3:$G$499&lt;&gt;"Yes")*('Rework Log'!$G$3:$G$499&lt;&gt;"Did not pass re-test"))*'Rework Log'!$I$3:$I$499))&gt;0),"Move old QA completion date to Rework Log (col H)",IF(COUNTIF($B$2:$B$527,$B67)&gt;1,"Duplicate name - check row",IF(COUNTIF('Rework Log'!$A$3:$A$499,$B67)&gt;0,"",IF(AND(V67&lt;&gt;"",K67&lt;&gt;"",V67&lt;K67),"QA target is before DB Dev target",IF(AND(V67&lt;&gt;"",Q67&lt;&gt;"",V67&lt;Q67),"QA target is before PBI Dev target",IF(AND(AA67&lt;&gt;"",V67&lt;&gt;"",AA67&lt;V67),"DPO Approval target is before QA target",IF(AND(AG67&lt;&gt;"",AA67&lt;&gt;"",AG67&lt;AA67),"Confirmed Deployed date is before DPO Approval target",""))))))))))))</f>
        <v/>
      </c>
      <c r="AL67" s="41"/>
      <c r="AM67" s="32" t="str" cm="1">
        <f t="array" ref="AM67">_xlfn.LET(_xlpm.rep,$B67,_xlpm.sent,_xlfn.MAXIFS('Rework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7" s="32" t="str" cm="1">
        <f t="array" ref="AN67">_xlfn.LET(_xlpm.rep,$B67,_xlpm.sent,_xlfn.MAXIFS('Rework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8" spans="1:40" s="82" customFormat="1" ht="14.45">
      <c r="A68" s="81" t="s">
        <v>127</v>
      </c>
      <c r="B68" s="78" t="s">
        <v>223</v>
      </c>
      <c r="C68" s="81" t="s">
        <v>150</v>
      </c>
      <c r="D68" s="82" t="str" cm="1">
        <f t="array" aca="1" ref="D68" ca="1">IF($B68="","",IF(LEFT($AJ68,3)="Yes","Blocked - "&amp;MID($AJ68,7,100)&amp;IF(SUMPRODUCT(('Rework Log'!$A$3:$A$499=$B68)*('Rework Log'!$G$3:$G$499&lt;&gt;"Yes")*('Rework Log'!$G$3:$G$499&lt;&gt;"Did not pass re-test"))=0,"",IF(SUMPRODUCT(MAX((('Rework Log'!$A$3:$A$499=$B68)*('Rework Log'!$G$3:$G$499&lt;&gt;"Yes")*('Rework Log'!$G$3:$G$499&lt;&gt;"Did not pass re-test"))*'Rework Log'!$I$3:$I$499))=0," - unclaimed"," - promised "&amp;TEXT(SUMPRODUCT(MAX((('Rework Log'!$A$3:$A$499=$B68)*('Rework Log'!$G$3:$G$499&lt;&gt;"Yes")*('Rework Log'!$G$3:$G$499&lt;&gt;"Did not pass re-test"))*'Rework Log'!$I$3:$I$499)),"m/d"))),IF(C68="NOT STARTED",IF(H68="","No plan date set",IF(H68&lt;TODAY(),"Review - planned start passed","On track")),IF(C68="DB Dev",IF(AND(L68="",K68=""),"No target set",IF(AND(IF(L68&lt;&gt;"",L68,K68)&lt;TODAY(),M68=""),"Overdue","On track")),IF(C68="PBI Dev",IF(AND(R68="",Q68=""),"No target set",IF(AND(IF(R68&lt;&gt;"",R68,Q68)&lt;TODAY(),S68=""),"Overdue","On track")),IF(C68="QA",_xlfn.LET(_xlpm.tgt,IF(AM68&lt;&gt;"",AM68,IF(W68&lt;&gt;"",W68,V68)),_xlpm.sent,_xlfn.MAXIFS('Rework Log'!$B$3:$B$499,'Rework Log'!$A$3:$A$499,$B68,'Rework Log'!$C$3:$C$499,"QA"),_xlpm.act,IF(AND(Y68&lt;&gt;"",Y68&gt;_xlpm.sent),Y68,""),IF(_xlpm.tgt="","No target set",IF(AND(_xlpm.tgt&lt;TODAY(),_xlpm.act=""),"Overdue","On track"))),IF(C68="DPO Approval",_xlfn.LET(_xlpm.tgt,IF(AN68&lt;&gt;"",AN68,IF(AB68&lt;&gt;"",AB68,AA68)),_xlpm.sent,_xlfn.MAXIFS('Rework Log'!$B$3:$B$499,'Rework Log'!$A$3:$A$499,$B68,'Rework Log'!$C$3:$C$499,"DPO*"),_xlpm.act,IF(AND(AC68&lt;&gt;"",AC68&gt;_xlpm.sent),AC68,""),IF(_xlpm.tgt="","No target set",IF(AND(_xlpm.tgt&lt;TODAY(),_xlpm.act=""),"Overdue","On track"))),IF(C68="RELEASED IN PROD","Delivered",""))))))))</f>
        <v>On track</v>
      </c>
      <c r="E68" s="81">
        <v>44</v>
      </c>
      <c r="F68" s="83" t="s">
        <v>130</v>
      </c>
      <c r="G68" s="81"/>
      <c r="H68" s="84">
        <v>46295</v>
      </c>
      <c r="I68" s="85" t="s">
        <v>198</v>
      </c>
      <c r="J68" s="81" t="s">
        <v>224</v>
      </c>
      <c r="K68" s="86">
        <v>46276</v>
      </c>
      <c r="L68" s="87">
        <v>46258</v>
      </c>
      <c r="M68" s="87">
        <v>46258</v>
      </c>
      <c r="N68" s="87"/>
      <c r="O68" s="87" t="s">
        <v>199</v>
      </c>
      <c r="P68" s="88" t="s">
        <v>77</v>
      </c>
      <c r="Q68" s="86">
        <v>46286</v>
      </c>
      <c r="R68" s="87"/>
      <c r="S68" s="87"/>
      <c r="T68" s="89" t="s">
        <v>225</v>
      </c>
      <c r="U68" s="81"/>
      <c r="V68" s="90">
        <v>46290</v>
      </c>
      <c r="W68" s="87"/>
      <c r="X68" s="87"/>
      <c r="Y68" s="87"/>
      <c r="Z68" s="87"/>
      <c r="AA68" s="91">
        <v>46295</v>
      </c>
      <c r="AB68" s="87"/>
      <c r="AC68" s="87"/>
      <c r="AD68" s="78" t="s">
        <v>226</v>
      </c>
      <c r="AE68" s="81" t="s">
        <v>72</v>
      </c>
      <c r="AF68" s="92"/>
      <c r="AG68" s="87"/>
      <c r="AH68" s="93"/>
      <c r="AI68" s="81"/>
      <c r="AJ68" s="94" t="s">
        <v>53</v>
      </c>
      <c r="AK68" s="95" t="str">
        <f>IF($B68="","",IF(AND(LEFT($AJ68,3)="Yes",SUMPRODUCT(('Rework Log'!$A$3:$A$499=$B68)*('Rework Log'!$G$3:$G$499&lt;&gt;"Yes")*('Rework Log'!$G$3:$G$499&lt;&gt;"Did not pass re-test"))=0),"Blocked - log it on Rework Log",IF(AND(LEFT($AJ68,3)&lt;&gt;"Yes",SUMPRODUCT(('Rework Log'!$A$3:$A$499=$B68)*('Rework Log'!$G$3:$G$499&lt;&gt;"Yes")*('Rework Log'!$G$3:$G$499&lt;&gt;"Did not pass re-test"))&gt;0),"Open rework row - mark Blocked? or close it",IF(AND($AJ68="Yes – needs DB Dev to fix",M68&lt;&gt;"",SUMPRODUCT(MAX((('Rework Log'!$A$3:$A$499=$B68)*('Rework Log'!$G$3:$G$499&lt;&gt;"Yes")*('Rework Log'!$G$3:$G$499&lt;&gt;"Did not pass re-test"))*'Rework Log'!$I$3:$I$499))&gt;0),"Move old DB Dev completion date to Rework Log (col H)",IF(AND($AJ68="Yes – needs PBI Dev to fix",S68&lt;&gt;"",SUMPRODUCT(MAX((('Rework Log'!$A$3:$A$499=$B68)*('Rework Log'!$G$3:$G$499&lt;&gt;"Yes")*('Rework Log'!$G$3:$G$499&lt;&gt;"Did not pass re-test"))*'Rework Log'!$I$3:$I$499))&gt;0),"Move old PBI Dev completion date to Rework Log (col H)",IF(AND($AJ68="Yes – needs QA to fix",Y68&lt;&gt;"",SUMPRODUCT(MAX((('Rework Log'!$A$3:$A$499=$B68)*('Rework Log'!$G$3:$G$499&lt;&gt;"Yes")*('Rework Log'!$G$3:$G$499&lt;&gt;"Did not pass re-test"))*'Rework Log'!$I$3:$I$499))&gt;0),"Move old QA completion date to Rework Log (col H)",IF(COUNTIF($B$2:$B$527,$B68)&gt;1,"Duplicate name - check row",IF(COUNTIF('Rework Log'!$A$3:$A$499,$B68)&gt;0,"",IF(AND(V68&lt;&gt;"",K68&lt;&gt;"",V68&lt;K68),"QA target is before DB Dev target",IF(AND(V68&lt;&gt;"",Q68&lt;&gt;"",V68&lt;Q68),"QA target is before PBI Dev target",IF(AND(AA68&lt;&gt;"",V68&lt;&gt;"",AA68&lt;V68),"DPO Approval target is before QA target",IF(AND(AG68&lt;&gt;"",AA68&lt;&gt;"",AG68&lt;AA68),"Confirmed Deployed date is before DPO Approval target",""))))))))))))</f>
        <v/>
      </c>
      <c r="AL68" s="96" t="s">
        <v>227</v>
      </c>
      <c r="AM68" s="97" t="str" cm="1">
        <f t="array" ref="AM68">_xlfn.LET(_xlpm.rep,$B68,_xlpm.sent,_xlfn.MAXIFS('Rework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8" s="97" t="str" cm="1">
        <f t="array" ref="AN68">_xlfn.LET(_xlpm.rep,$B68,_xlpm.sent,_xlfn.MAXIFS('Rework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9" spans="1:40" s="99" customFormat="1" ht="14.45">
      <c r="A69" s="98" t="s">
        <v>127</v>
      </c>
      <c r="B69" s="79" t="s">
        <v>228</v>
      </c>
      <c r="C69" s="98" t="s">
        <v>206</v>
      </c>
      <c r="D69" s="99" t="str" cm="1">
        <f t="array" aca="1" ref="D69" ca="1">IF($B69="","",IF(LEFT($AJ69,3)="Yes","Blocked - "&amp;MID($AJ69,7,100)&amp;IF(SUMPRODUCT(('Rework Log'!$A$3:$A$499=$B69)*('Rework Log'!$G$3:$G$499&lt;&gt;"Yes")*('Rework Log'!$G$3:$G$499&lt;&gt;"Did not pass re-test"))=0,"",IF(SUMPRODUCT(MAX((('Rework Log'!$A$3:$A$499=$B69)*('Rework Log'!$G$3:$G$499&lt;&gt;"Yes")*('Rework Log'!$G$3:$G$499&lt;&gt;"Did not pass re-test"))*'Rework Log'!$I$3:$I$499))=0," - unclaimed"," - promised "&amp;TEXT(SUMPRODUCT(MAX((('Rework Log'!$A$3:$A$499=$B69)*('Rework Log'!$G$3:$G$499&lt;&gt;"Yes")*('Rework Log'!$G$3:$G$499&lt;&gt;"Did not pass re-test"))*'Rework Log'!$I$3:$I$499)),"m/d"))),IF(C69="NOT STARTED",IF(H69="","No plan date set",IF(H69&lt;TODAY(),"Review - planned start passed","On track")),IF(C69="DB Dev",IF(AND(L69="",K69=""),"No target set",IF(AND(IF(L69&lt;&gt;"",L69,K69)&lt;TODAY(),M69=""),"Overdue","On track")),IF(C69="PBI Dev",IF(AND(R69="",Q69=""),"No target set",IF(AND(IF(R69&lt;&gt;"",R69,Q69)&lt;TODAY(),S69=""),"Overdue","On track")),IF(C69="QA",_xlfn.LET(_xlpm.tgt,IF(AM69&lt;&gt;"",AM69,IF(W69&lt;&gt;"",W69,V69)),_xlpm.sent,_xlfn.MAXIFS('Rework Log'!$B$3:$B$499,'Rework Log'!$A$3:$A$499,$B69,'Rework Log'!$C$3:$C$499,"QA"),_xlpm.act,IF(AND(Y69&lt;&gt;"",Y69&gt;_xlpm.sent),Y69,""),IF(_xlpm.tgt="","No target set",IF(AND(_xlpm.tgt&lt;TODAY(),_xlpm.act=""),"Overdue","On track"))),IF(C69="DPO Approval",_xlfn.LET(_xlpm.tgt,IF(AN69&lt;&gt;"",AN69,IF(AB69&lt;&gt;"",AB69,AA69)),_xlpm.sent,_xlfn.MAXIFS('Rework Log'!$B$3:$B$499,'Rework Log'!$A$3:$A$499,$B69,'Rework Log'!$C$3:$C$499,"DPO*"),_xlpm.act,IF(AND(AC69&lt;&gt;"",AC69&gt;_xlpm.sent),AC69,""),IF(_xlpm.tgt="","No target set",IF(AND(_xlpm.tgt&lt;TODAY(),_xlpm.act=""),"Overdue","On track"))),IF(C69="RELEASED IN PROD","Delivered",""))))))))</f>
        <v>On track</v>
      </c>
      <c r="E69" s="98">
        <v>45</v>
      </c>
      <c r="F69" s="100" t="s">
        <v>147</v>
      </c>
      <c r="G69" s="98"/>
      <c r="H69" s="101">
        <v>46295</v>
      </c>
      <c r="I69" s="102" t="s">
        <v>198</v>
      </c>
      <c r="J69" s="98" t="s">
        <v>59</v>
      </c>
      <c r="K69" s="103">
        <v>46276</v>
      </c>
      <c r="L69" s="104"/>
      <c r="M69" s="104"/>
      <c r="N69" s="104"/>
      <c r="O69" s="104" t="s">
        <v>199</v>
      </c>
      <c r="P69" s="105" t="s">
        <v>46</v>
      </c>
      <c r="Q69" s="103">
        <v>46286</v>
      </c>
      <c r="R69" s="104"/>
      <c r="S69" s="104"/>
      <c r="T69" s="106" t="s">
        <v>225</v>
      </c>
      <c r="U69" s="98"/>
      <c r="V69" s="107">
        <v>46290</v>
      </c>
      <c r="W69" s="104"/>
      <c r="X69" s="104"/>
      <c r="Y69" s="104"/>
      <c r="Z69" s="104"/>
      <c r="AA69" s="108">
        <v>46295</v>
      </c>
      <c r="AB69" s="104"/>
      <c r="AC69" s="104"/>
      <c r="AD69" s="79" t="s">
        <v>229</v>
      </c>
      <c r="AE69" s="98" t="s">
        <v>72</v>
      </c>
      <c r="AF69" s="109"/>
      <c r="AG69" s="104"/>
      <c r="AH69" s="110"/>
      <c r="AI69" s="98"/>
      <c r="AJ69" s="111" t="s">
        <v>53</v>
      </c>
      <c r="AK69" s="112" t="str">
        <f>IF($B69="","",IF(AND(LEFT($AJ69,3)="Yes",SUMPRODUCT(('Rework Log'!$A$3:$A$499=$B69)*('Rework Log'!$G$3:$G$499&lt;&gt;"Yes")*('Rework Log'!$G$3:$G$499&lt;&gt;"Did not pass re-test"))=0),"Blocked - log it on Rework Log",IF(AND(LEFT($AJ69,3)&lt;&gt;"Yes",SUMPRODUCT(('Rework Log'!$A$3:$A$499=$B69)*('Rework Log'!$G$3:$G$499&lt;&gt;"Yes")*('Rework Log'!$G$3:$G$499&lt;&gt;"Did not pass re-test"))&gt;0),"Open rework row - mark Blocked? or close it",IF(AND($AJ69="Yes – needs DB Dev to fix",M69&lt;&gt;"",SUMPRODUCT(MAX((('Rework Log'!$A$3:$A$499=$B69)*('Rework Log'!$G$3:$G$499&lt;&gt;"Yes")*('Rework Log'!$G$3:$G$499&lt;&gt;"Did not pass re-test"))*'Rework Log'!$I$3:$I$499))&gt;0),"Move old DB Dev completion date to Rework Log (col H)",IF(AND($AJ69="Yes – needs PBI Dev to fix",S69&lt;&gt;"",SUMPRODUCT(MAX((('Rework Log'!$A$3:$A$499=$B69)*('Rework Log'!$G$3:$G$499&lt;&gt;"Yes")*('Rework Log'!$G$3:$G$499&lt;&gt;"Did not pass re-test"))*'Rework Log'!$I$3:$I$499))&gt;0),"Move old PBI Dev completion date to Rework Log (col H)",IF(AND($AJ69="Yes – needs QA to fix",Y69&lt;&gt;"",SUMPRODUCT(MAX((('Rework Log'!$A$3:$A$499=$B69)*('Rework Log'!$G$3:$G$499&lt;&gt;"Yes")*('Rework Log'!$G$3:$G$499&lt;&gt;"Did not pass re-test"))*'Rework Log'!$I$3:$I$499))&gt;0),"Move old QA completion date to Rework Log (col H)",IF(COUNTIF($B$2:$B$527,$B69)&gt;1,"Duplicate name - check row",IF(COUNTIF('Rework Log'!$A$3:$A$499,$B69)&gt;0,"",IF(AND(V69&lt;&gt;"",K69&lt;&gt;"",V69&lt;K69),"QA target is before DB Dev target",IF(AND(V69&lt;&gt;"",Q69&lt;&gt;"",V69&lt;Q69),"QA target is before PBI Dev target",IF(AND(AA69&lt;&gt;"",V69&lt;&gt;"",AA69&lt;V69),"DPO Approval target is before QA target",IF(AND(AG69&lt;&gt;"",AA69&lt;&gt;"",AG69&lt;AA69),"Confirmed Deployed date is before DPO Approval target",""))))))))))))</f>
        <v/>
      </c>
      <c r="AL69" s="113" t="s">
        <v>230</v>
      </c>
      <c r="AM69" s="114" t="str" cm="1">
        <f t="array" ref="AM69">_xlfn.LET(_xlpm.rep,$B69,_xlpm.sent,_xlfn.MAXIFS('Rework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9" s="114" t="str" cm="1">
        <f t="array" ref="AN69">_xlfn.LET(_xlpm.rep,$B69,_xlpm.sent,_xlfn.MAXIFS('Rework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0" spans="1:40" ht="14.45">
      <c r="A70" s="33" t="s">
        <v>127</v>
      </c>
      <c r="B70" s="33" t="s">
        <v>231</v>
      </c>
      <c r="C70" s="33" t="s">
        <v>206</v>
      </c>
      <c r="D70" t="str" cm="1">
        <f t="array" aca="1" ref="D70" ca="1">IF($B70="","",IF(LEFT($AJ70,3)="Yes","Blocked - "&amp;MID($AJ70,7,100)&amp;IF(SUMPRODUCT(('Rework Log'!$A$3:$A$499=$B70)*('Rework Log'!$G$3:$G$499&lt;&gt;"Yes")*('Rework Log'!$G$3:$G$499&lt;&gt;"Did not pass re-test"))=0,"",IF(SUMPRODUCT(MAX((('Rework Log'!$A$3:$A$499=$B70)*('Rework Log'!$G$3:$G$499&lt;&gt;"Yes")*('Rework Log'!$G$3:$G$499&lt;&gt;"Did not pass re-test"))*'Rework Log'!$I$3:$I$499))=0," - unclaimed"," - promised "&amp;TEXT(SUMPRODUCT(MAX((('Rework Log'!$A$3:$A$499=$B70)*('Rework Log'!$G$3:$G$499&lt;&gt;"Yes")*('Rework Log'!$G$3:$G$499&lt;&gt;"Did not pass re-test"))*'Rework Log'!$I$3:$I$499)),"m/d"))),IF(C70="NOT STARTED",IF(H70="","No plan date set",IF(H70&lt;TODAY(),"Review - planned start passed","On track")),IF(C70="DB Dev",IF(AND(L70="",K70=""),"No target set",IF(AND(IF(L70&lt;&gt;"",L70,K70)&lt;TODAY(),M70=""),"Overdue","On track")),IF(C70="PBI Dev",IF(AND(R70="",Q70=""),"No target set",IF(AND(IF(R70&lt;&gt;"",R70,Q70)&lt;TODAY(),S70=""),"Overdue","On track")),IF(C70="QA",_xlfn.LET(_xlpm.tgt,IF(AM70&lt;&gt;"",AM70,IF(W70&lt;&gt;"",W70,V70)),_xlpm.sent,_xlfn.MAXIFS('Rework Log'!$B$3:$B$499,'Rework Log'!$A$3:$A$499,$B70,'Rework Log'!$C$3:$C$499,"QA"),_xlpm.act,IF(AND(Y70&lt;&gt;"",Y70&gt;_xlpm.sent),Y70,""),IF(_xlpm.tgt="","No target set",IF(AND(_xlpm.tgt&lt;TODAY(),_xlpm.act=""),"Overdue","On track"))),IF(C70="DPO Approval",_xlfn.LET(_xlpm.tgt,IF(AN70&lt;&gt;"",AN70,IF(AB70&lt;&gt;"",AB70,AA70)),_xlpm.sent,_xlfn.MAXIFS('Rework Log'!$B$3:$B$499,'Rework Log'!$A$3:$A$499,$B70,'Rework Log'!$C$3:$C$499,"DPO*"),_xlpm.act,IF(AND(AC70&lt;&gt;"",AC70&gt;_xlpm.sent),AC70,""),IF(_xlpm.tgt="","No target set",IF(AND(_xlpm.tgt&lt;TODAY(),_xlpm.act=""),"Overdue","On track"))),IF(C70="RELEASED IN PROD","Delivered",""))))))))</f>
        <v>On track</v>
      </c>
      <c r="E70" s="33">
        <v>46</v>
      </c>
      <c r="F70" s="34" t="s">
        <v>147</v>
      </c>
      <c r="G70" s="33"/>
      <c r="H70" s="50">
        <v>46295</v>
      </c>
      <c r="I70" s="55" t="s">
        <v>198</v>
      </c>
      <c r="J70" s="33" t="s">
        <v>118</v>
      </c>
      <c r="K70" s="4">
        <v>46276</v>
      </c>
      <c r="L70" s="36">
        <v>46262</v>
      </c>
      <c r="M70" s="36"/>
      <c r="N70" s="36"/>
      <c r="O70" s="36" t="s">
        <v>199</v>
      </c>
      <c r="P70" s="63" t="s">
        <v>46</v>
      </c>
      <c r="Q70" s="4">
        <v>46286</v>
      </c>
      <c r="R70" s="36"/>
      <c r="S70" s="36"/>
      <c r="T70" s="69" t="s">
        <v>225</v>
      </c>
      <c r="U70" s="33"/>
      <c r="V70" s="59">
        <v>46290</v>
      </c>
      <c r="W70" s="36"/>
      <c r="X70" s="36"/>
      <c r="Y70" s="36"/>
      <c r="Z70" s="36"/>
      <c r="AA70" s="52">
        <v>46295</v>
      </c>
      <c r="AB70" s="36"/>
      <c r="AC70" s="36"/>
      <c r="AD70" s="33" t="s">
        <v>194</v>
      </c>
      <c r="AE70" s="33" t="s">
        <v>72</v>
      </c>
      <c r="AF70" s="38"/>
      <c r="AG70" s="36"/>
      <c r="AH70" s="39"/>
      <c r="AI70" s="33"/>
      <c r="AJ70" s="40" t="s">
        <v>53</v>
      </c>
      <c r="AK70" s="73" t="str">
        <f>IF($B70="","",IF(AND(LEFT($AJ70,3)="Yes",SUMPRODUCT(('Rework Log'!$A$3:$A$499=$B70)*('Rework Log'!$G$3:$G$499&lt;&gt;"Yes")*('Rework Log'!$G$3:$G$499&lt;&gt;"Did not pass re-test"))=0),"Blocked - log it on Rework Log",IF(AND(LEFT($AJ70,3)&lt;&gt;"Yes",SUMPRODUCT(('Rework Log'!$A$3:$A$499=$B70)*('Rework Log'!$G$3:$G$499&lt;&gt;"Yes")*('Rework Log'!$G$3:$G$499&lt;&gt;"Did not pass re-test"))&gt;0),"Open rework row - mark Blocked? or close it",IF(AND($AJ70="Yes – needs DB Dev to fix",M70&lt;&gt;"",SUMPRODUCT(MAX((('Rework Log'!$A$3:$A$499=$B70)*('Rework Log'!$G$3:$G$499&lt;&gt;"Yes")*('Rework Log'!$G$3:$G$499&lt;&gt;"Did not pass re-test"))*'Rework Log'!$I$3:$I$499))&gt;0),"Move old DB Dev completion date to Rework Log (col H)",IF(AND($AJ70="Yes – needs PBI Dev to fix",S70&lt;&gt;"",SUMPRODUCT(MAX((('Rework Log'!$A$3:$A$499=$B70)*('Rework Log'!$G$3:$G$499&lt;&gt;"Yes")*('Rework Log'!$G$3:$G$499&lt;&gt;"Did not pass re-test"))*'Rework Log'!$I$3:$I$499))&gt;0),"Move old PBI Dev completion date to Rework Log (col H)",IF(AND($AJ70="Yes – needs QA to fix",Y70&lt;&gt;"",SUMPRODUCT(MAX((('Rework Log'!$A$3:$A$499=$B70)*('Rework Log'!$G$3:$G$499&lt;&gt;"Yes")*('Rework Log'!$G$3:$G$499&lt;&gt;"Did not pass re-test"))*'Rework Log'!$I$3:$I$499))&gt;0),"Move old QA completion date to Rework Log (col H)",IF(COUNTIF($B$2:$B$527,$B70)&gt;1,"Duplicate name - check row",IF(COUNTIF('Rework Log'!$A$3:$A$499,$B70)&gt;0,"",IF(AND(V70&lt;&gt;"",K70&lt;&gt;"",V70&lt;K70),"QA target is before DB Dev target",IF(AND(V70&lt;&gt;"",Q70&lt;&gt;"",V70&lt;Q70),"QA target is before PBI Dev target",IF(AND(AA70&lt;&gt;"",V70&lt;&gt;"",AA70&lt;V70),"DPO Approval target is before QA target",IF(AND(AG70&lt;&gt;"",AA70&lt;&gt;"",AG70&lt;AA70),"Confirmed Deployed date is before DPO Approval target",""))))))))))))</f>
        <v/>
      </c>
      <c r="AL70" s="41"/>
      <c r="AM70" s="32" t="str" cm="1">
        <f t="array" ref="AM70">_xlfn.LET(_xlpm.rep,$B70,_xlpm.sent,_xlfn.MAXIFS('Rework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0" s="32" t="str" cm="1">
        <f t="array" ref="AN70">_xlfn.LET(_xlpm.rep,$B70,_xlpm.sent,_xlfn.MAXIFS('Rework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1" spans="1:40" ht="14.45">
      <c r="A71" s="33" t="s">
        <v>127</v>
      </c>
      <c r="B71" s="33" t="s">
        <v>232</v>
      </c>
      <c r="C71" s="33" t="s">
        <v>206</v>
      </c>
      <c r="D71" t="str" cm="1">
        <f t="array" aca="1" ref="D71" ca="1">IF($B71="","",IF(LEFT($AJ71,3)="Yes","Blocked - "&amp;MID($AJ71,7,100)&amp;IF(SUMPRODUCT(('Rework Log'!$A$3:$A$499=$B71)*('Rework Log'!$G$3:$G$499&lt;&gt;"Yes")*('Rework Log'!$G$3:$G$499&lt;&gt;"Did not pass re-test"))=0,"",IF(SUMPRODUCT(MAX((('Rework Log'!$A$3:$A$499=$B71)*('Rework Log'!$G$3:$G$499&lt;&gt;"Yes")*('Rework Log'!$G$3:$G$499&lt;&gt;"Did not pass re-test"))*'Rework Log'!$I$3:$I$499))=0," - unclaimed"," - promised "&amp;TEXT(SUMPRODUCT(MAX((('Rework Log'!$A$3:$A$499=$B71)*('Rework Log'!$G$3:$G$499&lt;&gt;"Yes")*('Rework Log'!$G$3:$G$499&lt;&gt;"Did not pass re-test"))*'Rework Log'!$I$3:$I$499)),"m/d"))),IF(C71="NOT STARTED",IF(H71="","No plan date set",IF(H71&lt;TODAY(),"Review - planned start passed","On track")),IF(C71="DB Dev",IF(AND(L71="",K71=""),"No target set",IF(AND(IF(L71&lt;&gt;"",L71,K71)&lt;TODAY(),M71=""),"Overdue","On track")),IF(C71="PBI Dev",IF(AND(R71="",Q71=""),"No target set",IF(AND(IF(R71&lt;&gt;"",R71,Q71)&lt;TODAY(),S71=""),"Overdue","On track")),IF(C71="QA",_xlfn.LET(_xlpm.tgt,IF(AM71&lt;&gt;"",AM71,IF(W71&lt;&gt;"",W71,V71)),_xlpm.sent,_xlfn.MAXIFS('Rework Log'!$B$3:$B$499,'Rework Log'!$A$3:$A$499,$B71,'Rework Log'!$C$3:$C$499,"QA"),_xlpm.act,IF(AND(Y71&lt;&gt;"",Y71&gt;_xlpm.sent),Y71,""),IF(_xlpm.tgt="","No target set",IF(AND(_xlpm.tgt&lt;TODAY(),_xlpm.act=""),"Overdue","On track"))),IF(C71="DPO Approval",_xlfn.LET(_xlpm.tgt,IF(AN71&lt;&gt;"",AN71,IF(AB71&lt;&gt;"",AB71,AA71)),_xlpm.sent,_xlfn.MAXIFS('Rework Log'!$B$3:$B$499,'Rework Log'!$A$3:$A$499,$B71,'Rework Log'!$C$3:$C$499,"DPO*"),_xlpm.act,IF(AND(AC71&lt;&gt;"",AC71&gt;_xlpm.sent),AC71,""),IF(_xlpm.tgt="","No target set",IF(AND(_xlpm.tgt&lt;TODAY(),_xlpm.act=""),"Overdue","On track"))),IF(C71="RELEASED IN PROD","Delivered",""))))))))</f>
        <v>On track</v>
      </c>
      <c r="E71" s="33">
        <v>47</v>
      </c>
      <c r="F71" s="34" t="s">
        <v>147</v>
      </c>
      <c r="G71" s="33"/>
      <c r="H71" s="50">
        <v>46295</v>
      </c>
      <c r="I71" s="55" t="s">
        <v>198</v>
      </c>
      <c r="J71" s="33" t="s">
        <v>44</v>
      </c>
      <c r="K71" s="4">
        <v>46276</v>
      </c>
      <c r="L71" s="36">
        <v>46259</v>
      </c>
      <c r="M71" s="36">
        <v>46259</v>
      </c>
      <c r="N71" s="36"/>
      <c r="O71" s="36" t="s">
        <v>199</v>
      </c>
      <c r="P71" s="63" t="s">
        <v>60</v>
      </c>
      <c r="Q71" s="4">
        <v>46286</v>
      </c>
      <c r="R71" s="36"/>
      <c r="S71" s="36"/>
      <c r="T71" s="69" t="s">
        <v>225</v>
      </c>
      <c r="U71" s="33"/>
      <c r="V71" s="59">
        <v>46290</v>
      </c>
      <c r="W71" s="36"/>
      <c r="X71" s="36"/>
      <c r="Y71" s="36"/>
      <c r="Z71" s="36"/>
      <c r="AA71" s="52">
        <v>46295</v>
      </c>
      <c r="AB71" s="36"/>
      <c r="AC71" s="36"/>
      <c r="AD71" s="33" t="s">
        <v>233</v>
      </c>
      <c r="AE71" s="33" t="s">
        <v>94</v>
      </c>
      <c r="AF71" s="38"/>
      <c r="AG71" s="36"/>
      <c r="AH71" s="39"/>
      <c r="AI71" s="33"/>
      <c r="AJ71" s="40" t="s">
        <v>53</v>
      </c>
      <c r="AK71" s="73" t="str">
        <f>IF($B71="","",IF(AND(LEFT($AJ71,3)="Yes",SUMPRODUCT(('Rework Log'!$A$3:$A$499=$B71)*('Rework Log'!$G$3:$G$499&lt;&gt;"Yes")*('Rework Log'!$G$3:$G$499&lt;&gt;"Did not pass re-test"))=0),"Blocked - log it on Rework Log",IF(AND(LEFT($AJ71,3)&lt;&gt;"Yes",SUMPRODUCT(('Rework Log'!$A$3:$A$499=$B71)*('Rework Log'!$G$3:$G$499&lt;&gt;"Yes")*('Rework Log'!$G$3:$G$499&lt;&gt;"Did not pass re-test"))&gt;0),"Open rework row - mark Blocked? or close it",IF(AND($AJ71="Yes – needs DB Dev to fix",M71&lt;&gt;"",SUMPRODUCT(MAX((('Rework Log'!$A$3:$A$499=$B71)*('Rework Log'!$G$3:$G$499&lt;&gt;"Yes")*('Rework Log'!$G$3:$G$499&lt;&gt;"Did not pass re-test"))*'Rework Log'!$I$3:$I$499))&gt;0),"Move old DB Dev completion date to Rework Log (col H)",IF(AND($AJ71="Yes – needs PBI Dev to fix",S71&lt;&gt;"",SUMPRODUCT(MAX((('Rework Log'!$A$3:$A$499=$B71)*('Rework Log'!$G$3:$G$499&lt;&gt;"Yes")*('Rework Log'!$G$3:$G$499&lt;&gt;"Did not pass re-test"))*'Rework Log'!$I$3:$I$499))&gt;0),"Move old PBI Dev completion date to Rework Log (col H)",IF(AND($AJ71="Yes – needs QA to fix",Y71&lt;&gt;"",SUMPRODUCT(MAX((('Rework Log'!$A$3:$A$499=$B71)*('Rework Log'!$G$3:$G$499&lt;&gt;"Yes")*('Rework Log'!$G$3:$G$499&lt;&gt;"Did not pass re-test"))*'Rework Log'!$I$3:$I$499))&gt;0),"Move old QA completion date to Rework Log (col H)",IF(COUNTIF($B$2:$B$527,$B71)&gt;1,"Duplicate name - check row",IF(COUNTIF('Rework Log'!$A$3:$A$499,$B71)&gt;0,"",IF(AND(V71&lt;&gt;"",K71&lt;&gt;"",V71&lt;K71),"QA target is before DB Dev target",IF(AND(V71&lt;&gt;"",Q71&lt;&gt;"",V71&lt;Q71),"QA target is before PBI Dev target",IF(AND(AA71&lt;&gt;"",V71&lt;&gt;"",AA71&lt;V71),"DPO Approval target is before QA target",IF(AND(AG71&lt;&gt;"",AA71&lt;&gt;"",AG71&lt;AA71),"Confirmed Deployed date is before DPO Approval target",""))))))))))))</f>
        <v/>
      </c>
      <c r="AL71" s="41"/>
      <c r="AM71" s="32" t="str" cm="1">
        <f t="array" ref="AM71">_xlfn.LET(_xlpm.rep,$B71,_xlpm.sent,_xlfn.MAXIFS('Rework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1" s="32" t="str" cm="1">
        <f t="array" ref="AN71">_xlfn.LET(_xlpm.rep,$B71,_xlpm.sent,_xlfn.MAXIFS('Rework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2" spans="1:40" ht="14.45">
      <c r="A72" s="33" t="s">
        <v>127</v>
      </c>
      <c r="B72" s="33" t="s">
        <v>234</v>
      </c>
      <c r="C72" s="33" t="s">
        <v>150</v>
      </c>
      <c r="D72" t="str" cm="1">
        <f t="array" aca="1" ref="D72" ca="1">IF($B72="","",IF(LEFT($AJ72,3)="Yes","Blocked - "&amp;MID($AJ72,7,100)&amp;IF(SUMPRODUCT(('Rework Log'!$A$3:$A$499=$B72)*('Rework Log'!$G$3:$G$499&lt;&gt;"Yes")*('Rework Log'!$G$3:$G$499&lt;&gt;"Did not pass re-test"))=0,"",IF(SUMPRODUCT(MAX((('Rework Log'!$A$3:$A$499=$B72)*('Rework Log'!$G$3:$G$499&lt;&gt;"Yes")*('Rework Log'!$G$3:$G$499&lt;&gt;"Did not pass re-test"))*'Rework Log'!$I$3:$I$499))=0," - unclaimed"," - promised "&amp;TEXT(SUMPRODUCT(MAX((('Rework Log'!$A$3:$A$499=$B72)*('Rework Log'!$G$3:$G$499&lt;&gt;"Yes")*('Rework Log'!$G$3:$G$499&lt;&gt;"Did not pass re-test"))*'Rework Log'!$I$3:$I$499)),"m/d"))),IF(C72="NOT STARTED",IF(H72="","No plan date set",IF(H72&lt;TODAY(),"Review - planned start passed","On track")),IF(C72="DB Dev",IF(AND(L72="",K72=""),"No target set",IF(AND(IF(L72&lt;&gt;"",L72,K72)&lt;TODAY(),M72=""),"Overdue","On track")),IF(C72="PBI Dev",IF(AND(R72="",Q72=""),"No target set",IF(AND(IF(R72&lt;&gt;"",R72,Q72)&lt;TODAY(),S72=""),"Overdue","On track")),IF(C72="QA",_xlfn.LET(_xlpm.tgt,IF(AM72&lt;&gt;"",AM72,IF(W72&lt;&gt;"",W72,V72)),_xlpm.sent,_xlfn.MAXIFS('Rework Log'!$B$3:$B$499,'Rework Log'!$A$3:$A$499,$B72,'Rework Log'!$C$3:$C$499,"QA"),_xlpm.act,IF(AND(Y72&lt;&gt;"",Y72&gt;_xlpm.sent),Y72,""),IF(_xlpm.tgt="","No target set",IF(AND(_xlpm.tgt&lt;TODAY(),_xlpm.act=""),"Overdue","On track"))),IF(C72="DPO Approval",_xlfn.LET(_xlpm.tgt,IF(AN72&lt;&gt;"",AN72,IF(AB72&lt;&gt;"",AB72,AA72)),_xlpm.sent,_xlfn.MAXIFS('Rework Log'!$B$3:$B$499,'Rework Log'!$A$3:$A$499,$B72,'Rework Log'!$C$3:$C$499,"DPO*"),_xlpm.act,IF(AND(AC72&lt;&gt;"",AC72&gt;_xlpm.sent),AC72,""),IF(_xlpm.tgt="","No target set",IF(AND(_xlpm.tgt&lt;TODAY(),_xlpm.act=""),"Overdue","On track"))),IF(C72="RELEASED IN PROD","Delivered",""))))))))</f>
        <v>On track</v>
      </c>
      <c r="E72" s="33">
        <v>48</v>
      </c>
      <c r="F72" s="34" t="s">
        <v>130</v>
      </c>
      <c r="G72" s="33"/>
      <c r="H72" s="50">
        <v>46295</v>
      </c>
      <c r="I72" s="55" t="s">
        <v>198</v>
      </c>
      <c r="J72" s="33" t="s">
        <v>76</v>
      </c>
      <c r="K72" s="4">
        <v>46276</v>
      </c>
      <c r="L72" s="36">
        <v>46258</v>
      </c>
      <c r="M72" s="36">
        <v>46258</v>
      </c>
      <c r="N72" s="36" t="s">
        <v>45</v>
      </c>
      <c r="O72" s="36" t="s">
        <v>199</v>
      </c>
      <c r="P72" s="63" t="s">
        <v>77</v>
      </c>
      <c r="Q72" s="4">
        <v>46286</v>
      </c>
      <c r="R72" s="36"/>
      <c r="S72" s="36"/>
      <c r="T72" s="69" t="s">
        <v>225</v>
      </c>
      <c r="U72" s="33"/>
      <c r="V72" s="59">
        <v>46290</v>
      </c>
      <c r="W72" s="36"/>
      <c r="X72" s="36"/>
      <c r="Y72" s="36"/>
      <c r="Z72" s="36"/>
      <c r="AA72" s="52">
        <v>46295</v>
      </c>
      <c r="AB72" s="36"/>
      <c r="AC72" s="36"/>
      <c r="AD72" s="33" t="s">
        <v>176</v>
      </c>
      <c r="AE72" s="33" t="s">
        <v>49</v>
      </c>
      <c r="AF72" s="38"/>
      <c r="AG72" s="36"/>
      <c r="AH72" s="39"/>
      <c r="AI72" s="33"/>
      <c r="AJ72" s="40" t="s">
        <v>53</v>
      </c>
      <c r="AK72" s="73" t="str">
        <f>IF($B72="","",IF(AND(LEFT($AJ72,3)="Yes",SUMPRODUCT(('Rework Log'!$A$3:$A$499=$B72)*('Rework Log'!$G$3:$G$499&lt;&gt;"Yes")*('Rework Log'!$G$3:$G$499&lt;&gt;"Did not pass re-test"))=0),"Blocked - log it on Rework Log",IF(AND(LEFT($AJ72,3)&lt;&gt;"Yes",SUMPRODUCT(('Rework Log'!$A$3:$A$499=$B72)*('Rework Log'!$G$3:$G$499&lt;&gt;"Yes")*('Rework Log'!$G$3:$G$499&lt;&gt;"Did not pass re-test"))&gt;0),"Open rework row - mark Blocked? or close it",IF(AND($AJ72="Yes – needs DB Dev to fix",M72&lt;&gt;"",SUMPRODUCT(MAX((('Rework Log'!$A$3:$A$499=$B72)*('Rework Log'!$G$3:$G$499&lt;&gt;"Yes")*('Rework Log'!$G$3:$G$499&lt;&gt;"Did not pass re-test"))*'Rework Log'!$I$3:$I$499))&gt;0),"Move old DB Dev completion date to Rework Log (col H)",IF(AND($AJ72="Yes – needs PBI Dev to fix",S72&lt;&gt;"",SUMPRODUCT(MAX((('Rework Log'!$A$3:$A$499=$B72)*('Rework Log'!$G$3:$G$499&lt;&gt;"Yes")*('Rework Log'!$G$3:$G$499&lt;&gt;"Did not pass re-test"))*'Rework Log'!$I$3:$I$499))&gt;0),"Move old PBI Dev completion date to Rework Log (col H)",IF(AND($AJ72="Yes – needs QA to fix",Y72&lt;&gt;"",SUMPRODUCT(MAX((('Rework Log'!$A$3:$A$499=$B72)*('Rework Log'!$G$3:$G$499&lt;&gt;"Yes")*('Rework Log'!$G$3:$G$499&lt;&gt;"Did not pass re-test"))*'Rework Log'!$I$3:$I$499))&gt;0),"Move old QA completion date to Rework Log (col H)",IF(COUNTIF($B$2:$B$527,$B72)&gt;1,"Duplicate name - check row",IF(COUNTIF('Rework Log'!$A$3:$A$499,$B72)&gt;0,"",IF(AND(V72&lt;&gt;"",K72&lt;&gt;"",V72&lt;K72),"QA target is before DB Dev target",IF(AND(V72&lt;&gt;"",Q72&lt;&gt;"",V72&lt;Q72),"QA target is before PBI Dev target",IF(AND(AA72&lt;&gt;"",V72&lt;&gt;"",AA72&lt;V72),"DPO Approval target is before QA target",IF(AND(AG72&lt;&gt;"",AA72&lt;&gt;"",AG72&lt;AA72),"Confirmed Deployed date is before DPO Approval target",""))))))))))))</f>
        <v/>
      </c>
      <c r="AL72" s="41"/>
      <c r="AM72" s="32" t="str" cm="1">
        <f t="array" ref="AM72">_xlfn.LET(_xlpm.rep,$B72,_xlpm.sent,_xlfn.MAXIFS('Rework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2" s="32" t="str" cm="1">
        <f t="array" ref="AN72">_xlfn.LET(_xlpm.rep,$B72,_xlpm.sent,_xlfn.MAXIFS('Rework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3" spans="1:40" ht="14.45" hidden="1">
      <c r="A73" s="77" t="s">
        <v>127</v>
      </c>
      <c r="B73" s="31" t="s">
        <v>235</v>
      </c>
      <c r="C73" s="31" t="s">
        <v>150</v>
      </c>
      <c r="D73" t="str" cm="1">
        <f t="array" aca="1" ref="D73" ca="1">IF($B73="","",IF(LEFT($AJ73,3)="Yes","Blocked - "&amp;MID($AJ73,7,100)&amp;IF(SUMPRODUCT(('Rework Log'!$A$3:$A$499=$B73)*('Rework Log'!$G$3:$G$499&lt;&gt;"Yes")*('Rework Log'!$G$3:$G$499&lt;&gt;"Did not pass re-test"))=0,"",IF(SUMPRODUCT(MAX((('Rework Log'!$A$3:$A$499=$B73)*('Rework Log'!$G$3:$G$499&lt;&gt;"Yes")*('Rework Log'!$G$3:$G$499&lt;&gt;"Did not pass re-test"))*'Rework Log'!$I$3:$I$499))=0," - unclaimed"," - promised "&amp;TEXT(SUMPRODUCT(MAX((('Rework Log'!$A$3:$A$499=$B73)*('Rework Log'!$G$3:$G$499&lt;&gt;"Yes")*('Rework Log'!$G$3:$G$499&lt;&gt;"Did not pass re-test"))*'Rework Log'!$I$3:$I$499)),"m/d"))),IF(C73="NOT STARTED",IF(H73="","No plan date set",IF(H73&lt;TODAY(),"Review - planned start passed","On track")),IF(C73="DB Dev",IF(AND(L73="",K73=""),"No target set",IF(AND(IF(L73&lt;&gt;"",L73,K73)&lt;TODAY(),M73=""),"Overdue","On track")),IF(C73="PBI Dev",IF(AND(R73="",Q73=""),"No target set",IF(AND(IF(R73&lt;&gt;"",R73,Q73)&lt;TODAY(),S73=""),"Overdue","On track")),IF(C73="QA",_xlfn.LET(_xlpm.tgt,IF(AM73&lt;&gt;"",AM73,IF(W73&lt;&gt;"",W73,V73)),_xlpm.sent,_xlfn.MAXIFS('Rework Log'!$B$3:$B$499,'Rework Log'!$A$3:$A$499,$B73,'Rework Log'!$C$3:$C$499,"QA"),_xlpm.act,IF(AND(Y73&lt;&gt;"",Y73&gt;_xlpm.sent),Y73,""),IF(_xlpm.tgt="","No target set",IF(AND(_xlpm.tgt&lt;TODAY(),_xlpm.act=""),"Overdue","On track"))),IF(C73="DPO Approval",_xlfn.LET(_xlpm.tgt,IF(AN73&lt;&gt;"",AN73,IF(AB73&lt;&gt;"",AB73,AA73)),_xlpm.sent,_xlfn.MAXIFS('Rework Log'!$B$3:$B$499,'Rework Log'!$A$3:$A$499,$B73,'Rework Log'!$C$3:$C$499,"DPO*"),_xlpm.act,IF(AND(AC73&lt;&gt;"",AC73&gt;_xlpm.sent),AC73,""),IF(_xlpm.tgt="","No target set",IF(AND(_xlpm.tgt&lt;TODAY(),_xlpm.act=""),"Overdue","On track"))),IF(C73="RELEASED IN PROD","Delivered",""))))))))</f>
        <v>On track</v>
      </c>
      <c r="E73" s="31">
        <v>49</v>
      </c>
      <c r="F73" s="31"/>
      <c r="G73" s="31"/>
      <c r="H73" s="50">
        <v>46325</v>
      </c>
      <c r="I73" s="56" t="s">
        <v>236</v>
      </c>
      <c r="J73" s="31" t="s">
        <v>76</v>
      </c>
      <c r="K73" s="43">
        <v>46304</v>
      </c>
      <c r="L73" s="43">
        <v>46259</v>
      </c>
      <c r="M73" s="47">
        <v>46259</v>
      </c>
      <c r="N73" s="44" t="s">
        <v>45</v>
      </c>
      <c r="O73" s="44" t="s">
        <v>199</v>
      </c>
      <c r="P73" s="66"/>
      <c r="Q73" s="43">
        <v>46313</v>
      </c>
      <c r="R73" s="43"/>
      <c r="S73" s="44"/>
      <c r="T73" s="70" t="s">
        <v>237</v>
      </c>
      <c r="U73" s="31"/>
      <c r="V73" s="28">
        <v>46316</v>
      </c>
      <c r="W73" s="43"/>
      <c r="X73" s="31"/>
      <c r="Y73" s="31"/>
      <c r="Z73" s="31"/>
      <c r="AA73" s="28">
        <v>46325</v>
      </c>
      <c r="AB73" s="43"/>
      <c r="AC73" s="43"/>
      <c r="AD73" s="31" t="s">
        <v>201</v>
      </c>
      <c r="AE73" s="31" t="s">
        <v>72</v>
      </c>
      <c r="AF73" s="31"/>
      <c r="AG73" s="31"/>
      <c r="AH73" s="31"/>
      <c r="AI73" s="31"/>
      <c r="AJ73" s="31"/>
      <c r="AK73" s="31"/>
      <c r="AL73" s="31"/>
      <c r="AM73" s="32" t="str" cm="1">
        <f t="array" ref="AM73">_xlfn.LET(_xlpm.rep,$B73,_xlpm.sent,_xlfn.MAXIFS('Rework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3" s="32" t="str" cm="1">
        <f t="array" ref="AN73">_xlfn.LET(_xlpm.rep,$B73,_xlpm.sent,_xlfn.MAXIFS('Rework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4" spans="1:40" ht="14.45" hidden="1">
      <c r="A74" s="31" t="s">
        <v>127</v>
      </c>
      <c r="B74" s="31" t="s">
        <v>238</v>
      </c>
      <c r="C74" s="31" t="s">
        <v>206</v>
      </c>
      <c r="D74" t="str" cm="1">
        <f t="array" aca="1" ref="D74" ca="1">IF($B74="","",IF(LEFT($AJ74,3)="Yes","Blocked - "&amp;MID($AJ74,7,100)&amp;IF(SUMPRODUCT(('Rework Log'!$A$3:$A$499=$B74)*('Rework Log'!$G$3:$G$499&lt;&gt;"Yes")*('Rework Log'!$G$3:$G$499&lt;&gt;"Did not pass re-test"))=0,"",IF(SUMPRODUCT(MAX((('Rework Log'!$A$3:$A$499=$B74)*('Rework Log'!$G$3:$G$499&lt;&gt;"Yes")*('Rework Log'!$G$3:$G$499&lt;&gt;"Did not pass re-test"))*'Rework Log'!$I$3:$I$499))=0," - unclaimed"," - promised "&amp;TEXT(SUMPRODUCT(MAX((('Rework Log'!$A$3:$A$499=$B74)*('Rework Log'!$G$3:$G$499&lt;&gt;"Yes")*('Rework Log'!$G$3:$G$499&lt;&gt;"Did not pass re-test"))*'Rework Log'!$I$3:$I$499)),"m/d"))),IF(C74="NOT STARTED",IF(H74="","No plan date set",IF(H74&lt;TODAY(),"Review - planned start passed","On track")),IF(C74="DB Dev",IF(AND(L74="",K74=""),"No target set",IF(AND(IF(L74&lt;&gt;"",L74,K74)&lt;TODAY(),M74=""),"Overdue","On track")),IF(C74="PBI Dev",IF(AND(R74="",Q74=""),"No target set",IF(AND(IF(R74&lt;&gt;"",R74,Q74)&lt;TODAY(),S74=""),"Overdue","On track")),IF(C74="QA",_xlfn.LET(_xlpm.tgt,IF(AM74&lt;&gt;"",AM74,IF(W74&lt;&gt;"",W74,V74)),_xlpm.sent,_xlfn.MAXIFS('Rework Log'!$B$3:$B$499,'Rework Log'!$A$3:$A$499,$B74,'Rework Log'!$C$3:$C$499,"QA"),_xlpm.act,IF(AND(Y74&lt;&gt;"",Y74&gt;_xlpm.sent),Y74,""),IF(_xlpm.tgt="","No target set",IF(AND(_xlpm.tgt&lt;TODAY(),_xlpm.act=""),"Overdue","On track"))),IF(C74="DPO Approval",_xlfn.LET(_xlpm.tgt,IF(AN74&lt;&gt;"",AN74,IF(AB74&lt;&gt;"",AB74,AA74)),_xlpm.sent,_xlfn.MAXIFS('Rework Log'!$B$3:$B$499,'Rework Log'!$A$3:$A$499,$B74,'Rework Log'!$C$3:$C$499,"DPO*"),_xlpm.act,IF(AND(AC74&lt;&gt;"",AC74&gt;_xlpm.sent),AC74,""),IF(_xlpm.tgt="","No target set",IF(AND(_xlpm.tgt&lt;TODAY(),_xlpm.act=""),"Overdue","On track"))),IF(C74="RELEASED IN PROD","Delivered",""))))))))</f>
        <v>On track</v>
      </c>
      <c r="E74" s="31">
        <v>50</v>
      </c>
      <c r="F74" s="31"/>
      <c r="G74" s="31"/>
      <c r="H74" s="50">
        <v>46325</v>
      </c>
      <c r="I74" s="56" t="s">
        <v>236</v>
      </c>
      <c r="J74" s="54" t="s">
        <v>224</v>
      </c>
      <c r="K74" s="43">
        <v>46304</v>
      </c>
      <c r="L74" s="43"/>
      <c r="M74" s="44"/>
      <c r="N74" s="44"/>
      <c r="O74" s="44" t="s">
        <v>199</v>
      </c>
      <c r="P74" s="75"/>
      <c r="Q74" s="43">
        <v>46313</v>
      </c>
      <c r="R74" s="43"/>
      <c r="S74" s="44"/>
      <c r="T74" s="70" t="s">
        <v>237</v>
      </c>
      <c r="U74" s="47"/>
      <c r="V74" s="28">
        <v>46316</v>
      </c>
      <c r="W74" s="43"/>
      <c r="X74" s="31"/>
      <c r="Y74" s="31"/>
      <c r="Z74" s="36"/>
      <c r="AA74" s="28">
        <v>46325</v>
      </c>
      <c r="AB74" s="43"/>
      <c r="AC74" s="43"/>
      <c r="AD74" s="31" t="s">
        <v>176</v>
      </c>
      <c r="AE74" s="31" t="s">
        <v>94</v>
      </c>
      <c r="AF74" s="31"/>
      <c r="AG74" s="31"/>
      <c r="AH74" s="31"/>
      <c r="AI74" s="31"/>
      <c r="AJ74" s="31"/>
      <c r="AK74" s="31"/>
      <c r="AL74" s="31"/>
      <c r="AM74" s="32" t="str" cm="1">
        <f t="array" ref="AM74">_xlfn.LET(_xlpm.rep,$B74,_xlpm.sent,_xlfn.MAXIFS('Rework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4" s="32" t="str" cm="1">
        <f t="array" ref="AN74">_xlfn.LET(_xlpm.rep,$B74,_xlpm.sent,_xlfn.MAXIFS('Rework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5" spans="1:40" ht="14.45" hidden="1">
      <c r="A75" s="31" t="s">
        <v>127</v>
      </c>
      <c r="B75" s="31" t="s">
        <v>239</v>
      </c>
      <c r="C75" s="31" t="s">
        <v>206</v>
      </c>
      <c r="D75" t="str" cm="1">
        <f t="array" aca="1" ref="D75" ca="1">IF($B75="","",IF(LEFT($AJ75,3)="Yes","Blocked - "&amp;MID($AJ75,7,100)&amp;IF(SUMPRODUCT(('Rework Log'!$A$3:$A$499=$B75)*('Rework Log'!$G$3:$G$499&lt;&gt;"Yes")*('Rework Log'!$G$3:$G$499&lt;&gt;"Did not pass re-test"))=0,"",IF(SUMPRODUCT(MAX((('Rework Log'!$A$3:$A$499=$B75)*('Rework Log'!$G$3:$G$499&lt;&gt;"Yes")*('Rework Log'!$G$3:$G$499&lt;&gt;"Did not pass re-test"))*'Rework Log'!$I$3:$I$499))=0," - unclaimed"," - promised "&amp;TEXT(SUMPRODUCT(MAX((('Rework Log'!$A$3:$A$499=$B75)*('Rework Log'!$G$3:$G$499&lt;&gt;"Yes")*('Rework Log'!$G$3:$G$499&lt;&gt;"Did not pass re-test"))*'Rework Log'!$I$3:$I$499)),"m/d"))),IF(C75="NOT STARTED",IF(H75="","No plan date set",IF(H75&lt;TODAY(),"Review - planned start passed","On track")),IF(C75="DB Dev",IF(AND(L75="",K75=""),"No target set",IF(AND(IF(L75&lt;&gt;"",L75,K75)&lt;TODAY(),M75=""),"Overdue","On track")),IF(C75="PBI Dev",IF(AND(R75="",Q75=""),"No target set",IF(AND(IF(R75&lt;&gt;"",R75,Q75)&lt;TODAY(),S75=""),"Overdue","On track")),IF(C75="QA",_xlfn.LET(_xlpm.tgt,IF(AM75&lt;&gt;"",AM75,IF(W75&lt;&gt;"",W75,V75)),_xlpm.sent,_xlfn.MAXIFS('Rework Log'!$B$3:$B$499,'Rework Log'!$A$3:$A$499,$B75,'Rework Log'!$C$3:$C$499,"QA"),_xlpm.act,IF(AND(Y75&lt;&gt;"",Y75&gt;_xlpm.sent),Y75,""),IF(_xlpm.tgt="","No target set",IF(AND(_xlpm.tgt&lt;TODAY(),_xlpm.act=""),"Overdue","On track"))),IF(C75="DPO Approval",_xlfn.LET(_xlpm.tgt,IF(AN75&lt;&gt;"",AN75,IF(AB75&lt;&gt;"",AB75,AA75)),_xlpm.sent,_xlfn.MAXIFS('Rework Log'!$B$3:$B$499,'Rework Log'!$A$3:$A$499,$B75,'Rework Log'!$C$3:$C$499,"DPO*"),_xlpm.act,IF(AND(AC75&lt;&gt;"",AC75&gt;_xlpm.sent),AC75,""),IF(_xlpm.tgt="","No target set",IF(AND(_xlpm.tgt&lt;TODAY(),_xlpm.act=""),"Overdue","On track"))),IF(C75="RELEASED IN PROD","Delivered",""))))))))</f>
        <v>On track</v>
      </c>
      <c r="E75" s="31">
        <v>51</v>
      </c>
      <c r="F75" s="31"/>
      <c r="G75" s="31"/>
      <c r="H75" s="50">
        <v>46325</v>
      </c>
      <c r="I75" s="56" t="s">
        <v>236</v>
      </c>
      <c r="J75" s="54" t="s">
        <v>59</v>
      </c>
      <c r="K75" s="43">
        <v>46304</v>
      </c>
      <c r="L75" s="43"/>
      <c r="M75" s="44"/>
      <c r="N75" s="44"/>
      <c r="O75" s="44" t="s">
        <v>199</v>
      </c>
      <c r="P75" s="75"/>
      <c r="Q75" s="43">
        <v>46313</v>
      </c>
      <c r="R75" s="43"/>
      <c r="S75" s="44"/>
      <c r="T75" s="70" t="s">
        <v>237</v>
      </c>
      <c r="U75" s="47"/>
      <c r="V75" s="28">
        <v>46316</v>
      </c>
      <c r="W75" s="43"/>
      <c r="X75" s="31"/>
      <c r="Y75" s="31"/>
      <c r="Z75" s="36"/>
      <c r="AA75" s="28">
        <v>46325</v>
      </c>
      <c r="AB75" s="43"/>
      <c r="AC75" s="43"/>
      <c r="AD75" s="31" t="s">
        <v>240</v>
      </c>
      <c r="AE75" s="31" t="s">
        <v>94</v>
      </c>
      <c r="AF75" s="31"/>
      <c r="AG75" s="31"/>
      <c r="AH75" s="31"/>
      <c r="AI75" s="31"/>
      <c r="AJ75" s="31"/>
      <c r="AK75" s="31"/>
      <c r="AL75" s="31"/>
      <c r="AM75" s="32" t="str" cm="1">
        <f t="array" ref="AM75">_xlfn.LET(_xlpm.rep,$B75,_xlpm.sent,_xlfn.MAXIFS('Rework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5" s="32" t="str" cm="1">
        <f t="array" ref="AN75">_xlfn.LET(_xlpm.rep,$B75,_xlpm.sent,_xlfn.MAXIFS('Rework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6" spans="1:40" ht="14.45" hidden="1">
      <c r="A76" s="31" t="s">
        <v>127</v>
      </c>
      <c r="B76" s="31" t="s">
        <v>241</v>
      </c>
      <c r="C76" s="31" t="s">
        <v>206</v>
      </c>
      <c r="D76" t="str" cm="1">
        <f t="array" aca="1" ref="D76" ca="1">IF($B76="","",IF(LEFT($AJ76,3)="Yes","Blocked - "&amp;MID($AJ76,7,100)&amp;IF(SUMPRODUCT(('Rework Log'!$A$3:$A$499=$B76)*('Rework Log'!$G$3:$G$499&lt;&gt;"Yes")*('Rework Log'!$G$3:$G$499&lt;&gt;"Did not pass re-test"))=0,"",IF(SUMPRODUCT(MAX((('Rework Log'!$A$3:$A$499=$B76)*('Rework Log'!$G$3:$G$499&lt;&gt;"Yes")*('Rework Log'!$G$3:$G$499&lt;&gt;"Did not pass re-test"))*'Rework Log'!$I$3:$I$499))=0," - unclaimed"," - promised "&amp;TEXT(SUMPRODUCT(MAX((('Rework Log'!$A$3:$A$499=$B76)*('Rework Log'!$G$3:$G$499&lt;&gt;"Yes")*('Rework Log'!$G$3:$G$499&lt;&gt;"Did not pass re-test"))*'Rework Log'!$I$3:$I$499)),"m/d"))),IF(C76="NOT STARTED",IF(H76="","No plan date set",IF(H76&lt;TODAY(),"Review - planned start passed","On track")),IF(C76="DB Dev",IF(AND(L76="",K76=""),"No target set",IF(AND(IF(L76&lt;&gt;"",L76,K76)&lt;TODAY(),M76=""),"Overdue","On track")),IF(C76="PBI Dev",IF(AND(R76="",Q76=""),"No target set",IF(AND(IF(R76&lt;&gt;"",R76,Q76)&lt;TODAY(),S76=""),"Overdue","On track")),IF(C76="QA",_xlfn.LET(_xlpm.tgt,IF(AM76&lt;&gt;"",AM76,IF(W76&lt;&gt;"",W76,V76)),_xlpm.sent,_xlfn.MAXIFS('Rework Log'!$B$3:$B$499,'Rework Log'!$A$3:$A$499,$B76,'Rework Log'!$C$3:$C$499,"QA"),_xlpm.act,IF(AND(Y76&lt;&gt;"",Y76&gt;_xlpm.sent),Y76,""),IF(_xlpm.tgt="","No target set",IF(AND(_xlpm.tgt&lt;TODAY(),_xlpm.act=""),"Overdue","On track"))),IF(C76="DPO Approval",_xlfn.LET(_xlpm.tgt,IF(AN76&lt;&gt;"",AN76,IF(AB76&lt;&gt;"",AB76,AA76)),_xlpm.sent,_xlfn.MAXIFS('Rework Log'!$B$3:$B$499,'Rework Log'!$A$3:$A$499,$B76,'Rework Log'!$C$3:$C$499,"DPO*"),_xlpm.act,IF(AND(AC76&lt;&gt;"",AC76&gt;_xlpm.sent),AC76,""),IF(_xlpm.tgt="","No target set",IF(AND(_xlpm.tgt&lt;TODAY(),_xlpm.act=""),"Overdue","On track"))),IF(C76="RELEASED IN PROD","Delivered",""))))))))</f>
        <v>On track</v>
      </c>
      <c r="E76" s="31">
        <v>52</v>
      </c>
      <c r="F76" s="31"/>
      <c r="G76" s="31"/>
      <c r="H76" s="50">
        <v>46325</v>
      </c>
      <c r="I76" s="56" t="s">
        <v>236</v>
      </c>
      <c r="J76" s="54" t="s">
        <v>59</v>
      </c>
      <c r="K76" s="43">
        <v>46304</v>
      </c>
      <c r="L76" s="43"/>
      <c r="M76" s="44"/>
      <c r="N76" s="44"/>
      <c r="O76" s="44" t="s">
        <v>199</v>
      </c>
      <c r="P76" s="75"/>
      <c r="Q76" s="43">
        <v>46313</v>
      </c>
      <c r="R76" s="43"/>
      <c r="S76" s="44"/>
      <c r="T76" s="70" t="s">
        <v>237</v>
      </c>
      <c r="U76" s="47"/>
      <c r="V76" s="28">
        <v>46316</v>
      </c>
      <c r="W76" s="43"/>
      <c r="X76" s="31"/>
      <c r="Y76" s="31"/>
      <c r="Z76" s="36"/>
      <c r="AA76" s="28">
        <v>46325</v>
      </c>
      <c r="AB76" s="43"/>
      <c r="AC76" s="43"/>
      <c r="AD76" s="31" t="s">
        <v>240</v>
      </c>
      <c r="AE76" s="31" t="s">
        <v>94</v>
      </c>
      <c r="AF76" s="31"/>
      <c r="AG76" s="31"/>
      <c r="AH76" s="31"/>
      <c r="AI76" s="31"/>
      <c r="AJ76" s="31"/>
      <c r="AK76" s="31"/>
      <c r="AL76" s="31"/>
      <c r="AM76" s="32" t="str" cm="1">
        <f t="array" ref="AM76">_xlfn.LET(_xlpm.rep,$B76,_xlpm.sent,_xlfn.MAXIFS('Rework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6" s="32" t="str" cm="1">
        <f t="array" ref="AN76">_xlfn.LET(_xlpm.rep,$B76,_xlpm.sent,_xlfn.MAXIFS('Rework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7" spans="1:40" ht="14.45" hidden="1">
      <c r="A77" s="31" t="s">
        <v>127</v>
      </c>
      <c r="B77" s="31" t="s">
        <v>242</v>
      </c>
      <c r="C77" s="31" t="s">
        <v>206</v>
      </c>
      <c r="D77" t="str" cm="1">
        <f t="array" aca="1" ref="D77" ca="1">IF($B77="","",IF(LEFT($AJ77,3)="Yes","Blocked - "&amp;MID($AJ77,7,100)&amp;IF(SUMPRODUCT(('Rework Log'!$A$3:$A$499=$B77)*('Rework Log'!$G$3:$G$499&lt;&gt;"Yes")*('Rework Log'!$G$3:$G$499&lt;&gt;"Did not pass re-test"))=0,"",IF(SUMPRODUCT(MAX((('Rework Log'!$A$3:$A$499=$B77)*('Rework Log'!$G$3:$G$499&lt;&gt;"Yes")*('Rework Log'!$G$3:$G$499&lt;&gt;"Did not pass re-test"))*'Rework Log'!$I$3:$I$499))=0," - unclaimed"," - promised "&amp;TEXT(SUMPRODUCT(MAX((('Rework Log'!$A$3:$A$499=$B77)*('Rework Log'!$G$3:$G$499&lt;&gt;"Yes")*('Rework Log'!$G$3:$G$499&lt;&gt;"Did not pass re-test"))*'Rework Log'!$I$3:$I$499)),"m/d"))),IF(C77="NOT STARTED",IF(H77="","No plan date set",IF(H77&lt;TODAY(),"Review - planned start passed","On track")),IF(C77="DB Dev",IF(AND(L77="",K77=""),"No target set",IF(AND(IF(L77&lt;&gt;"",L77,K77)&lt;TODAY(),M77=""),"Overdue","On track")),IF(C77="PBI Dev",IF(AND(R77="",Q77=""),"No target set",IF(AND(IF(R77&lt;&gt;"",R77,Q77)&lt;TODAY(),S77=""),"Overdue","On track")),IF(C77="QA",_xlfn.LET(_xlpm.tgt,IF(AM77&lt;&gt;"",AM77,IF(W77&lt;&gt;"",W77,V77)),_xlpm.sent,_xlfn.MAXIFS('Rework Log'!$B$3:$B$499,'Rework Log'!$A$3:$A$499,$B77,'Rework Log'!$C$3:$C$499,"QA"),_xlpm.act,IF(AND(Y77&lt;&gt;"",Y77&gt;_xlpm.sent),Y77,""),IF(_xlpm.tgt="","No target set",IF(AND(_xlpm.tgt&lt;TODAY(),_xlpm.act=""),"Overdue","On track"))),IF(C77="DPO Approval",_xlfn.LET(_xlpm.tgt,IF(AN77&lt;&gt;"",AN77,IF(AB77&lt;&gt;"",AB77,AA77)),_xlpm.sent,_xlfn.MAXIFS('Rework Log'!$B$3:$B$499,'Rework Log'!$A$3:$A$499,$B77,'Rework Log'!$C$3:$C$499,"DPO*"),_xlpm.act,IF(AND(AC77&lt;&gt;"",AC77&gt;_xlpm.sent),AC77,""),IF(_xlpm.tgt="","No target set",IF(AND(_xlpm.tgt&lt;TODAY(),_xlpm.act=""),"Overdue","On track"))),IF(C77="RELEASED IN PROD","Delivered",""))))))))</f>
        <v>On track</v>
      </c>
      <c r="E77" s="31">
        <v>53</v>
      </c>
      <c r="F77" s="31"/>
      <c r="G77" s="31"/>
      <c r="H77" s="50">
        <v>46325</v>
      </c>
      <c r="I77" s="56" t="s">
        <v>236</v>
      </c>
      <c r="J77" s="54" t="s">
        <v>160</v>
      </c>
      <c r="K77" s="43">
        <v>46304</v>
      </c>
      <c r="L77" s="43"/>
      <c r="M77" s="44"/>
      <c r="N77" s="44"/>
      <c r="O77" s="44" t="s">
        <v>199</v>
      </c>
      <c r="P77" s="75"/>
      <c r="Q77" s="43">
        <v>46313</v>
      </c>
      <c r="R77" s="43"/>
      <c r="S77" s="44"/>
      <c r="T77" s="70" t="s">
        <v>237</v>
      </c>
      <c r="U77" s="47"/>
      <c r="V77" s="28">
        <v>46316</v>
      </c>
      <c r="W77" s="43"/>
      <c r="X77" s="31"/>
      <c r="Y77" s="31"/>
      <c r="Z77" s="36"/>
      <c r="AA77" s="28">
        <v>46325</v>
      </c>
      <c r="AB77" s="43"/>
      <c r="AC77" s="43"/>
      <c r="AD77" s="31" t="s">
        <v>240</v>
      </c>
      <c r="AE77" s="31" t="s">
        <v>94</v>
      </c>
      <c r="AF77" s="31"/>
      <c r="AG77" s="31"/>
      <c r="AH77" s="31"/>
      <c r="AI77" s="31"/>
      <c r="AJ77" s="31"/>
      <c r="AK77" s="31"/>
      <c r="AL77" s="31"/>
      <c r="AM77" s="32" t="str" cm="1">
        <f t="array" ref="AM77">_xlfn.LET(_xlpm.rep,$B77,_xlpm.sent,_xlfn.MAXIFS('Rework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7" s="32" t="str" cm="1">
        <f t="array" ref="AN77">_xlfn.LET(_xlpm.rep,$B77,_xlpm.sent,_xlfn.MAXIFS('Rework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8" spans="1:40" ht="14.45" hidden="1">
      <c r="A78" s="31" t="s">
        <v>127</v>
      </c>
      <c r="B78" s="31" t="s">
        <v>243</v>
      </c>
      <c r="C78" s="31" t="s">
        <v>206</v>
      </c>
      <c r="D78" t="str" cm="1">
        <f t="array" aca="1" ref="D78" ca="1">IF($B78="","",IF(LEFT($AJ78,3)="Yes","Blocked - "&amp;MID($AJ78,7,100)&amp;IF(SUMPRODUCT(('Rework Log'!$A$3:$A$499=$B78)*('Rework Log'!$G$3:$G$499&lt;&gt;"Yes")*('Rework Log'!$G$3:$G$499&lt;&gt;"Did not pass re-test"))=0,"",IF(SUMPRODUCT(MAX((('Rework Log'!$A$3:$A$499=$B78)*('Rework Log'!$G$3:$G$499&lt;&gt;"Yes")*('Rework Log'!$G$3:$G$499&lt;&gt;"Did not pass re-test"))*'Rework Log'!$I$3:$I$499))=0," - unclaimed"," - promised "&amp;TEXT(SUMPRODUCT(MAX((('Rework Log'!$A$3:$A$499=$B78)*('Rework Log'!$G$3:$G$499&lt;&gt;"Yes")*('Rework Log'!$G$3:$G$499&lt;&gt;"Did not pass re-test"))*'Rework Log'!$I$3:$I$499)),"m/d"))),IF(C78="NOT STARTED",IF(H78="","No plan date set",IF(H78&lt;TODAY(),"Review - planned start passed","On track")),IF(C78="DB Dev",IF(AND(L78="",K78=""),"No target set",IF(AND(IF(L78&lt;&gt;"",L78,K78)&lt;TODAY(),M78=""),"Overdue","On track")),IF(C78="PBI Dev",IF(AND(R78="",Q78=""),"No target set",IF(AND(IF(R78&lt;&gt;"",R78,Q78)&lt;TODAY(),S78=""),"Overdue","On track")),IF(C78="QA",_xlfn.LET(_xlpm.tgt,IF(AM78&lt;&gt;"",AM78,IF(W78&lt;&gt;"",W78,V78)),_xlpm.sent,_xlfn.MAXIFS('Rework Log'!$B$3:$B$499,'Rework Log'!$A$3:$A$499,$B78,'Rework Log'!$C$3:$C$499,"QA"),_xlpm.act,IF(AND(Y78&lt;&gt;"",Y78&gt;_xlpm.sent),Y78,""),IF(_xlpm.tgt="","No target set",IF(AND(_xlpm.tgt&lt;TODAY(),_xlpm.act=""),"Overdue","On track"))),IF(C78="DPO Approval",_xlfn.LET(_xlpm.tgt,IF(AN78&lt;&gt;"",AN78,IF(AB78&lt;&gt;"",AB78,AA78)),_xlpm.sent,_xlfn.MAXIFS('Rework Log'!$B$3:$B$499,'Rework Log'!$A$3:$A$499,$B78,'Rework Log'!$C$3:$C$499,"DPO*"),_xlpm.act,IF(AND(AC78&lt;&gt;"",AC78&gt;_xlpm.sent),AC78,""),IF(_xlpm.tgt="","No target set",IF(AND(_xlpm.tgt&lt;TODAY(),_xlpm.act=""),"Overdue","On track"))),IF(C78="RELEASED IN PROD","Delivered",""))))))))</f>
        <v>On track</v>
      </c>
      <c r="E78" s="31">
        <v>54</v>
      </c>
      <c r="F78" s="31"/>
      <c r="G78" s="31"/>
      <c r="H78" s="50">
        <v>46325</v>
      </c>
      <c r="I78" s="56" t="s">
        <v>236</v>
      </c>
      <c r="J78" s="54" t="s">
        <v>44</v>
      </c>
      <c r="K78" s="43">
        <v>46304</v>
      </c>
      <c r="L78" s="43"/>
      <c r="M78" s="44"/>
      <c r="N78" s="44"/>
      <c r="O78" s="44" t="s">
        <v>244</v>
      </c>
      <c r="P78" s="75"/>
      <c r="Q78" s="43">
        <v>46313</v>
      </c>
      <c r="R78" s="43"/>
      <c r="S78" s="44"/>
      <c r="T78" s="70" t="s">
        <v>237</v>
      </c>
      <c r="U78" s="47"/>
      <c r="V78" s="28">
        <v>46316</v>
      </c>
      <c r="W78" s="43"/>
      <c r="X78" s="31"/>
      <c r="Y78" s="31"/>
      <c r="Z78" s="36"/>
      <c r="AA78" s="28">
        <v>46325</v>
      </c>
      <c r="AB78" s="43"/>
      <c r="AC78" s="43"/>
      <c r="AD78" s="31" t="s">
        <v>191</v>
      </c>
      <c r="AE78" s="31" t="s">
        <v>94</v>
      </c>
      <c r="AF78" s="31"/>
      <c r="AG78" s="31"/>
      <c r="AH78" s="31"/>
      <c r="AI78" s="31"/>
      <c r="AJ78" s="31"/>
      <c r="AK78" s="31"/>
      <c r="AL78" s="31"/>
      <c r="AM78" s="32" t="str" cm="1">
        <f t="array" ref="AM78">_xlfn.LET(_xlpm.rep,$B78,_xlpm.sent,_xlfn.MAXIFS('Rework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8" s="32" t="str" cm="1">
        <f t="array" ref="AN78">_xlfn.LET(_xlpm.rep,$B78,_xlpm.sent,_xlfn.MAXIFS('Rework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9" spans="1:40" ht="14.45" hidden="1">
      <c r="A79" s="31" t="s">
        <v>127</v>
      </c>
      <c r="B79" s="31" t="s">
        <v>245</v>
      </c>
      <c r="C79" s="31" t="s">
        <v>150</v>
      </c>
      <c r="D79" t="str" cm="1">
        <f t="array" aca="1" ref="D79" ca="1">IF($B79="","",IF(LEFT($AJ79,3)="Yes","Blocked - "&amp;MID($AJ79,7,100)&amp;IF(SUMPRODUCT(('Rework Log'!$A$3:$A$499=$B79)*('Rework Log'!$G$3:$G$499&lt;&gt;"Yes")*('Rework Log'!$G$3:$G$499&lt;&gt;"Did not pass re-test"))=0,"",IF(SUMPRODUCT(MAX((('Rework Log'!$A$3:$A$499=$B79)*('Rework Log'!$G$3:$G$499&lt;&gt;"Yes")*('Rework Log'!$G$3:$G$499&lt;&gt;"Did not pass re-test"))*'Rework Log'!$I$3:$I$499))=0," - unclaimed"," - promised "&amp;TEXT(SUMPRODUCT(MAX((('Rework Log'!$A$3:$A$499=$B79)*('Rework Log'!$G$3:$G$499&lt;&gt;"Yes")*('Rework Log'!$G$3:$G$499&lt;&gt;"Did not pass re-test"))*'Rework Log'!$I$3:$I$499)),"m/d"))),IF(C79="NOT STARTED",IF(H79="","No plan date set",IF(H79&lt;TODAY(),"Review - planned start passed","On track")),IF(C79="DB Dev",IF(AND(L79="",K79=""),"No target set",IF(AND(IF(L79&lt;&gt;"",L79,K79)&lt;TODAY(),M79=""),"Overdue","On track")),IF(C79="PBI Dev",IF(AND(R79="",Q79=""),"No target set",IF(AND(IF(R79&lt;&gt;"",R79,Q79)&lt;TODAY(),S79=""),"Overdue","On track")),IF(C79="QA",_xlfn.LET(_xlpm.tgt,IF(AM79&lt;&gt;"",AM79,IF(W79&lt;&gt;"",W79,V79)),_xlpm.sent,_xlfn.MAXIFS('Rework Log'!$B$3:$B$499,'Rework Log'!$A$3:$A$499,$B79,'Rework Log'!$C$3:$C$499,"QA"),_xlpm.act,IF(AND(Y79&lt;&gt;"",Y79&gt;_xlpm.sent),Y79,""),IF(_xlpm.tgt="","No target set",IF(AND(_xlpm.tgt&lt;TODAY(),_xlpm.act=""),"Overdue","On track"))),IF(C79="DPO Approval",_xlfn.LET(_xlpm.tgt,IF(AN79&lt;&gt;"",AN79,IF(AB79&lt;&gt;"",AB79,AA79)),_xlpm.sent,_xlfn.MAXIFS('Rework Log'!$B$3:$B$499,'Rework Log'!$A$3:$A$499,$B79,'Rework Log'!$C$3:$C$499,"DPO*"),_xlpm.act,IF(AND(AC79&lt;&gt;"",AC79&gt;_xlpm.sent),AC79,""),IF(_xlpm.tgt="","No target set",IF(AND(_xlpm.tgt&lt;TODAY(),_xlpm.act=""),"Overdue","On track"))),IF(C79="RELEASED IN PROD","Delivered",""))))))))</f>
        <v>On track</v>
      </c>
      <c r="E79" s="31">
        <v>55</v>
      </c>
      <c r="F79" s="31"/>
      <c r="G79" s="31"/>
      <c r="H79" s="50">
        <v>46326</v>
      </c>
      <c r="I79" s="56" t="s">
        <v>236</v>
      </c>
      <c r="J79" s="54" t="s">
        <v>76</v>
      </c>
      <c r="K79" s="43">
        <v>46304</v>
      </c>
      <c r="L79" s="43">
        <v>46266</v>
      </c>
      <c r="M79" s="47">
        <v>46266</v>
      </c>
      <c r="N79" s="44" t="s">
        <v>246</v>
      </c>
      <c r="O79" s="44" t="s">
        <v>199</v>
      </c>
      <c r="P79" s="75"/>
      <c r="Q79" s="43">
        <v>46313</v>
      </c>
      <c r="R79" s="43"/>
      <c r="S79" s="44"/>
      <c r="T79" s="70" t="s">
        <v>237</v>
      </c>
      <c r="U79" s="47"/>
      <c r="V79" s="28">
        <v>46316</v>
      </c>
      <c r="W79" s="43"/>
      <c r="X79" s="31"/>
      <c r="Y79" s="31"/>
      <c r="Z79" s="36"/>
      <c r="AA79" s="28">
        <v>46325</v>
      </c>
      <c r="AB79" s="43"/>
      <c r="AC79" s="43"/>
      <c r="AD79" s="31" t="s">
        <v>247</v>
      </c>
      <c r="AE79" s="31" t="s">
        <v>94</v>
      </c>
      <c r="AF79" s="31"/>
      <c r="AG79" s="31"/>
      <c r="AH79" s="31"/>
      <c r="AI79" s="31"/>
      <c r="AJ79" s="31"/>
      <c r="AK79" s="31"/>
      <c r="AL79" s="31"/>
      <c r="AM79" s="32" t="str" cm="1">
        <f t="array" ref="AM79">_xlfn.LET(_xlpm.rep,$B79,_xlpm.sent,_xlfn.MAXIFS('Rework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9" s="32" t="str" cm="1">
        <f t="array" ref="AN79">_xlfn.LET(_xlpm.rep,$B79,_xlpm.sent,_xlfn.MAXIFS('Rework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0" spans="1:40" ht="14.45" hidden="1">
      <c r="A80" s="31" t="s">
        <v>127</v>
      </c>
      <c r="B80" s="31" t="s">
        <v>248</v>
      </c>
      <c r="C80" s="31" t="s">
        <v>206</v>
      </c>
      <c r="D80" t="str" cm="1">
        <f t="array" aca="1" ref="D80" ca="1">IF($B80="","",IF(LEFT($AJ80,3)="Yes","Blocked - "&amp;MID($AJ80,7,100)&amp;IF(SUMPRODUCT(('Rework Log'!$A$3:$A$499=$B80)*('Rework Log'!$G$3:$G$499&lt;&gt;"Yes")*('Rework Log'!$G$3:$G$499&lt;&gt;"Did not pass re-test"))=0,"",IF(SUMPRODUCT(MAX((('Rework Log'!$A$3:$A$499=$B80)*('Rework Log'!$G$3:$G$499&lt;&gt;"Yes")*('Rework Log'!$G$3:$G$499&lt;&gt;"Did not pass re-test"))*'Rework Log'!$I$3:$I$499))=0," - unclaimed"," - promised "&amp;TEXT(SUMPRODUCT(MAX((('Rework Log'!$A$3:$A$499=$B80)*('Rework Log'!$G$3:$G$499&lt;&gt;"Yes")*('Rework Log'!$G$3:$G$499&lt;&gt;"Did not pass re-test"))*'Rework Log'!$I$3:$I$499)),"m/d"))),IF(C80="NOT STARTED",IF(H80="","No plan date set",IF(H80&lt;TODAY(),"Review - planned start passed","On track")),IF(C80="DB Dev",IF(AND(L80="",K80=""),"No target set",IF(AND(IF(L80&lt;&gt;"",L80,K80)&lt;TODAY(),M80=""),"Overdue","On track")),IF(C80="PBI Dev",IF(AND(R80="",Q80=""),"No target set",IF(AND(IF(R80&lt;&gt;"",R80,Q80)&lt;TODAY(),S80=""),"Overdue","On track")),IF(C80="QA",_xlfn.LET(_xlpm.tgt,IF(AM80&lt;&gt;"",AM80,IF(W80&lt;&gt;"",W80,V80)),_xlpm.sent,_xlfn.MAXIFS('Rework Log'!$B$3:$B$499,'Rework Log'!$A$3:$A$499,$B80,'Rework Log'!$C$3:$C$499,"QA"),_xlpm.act,IF(AND(Y80&lt;&gt;"",Y80&gt;_xlpm.sent),Y80,""),IF(_xlpm.tgt="","No target set",IF(AND(_xlpm.tgt&lt;TODAY(),_xlpm.act=""),"Overdue","On track"))),IF(C80="DPO Approval",_xlfn.LET(_xlpm.tgt,IF(AN80&lt;&gt;"",AN80,IF(AB80&lt;&gt;"",AB80,AA80)),_xlpm.sent,_xlfn.MAXIFS('Rework Log'!$B$3:$B$499,'Rework Log'!$A$3:$A$499,$B80,'Rework Log'!$C$3:$C$499,"DPO*"),_xlpm.act,IF(AND(AC80&lt;&gt;"",AC80&gt;_xlpm.sent),AC80,""),IF(_xlpm.tgt="","No target set",IF(AND(_xlpm.tgt&lt;TODAY(),_xlpm.act=""),"Overdue","On track"))),IF(C80="RELEASED IN PROD","Delivered",""))))))))</f>
        <v>On track</v>
      </c>
      <c r="E80" s="31">
        <v>56</v>
      </c>
      <c r="F80" s="31"/>
      <c r="G80" s="31"/>
      <c r="H80" s="50">
        <v>46325</v>
      </c>
      <c r="I80" s="56" t="s">
        <v>236</v>
      </c>
      <c r="J80" s="54" t="s">
        <v>249</v>
      </c>
      <c r="K80" s="43">
        <v>46304</v>
      </c>
      <c r="L80" s="43"/>
      <c r="M80" s="44"/>
      <c r="N80" s="44"/>
      <c r="O80" s="44" t="s">
        <v>244</v>
      </c>
      <c r="P80" s="75"/>
      <c r="Q80" s="43">
        <v>46313</v>
      </c>
      <c r="R80" s="43"/>
      <c r="S80" s="44"/>
      <c r="T80" s="70" t="s">
        <v>237</v>
      </c>
      <c r="U80" s="47"/>
      <c r="V80" s="28">
        <v>46316</v>
      </c>
      <c r="W80" s="43"/>
      <c r="X80" s="31"/>
      <c r="Y80" s="31"/>
      <c r="Z80" s="36"/>
      <c r="AA80" s="28">
        <v>46325</v>
      </c>
      <c r="AB80" s="43"/>
      <c r="AC80" s="43"/>
      <c r="AD80" s="31" t="s">
        <v>210</v>
      </c>
      <c r="AE80" s="31" t="s">
        <v>94</v>
      </c>
      <c r="AF80" s="31"/>
      <c r="AG80" s="31"/>
      <c r="AH80" s="31"/>
      <c r="AI80" s="31"/>
      <c r="AJ80" s="31"/>
      <c r="AK80" s="31"/>
      <c r="AL80" s="31"/>
      <c r="AM80" s="32" t="str" cm="1">
        <f t="array" ref="AM80">_xlfn.LET(_xlpm.rep,$B80,_xlpm.sent,_xlfn.MAXIFS('Rework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0" s="32" t="str" cm="1">
        <f t="array" ref="AN80">_xlfn.LET(_xlpm.rep,$B80,_xlpm.sent,_xlfn.MAXIFS('Rework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1" spans="1:40" ht="14.45" hidden="1">
      <c r="A81" s="31" t="s">
        <v>127</v>
      </c>
      <c r="B81" s="31" t="s">
        <v>250</v>
      </c>
      <c r="C81" s="31" t="s">
        <v>206</v>
      </c>
      <c r="D81" t="str" cm="1">
        <f t="array" aca="1" ref="D81" ca="1">IF($B81="","",IF(LEFT($AJ81,3)="Yes","Blocked - "&amp;MID($AJ81,7,100)&amp;IF(SUMPRODUCT(('Rework Log'!$A$3:$A$499=$B81)*('Rework Log'!$G$3:$G$499&lt;&gt;"Yes")*('Rework Log'!$G$3:$G$499&lt;&gt;"Did not pass re-test"))=0,"",IF(SUMPRODUCT(MAX((('Rework Log'!$A$3:$A$499=$B81)*('Rework Log'!$G$3:$G$499&lt;&gt;"Yes")*('Rework Log'!$G$3:$G$499&lt;&gt;"Did not pass re-test"))*'Rework Log'!$I$3:$I$499))=0," - unclaimed"," - promised "&amp;TEXT(SUMPRODUCT(MAX((('Rework Log'!$A$3:$A$499=$B81)*('Rework Log'!$G$3:$G$499&lt;&gt;"Yes")*('Rework Log'!$G$3:$G$499&lt;&gt;"Did not pass re-test"))*'Rework Log'!$I$3:$I$499)),"m/d"))),IF(C81="NOT STARTED",IF(H81="","No plan date set",IF(H81&lt;TODAY(),"Review - planned start passed","On track")),IF(C81="DB Dev",IF(AND(L81="",K81=""),"No target set",IF(AND(IF(L81&lt;&gt;"",L81,K81)&lt;TODAY(),M81=""),"Overdue","On track")),IF(C81="PBI Dev",IF(AND(R81="",Q81=""),"No target set",IF(AND(IF(R81&lt;&gt;"",R81,Q81)&lt;TODAY(),S81=""),"Overdue","On track")),IF(C81="QA",_xlfn.LET(_xlpm.tgt,IF(AM81&lt;&gt;"",AM81,IF(W81&lt;&gt;"",W81,V81)),_xlpm.sent,_xlfn.MAXIFS('Rework Log'!$B$3:$B$499,'Rework Log'!$A$3:$A$499,$B81,'Rework Log'!$C$3:$C$499,"QA"),_xlpm.act,IF(AND(Y81&lt;&gt;"",Y81&gt;_xlpm.sent),Y81,""),IF(_xlpm.tgt="","No target set",IF(AND(_xlpm.tgt&lt;TODAY(),_xlpm.act=""),"Overdue","On track"))),IF(C81="DPO Approval",_xlfn.LET(_xlpm.tgt,IF(AN81&lt;&gt;"",AN81,IF(AB81&lt;&gt;"",AB81,AA81)),_xlpm.sent,_xlfn.MAXIFS('Rework Log'!$B$3:$B$499,'Rework Log'!$A$3:$A$499,$B81,'Rework Log'!$C$3:$C$499,"DPO*"),_xlpm.act,IF(AND(AC81&lt;&gt;"",AC81&gt;_xlpm.sent),AC81,""),IF(_xlpm.tgt="","No target set",IF(AND(_xlpm.tgt&lt;TODAY(),_xlpm.act=""),"Overdue","On track"))),IF(C81="RELEASED IN PROD","Delivered",""))))))))</f>
        <v>On track</v>
      </c>
      <c r="E81" s="31">
        <v>57</v>
      </c>
      <c r="F81" s="31"/>
      <c r="G81" s="31"/>
      <c r="H81" s="50">
        <v>46325</v>
      </c>
      <c r="I81" s="56" t="s">
        <v>236</v>
      </c>
      <c r="J81" s="54" t="s">
        <v>249</v>
      </c>
      <c r="K81" s="43">
        <v>46304</v>
      </c>
      <c r="L81" s="43"/>
      <c r="M81" s="44"/>
      <c r="N81" s="44"/>
      <c r="O81" s="44" t="s">
        <v>244</v>
      </c>
      <c r="P81" s="75"/>
      <c r="Q81" s="43">
        <v>46313</v>
      </c>
      <c r="R81" s="43"/>
      <c r="S81" s="44"/>
      <c r="T81" s="69" t="s">
        <v>251</v>
      </c>
      <c r="U81" s="47"/>
      <c r="V81" s="28">
        <v>46316</v>
      </c>
      <c r="W81" s="43"/>
      <c r="X81" s="31"/>
      <c r="Y81" s="31"/>
      <c r="Z81" s="36"/>
      <c r="AA81" s="28">
        <v>46325</v>
      </c>
      <c r="AB81" s="43"/>
      <c r="AC81" s="43"/>
      <c r="AD81" s="31" t="s">
        <v>218</v>
      </c>
      <c r="AE81" s="31" t="s">
        <v>94</v>
      </c>
      <c r="AF81" s="31"/>
      <c r="AG81" s="31"/>
      <c r="AH81" s="31"/>
      <c r="AI81" s="31"/>
      <c r="AJ81" s="31"/>
      <c r="AK81" s="31"/>
      <c r="AL81" s="31"/>
      <c r="AM81" s="32" t="str" cm="1">
        <f t="array" ref="AM81">_xlfn.LET(_xlpm.rep,$B81,_xlpm.sent,_xlfn.MAXIFS('Rework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1" s="32" t="str" cm="1">
        <f t="array" ref="AN81">_xlfn.LET(_xlpm.rep,$B81,_xlpm.sent,_xlfn.MAXIFS('Rework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2" spans="1:40" ht="14.45" hidden="1">
      <c r="A82" s="31" t="s">
        <v>127</v>
      </c>
      <c r="B82" s="31" t="s">
        <v>252</v>
      </c>
      <c r="C82" s="31" t="s">
        <v>206</v>
      </c>
      <c r="D82" t="str" cm="1">
        <f t="array" aca="1" ref="D82" ca="1">IF($B82="","",IF(LEFT($AJ82,3)="Yes","Blocked - "&amp;MID($AJ82,7,100)&amp;IF(SUMPRODUCT(('Rework Log'!$A$3:$A$499=$B82)*('Rework Log'!$G$3:$G$499&lt;&gt;"Yes")*('Rework Log'!$G$3:$G$499&lt;&gt;"Did not pass re-test"))=0,"",IF(SUMPRODUCT(MAX((('Rework Log'!$A$3:$A$499=$B82)*('Rework Log'!$G$3:$G$499&lt;&gt;"Yes")*('Rework Log'!$G$3:$G$499&lt;&gt;"Did not pass re-test"))*'Rework Log'!$I$3:$I$499))=0," - unclaimed"," - promised "&amp;TEXT(SUMPRODUCT(MAX((('Rework Log'!$A$3:$A$499=$B82)*('Rework Log'!$G$3:$G$499&lt;&gt;"Yes")*('Rework Log'!$G$3:$G$499&lt;&gt;"Did not pass re-test"))*'Rework Log'!$I$3:$I$499)),"m/d"))),IF(C82="NOT STARTED",IF(H82="","No plan date set",IF(H82&lt;TODAY(),"Review - planned start passed","On track")),IF(C82="DB Dev",IF(AND(L82="",K82=""),"No target set",IF(AND(IF(L82&lt;&gt;"",L82,K82)&lt;TODAY(),M82=""),"Overdue","On track")),IF(C82="PBI Dev",IF(AND(R82="",Q82=""),"No target set",IF(AND(IF(R82&lt;&gt;"",R82,Q82)&lt;TODAY(),S82=""),"Overdue","On track")),IF(C82="QA",_xlfn.LET(_xlpm.tgt,IF(AM82&lt;&gt;"",AM82,IF(W82&lt;&gt;"",W82,V82)),_xlpm.sent,_xlfn.MAXIFS('Rework Log'!$B$3:$B$499,'Rework Log'!$A$3:$A$499,$B82,'Rework Log'!$C$3:$C$499,"QA"),_xlpm.act,IF(AND(Y82&lt;&gt;"",Y82&gt;_xlpm.sent),Y82,""),IF(_xlpm.tgt="","No target set",IF(AND(_xlpm.tgt&lt;TODAY(),_xlpm.act=""),"Overdue","On track"))),IF(C82="DPO Approval",_xlfn.LET(_xlpm.tgt,IF(AN82&lt;&gt;"",AN82,IF(AB82&lt;&gt;"",AB82,AA82)),_xlpm.sent,_xlfn.MAXIFS('Rework Log'!$B$3:$B$499,'Rework Log'!$A$3:$A$499,$B82,'Rework Log'!$C$3:$C$499,"DPO*"),_xlpm.act,IF(AND(AC82&lt;&gt;"",AC82&gt;_xlpm.sent),AC82,""),IF(_xlpm.tgt="","No target set",IF(AND(_xlpm.tgt&lt;TODAY(),_xlpm.act=""),"Overdue","On track"))),IF(C82="RELEASED IN PROD","Delivered",""))))))))</f>
        <v>On track</v>
      </c>
      <c r="E82" s="31">
        <v>58</v>
      </c>
      <c r="F82" s="31"/>
      <c r="G82" s="31"/>
      <c r="H82" s="50">
        <v>46325</v>
      </c>
      <c r="I82" s="56" t="s">
        <v>236</v>
      </c>
      <c r="J82" s="54" t="s">
        <v>160</v>
      </c>
      <c r="K82" s="43">
        <v>46304</v>
      </c>
      <c r="L82" s="43"/>
      <c r="M82" s="44"/>
      <c r="N82" s="44"/>
      <c r="O82" s="44" t="s">
        <v>244</v>
      </c>
      <c r="P82" s="75"/>
      <c r="Q82" s="43">
        <v>46313</v>
      </c>
      <c r="R82" s="43"/>
      <c r="S82" s="44"/>
      <c r="T82" s="69" t="s">
        <v>251</v>
      </c>
      <c r="U82" s="47"/>
      <c r="V82" s="28">
        <v>46316</v>
      </c>
      <c r="W82" s="43"/>
      <c r="X82" s="31"/>
      <c r="Y82" s="31"/>
      <c r="Z82" s="36"/>
      <c r="AA82" s="28">
        <v>46325</v>
      </c>
      <c r="AB82" s="43"/>
      <c r="AC82" s="43"/>
      <c r="AD82" s="31" t="s">
        <v>253</v>
      </c>
      <c r="AE82" s="31" t="s">
        <v>94</v>
      </c>
      <c r="AF82" s="31"/>
      <c r="AG82" s="31"/>
      <c r="AH82" s="31"/>
      <c r="AI82" s="31"/>
      <c r="AJ82" s="31"/>
      <c r="AK82" s="31"/>
      <c r="AL82" s="31"/>
      <c r="AM82" s="32" t="str" cm="1">
        <f t="array" ref="AM82">_xlfn.LET(_xlpm.rep,$B82,_xlpm.sent,_xlfn.MAXIFS('Rework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2" s="32" t="str" cm="1">
        <f t="array" ref="AN82">_xlfn.LET(_xlpm.rep,$B82,_xlpm.sent,_xlfn.MAXIFS('Rework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3" spans="1:40" ht="14.45" hidden="1">
      <c r="A83" s="31" t="s">
        <v>127</v>
      </c>
      <c r="B83" s="31" t="s">
        <v>254</v>
      </c>
      <c r="C83" s="31" t="s">
        <v>206</v>
      </c>
      <c r="D83" t="str" cm="1">
        <f t="array" aca="1" ref="D83" ca="1">IF($B83="","",IF(LEFT($AJ83,3)="Yes","Blocked - "&amp;MID($AJ83,7,100)&amp;IF(SUMPRODUCT(('Rework Log'!$A$3:$A$499=$B83)*('Rework Log'!$G$3:$G$499&lt;&gt;"Yes")*('Rework Log'!$G$3:$G$499&lt;&gt;"Did not pass re-test"))=0,"",IF(SUMPRODUCT(MAX((('Rework Log'!$A$3:$A$499=$B83)*('Rework Log'!$G$3:$G$499&lt;&gt;"Yes")*('Rework Log'!$G$3:$G$499&lt;&gt;"Did not pass re-test"))*'Rework Log'!$I$3:$I$499))=0," - unclaimed"," - promised "&amp;TEXT(SUMPRODUCT(MAX((('Rework Log'!$A$3:$A$499=$B83)*('Rework Log'!$G$3:$G$499&lt;&gt;"Yes")*('Rework Log'!$G$3:$G$499&lt;&gt;"Did not pass re-test"))*'Rework Log'!$I$3:$I$499)),"m/d"))),IF(C83="NOT STARTED",IF(H83="","No plan date set",IF(H83&lt;TODAY(),"Review - planned start passed","On track")),IF(C83="DB Dev",IF(AND(L83="",K83=""),"No target set",IF(AND(IF(L83&lt;&gt;"",L83,K83)&lt;TODAY(),M83=""),"Overdue","On track")),IF(C83="PBI Dev",IF(AND(R83="",Q83=""),"No target set",IF(AND(IF(R83&lt;&gt;"",R83,Q83)&lt;TODAY(),S83=""),"Overdue","On track")),IF(C83="QA",_xlfn.LET(_xlpm.tgt,IF(AM83&lt;&gt;"",AM83,IF(W83&lt;&gt;"",W83,V83)),_xlpm.sent,_xlfn.MAXIFS('Rework Log'!$B$3:$B$499,'Rework Log'!$A$3:$A$499,$B83,'Rework Log'!$C$3:$C$499,"QA"),_xlpm.act,IF(AND(Y83&lt;&gt;"",Y83&gt;_xlpm.sent),Y83,""),IF(_xlpm.tgt="","No target set",IF(AND(_xlpm.tgt&lt;TODAY(),_xlpm.act=""),"Overdue","On track"))),IF(C83="DPO Approval",_xlfn.LET(_xlpm.tgt,IF(AN83&lt;&gt;"",AN83,IF(AB83&lt;&gt;"",AB83,AA83)),_xlpm.sent,_xlfn.MAXIFS('Rework Log'!$B$3:$B$499,'Rework Log'!$A$3:$A$499,$B83,'Rework Log'!$C$3:$C$499,"DPO*"),_xlpm.act,IF(AND(AC83&lt;&gt;"",AC83&gt;_xlpm.sent),AC83,""),IF(_xlpm.tgt="","No target set",IF(AND(_xlpm.tgt&lt;TODAY(),_xlpm.act=""),"Overdue","On track"))),IF(C83="RELEASED IN PROD","Delivered",""))))))))</f>
        <v>On track</v>
      </c>
      <c r="E83" s="31">
        <v>59</v>
      </c>
      <c r="F83" s="31"/>
      <c r="G83" s="31"/>
      <c r="H83" s="50">
        <v>46325</v>
      </c>
      <c r="I83" s="56" t="s">
        <v>236</v>
      </c>
      <c r="J83" s="54" t="s">
        <v>76</v>
      </c>
      <c r="K83" s="43">
        <v>46304</v>
      </c>
      <c r="L83" s="43"/>
      <c r="M83" s="44"/>
      <c r="N83" s="44"/>
      <c r="O83" s="44" t="s">
        <v>244</v>
      </c>
      <c r="P83" s="75"/>
      <c r="Q83" s="43">
        <v>46313</v>
      </c>
      <c r="R83" s="43"/>
      <c r="S83" s="44"/>
      <c r="T83" s="69" t="s">
        <v>251</v>
      </c>
      <c r="U83" s="47"/>
      <c r="V83" s="28">
        <v>46316</v>
      </c>
      <c r="W83" s="43"/>
      <c r="X83" s="31"/>
      <c r="Y83" s="31"/>
      <c r="Z83" s="36"/>
      <c r="AA83" s="28">
        <v>46325</v>
      </c>
      <c r="AB83" s="43"/>
      <c r="AC83" s="43"/>
      <c r="AD83" s="31" t="s">
        <v>255</v>
      </c>
      <c r="AE83" s="31" t="s">
        <v>94</v>
      </c>
      <c r="AF83" s="31"/>
      <c r="AG83" s="31"/>
      <c r="AH83" s="31"/>
      <c r="AI83" s="31"/>
      <c r="AJ83" s="31"/>
      <c r="AK83" s="31"/>
      <c r="AL83" s="31"/>
      <c r="AM83" s="32" t="str" cm="1">
        <f t="array" ref="AM83">_xlfn.LET(_xlpm.rep,$B83,_xlpm.sent,_xlfn.MAXIFS('Rework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3" s="32" t="str" cm="1">
        <f t="array" ref="AN83">_xlfn.LET(_xlpm.rep,$B83,_xlpm.sent,_xlfn.MAXIFS('Rework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4" spans="1:40" ht="14.45" hidden="1">
      <c r="A84" s="31" t="s">
        <v>127</v>
      </c>
      <c r="B84" s="31" t="s">
        <v>256</v>
      </c>
      <c r="C84" s="31" t="s">
        <v>206</v>
      </c>
      <c r="D84" t="str" cm="1">
        <f t="array" aca="1" ref="D84" ca="1">IF($B84="","",IF(LEFT($AJ84,3)="Yes","Blocked - "&amp;MID($AJ84,7,100)&amp;IF(SUMPRODUCT(('Rework Log'!$A$3:$A$499=$B84)*('Rework Log'!$G$3:$G$499&lt;&gt;"Yes")*('Rework Log'!$G$3:$G$499&lt;&gt;"Did not pass re-test"))=0,"",IF(SUMPRODUCT(MAX((('Rework Log'!$A$3:$A$499=$B84)*('Rework Log'!$G$3:$G$499&lt;&gt;"Yes")*('Rework Log'!$G$3:$G$499&lt;&gt;"Did not pass re-test"))*'Rework Log'!$I$3:$I$499))=0," - unclaimed"," - promised "&amp;TEXT(SUMPRODUCT(MAX((('Rework Log'!$A$3:$A$499=$B84)*('Rework Log'!$G$3:$G$499&lt;&gt;"Yes")*('Rework Log'!$G$3:$G$499&lt;&gt;"Did not pass re-test"))*'Rework Log'!$I$3:$I$499)),"m/d"))),IF(C84="NOT STARTED",IF(H84="","No plan date set",IF(H84&lt;TODAY(),"Review - planned start passed","On track")),IF(C84="DB Dev",IF(AND(L84="",K84=""),"No target set",IF(AND(IF(L84&lt;&gt;"",L84,K84)&lt;TODAY(),M84=""),"Overdue","On track")),IF(C84="PBI Dev",IF(AND(R84="",Q84=""),"No target set",IF(AND(IF(R84&lt;&gt;"",R84,Q84)&lt;TODAY(),S84=""),"Overdue","On track")),IF(C84="QA",_xlfn.LET(_xlpm.tgt,IF(AM84&lt;&gt;"",AM84,IF(W84&lt;&gt;"",W84,V84)),_xlpm.sent,_xlfn.MAXIFS('Rework Log'!$B$3:$B$499,'Rework Log'!$A$3:$A$499,$B84,'Rework Log'!$C$3:$C$499,"QA"),_xlpm.act,IF(AND(Y84&lt;&gt;"",Y84&gt;_xlpm.sent),Y84,""),IF(_xlpm.tgt="","No target set",IF(AND(_xlpm.tgt&lt;TODAY(),_xlpm.act=""),"Overdue","On track"))),IF(C84="DPO Approval",_xlfn.LET(_xlpm.tgt,IF(AN84&lt;&gt;"",AN84,IF(AB84&lt;&gt;"",AB84,AA84)),_xlpm.sent,_xlfn.MAXIFS('Rework Log'!$B$3:$B$499,'Rework Log'!$A$3:$A$499,$B84,'Rework Log'!$C$3:$C$499,"DPO*"),_xlpm.act,IF(AND(AC84&lt;&gt;"",AC84&gt;_xlpm.sent),AC84,""),IF(_xlpm.tgt="","No target set",IF(AND(_xlpm.tgt&lt;TODAY(),_xlpm.act=""),"Overdue","On track"))),IF(C84="RELEASED IN PROD","Delivered",""))))))))</f>
        <v>On track</v>
      </c>
      <c r="E84" s="31">
        <v>60</v>
      </c>
      <c r="F84" s="31"/>
      <c r="G84" s="31"/>
      <c r="H84" s="50">
        <v>46325</v>
      </c>
      <c r="I84" s="56" t="s">
        <v>236</v>
      </c>
      <c r="J84" s="54" t="s">
        <v>76</v>
      </c>
      <c r="K84" s="43">
        <v>46304</v>
      </c>
      <c r="L84" s="43"/>
      <c r="M84" s="44"/>
      <c r="N84" s="44"/>
      <c r="O84" s="44" t="s">
        <v>244</v>
      </c>
      <c r="P84" s="75"/>
      <c r="Q84" s="43">
        <v>46313</v>
      </c>
      <c r="R84" s="43"/>
      <c r="S84" s="44"/>
      <c r="T84" s="69" t="s">
        <v>251</v>
      </c>
      <c r="U84" s="47"/>
      <c r="V84" s="28">
        <v>46316</v>
      </c>
      <c r="W84" s="43"/>
      <c r="X84" s="31"/>
      <c r="Y84" s="31"/>
      <c r="Z84" s="36"/>
      <c r="AA84" s="28">
        <v>46325</v>
      </c>
      <c r="AB84" s="43"/>
      <c r="AC84" s="43"/>
      <c r="AD84" s="31" t="s">
        <v>194</v>
      </c>
      <c r="AE84" s="31" t="s">
        <v>72</v>
      </c>
      <c r="AF84" s="31"/>
      <c r="AG84" s="31"/>
      <c r="AH84" s="31"/>
      <c r="AI84" s="31"/>
      <c r="AJ84" s="31"/>
      <c r="AK84" s="31"/>
      <c r="AL84" s="31"/>
      <c r="AM84" s="32" t="str" cm="1">
        <f t="array" ref="AM84">_xlfn.LET(_xlpm.rep,$B84,_xlpm.sent,_xlfn.MAXIFS('Rework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4" s="32" t="str" cm="1">
        <f t="array" ref="AN84">_xlfn.LET(_xlpm.rep,$B84,_xlpm.sent,_xlfn.MAXIFS('Rework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5" spans="1:40" ht="14.45" hidden="1">
      <c r="A85" s="31" t="s">
        <v>127</v>
      </c>
      <c r="B85" s="31" t="s">
        <v>257</v>
      </c>
      <c r="C85" s="31" t="s">
        <v>206</v>
      </c>
      <c r="D85" t="str" cm="1">
        <f t="array" aca="1" ref="D85" ca="1">IF($B85="","",IF(LEFT($AJ85,3)="Yes","Blocked - "&amp;MID($AJ85,7,100)&amp;IF(SUMPRODUCT(('Rework Log'!$A$3:$A$499=$B85)*('Rework Log'!$G$3:$G$499&lt;&gt;"Yes")*('Rework Log'!$G$3:$G$499&lt;&gt;"Did not pass re-test"))=0,"",IF(SUMPRODUCT(MAX((('Rework Log'!$A$3:$A$499=$B85)*('Rework Log'!$G$3:$G$499&lt;&gt;"Yes")*('Rework Log'!$G$3:$G$499&lt;&gt;"Did not pass re-test"))*'Rework Log'!$I$3:$I$499))=0," - unclaimed"," - promised "&amp;TEXT(SUMPRODUCT(MAX((('Rework Log'!$A$3:$A$499=$B85)*('Rework Log'!$G$3:$G$499&lt;&gt;"Yes")*('Rework Log'!$G$3:$G$499&lt;&gt;"Did not pass re-test"))*'Rework Log'!$I$3:$I$499)),"m/d"))),IF(C85="NOT STARTED",IF(H85="","No plan date set",IF(H85&lt;TODAY(),"Review - planned start passed","On track")),IF(C85="DB Dev",IF(AND(L85="",K85=""),"No target set",IF(AND(IF(L85&lt;&gt;"",L85,K85)&lt;TODAY(),M85=""),"Overdue","On track")),IF(C85="PBI Dev",IF(AND(R85="",Q85=""),"No target set",IF(AND(IF(R85&lt;&gt;"",R85,Q85)&lt;TODAY(),S85=""),"Overdue","On track")),IF(C85="QA",_xlfn.LET(_xlpm.tgt,IF(AM85&lt;&gt;"",AM85,IF(W85&lt;&gt;"",W85,V85)),_xlpm.sent,_xlfn.MAXIFS('Rework Log'!$B$3:$B$499,'Rework Log'!$A$3:$A$499,$B85,'Rework Log'!$C$3:$C$499,"QA"),_xlpm.act,IF(AND(Y85&lt;&gt;"",Y85&gt;_xlpm.sent),Y85,""),IF(_xlpm.tgt="","No target set",IF(AND(_xlpm.tgt&lt;TODAY(),_xlpm.act=""),"Overdue","On track"))),IF(C85="DPO Approval",_xlfn.LET(_xlpm.tgt,IF(AN85&lt;&gt;"",AN85,IF(AB85&lt;&gt;"",AB85,AA85)),_xlpm.sent,_xlfn.MAXIFS('Rework Log'!$B$3:$B$499,'Rework Log'!$A$3:$A$499,$B85,'Rework Log'!$C$3:$C$499,"DPO*"),_xlpm.act,IF(AND(AC85&lt;&gt;"",AC85&gt;_xlpm.sent),AC85,""),IF(_xlpm.tgt="","No target set",IF(AND(_xlpm.tgt&lt;TODAY(),_xlpm.act=""),"Overdue","On track"))),IF(C85="RELEASED IN PROD","Delivered",""))))))))</f>
        <v>On track</v>
      </c>
      <c r="E85" s="31" t="s">
        <v>258</v>
      </c>
      <c r="F85" s="31"/>
      <c r="G85" s="31"/>
      <c r="H85" s="50">
        <v>46325</v>
      </c>
      <c r="I85" s="56" t="s">
        <v>236</v>
      </c>
      <c r="J85" s="54" t="s">
        <v>44</v>
      </c>
      <c r="K85" s="43">
        <v>46304</v>
      </c>
      <c r="L85" s="43"/>
      <c r="M85" s="44"/>
      <c r="N85" s="44"/>
      <c r="O85" s="44" t="s">
        <v>244</v>
      </c>
      <c r="P85" s="75"/>
      <c r="Q85" s="43">
        <v>46313</v>
      </c>
      <c r="R85" s="43"/>
      <c r="S85" s="44"/>
      <c r="T85" s="69" t="s">
        <v>251</v>
      </c>
      <c r="U85" s="47"/>
      <c r="V85" s="28">
        <v>46316</v>
      </c>
      <c r="W85" s="43"/>
      <c r="X85" s="31"/>
      <c r="Y85" s="31"/>
      <c r="Z85" s="36"/>
      <c r="AA85" s="28">
        <v>46325</v>
      </c>
      <c r="AB85" s="43"/>
      <c r="AC85" s="43"/>
      <c r="AD85" s="31" t="s">
        <v>191</v>
      </c>
      <c r="AE85" s="31" t="s">
        <v>94</v>
      </c>
      <c r="AF85" s="31"/>
      <c r="AG85" s="31"/>
      <c r="AH85" s="31"/>
      <c r="AI85" s="31"/>
      <c r="AJ85" s="31"/>
      <c r="AK85" s="31"/>
      <c r="AL85" s="31"/>
      <c r="AM85" s="32" t="str" cm="1">
        <f t="array" ref="AM85">_xlfn.LET(_xlpm.rep,$B85,_xlpm.sent,_xlfn.MAXIFS('Rework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5" s="32" t="str" cm="1">
        <f t="array" ref="AN85">_xlfn.LET(_xlpm.rep,$B85,_xlpm.sent,_xlfn.MAXIFS('Rework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6" spans="1:40" ht="14.45" hidden="1">
      <c r="A86" s="31" t="s">
        <v>127</v>
      </c>
      <c r="B86" s="31" t="s">
        <v>259</v>
      </c>
      <c r="C86" s="31" t="s">
        <v>206</v>
      </c>
      <c r="D86" t="str" cm="1">
        <f t="array" aca="1" ref="D86" ca="1">IF($B86="","",IF(LEFT($AJ86,3)="Yes","Blocked - "&amp;MID($AJ86,7,100)&amp;IF(SUMPRODUCT(('Rework Log'!$A$3:$A$499=$B86)*('Rework Log'!$G$3:$G$499&lt;&gt;"Yes")*('Rework Log'!$G$3:$G$499&lt;&gt;"Did not pass re-test"))=0,"",IF(SUMPRODUCT(MAX((('Rework Log'!$A$3:$A$499=$B86)*('Rework Log'!$G$3:$G$499&lt;&gt;"Yes")*('Rework Log'!$G$3:$G$499&lt;&gt;"Did not pass re-test"))*'Rework Log'!$I$3:$I$499))=0," - unclaimed"," - promised "&amp;TEXT(SUMPRODUCT(MAX((('Rework Log'!$A$3:$A$499=$B86)*('Rework Log'!$G$3:$G$499&lt;&gt;"Yes")*('Rework Log'!$G$3:$G$499&lt;&gt;"Did not pass re-test"))*'Rework Log'!$I$3:$I$499)),"m/d"))),IF(C86="NOT STARTED",IF(H86="","No plan date set",IF(H86&lt;TODAY(),"Review - planned start passed","On track")),IF(C86="DB Dev",IF(AND(L86="",K86=""),"No target set",IF(AND(IF(L86&lt;&gt;"",L86,K86)&lt;TODAY(),M86=""),"Overdue","On track")),IF(C86="PBI Dev",IF(AND(R86="",Q86=""),"No target set",IF(AND(IF(R86&lt;&gt;"",R86,Q86)&lt;TODAY(),S86=""),"Overdue","On track")),IF(C86="QA",_xlfn.LET(_xlpm.tgt,IF(AM86&lt;&gt;"",AM86,IF(W86&lt;&gt;"",W86,V86)),_xlpm.sent,_xlfn.MAXIFS('Rework Log'!$B$3:$B$499,'Rework Log'!$A$3:$A$499,$B86,'Rework Log'!$C$3:$C$499,"QA"),_xlpm.act,IF(AND(Y86&lt;&gt;"",Y86&gt;_xlpm.sent),Y86,""),IF(_xlpm.tgt="","No target set",IF(AND(_xlpm.tgt&lt;TODAY(),_xlpm.act=""),"Overdue","On track"))),IF(C86="DPO Approval",_xlfn.LET(_xlpm.tgt,IF(AN86&lt;&gt;"",AN86,IF(AB86&lt;&gt;"",AB86,AA86)),_xlpm.sent,_xlfn.MAXIFS('Rework Log'!$B$3:$B$499,'Rework Log'!$A$3:$A$499,$B86,'Rework Log'!$C$3:$C$499,"DPO*"),_xlpm.act,IF(AND(AC86&lt;&gt;"",AC86&gt;_xlpm.sent),AC86,""),IF(_xlpm.tgt="","No target set",IF(AND(_xlpm.tgt&lt;TODAY(),_xlpm.act=""),"Overdue","On track"))),IF(C86="RELEASED IN PROD","Delivered",""))))))))</f>
        <v>On track</v>
      </c>
      <c r="E86" s="31">
        <v>67</v>
      </c>
      <c r="F86" s="31"/>
      <c r="G86" s="31"/>
      <c r="H86" s="50">
        <v>46356</v>
      </c>
      <c r="I86" s="56" t="s">
        <v>260</v>
      </c>
      <c r="J86" s="54" t="s">
        <v>84</v>
      </c>
      <c r="K86" s="50">
        <v>46332</v>
      </c>
      <c r="L86" s="43"/>
      <c r="M86" s="44"/>
      <c r="N86" s="44"/>
      <c r="O86" s="44" t="s">
        <v>244</v>
      </c>
      <c r="P86" s="75"/>
      <c r="Q86" s="50">
        <v>46339</v>
      </c>
      <c r="R86" s="43"/>
      <c r="S86" s="44"/>
      <c r="T86" s="69" t="s">
        <v>251</v>
      </c>
      <c r="U86" s="47"/>
      <c r="V86" s="28">
        <v>46344</v>
      </c>
      <c r="W86" s="43"/>
      <c r="X86" s="31"/>
      <c r="Y86" s="31"/>
      <c r="Z86" s="36"/>
      <c r="AA86" s="28">
        <v>46356</v>
      </c>
      <c r="AB86" s="43"/>
      <c r="AC86" s="43"/>
      <c r="AD86" s="31" t="s">
        <v>261</v>
      </c>
      <c r="AE86" s="31" t="s">
        <v>49</v>
      </c>
      <c r="AF86" s="31"/>
      <c r="AG86" s="31"/>
      <c r="AH86" s="31"/>
      <c r="AI86" s="31"/>
      <c r="AJ86" s="31"/>
      <c r="AK86" s="31"/>
      <c r="AL86" s="31"/>
      <c r="AM86" s="32" t="str" cm="1">
        <f t="array" ref="AM86">_xlfn.LET(_xlpm.rep,$B86,_xlpm.sent,_xlfn.MAXIFS('Rework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6" s="32" t="str" cm="1">
        <f t="array" ref="AN86">_xlfn.LET(_xlpm.rep,$B86,_xlpm.sent,_xlfn.MAXIFS('Rework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7" spans="1:40" ht="14.45" hidden="1">
      <c r="A87" s="31" t="s">
        <v>127</v>
      </c>
      <c r="B87" s="31" t="s">
        <v>262</v>
      </c>
      <c r="C87" s="31" t="s">
        <v>206</v>
      </c>
      <c r="D87" t="str" cm="1">
        <f t="array" aca="1" ref="D87" ca="1">IF($B87="","",IF(LEFT($AJ87,3)="Yes","Blocked - "&amp;MID($AJ87,7,100)&amp;IF(SUMPRODUCT(('Rework Log'!$A$3:$A$499=$B87)*('Rework Log'!$G$3:$G$499&lt;&gt;"Yes")*('Rework Log'!$G$3:$G$499&lt;&gt;"Did not pass re-test"))=0,"",IF(SUMPRODUCT(MAX((('Rework Log'!$A$3:$A$499=$B87)*('Rework Log'!$G$3:$G$499&lt;&gt;"Yes")*('Rework Log'!$G$3:$G$499&lt;&gt;"Did not pass re-test"))*'Rework Log'!$I$3:$I$499))=0," - unclaimed"," - promised "&amp;TEXT(SUMPRODUCT(MAX((('Rework Log'!$A$3:$A$499=$B87)*('Rework Log'!$G$3:$G$499&lt;&gt;"Yes")*('Rework Log'!$G$3:$G$499&lt;&gt;"Did not pass re-test"))*'Rework Log'!$I$3:$I$499)),"m/d"))),IF(C87="NOT STARTED",IF(H87="","No plan date set",IF(H87&lt;TODAY(),"Review - planned start passed","On track")),IF(C87="DB Dev",IF(AND(L87="",K87=""),"No target set",IF(AND(IF(L87&lt;&gt;"",L87,K87)&lt;TODAY(),M87=""),"Overdue","On track")),IF(C87="PBI Dev",IF(AND(R87="",Q87=""),"No target set",IF(AND(IF(R87&lt;&gt;"",R87,Q87)&lt;TODAY(),S87=""),"Overdue","On track")),IF(C87="QA",_xlfn.LET(_xlpm.tgt,IF(AM87&lt;&gt;"",AM87,IF(W87&lt;&gt;"",W87,V87)),_xlpm.sent,_xlfn.MAXIFS('Rework Log'!$B$3:$B$499,'Rework Log'!$A$3:$A$499,$B87,'Rework Log'!$C$3:$C$499,"QA"),_xlpm.act,IF(AND(Y87&lt;&gt;"",Y87&gt;_xlpm.sent),Y87,""),IF(_xlpm.tgt="","No target set",IF(AND(_xlpm.tgt&lt;TODAY(),_xlpm.act=""),"Overdue","On track"))),IF(C87="DPO Approval",_xlfn.LET(_xlpm.tgt,IF(AN87&lt;&gt;"",AN87,IF(AB87&lt;&gt;"",AB87,AA87)),_xlpm.sent,_xlfn.MAXIFS('Rework Log'!$B$3:$B$499,'Rework Log'!$A$3:$A$499,$B87,'Rework Log'!$C$3:$C$499,"DPO*"),_xlpm.act,IF(AND(AC87&lt;&gt;"",AC87&gt;_xlpm.sent),AC87,""),IF(_xlpm.tgt="","No target set",IF(AND(_xlpm.tgt&lt;TODAY(),_xlpm.act=""),"Overdue","On track"))),IF(C87="RELEASED IN PROD","Delivered",""))))))))</f>
        <v>On track</v>
      </c>
      <c r="E87" s="31">
        <v>68</v>
      </c>
      <c r="F87" s="31"/>
      <c r="G87" s="31"/>
      <c r="H87" s="50">
        <v>46356</v>
      </c>
      <c r="I87" s="56" t="s">
        <v>260</v>
      </c>
      <c r="J87" s="54" t="s">
        <v>59</v>
      </c>
      <c r="K87" s="50">
        <v>46332</v>
      </c>
      <c r="L87" s="43"/>
      <c r="M87" s="44"/>
      <c r="N87" s="44"/>
      <c r="O87" s="44" t="s">
        <v>244</v>
      </c>
      <c r="P87" s="75"/>
      <c r="Q87" s="50">
        <v>46339</v>
      </c>
      <c r="R87" s="43"/>
      <c r="S87" s="44"/>
      <c r="T87" s="69" t="s">
        <v>251</v>
      </c>
      <c r="U87" s="47"/>
      <c r="V87" s="28">
        <v>46344</v>
      </c>
      <c r="W87" s="43"/>
      <c r="X87" s="31"/>
      <c r="Y87" s="31"/>
      <c r="Z87" s="36"/>
      <c r="AA87" s="28">
        <v>46356</v>
      </c>
      <c r="AB87" s="43"/>
      <c r="AC87" s="43"/>
      <c r="AD87" s="31" t="s">
        <v>176</v>
      </c>
      <c r="AE87" s="31" t="s">
        <v>49</v>
      </c>
      <c r="AF87" s="31"/>
      <c r="AG87" s="31"/>
      <c r="AH87" s="31"/>
      <c r="AI87" s="31"/>
      <c r="AJ87" s="31"/>
      <c r="AK87" s="31"/>
      <c r="AL87" s="31"/>
      <c r="AM87" s="32" t="str" cm="1">
        <f t="array" ref="AM87">_xlfn.LET(_xlpm.rep,$B87,_xlpm.sent,_xlfn.MAXIFS('Rework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7" s="32" t="str" cm="1">
        <f t="array" ref="AN87">_xlfn.LET(_xlpm.rep,$B87,_xlpm.sent,_xlfn.MAXIFS('Rework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8" spans="1:40" ht="14.45" hidden="1">
      <c r="A88" s="31" t="s">
        <v>127</v>
      </c>
      <c r="B88" s="31" t="s">
        <v>263</v>
      </c>
      <c r="C88" s="31" t="s">
        <v>206</v>
      </c>
      <c r="D88" t="str" cm="1">
        <f t="array" aca="1" ref="D88" ca="1">IF($B88="","",IF(LEFT($AJ88,3)="Yes","Blocked - "&amp;MID($AJ88,7,100)&amp;IF(SUMPRODUCT(('Rework Log'!$A$3:$A$499=$B88)*('Rework Log'!$G$3:$G$499&lt;&gt;"Yes")*('Rework Log'!$G$3:$G$499&lt;&gt;"Did not pass re-test"))=0,"",IF(SUMPRODUCT(MAX((('Rework Log'!$A$3:$A$499=$B88)*('Rework Log'!$G$3:$G$499&lt;&gt;"Yes")*('Rework Log'!$G$3:$G$499&lt;&gt;"Did not pass re-test"))*'Rework Log'!$I$3:$I$499))=0," - unclaimed"," - promised "&amp;TEXT(SUMPRODUCT(MAX((('Rework Log'!$A$3:$A$499=$B88)*('Rework Log'!$G$3:$G$499&lt;&gt;"Yes")*('Rework Log'!$G$3:$G$499&lt;&gt;"Did not pass re-test"))*'Rework Log'!$I$3:$I$499)),"m/d"))),IF(C88="NOT STARTED",IF(H88="","No plan date set",IF(H88&lt;TODAY(),"Review - planned start passed","On track")),IF(C88="DB Dev",IF(AND(L88="",K88=""),"No target set",IF(AND(IF(L88&lt;&gt;"",L88,K88)&lt;TODAY(),M88=""),"Overdue","On track")),IF(C88="PBI Dev",IF(AND(R88="",Q88=""),"No target set",IF(AND(IF(R88&lt;&gt;"",R88,Q88)&lt;TODAY(),S88=""),"Overdue","On track")),IF(C88="QA",_xlfn.LET(_xlpm.tgt,IF(AM88&lt;&gt;"",AM88,IF(W88&lt;&gt;"",W88,V88)),_xlpm.sent,_xlfn.MAXIFS('Rework Log'!$B$3:$B$499,'Rework Log'!$A$3:$A$499,$B88,'Rework Log'!$C$3:$C$499,"QA"),_xlpm.act,IF(AND(Y88&lt;&gt;"",Y88&gt;_xlpm.sent),Y88,""),IF(_xlpm.tgt="","No target set",IF(AND(_xlpm.tgt&lt;TODAY(),_xlpm.act=""),"Overdue","On track"))),IF(C88="DPO Approval",_xlfn.LET(_xlpm.tgt,IF(AN88&lt;&gt;"",AN88,IF(AB88&lt;&gt;"",AB88,AA88)),_xlpm.sent,_xlfn.MAXIFS('Rework Log'!$B$3:$B$499,'Rework Log'!$A$3:$A$499,$B88,'Rework Log'!$C$3:$C$499,"DPO*"),_xlpm.act,IF(AND(AC88&lt;&gt;"",AC88&gt;_xlpm.sent),AC88,""),IF(_xlpm.tgt="","No target set",IF(AND(_xlpm.tgt&lt;TODAY(),_xlpm.act=""),"Overdue","On track"))),IF(C88="RELEASED IN PROD","Delivered",""))))))))</f>
        <v>On track</v>
      </c>
      <c r="E88" s="31">
        <v>69</v>
      </c>
      <c r="F88" s="31"/>
      <c r="G88" s="31"/>
      <c r="H88" s="50">
        <v>46356</v>
      </c>
      <c r="I88" s="56" t="s">
        <v>260</v>
      </c>
      <c r="J88" s="54" t="s">
        <v>59</v>
      </c>
      <c r="K88" s="50">
        <v>46332</v>
      </c>
      <c r="L88" s="43"/>
      <c r="M88" s="44"/>
      <c r="N88" s="44"/>
      <c r="O88" s="44" t="s">
        <v>244</v>
      </c>
      <c r="P88" s="75"/>
      <c r="Q88" s="50">
        <v>46339</v>
      </c>
      <c r="R88" s="43"/>
      <c r="S88" s="44"/>
      <c r="T88" s="69" t="s">
        <v>264</v>
      </c>
      <c r="U88" s="47"/>
      <c r="V88" s="28">
        <v>46344</v>
      </c>
      <c r="W88" s="43"/>
      <c r="X88" s="31"/>
      <c r="Y88" s="31"/>
      <c r="Z88" s="36"/>
      <c r="AA88" s="28">
        <v>46356</v>
      </c>
      <c r="AB88" s="43"/>
      <c r="AC88" s="43"/>
      <c r="AD88" s="31" t="s">
        <v>176</v>
      </c>
      <c r="AE88" s="31" t="s">
        <v>72</v>
      </c>
      <c r="AF88" s="31"/>
      <c r="AG88" s="31"/>
      <c r="AH88" s="31"/>
      <c r="AI88" s="31"/>
      <c r="AJ88" s="31"/>
      <c r="AK88" s="31"/>
      <c r="AL88" s="31"/>
      <c r="AM88" s="32" t="str" cm="1">
        <f t="array" ref="AM88">_xlfn.LET(_xlpm.rep,$B88,_xlpm.sent,_xlfn.MAXIFS('Rework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8" s="32" t="str" cm="1">
        <f t="array" ref="AN88">_xlfn.LET(_xlpm.rep,$B88,_xlpm.sent,_xlfn.MAXIFS('Rework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9" spans="1:40" ht="14.45" hidden="1">
      <c r="A89" s="31" t="s">
        <v>127</v>
      </c>
      <c r="B89" s="31" t="s">
        <v>265</v>
      </c>
      <c r="C89" s="31" t="s">
        <v>206</v>
      </c>
      <c r="D89" t="str" cm="1">
        <f t="array" aca="1" ref="D89" ca="1">IF($B89="","",IF(LEFT($AJ89,3)="Yes","Blocked - "&amp;MID($AJ89,7,100)&amp;IF(SUMPRODUCT(('Rework Log'!$A$3:$A$499=$B89)*('Rework Log'!$G$3:$G$499&lt;&gt;"Yes")*('Rework Log'!$G$3:$G$499&lt;&gt;"Did not pass re-test"))=0,"",IF(SUMPRODUCT(MAX((('Rework Log'!$A$3:$A$499=$B89)*('Rework Log'!$G$3:$G$499&lt;&gt;"Yes")*('Rework Log'!$G$3:$G$499&lt;&gt;"Did not pass re-test"))*'Rework Log'!$I$3:$I$499))=0," - unclaimed"," - promised "&amp;TEXT(SUMPRODUCT(MAX((('Rework Log'!$A$3:$A$499=$B89)*('Rework Log'!$G$3:$G$499&lt;&gt;"Yes")*('Rework Log'!$G$3:$G$499&lt;&gt;"Did not pass re-test"))*'Rework Log'!$I$3:$I$499)),"m/d"))),IF(C89="NOT STARTED",IF(H89="","No plan date set",IF(H89&lt;TODAY(),"Review - planned start passed","On track")),IF(C89="DB Dev",IF(AND(L89="",K89=""),"No target set",IF(AND(IF(L89&lt;&gt;"",L89,K89)&lt;TODAY(),M89=""),"Overdue","On track")),IF(C89="PBI Dev",IF(AND(R89="",Q89=""),"No target set",IF(AND(IF(R89&lt;&gt;"",R89,Q89)&lt;TODAY(),S89=""),"Overdue","On track")),IF(C89="QA",_xlfn.LET(_xlpm.tgt,IF(AM89&lt;&gt;"",AM89,IF(W89&lt;&gt;"",W89,V89)),_xlpm.sent,_xlfn.MAXIFS('Rework Log'!$B$3:$B$499,'Rework Log'!$A$3:$A$499,$B89,'Rework Log'!$C$3:$C$499,"QA"),_xlpm.act,IF(AND(Y89&lt;&gt;"",Y89&gt;_xlpm.sent),Y89,""),IF(_xlpm.tgt="","No target set",IF(AND(_xlpm.tgt&lt;TODAY(),_xlpm.act=""),"Overdue","On track"))),IF(C89="DPO Approval",_xlfn.LET(_xlpm.tgt,IF(AN89&lt;&gt;"",AN89,IF(AB89&lt;&gt;"",AB89,AA89)),_xlpm.sent,_xlfn.MAXIFS('Rework Log'!$B$3:$B$499,'Rework Log'!$A$3:$A$499,$B89,'Rework Log'!$C$3:$C$499,"DPO*"),_xlpm.act,IF(AND(AC89&lt;&gt;"",AC89&gt;_xlpm.sent),AC89,""),IF(_xlpm.tgt="","No target set",IF(AND(_xlpm.tgt&lt;TODAY(),_xlpm.act=""),"Overdue","On track"))),IF(C89="RELEASED IN PROD","Delivered",""))))))))</f>
        <v>On track</v>
      </c>
      <c r="E89" s="31">
        <v>70</v>
      </c>
      <c r="F89" s="31"/>
      <c r="G89" s="31"/>
      <c r="H89" s="50">
        <v>46356</v>
      </c>
      <c r="I89" s="56" t="s">
        <v>260</v>
      </c>
      <c r="J89" s="54"/>
      <c r="K89" s="50">
        <v>46332</v>
      </c>
      <c r="L89" s="43"/>
      <c r="M89" s="44"/>
      <c r="N89" s="44"/>
      <c r="O89" s="36" t="s">
        <v>266</v>
      </c>
      <c r="P89" s="75"/>
      <c r="Q89" s="50">
        <v>46339</v>
      </c>
      <c r="R89" s="43"/>
      <c r="S89" s="44"/>
      <c r="T89" s="69" t="s">
        <v>264</v>
      </c>
      <c r="U89" s="47"/>
      <c r="V89" s="28">
        <v>46344</v>
      </c>
      <c r="W89" s="43"/>
      <c r="X89" s="31"/>
      <c r="Y89" s="31"/>
      <c r="Z89" s="36"/>
      <c r="AA89" s="28">
        <v>46356</v>
      </c>
      <c r="AB89" s="43"/>
      <c r="AC89" s="43"/>
      <c r="AD89" s="31" t="s">
        <v>176</v>
      </c>
      <c r="AE89" s="31" t="s">
        <v>72</v>
      </c>
      <c r="AF89" s="31"/>
      <c r="AG89" s="31"/>
      <c r="AH89" s="31"/>
      <c r="AI89" s="31"/>
      <c r="AJ89" s="31"/>
      <c r="AK89" s="31"/>
      <c r="AL89" s="31"/>
      <c r="AM89" s="32" t="str" cm="1">
        <f t="array" ref="AM89">_xlfn.LET(_xlpm.rep,$B89,_xlpm.sent,_xlfn.MAXIFS('Rework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9" s="32" t="str" cm="1">
        <f t="array" ref="AN89">_xlfn.LET(_xlpm.rep,$B89,_xlpm.sent,_xlfn.MAXIFS('Rework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0" spans="1:40" ht="14.45" hidden="1">
      <c r="A90" s="31" t="s">
        <v>127</v>
      </c>
      <c r="B90" s="31" t="s">
        <v>267</v>
      </c>
      <c r="C90" s="31" t="s">
        <v>206</v>
      </c>
      <c r="D90" t="str" cm="1">
        <f t="array" aca="1" ref="D90" ca="1">IF($B90="","",IF(LEFT($AJ90,3)="Yes","Blocked - "&amp;MID($AJ90,7,100)&amp;IF(SUMPRODUCT(('Rework Log'!$A$3:$A$499=$B90)*('Rework Log'!$G$3:$G$499&lt;&gt;"Yes")*('Rework Log'!$G$3:$G$499&lt;&gt;"Did not pass re-test"))=0,"",IF(SUMPRODUCT(MAX((('Rework Log'!$A$3:$A$499=$B90)*('Rework Log'!$G$3:$G$499&lt;&gt;"Yes")*('Rework Log'!$G$3:$G$499&lt;&gt;"Did not pass re-test"))*'Rework Log'!$I$3:$I$499))=0," - unclaimed"," - promised "&amp;TEXT(SUMPRODUCT(MAX((('Rework Log'!$A$3:$A$499=$B90)*('Rework Log'!$G$3:$G$499&lt;&gt;"Yes")*('Rework Log'!$G$3:$G$499&lt;&gt;"Did not pass re-test"))*'Rework Log'!$I$3:$I$499)),"m/d"))),IF(C90="NOT STARTED",IF(H90="","No plan date set",IF(H90&lt;TODAY(),"Review - planned start passed","On track")),IF(C90="DB Dev",IF(AND(L90="",K90=""),"No target set",IF(AND(IF(L90&lt;&gt;"",L90,K90)&lt;TODAY(),M90=""),"Overdue","On track")),IF(C90="PBI Dev",IF(AND(R90="",Q90=""),"No target set",IF(AND(IF(R90&lt;&gt;"",R90,Q90)&lt;TODAY(),S90=""),"Overdue","On track")),IF(C90="QA",_xlfn.LET(_xlpm.tgt,IF(AM90&lt;&gt;"",AM90,IF(W90&lt;&gt;"",W90,V90)),_xlpm.sent,_xlfn.MAXIFS('Rework Log'!$B$3:$B$499,'Rework Log'!$A$3:$A$499,$B90,'Rework Log'!$C$3:$C$499,"QA"),_xlpm.act,IF(AND(Y90&lt;&gt;"",Y90&gt;_xlpm.sent),Y90,""),IF(_xlpm.tgt="","No target set",IF(AND(_xlpm.tgt&lt;TODAY(),_xlpm.act=""),"Overdue","On track"))),IF(C90="DPO Approval",_xlfn.LET(_xlpm.tgt,IF(AN90&lt;&gt;"",AN90,IF(AB90&lt;&gt;"",AB90,AA90)),_xlpm.sent,_xlfn.MAXIFS('Rework Log'!$B$3:$B$499,'Rework Log'!$A$3:$A$499,$B90,'Rework Log'!$C$3:$C$499,"DPO*"),_xlpm.act,IF(AND(AC90&lt;&gt;"",AC90&gt;_xlpm.sent),AC90,""),IF(_xlpm.tgt="","No target set",IF(AND(_xlpm.tgt&lt;TODAY(),_xlpm.act=""),"Overdue","On track"))),IF(C90="RELEASED IN PROD","Delivered",""))))))))</f>
        <v>On track</v>
      </c>
      <c r="E90" s="31">
        <v>71</v>
      </c>
      <c r="F90" s="31"/>
      <c r="G90" s="31"/>
      <c r="H90" s="50">
        <v>46356</v>
      </c>
      <c r="I90" s="56" t="s">
        <v>260</v>
      </c>
      <c r="J90" s="54"/>
      <c r="K90" s="50">
        <v>46332</v>
      </c>
      <c r="L90" s="43"/>
      <c r="M90" s="44"/>
      <c r="N90" s="44"/>
      <c r="O90" s="36" t="s">
        <v>266</v>
      </c>
      <c r="P90" s="75"/>
      <c r="Q90" s="50">
        <v>46339</v>
      </c>
      <c r="R90" s="43"/>
      <c r="S90" s="44"/>
      <c r="T90" s="69" t="s">
        <v>264</v>
      </c>
      <c r="U90" s="47"/>
      <c r="V90" s="28">
        <v>46344</v>
      </c>
      <c r="W90" s="43"/>
      <c r="X90" s="31"/>
      <c r="Y90" s="31"/>
      <c r="Z90" s="36"/>
      <c r="AA90" s="28">
        <v>46356</v>
      </c>
      <c r="AB90" s="43"/>
      <c r="AC90" s="43"/>
      <c r="AD90" s="31" t="s">
        <v>176</v>
      </c>
      <c r="AE90" s="31" t="s">
        <v>72</v>
      </c>
      <c r="AF90" s="31"/>
      <c r="AG90" s="31"/>
      <c r="AH90" s="31"/>
      <c r="AI90" s="31"/>
      <c r="AJ90" s="31"/>
      <c r="AK90" s="31"/>
      <c r="AL90" s="31"/>
      <c r="AM90" s="32" t="str" cm="1">
        <f t="array" ref="AM90">_xlfn.LET(_xlpm.rep,$B90,_xlpm.sent,_xlfn.MAXIFS('Rework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0" s="32" t="str" cm="1">
        <f t="array" ref="AN90">_xlfn.LET(_xlpm.rep,$B90,_xlpm.sent,_xlfn.MAXIFS('Rework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1" spans="1:40" ht="14.45" hidden="1">
      <c r="A91" s="31" t="s">
        <v>127</v>
      </c>
      <c r="B91" s="31" t="s">
        <v>268</v>
      </c>
      <c r="C91" s="31" t="s">
        <v>206</v>
      </c>
      <c r="D91" t="str" cm="1">
        <f t="array" aca="1" ref="D91" ca="1">IF($B91="","",IF(LEFT($AJ91,3)="Yes","Blocked - "&amp;MID($AJ91,7,100)&amp;IF(SUMPRODUCT(('Rework Log'!$A$3:$A$499=$B91)*('Rework Log'!$G$3:$G$499&lt;&gt;"Yes")*('Rework Log'!$G$3:$G$499&lt;&gt;"Did not pass re-test"))=0,"",IF(SUMPRODUCT(MAX((('Rework Log'!$A$3:$A$499=$B91)*('Rework Log'!$G$3:$G$499&lt;&gt;"Yes")*('Rework Log'!$G$3:$G$499&lt;&gt;"Did not pass re-test"))*'Rework Log'!$I$3:$I$499))=0," - unclaimed"," - promised "&amp;TEXT(SUMPRODUCT(MAX((('Rework Log'!$A$3:$A$499=$B91)*('Rework Log'!$G$3:$G$499&lt;&gt;"Yes")*('Rework Log'!$G$3:$G$499&lt;&gt;"Did not pass re-test"))*'Rework Log'!$I$3:$I$499)),"m/d"))),IF(C91="NOT STARTED",IF(H91="","No plan date set",IF(H91&lt;TODAY(),"Review - planned start passed","On track")),IF(C91="DB Dev",IF(AND(L91="",K91=""),"No target set",IF(AND(IF(L91&lt;&gt;"",L91,K91)&lt;TODAY(),M91=""),"Overdue","On track")),IF(C91="PBI Dev",IF(AND(R91="",Q91=""),"No target set",IF(AND(IF(R91&lt;&gt;"",R91,Q91)&lt;TODAY(),S91=""),"Overdue","On track")),IF(C91="QA",_xlfn.LET(_xlpm.tgt,IF(AM91&lt;&gt;"",AM91,IF(W91&lt;&gt;"",W91,V91)),_xlpm.sent,_xlfn.MAXIFS('Rework Log'!$B$3:$B$499,'Rework Log'!$A$3:$A$499,$B91,'Rework Log'!$C$3:$C$499,"QA"),_xlpm.act,IF(AND(Y91&lt;&gt;"",Y91&gt;_xlpm.sent),Y91,""),IF(_xlpm.tgt="","No target set",IF(AND(_xlpm.tgt&lt;TODAY(),_xlpm.act=""),"Overdue","On track"))),IF(C91="DPO Approval",_xlfn.LET(_xlpm.tgt,IF(AN91&lt;&gt;"",AN91,IF(AB91&lt;&gt;"",AB91,AA91)),_xlpm.sent,_xlfn.MAXIFS('Rework Log'!$B$3:$B$499,'Rework Log'!$A$3:$A$499,$B91,'Rework Log'!$C$3:$C$499,"DPO*"),_xlpm.act,IF(AND(AC91&lt;&gt;"",AC91&gt;_xlpm.sent),AC91,""),IF(_xlpm.tgt="","No target set",IF(AND(_xlpm.tgt&lt;TODAY(),_xlpm.act=""),"Overdue","On track"))),IF(C91="RELEASED IN PROD","Delivered",""))))))))</f>
        <v>On track</v>
      </c>
      <c r="E91" s="31">
        <v>72</v>
      </c>
      <c r="F91" s="31"/>
      <c r="G91" s="31"/>
      <c r="H91" s="50">
        <v>46356</v>
      </c>
      <c r="I91" s="56" t="s">
        <v>260</v>
      </c>
      <c r="J91" s="54" t="s">
        <v>269</v>
      </c>
      <c r="K91" s="50">
        <v>46332</v>
      </c>
      <c r="L91" s="43"/>
      <c r="M91" s="44"/>
      <c r="N91" s="44"/>
      <c r="O91" s="44" t="s">
        <v>244</v>
      </c>
      <c r="P91" s="75"/>
      <c r="Q91" s="50">
        <v>46339</v>
      </c>
      <c r="R91" s="43"/>
      <c r="S91" s="44"/>
      <c r="T91" s="69" t="s">
        <v>264</v>
      </c>
      <c r="U91" s="47"/>
      <c r="V91" s="28">
        <v>46344</v>
      </c>
      <c r="W91" s="43"/>
      <c r="X91" s="31"/>
      <c r="Y91" s="31"/>
      <c r="Z91" s="36"/>
      <c r="AA91" s="28">
        <v>46356</v>
      </c>
      <c r="AB91" s="43"/>
      <c r="AC91" s="43"/>
      <c r="AD91" s="31" t="s">
        <v>270</v>
      </c>
      <c r="AE91" s="31" t="s">
        <v>72</v>
      </c>
      <c r="AF91" s="31"/>
      <c r="AG91" s="31"/>
      <c r="AH91" s="31"/>
      <c r="AI91" s="31"/>
      <c r="AJ91" s="31"/>
      <c r="AK91" s="31"/>
      <c r="AL91" s="31"/>
      <c r="AM91" s="32" t="str" cm="1">
        <f t="array" ref="AM91">_xlfn.LET(_xlpm.rep,$B91,_xlpm.sent,_xlfn.MAXIFS('Rework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1" s="32" t="str" cm="1">
        <f t="array" ref="AN91">_xlfn.LET(_xlpm.rep,$B91,_xlpm.sent,_xlfn.MAXIFS('Rework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2" spans="1:40" ht="14.45" hidden="1">
      <c r="A92" s="31" t="s">
        <v>127</v>
      </c>
      <c r="B92" s="31" t="s">
        <v>271</v>
      </c>
      <c r="C92" s="31" t="s">
        <v>206</v>
      </c>
      <c r="D92" t="str" cm="1">
        <f t="array" aca="1" ref="D92" ca="1">IF($B92="","",IF(LEFT($AJ92,3)="Yes","Blocked - "&amp;MID($AJ92,7,100)&amp;IF(SUMPRODUCT(('Rework Log'!$A$3:$A$499=$B92)*('Rework Log'!$G$3:$G$499&lt;&gt;"Yes")*('Rework Log'!$G$3:$G$499&lt;&gt;"Did not pass re-test"))=0,"",IF(SUMPRODUCT(MAX((('Rework Log'!$A$3:$A$499=$B92)*('Rework Log'!$G$3:$G$499&lt;&gt;"Yes")*('Rework Log'!$G$3:$G$499&lt;&gt;"Did not pass re-test"))*'Rework Log'!$I$3:$I$499))=0," - unclaimed"," - promised "&amp;TEXT(SUMPRODUCT(MAX((('Rework Log'!$A$3:$A$499=$B92)*('Rework Log'!$G$3:$G$499&lt;&gt;"Yes")*('Rework Log'!$G$3:$G$499&lt;&gt;"Did not pass re-test"))*'Rework Log'!$I$3:$I$499)),"m/d"))),IF(C92="NOT STARTED",IF(H92="","No plan date set",IF(H92&lt;TODAY(),"Review - planned start passed","On track")),IF(C92="DB Dev",IF(AND(L92="",K92=""),"No target set",IF(AND(IF(L92&lt;&gt;"",L92,K92)&lt;TODAY(),M92=""),"Overdue","On track")),IF(C92="PBI Dev",IF(AND(R92="",Q92=""),"No target set",IF(AND(IF(R92&lt;&gt;"",R92,Q92)&lt;TODAY(),S92=""),"Overdue","On track")),IF(C92="QA",_xlfn.LET(_xlpm.tgt,IF(AM92&lt;&gt;"",AM92,IF(W92&lt;&gt;"",W92,V92)),_xlpm.sent,_xlfn.MAXIFS('Rework Log'!$B$3:$B$499,'Rework Log'!$A$3:$A$499,$B92,'Rework Log'!$C$3:$C$499,"QA"),_xlpm.act,IF(AND(Y92&lt;&gt;"",Y92&gt;_xlpm.sent),Y92,""),IF(_xlpm.tgt="","No target set",IF(AND(_xlpm.tgt&lt;TODAY(),_xlpm.act=""),"Overdue","On track"))),IF(C92="DPO Approval",_xlfn.LET(_xlpm.tgt,IF(AN92&lt;&gt;"",AN92,IF(AB92&lt;&gt;"",AB92,AA92)),_xlpm.sent,_xlfn.MAXIFS('Rework Log'!$B$3:$B$499,'Rework Log'!$A$3:$A$499,$B92,'Rework Log'!$C$3:$C$499,"DPO*"),_xlpm.act,IF(AND(AC92&lt;&gt;"",AC92&gt;_xlpm.sent),AC92,""),IF(_xlpm.tgt="","No target set",IF(AND(_xlpm.tgt&lt;TODAY(),_xlpm.act=""),"Overdue","On track"))),IF(C92="RELEASED IN PROD","Delivered",""))))))))</f>
        <v>On track</v>
      </c>
      <c r="E92" s="31">
        <v>73</v>
      </c>
      <c r="F92" s="31"/>
      <c r="G92" s="31"/>
      <c r="H92" s="50">
        <v>46356</v>
      </c>
      <c r="I92" s="56" t="s">
        <v>260</v>
      </c>
      <c r="J92" s="54" t="s">
        <v>84</v>
      </c>
      <c r="K92" s="50">
        <v>46332</v>
      </c>
      <c r="L92" s="43"/>
      <c r="M92" s="44"/>
      <c r="N92" s="44"/>
      <c r="O92" s="44" t="s">
        <v>244</v>
      </c>
      <c r="P92" s="75"/>
      <c r="Q92" s="50">
        <v>46339</v>
      </c>
      <c r="R92" s="43"/>
      <c r="S92" s="44"/>
      <c r="T92" s="69" t="s">
        <v>264</v>
      </c>
      <c r="U92" s="47"/>
      <c r="V92" s="28">
        <v>46344</v>
      </c>
      <c r="W92" s="43"/>
      <c r="X92" s="31"/>
      <c r="Y92" s="31"/>
      <c r="Z92" s="36"/>
      <c r="AA92" s="28">
        <v>46356</v>
      </c>
      <c r="AB92" s="43"/>
      <c r="AC92" s="43"/>
      <c r="AD92" s="31" t="s">
        <v>176</v>
      </c>
      <c r="AE92" s="31" t="s">
        <v>72</v>
      </c>
      <c r="AF92" s="31"/>
      <c r="AG92" s="31"/>
      <c r="AH92" s="31"/>
      <c r="AI92" s="31"/>
      <c r="AJ92" s="31"/>
      <c r="AK92" s="31"/>
      <c r="AL92" s="31"/>
      <c r="AM92" s="32" t="str" cm="1">
        <f t="array" ref="AM92">_xlfn.LET(_xlpm.rep,$B92,_xlpm.sent,_xlfn.MAXIFS('Rework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2" s="32" t="str" cm="1">
        <f t="array" ref="AN92">_xlfn.LET(_xlpm.rep,$B92,_xlpm.sent,_xlfn.MAXIFS('Rework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3" spans="1:40" ht="14.45" hidden="1">
      <c r="A93" s="31" t="s">
        <v>127</v>
      </c>
      <c r="B93" s="31" t="s">
        <v>272</v>
      </c>
      <c r="C93" s="31" t="s">
        <v>206</v>
      </c>
      <c r="D93" t="str" cm="1">
        <f t="array" aca="1" ref="D93" ca="1">IF($B93="","",IF(LEFT($AJ93,3)="Yes","Blocked - "&amp;MID($AJ93,7,100)&amp;IF(SUMPRODUCT(('Rework Log'!$A$3:$A$499=$B93)*('Rework Log'!$G$3:$G$499&lt;&gt;"Yes")*('Rework Log'!$G$3:$G$499&lt;&gt;"Did not pass re-test"))=0,"",IF(SUMPRODUCT(MAX((('Rework Log'!$A$3:$A$499=$B93)*('Rework Log'!$G$3:$G$499&lt;&gt;"Yes")*('Rework Log'!$G$3:$G$499&lt;&gt;"Did not pass re-test"))*'Rework Log'!$I$3:$I$499))=0," - unclaimed"," - promised "&amp;TEXT(SUMPRODUCT(MAX((('Rework Log'!$A$3:$A$499=$B93)*('Rework Log'!$G$3:$G$499&lt;&gt;"Yes")*('Rework Log'!$G$3:$G$499&lt;&gt;"Did not pass re-test"))*'Rework Log'!$I$3:$I$499)),"m/d"))),IF(C93="NOT STARTED",IF(H93="","No plan date set",IF(H93&lt;TODAY(),"Review - planned start passed","On track")),IF(C93="DB Dev",IF(AND(L93="",K93=""),"No target set",IF(AND(IF(L93&lt;&gt;"",L93,K93)&lt;TODAY(),M93=""),"Overdue","On track")),IF(C93="PBI Dev",IF(AND(R93="",Q93=""),"No target set",IF(AND(IF(R93&lt;&gt;"",R93,Q93)&lt;TODAY(),S93=""),"Overdue","On track")),IF(C93="QA",_xlfn.LET(_xlpm.tgt,IF(AM93&lt;&gt;"",AM93,IF(W93&lt;&gt;"",W93,V93)),_xlpm.sent,_xlfn.MAXIFS('Rework Log'!$B$3:$B$499,'Rework Log'!$A$3:$A$499,$B93,'Rework Log'!$C$3:$C$499,"QA"),_xlpm.act,IF(AND(Y93&lt;&gt;"",Y93&gt;_xlpm.sent),Y93,""),IF(_xlpm.tgt="","No target set",IF(AND(_xlpm.tgt&lt;TODAY(),_xlpm.act=""),"Overdue","On track"))),IF(C93="DPO Approval",_xlfn.LET(_xlpm.tgt,IF(AN93&lt;&gt;"",AN93,IF(AB93&lt;&gt;"",AB93,AA93)),_xlpm.sent,_xlfn.MAXIFS('Rework Log'!$B$3:$B$499,'Rework Log'!$A$3:$A$499,$B93,'Rework Log'!$C$3:$C$499,"DPO*"),_xlpm.act,IF(AND(AC93&lt;&gt;"",AC93&gt;_xlpm.sent),AC93,""),IF(_xlpm.tgt="","No target set",IF(AND(_xlpm.tgt&lt;TODAY(),_xlpm.act=""),"Overdue","On track"))),IF(C93="RELEASED IN PROD","Delivered",""))))))))</f>
        <v>On track</v>
      </c>
      <c r="E93" s="31">
        <v>74</v>
      </c>
      <c r="F93" s="31"/>
      <c r="G93" s="31"/>
      <c r="H93" s="50">
        <v>46356</v>
      </c>
      <c r="I93" s="56" t="s">
        <v>260</v>
      </c>
      <c r="J93" s="54"/>
      <c r="K93" s="50">
        <v>46332</v>
      </c>
      <c r="L93" s="43"/>
      <c r="M93" s="44"/>
      <c r="N93" s="44"/>
      <c r="O93" s="36" t="s">
        <v>273</v>
      </c>
      <c r="P93" s="75"/>
      <c r="Q93" s="50">
        <v>46339</v>
      </c>
      <c r="R93" s="43"/>
      <c r="S93" s="44"/>
      <c r="T93" s="69" t="s">
        <v>264</v>
      </c>
      <c r="U93" s="47"/>
      <c r="V93" s="28">
        <v>46344</v>
      </c>
      <c r="W93" s="43"/>
      <c r="X93" s="31"/>
      <c r="Y93" s="31"/>
      <c r="Z93" s="36"/>
      <c r="AA93" s="28">
        <v>46356</v>
      </c>
      <c r="AB93" s="43"/>
      <c r="AC93" s="43"/>
      <c r="AD93" s="31" t="s">
        <v>196</v>
      </c>
      <c r="AE93" s="31" t="s">
        <v>94</v>
      </c>
      <c r="AF93" s="31"/>
      <c r="AG93" s="31"/>
      <c r="AH93" s="31"/>
      <c r="AI93" s="31"/>
      <c r="AJ93" s="31"/>
      <c r="AK93" s="31"/>
      <c r="AL93" s="31"/>
      <c r="AM93" s="32" t="str" cm="1">
        <f t="array" ref="AM93">_xlfn.LET(_xlpm.rep,$B93,_xlpm.sent,_xlfn.MAXIFS('Rework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3" s="32" t="str" cm="1">
        <f t="array" ref="AN93">_xlfn.LET(_xlpm.rep,$B93,_xlpm.sent,_xlfn.MAXIFS('Rework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4" spans="1:40" ht="14.45" hidden="1">
      <c r="A94" s="31" t="s">
        <v>127</v>
      </c>
      <c r="B94" s="31" t="s">
        <v>274</v>
      </c>
      <c r="C94" s="31" t="s">
        <v>206</v>
      </c>
      <c r="D94" t="str" cm="1">
        <f t="array" aca="1" ref="D94" ca="1">IF($B94="","",IF(LEFT($AJ94,3)="Yes","Blocked - "&amp;MID($AJ94,7,100)&amp;IF(SUMPRODUCT(('Rework Log'!$A$3:$A$499=$B94)*('Rework Log'!$G$3:$G$499&lt;&gt;"Yes")*('Rework Log'!$G$3:$G$499&lt;&gt;"Did not pass re-test"))=0,"",IF(SUMPRODUCT(MAX((('Rework Log'!$A$3:$A$499=$B94)*('Rework Log'!$G$3:$G$499&lt;&gt;"Yes")*('Rework Log'!$G$3:$G$499&lt;&gt;"Did not pass re-test"))*'Rework Log'!$I$3:$I$499))=0," - unclaimed"," - promised "&amp;TEXT(SUMPRODUCT(MAX((('Rework Log'!$A$3:$A$499=$B94)*('Rework Log'!$G$3:$G$499&lt;&gt;"Yes")*('Rework Log'!$G$3:$G$499&lt;&gt;"Did not pass re-test"))*'Rework Log'!$I$3:$I$499)),"m/d"))),IF(C94="NOT STARTED",IF(H94="","No plan date set",IF(H94&lt;TODAY(),"Review - planned start passed","On track")),IF(C94="DB Dev",IF(AND(L94="",K94=""),"No target set",IF(AND(IF(L94&lt;&gt;"",L94,K94)&lt;TODAY(),M94=""),"Overdue","On track")),IF(C94="PBI Dev",IF(AND(R94="",Q94=""),"No target set",IF(AND(IF(R94&lt;&gt;"",R94,Q94)&lt;TODAY(),S94=""),"Overdue","On track")),IF(C94="QA",_xlfn.LET(_xlpm.tgt,IF(AM94&lt;&gt;"",AM94,IF(W94&lt;&gt;"",W94,V94)),_xlpm.sent,_xlfn.MAXIFS('Rework Log'!$B$3:$B$499,'Rework Log'!$A$3:$A$499,$B94,'Rework Log'!$C$3:$C$499,"QA"),_xlpm.act,IF(AND(Y94&lt;&gt;"",Y94&gt;_xlpm.sent),Y94,""),IF(_xlpm.tgt="","No target set",IF(AND(_xlpm.tgt&lt;TODAY(),_xlpm.act=""),"Overdue","On track"))),IF(C94="DPO Approval",_xlfn.LET(_xlpm.tgt,IF(AN94&lt;&gt;"",AN94,IF(AB94&lt;&gt;"",AB94,AA94)),_xlpm.sent,_xlfn.MAXIFS('Rework Log'!$B$3:$B$499,'Rework Log'!$A$3:$A$499,$B94,'Rework Log'!$C$3:$C$499,"DPO*"),_xlpm.act,IF(AND(AC94&lt;&gt;"",AC94&gt;_xlpm.sent),AC94,""),IF(_xlpm.tgt="","No target set",IF(AND(_xlpm.tgt&lt;TODAY(),_xlpm.act=""),"Overdue","On track"))),IF(C94="RELEASED IN PROD","Delivered",""))))))))</f>
        <v>On track</v>
      </c>
      <c r="E94" s="31">
        <v>80</v>
      </c>
      <c r="F94" s="31"/>
      <c r="G94" s="31"/>
      <c r="H94" s="50">
        <v>46356</v>
      </c>
      <c r="I94" s="56" t="s">
        <v>260</v>
      </c>
      <c r="J94" s="54"/>
      <c r="K94" s="50">
        <v>46332</v>
      </c>
      <c r="L94" s="43"/>
      <c r="M94" s="44"/>
      <c r="N94" s="44"/>
      <c r="O94" s="36" t="s">
        <v>273</v>
      </c>
      <c r="P94" s="75"/>
      <c r="Q94" s="50">
        <v>46339</v>
      </c>
      <c r="R94" s="43"/>
      <c r="S94" s="44"/>
      <c r="T94" s="69" t="s">
        <v>264</v>
      </c>
      <c r="U94" s="47"/>
      <c r="V94" s="28">
        <v>46344</v>
      </c>
      <c r="W94" s="43"/>
      <c r="X94" s="31"/>
      <c r="Y94" s="31"/>
      <c r="Z94" s="36"/>
      <c r="AA94" s="28">
        <v>46356</v>
      </c>
      <c r="AB94" s="43"/>
      <c r="AC94" s="43"/>
      <c r="AD94" s="31" t="s">
        <v>275</v>
      </c>
      <c r="AE94" s="31" t="s">
        <v>72</v>
      </c>
      <c r="AF94" s="31"/>
      <c r="AG94" s="31"/>
      <c r="AH94" s="31"/>
      <c r="AI94" s="31"/>
      <c r="AJ94" s="31"/>
      <c r="AK94" s="31"/>
      <c r="AL94" s="31"/>
      <c r="AM94" s="32" t="str" cm="1">
        <f t="array" ref="AM94">_xlfn.LET(_xlpm.rep,$B94,_xlpm.sent,_xlfn.MAXIFS('Rework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4" s="32" t="str" cm="1">
        <f t="array" ref="AN94">_xlfn.LET(_xlpm.rep,$B94,_xlpm.sent,_xlfn.MAXIFS('Rework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5" spans="1:40" ht="14.45" hidden="1">
      <c r="A95" s="31" t="s">
        <v>127</v>
      </c>
      <c r="B95" s="31" t="s">
        <v>276</v>
      </c>
      <c r="C95" s="31" t="s">
        <v>206</v>
      </c>
      <c r="D95" t="str" cm="1">
        <f t="array" aca="1" ref="D95" ca="1">IF($B95="","",IF(LEFT($AJ95,3)="Yes","Blocked - "&amp;MID($AJ95,7,100)&amp;IF(SUMPRODUCT(('Rework Log'!$A$3:$A$499=$B95)*('Rework Log'!$G$3:$G$499&lt;&gt;"Yes")*('Rework Log'!$G$3:$G$499&lt;&gt;"Did not pass re-test"))=0,"",IF(SUMPRODUCT(MAX((('Rework Log'!$A$3:$A$499=$B95)*('Rework Log'!$G$3:$G$499&lt;&gt;"Yes")*('Rework Log'!$G$3:$G$499&lt;&gt;"Did not pass re-test"))*'Rework Log'!$I$3:$I$499))=0," - unclaimed"," - promised "&amp;TEXT(SUMPRODUCT(MAX((('Rework Log'!$A$3:$A$499=$B95)*('Rework Log'!$G$3:$G$499&lt;&gt;"Yes")*('Rework Log'!$G$3:$G$499&lt;&gt;"Did not pass re-test"))*'Rework Log'!$I$3:$I$499)),"m/d"))),IF(C95="NOT STARTED",IF(H95="","No plan date set",IF(H95&lt;TODAY(),"Review - planned start passed","On track")),IF(C95="DB Dev",IF(AND(L95="",K95=""),"No target set",IF(AND(IF(L95&lt;&gt;"",L95,K95)&lt;TODAY(),M95=""),"Overdue","On track")),IF(C95="PBI Dev",IF(AND(R95="",Q95=""),"No target set",IF(AND(IF(R95&lt;&gt;"",R95,Q95)&lt;TODAY(),S95=""),"Overdue","On track")),IF(C95="QA",_xlfn.LET(_xlpm.tgt,IF(AM95&lt;&gt;"",AM95,IF(W95&lt;&gt;"",W95,V95)),_xlpm.sent,_xlfn.MAXIFS('Rework Log'!$B$3:$B$499,'Rework Log'!$A$3:$A$499,$B95,'Rework Log'!$C$3:$C$499,"QA"),_xlpm.act,IF(AND(Y95&lt;&gt;"",Y95&gt;_xlpm.sent),Y95,""),IF(_xlpm.tgt="","No target set",IF(AND(_xlpm.tgt&lt;TODAY(),_xlpm.act=""),"Overdue","On track"))),IF(C95="DPO Approval",_xlfn.LET(_xlpm.tgt,IF(AN95&lt;&gt;"",AN95,IF(AB95&lt;&gt;"",AB95,AA95)),_xlpm.sent,_xlfn.MAXIFS('Rework Log'!$B$3:$B$499,'Rework Log'!$A$3:$A$499,$B95,'Rework Log'!$C$3:$C$499,"DPO*"),_xlpm.act,IF(AND(AC95&lt;&gt;"",AC95&gt;_xlpm.sent),AC95,""),IF(_xlpm.tgt="","No target set",IF(AND(_xlpm.tgt&lt;TODAY(),_xlpm.act=""),"Overdue","On track"))),IF(C95="RELEASED IN PROD","Delivered",""))))))))</f>
        <v>On track</v>
      </c>
      <c r="E95" s="31">
        <v>81</v>
      </c>
      <c r="F95" s="31"/>
      <c r="G95" s="31"/>
      <c r="H95" s="50">
        <v>46356</v>
      </c>
      <c r="I95" s="56" t="s">
        <v>260</v>
      </c>
      <c r="J95" s="54"/>
      <c r="K95" s="50">
        <v>46332</v>
      </c>
      <c r="L95" s="43"/>
      <c r="M95" s="44"/>
      <c r="N95" s="44"/>
      <c r="O95" s="36" t="s">
        <v>273</v>
      </c>
      <c r="P95" s="75"/>
      <c r="Q95" s="50">
        <v>46339</v>
      </c>
      <c r="R95" s="43"/>
      <c r="S95" s="44"/>
      <c r="T95" s="69" t="s">
        <v>277</v>
      </c>
      <c r="U95" s="47"/>
      <c r="V95" s="28">
        <v>46344</v>
      </c>
      <c r="W95" s="43"/>
      <c r="X95" s="31"/>
      <c r="Y95" s="31"/>
      <c r="Z95" s="36"/>
      <c r="AA95" s="28">
        <v>46356</v>
      </c>
      <c r="AB95" s="43"/>
      <c r="AC95" s="43"/>
      <c r="AD95" s="31" t="s">
        <v>278</v>
      </c>
      <c r="AE95" s="31" t="s">
        <v>72</v>
      </c>
      <c r="AF95" s="31"/>
      <c r="AG95" s="31"/>
      <c r="AH95" s="31"/>
      <c r="AI95" s="31"/>
      <c r="AJ95" s="31"/>
      <c r="AK95" s="31"/>
      <c r="AL95" s="31"/>
      <c r="AM95" s="32" t="str" cm="1">
        <f t="array" ref="AM95">_xlfn.LET(_xlpm.rep,$B95,_xlpm.sent,_xlfn.MAXIFS('Rework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5" s="32" t="str" cm="1">
        <f t="array" ref="AN95">_xlfn.LET(_xlpm.rep,$B95,_xlpm.sent,_xlfn.MAXIFS('Rework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6" spans="1:40" ht="14.45" hidden="1">
      <c r="A96" s="31" t="s">
        <v>127</v>
      </c>
      <c r="B96" s="31" t="s">
        <v>279</v>
      </c>
      <c r="C96" s="31" t="s">
        <v>206</v>
      </c>
      <c r="D96" t="str" cm="1">
        <f t="array" aca="1" ref="D96" ca="1">IF($B96="","",IF(LEFT($AJ96,3)="Yes","Blocked - "&amp;MID($AJ96,7,100)&amp;IF(SUMPRODUCT(('Rework Log'!$A$3:$A$499=$B96)*('Rework Log'!$G$3:$G$499&lt;&gt;"Yes")*('Rework Log'!$G$3:$G$499&lt;&gt;"Did not pass re-test"))=0,"",IF(SUMPRODUCT(MAX((('Rework Log'!$A$3:$A$499=$B96)*('Rework Log'!$G$3:$G$499&lt;&gt;"Yes")*('Rework Log'!$G$3:$G$499&lt;&gt;"Did not pass re-test"))*'Rework Log'!$I$3:$I$499))=0," - unclaimed"," - promised "&amp;TEXT(SUMPRODUCT(MAX((('Rework Log'!$A$3:$A$499=$B96)*('Rework Log'!$G$3:$G$499&lt;&gt;"Yes")*('Rework Log'!$G$3:$G$499&lt;&gt;"Did not pass re-test"))*'Rework Log'!$I$3:$I$499)),"m/d"))),IF(C96="NOT STARTED",IF(H96="","No plan date set",IF(H96&lt;TODAY(),"Review - planned start passed","On track")),IF(C96="DB Dev",IF(AND(L96="",K96=""),"No target set",IF(AND(IF(L96&lt;&gt;"",L96,K96)&lt;TODAY(),M96=""),"Overdue","On track")),IF(C96="PBI Dev",IF(AND(R96="",Q96=""),"No target set",IF(AND(IF(R96&lt;&gt;"",R96,Q96)&lt;TODAY(),S96=""),"Overdue","On track")),IF(C96="QA",_xlfn.LET(_xlpm.tgt,IF(AM96&lt;&gt;"",AM96,IF(W96&lt;&gt;"",W96,V96)),_xlpm.sent,_xlfn.MAXIFS('Rework Log'!$B$3:$B$499,'Rework Log'!$A$3:$A$499,$B96,'Rework Log'!$C$3:$C$499,"QA"),_xlpm.act,IF(AND(Y96&lt;&gt;"",Y96&gt;_xlpm.sent),Y96,""),IF(_xlpm.tgt="","No target set",IF(AND(_xlpm.tgt&lt;TODAY(),_xlpm.act=""),"Overdue","On track"))),IF(C96="DPO Approval",_xlfn.LET(_xlpm.tgt,IF(AN96&lt;&gt;"",AN96,IF(AB96&lt;&gt;"",AB96,AA96)),_xlpm.sent,_xlfn.MAXIFS('Rework Log'!$B$3:$B$499,'Rework Log'!$A$3:$A$499,$B96,'Rework Log'!$C$3:$C$499,"DPO*"),_xlpm.act,IF(AND(AC96&lt;&gt;"",AC96&gt;_xlpm.sent),AC96,""),IF(_xlpm.tgt="","No target set",IF(AND(_xlpm.tgt&lt;TODAY(),_xlpm.act=""),"Overdue","On track"))),IF(C96="RELEASED IN PROD","Delivered",""))))))))</f>
        <v>On track</v>
      </c>
      <c r="E96" s="31">
        <v>82</v>
      </c>
      <c r="F96" s="31"/>
      <c r="G96" s="31"/>
      <c r="H96" s="50">
        <v>46356</v>
      </c>
      <c r="I96" s="56" t="s">
        <v>260</v>
      </c>
      <c r="J96" s="54"/>
      <c r="K96" s="50">
        <v>46332</v>
      </c>
      <c r="L96" s="43"/>
      <c r="M96" s="44"/>
      <c r="N96" s="44"/>
      <c r="O96" s="36" t="s">
        <v>273</v>
      </c>
      <c r="P96" s="75"/>
      <c r="Q96" s="50">
        <v>46339</v>
      </c>
      <c r="R96" s="43"/>
      <c r="S96" s="44"/>
      <c r="T96" s="69" t="s">
        <v>277</v>
      </c>
      <c r="U96" s="47"/>
      <c r="V96" s="28">
        <v>46344</v>
      </c>
      <c r="W96" s="43"/>
      <c r="X96" s="31"/>
      <c r="Y96" s="31"/>
      <c r="Z96" s="36"/>
      <c r="AA96" s="28">
        <v>46356</v>
      </c>
      <c r="AB96" s="43"/>
      <c r="AC96" s="43"/>
      <c r="AD96" s="31" t="s">
        <v>280</v>
      </c>
      <c r="AE96" s="31" t="s">
        <v>72</v>
      </c>
      <c r="AF96" s="31"/>
      <c r="AG96" s="31"/>
      <c r="AH96" s="31"/>
      <c r="AI96" s="31"/>
      <c r="AJ96" s="31"/>
      <c r="AK96" s="31"/>
      <c r="AL96" s="31"/>
      <c r="AM96" s="32" t="str" cm="1">
        <f t="array" ref="AM96">_xlfn.LET(_xlpm.rep,$B96,_xlpm.sent,_xlfn.MAXIFS('Rework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6" s="32" t="str" cm="1">
        <f t="array" ref="AN96">_xlfn.LET(_xlpm.rep,$B96,_xlpm.sent,_xlfn.MAXIFS('Rework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7" spans="1:40" ht="14.45" hidden="1">
      <c r="A97" s="31" t="s">
        <v>127</v>
      </c>
      <c r="B97" s="31" t="s">
        <v>281</v>
      </c>
      <c r="C97" s="31" t="s">
        <v>206</v>
      </c>
      <c r="D97" t="str" cm="1">
        <f t="array" aca="1" ref="D97" ca="1">IF($B97="","",IF(LEFT($AJ97,3)="Yes","Blocked - "&amp;MID($AJ97,7,100)&amp;IF(SUMPRODUCT(('Rework Log'!$A$3:$A$499=$B97)*('Rework Log'!$G$3:$G$499&lt;&gt;"Yes")*('Rework Log'!$G$3:$G$499&lt;&gt;"Did not pass re-test"))=0,"",IF(SUMPRODUCT(MAX((('Rework Log'!$A$3:$A$499=$B97)*('Rework Log'!$G$3:$G$499&lt;&gt;"Yes")*('Rework Log'!$G$3:$G$499&lt;&gt;"Did not pass re-test"))*'Rework Log'!$I$3:$I$499))=0," - unclaimed"," - promised "&amp;TEXT(SUMPRODUCT(MAX((('Rework Log'!$A$3:$A$499=$B97)*('Rework Log'!$G$3:$G$499&lt;&gt;"Yes")*('Rework Log'!$G$3:$G$499&lt;&gt;"Did not pass re-test"))*'Rework Log'!$I$3:$I$499)),"m/d"))),IF(C97="NOT STARTED",IF(H97="","No plan date set",IF(H97&lt;TODAY(),"Review - planned start passed","On track")),IF(C97="DB Dev",IF(AND(L97="",K97=""),"No target set",IF(AND(IF(L97&lt;&gt;"",L97,K97)&lt;TODAY(),M97=""),"Overdue","On track")),IF(C97="PBI Dev",IF(AND(R97="",Q97=""),"No target set",IF(AND(IF(R97&lt;&gt;"",R97,Q97)&lt;TODAY(),S97=""),"Overdue","On track")),IF(C97="QA",_xlfn.LET(_xlpm.tgt,IF(AM97&lt;&gt;"",AM97,IF(W97&lt;&gt;"",W97,V97)),_xlpm.sent,_xlfn.MAXIFS('Rework Log'!$B$3:$B$499,'Rework Log'!$A$3:$A$499,$B97,'Rework Log'!$C$3:$C$499,"QA"),_xlpm.act,IF(AND(Y97&lt;&gt;"",Y97&gt;_xlpm.sent),Y97,""),IF(_xlpm.tgt="","No target set",IF(AND(_xlpm.tgt&lt;TODAY(),_xlpm.act=""),"Overdue","On track"))),IF(C97="DPO Approval",_xlfn.LET(_xlpm.tgt,IF(AN97&lt;&gt;"",AN97,IF(AB97&lt;&gt;"",AB97,AA97)),_xlpm.sent,_xlfn.MAXIFS('Rework Log'!$B$3:$B$499,'Rework Log'!$A$3:$A$499,$B97,'Rework Log'!$C$3:$C$499,"DPO*"),_xlpm.act,IF(AND(AC97&lt;&gt;"",AC97&gt;_xlpm.sent),AC97,""),IF(_xlpm.tgt="","No target set",IF(AND(_xlpm.tgt&lt;TODAY(),_xlpm.act=""),"Overdue","On track"))),IF(C97="RELEASED IN PROD","Delivered",""))))))))</f>
        <v>On track</v>
      </c>
      <c r="E97" s="31">
        <v>83</v>
      </c>
      <c r="F97" s="31"/>
      <c r="G97" s="31"/>
      <c r="H97" s="50">
        <v>46356</v>
      </c>
      <c r="I97" s="56" t="s">
        <v>260</v>
      </c>
      <c r="J97" s="54"/>
      <c r="K97" s="50">
        <v>46332</v>
      </c>
      <c r="L97" s="43"/>
      <c r="M97" s="44"/>
      <c r="N97" s="44"/>
      <c r="O97" s="36" t="s">
        <v>273</v>
      </c>
      <c r="P97" s="75"/>
      <c r="Q97" s="50">
        <v>46339</v>
      </c>
      <c r="R97" s="43"/>
      <c r="S97" s="44"/>
      <c r="T97" s="69" t="s">
        <v>277</v>
      </c>
      <c r="U97" s="47"/>
      <c r="V97" s="28">
        <v>46344</v>
      </c>
      <c r="W97" s="43"/>
      <c r="X97" s="31"/>
      <c r="Y97" s="31"/>
      <c r="Z97" s="36"/>
      <c r="AA97" s="28">
        <v>46356</v>
      </c>
      <c r="AB97" s="43"/>
      <c r="AC97" s="43"/>
      <c r="AD97" s="31" t="s">
        <v>282</v>
      </c>
      <c r="AE97" s="31" t="s">
        <v>72</v>
      </c>
      <c r="AF97" s="31"/>
      <c r="AG97" s="31"/>
      <c r="AH97" s="31"/>
      <c r="AI97" s="31"/>
      <c r="AJ97" s="31"/>
      <c r="AK97" s="31"/>
      <c r="AL97" s="31"/>
      <c r="AM97" s="32" t="str" cm="1">
        <f t="array" ref="AM97">_xlfn.LET(_xlpm.rep,$B97,_xlpm.sent,_xlfn.MAXIFS('Rework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7" s="32" t="str" cm="1">
        <f t="array" ref="AN97">_xlfn.LET(_xlpm.rep,$B97,_xlpm.sent,_xlfn.MAXIFS('Rework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8" spans="1:40" ht="14.45" hidden="1">
      <c r="A98" s="31" t="s">
        <v>127</v>
      </c>
      <c r="B98" s="31" t="s">
        <v>283</v>
      </c>
      <c r="C98" s="31" t="s">
        <v>206</v>
      </c>
      <c r="D98" t="str" cm="1">
        <f t="array" aca="1" ref="D98" ca="1">IF($B98="","",IF(LEFT($AJ98,3)="Yes","Blocked - "&amp;MID($AJ98,7,100)&amp;IF(SUMPRODUCT(('Rework Log'!$A$3:$A$499=$B98)*('Rework Log'!$G$3:$G$499&lt;&gt;"Yes")*('Rework Log'!$G$3:$G$499&lt;&gt;"Did not pass re-test"))=0,"",IF(SUMPRODUCT(MAX((('Rework Log'!$A$3:$A$499=$B98)*('Rework Log'!$G$3:$G$499&lt;&gt;"Yes")*('Rework Log'!$G$3:$G$499&lt;&gt;"Did not pass re-test"))*'Rework Log'!$I$3:$I$499))=0," - unclaimed"," - promised "&amp;TEXT(SUMPRODUCT(MAX((('Rework Log'!$A$3:$A$499=$B98)*('Rework Log'!$G$3:$G$499&lt;&gt;"Yes")*('Rework Log'!$G$3:$G$499&lt;&gt;"Did not pass re-test"))*'Rework Log'!$I$3:$I$499)),"m/d"))),IF(C98="NOT STARTED",IF(H98="","No plan date set",IF(H98&lt;TODAY(),"Review - planned start passed","On track")),IF(C98="DB Dev",IF(AND(L98="",K98=""),"No target set",IF(AND(IF(L98&lt;&gt;"",L98,K98)&lt;TODAY(),M98=""),"Overdue","On track")),IF(C98="PBI Dev",IF(AND(R98="",Q98=""),"No target set",IF(AND(IF(R98&lt;&gt;"",R98,Q98)&lt;TODAY(),S98=""),"Overdue","On track")),IF(C98="QA",_xlfn.LET(_xlpm.tgt,IF(AM98&lt;&gt;"",AM98,IF(W98&lt;&gt;"",W98,V98)),_xlpm.sent,_xlfn.MAXIFS('Rework Log'!$B$3:$B$499,'Rework Log'!$A$3:$A$499,$B98,'Rework Log'!$C$3:$C$499,"QA"),_xlpm.act,IF(AND(Y98&lt;&gt;"",Y98&gt;_xlpm.sent),Y98,""),IF(_xlpm.tgt="","No target set",IF(AND(_xlpm.tgt&lt;TODAY(),_xlpm.act=""),"Overdue","On track"))),IF(C98="DPO Approval",_xlfn.LET(_xlpm.tgt,IF(AN98&lt;&gt;"",AN98,IF(AB98&lt;&gt;"",AB98,AA98)),_xlpm.sent,_xlfn.MAXIFS('Rework Log'!$B$3:$B$499,'Rework Log'!$A$3:$A$499,$B98,'Rework Log'!$C$3:$C$499,"DPO*"),_xlpm.act,IF(AND(AC98&lt;&gt;"",AC98&gt;_xlpm.sent),AC98,""),IF(_xlpm.tgt="","No target set",IF(AND(_xlpm.tgt&lt;TODAY(),_xlpm.act=""),"Overdue","On track"))),IF(C98="RELEASED IN PROD","Delivered",""))))))))</f>
        <v>On track</v>
      </c>
      <c r="E98" s="31">
        <v>84</v>
      </c>
      <c r="F98" s="31"/>
      <c r="G98" s="31"/>
      <c r="H98" s="50">
        <v>46356</v>
      </c>
      <c r="I98" s="56" t="s">
        <v>260</v>
      </c>
      <c r="J98" s="54"/>
      <c r="K98" s="50">
        <v>46332</v>
      </c>
      <c r="L98" s="43"/>
      <c r="M98" s="44"/>
      <c r="N98" s="44"/>
      <c r="O98" s="36" t="s">
        <v>273</v>
      </c>
      <c r="P98" s="75"/>
      <c r="Q98" s="50">
        <v>46339</v>
      </c>
      <c r="R98" s="43"/>
      <c r="S98" s="44"/>
      <c r="T98" s="69" t="s">
        <v>277</v>
      </c>
      <c r="U98" s="47"/>
      <c r="V98" s="28">
        <v>46344</v>
      </c>
      <c r="W98" s="43"/>
      <c r="X98" s="31"/>
      <c r="Y98" s="31"/>
      <c r="Z98" s="36"/>
      <c r="AA98" s="28">
        <v>46356</v>
      </c>
      <c r="AB98" s="43"/>
      <c r="AC98" s="43"/>
      <c r="AD98" s="31" t="s">
        <v>176</v>
      </c>
      <c r="AE98" s="31" t="s">
        <v>49</v>
      </c>
      <c r="AF98" s="31"/>
      <c r="AG98" s="31"/>
      <c r="AH98" s="31"/>
      <c r="AI98" s="31"/>
      <c r="AJ98" s="31"/>
      <c r="AK98" s="31"/>
      <c r="AL98" s="31"/>
      <c r="AM98" s="32" t="str" cm="1">
        <f t="array" ref="AM98">_xlfn.LET(_xlpm.rep,$B98,_xlpm.sent,_xlfn.MAXIFS('Rework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8" s="32" t="str" cm="1">
        <f t="array" ref="AN98">_xlfn.LET(_xlpm.rep,$B98,_xlpm.sent,_xlfn.MAXIFS('Rework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9" spans="1:40" ht="14.45" hidden="1">
      <c r="A99" s="31" t="s">
        <v>127</v>
      </c>
      <c r="B99" s="31" t="s">
        <v>284</v>
      </c>
      <c r="C99" s="31" t="s">
        <v>206</v>
      </c>
      <c r="D99" t="str" cm="1">
        <f t="array" aca="1" ref="D99" ca="1">IF($B99="","",IF(LEFT($AJ99,3)="Yes","Blocked - "&amp;MID($AJ99,7,100)&amp;IF(SUMPRODUCT(('Rework Log'!$A$3:$A$499=$B99)*('Rework Log'!$G$3:$G$499&lt;&gt;"Yes")*('Rework Log'!$G$3:$G$499&lt;&gt;"Did not pass re-test"))=0,"",IF(SUMPRODUCT(MAX((('Rework Log'!$A$3:$A$499=$B99)*('Rework Log'!$G$3:$G$499&lt;&gt;"Yes")*('Rework Log'!$G$3:$G$499&lt;&gt;"Did not pass re-test"))*'Rework Log'!$I$3:$I$499))=0," - unclaimed"," - promised "&amp;TEXT(SUMPRODUCT(MAX((('Rework Log'!$A$3:$A$499=$B99)*('Rework Log'!$G$3:$G$499&lt;&gt;"Yes")*('Rework Log'!$G$3:$G$499&lt;&gt;"Did not pass re-test"))*'Rework Log'!$I$3:$I$499)),"m/d"))),IF(C99="NOT STARTED",IF(H99="","No plan date set",IF(H99&lt;TODAY(),"Review - planned start passed","On track")),IF(C99="DB Dev",IF(AND(L99="",K99=""),"No target set",IF(AND(IF(L99&lt;&gt;"",L99,K99)&lt;TODAY(),M99=""),"Overdue","On track")),IF(C99="PBI Dev",IF(AND(R99="",Q99=""),"No target set",IF(AND(IF(R99&lt;&gt;"",R99,Q99)&lt;TODAY(),S99=""),"Overdue","On track")),IF(C99="QA",_xlfn.LET(_xlpm.tgt,IF(AM99&lt;&gt;"",AM99,IF(W99&lt;&gt;"",W99,V99)),_xlpm.sent,_xlfn.MAXIFS('Rework Log'!$B$3:$B$499,'Rework Log'!$A$3:$A$499,$B99,'Rework Log'!$C$3:$C$499,"QA"),_xlpm.act,IF(AND(Y99&lt;&gt;"",Y99&gt;_xlpm.sent),Y99,""),IF(_xlpm.tgt="","No target set",IF(AND(_xlpm.tgt&lt;TODAY(),_xlpm.act=""),"Overdue","On track"))),IF(C99="DPO Approval",_xlfn.LET(_xlpm.tgt,IF(AN99&lt;&gt;"",AN99,IF(AB99&lt;&gt;"",AB99,AA99)),_xlpm.sent,_xlfn.MAXIFS('Rework Log'!$B$3:$B$499,'Rework Log'!$A$3:$A$499,$B99,'Rework Log'!$C$3:$C$499,"DPO*"),_xlpm.act,IF(AND(AC99&lt;&gt;"",AC99&gt;_xlpm.sent),AC99,""),IF(_xlpm.tgt="","No target set",IF(AND(_xlpm.tgt&lt;TODAY(),_xlpm.act=""),"Overdue","On track"))),IF(C99="RELEASED IN PROD","Delivered",""))))))))</f>
        <v>On track</v>
      </c>
      <c r="E99" s="31" t="s">
        <v>285</v>
      </c>
      <c r="F99" s="31"/>
      <c r="G99" s="31"/>
      <c r="H99" s="50">
        <v>46356</v>
      </c>
      <c r="I99" s="56" t="s">
        <v>260</v>
      </c>
      <c r="J99" s="54" t="s">
        <v>118</v>
      </c>
      <c r="K99" s="50">
        <v>46332</v>
      </c>
      <c r="L99" s="43"/>
      <c r="M99" s="44"/>
      <c r="N99" s="44"/>
      <c r="O99" s="44" t="s">
        <v>244</v>
      </c>
      <c r="P99" s="75"/>
      <c r="Q99" s="50">
        <v>46339</v>
      </c>
      <c r="R99" s="43"/>
      <c r="S99" s="44"/>
      <c r="T99" s="69" t="s">
        <v>277</v>
      </c>
      <c r="U99" s="47"/>
      <c r="V99" s="28">
        <v>46344</v>
      </c>
      <c r="W99" s="43"/>
      <c r="X99" s="31"/>
      <c r="Y99" s="31"/>
      <c r="Z99" s="36"/>
      <c r="AA99" s="28">
        <v>46356</v>
      </c>
      <c r="AB99" s="43"/>
      <c r="AC99" s="43"/>
      <c r="AD99" s="31" t="s">
        <v>286</v>
      </c>
      <c r="AE99" s="31" t="s">
        <v>94</v>
      </c>
      <c r="AF99" s="31"/>
      <c r="AG99" s="31"/>
      <c r="AH99" s="31"/>
      <c r="AI99" s="31"/>
      <c r="AJ99" s="31"/>
      <c r="AK99" s="31"/>
      <c r="AL99" s="31"/>
      <c r="AM99" s="32" t="str" cm="1">
        <f t="array" ref="AM99">_xlfn.LET(_xlpm.rep,$B99,_xlpm.sent,_xlfn.MAXIFS('Rework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9" s="32" t="str" cm="1">
        <f t="array" ref="AN99">_xlfn.LET(_xlpm.rep,$B99,_xlpm.sent,_xlfn.MAXIFS('Rework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0" spans="1:40" ht="14.45" hidden="1">
      <c r="A100" s="31" t="s">
        <v>127</v>
      </c>
      <c r="B100" s="31" t="s">
        <v>287</v>
      </c>
      <c r="C100" s="31" t="s">
        <v>206</v>
      </c>
      <c r="D100" t="str" cm="1">
        <f t="array" aca="1" ref="D100" ca="1">IF($B100="","",IF(LEFT($AJ100,3)="Yes","Blocked - "&amp;MID($AJ100,7,100)&amp;IF(SUMPRODUCT(('Rework Log'!$A$3:$A$499=$B100)*('Rework Log'!$G$3:$G$499&lt;&gt;"Yes")*('Rework Log'!$G$3:$G$499&lt;&gt;"Did not pass re-test"))=0,"",IF(SUMPRODUCT(MAX((('Rework Log'!$A$3:$A$499=$B100)*('Rework Log'!$G$3:$G$499&lt;&gt;"Yes")*('Rework Log'!$G$3:$G$499&lt;&gt;"Did not pass re-test"))*'Rework Log'!$I$3:$I$499))=0," - unclaimed"," - promised "&amp;TEXT(SUMPRODUCT(MAX((('Rework Log'!$A$3:$A$499=$B100)*('Rework Log'!$G$3:$G$499&lt;&gt;"Yes")*('Rework Log'!$G$3:$G$499&lt;&gt;"Did not pass re-test"))*'Rework Log'!$I$3:$I$499)),"m/d"))),IF(C100="NOT STARTED",IF(H100="","No plan date set",IF(H100&lt;TODAY(),"Review - planned start passed","On track")),IF(C100="DB Dev",IF(AND(L100="",K100=""),"No target set",IF(AND(IF(L100&lt;&gt;"",L100,K100)&lt;TODAY(),M100=""),"Overdue","On track")),IF(C100="PBI Dev",IF(AND(R100="",Q100=""),"No target set",IF(AND(IF(R100&lt;&gt;"",R100,Q100)&lt;TODAY(),S100=""),"Overdue","On track")),IF(C100="QA",_xlfn.LET(_xlpm.tgt,IF(AM100&lt;&gt;"",AM100,IF(W100&lt;&gt;"",W100,V100)),_xlpm.sent,_xlfn.MAXIFS('Rework Log'!$B$3:$B$499,'Rework Log'!$A$3:$A$499,$B100,'Rework Log'!$C$3:$C$499,"QA"),_xlpm.act,IF(AND(Y100&lt;&gt;"",Y100&gt;_xlpm.sent),Y100,""),IF(_xlpm.tgt="","No target set",IF(AND(_xlpm.tgt&lt;TODAY(),_xlpm.act=""),"Overdue","On track"))),IF(C100="DPO Approval",_xlfn.LET(_xlpm.tgt,IF(AN100&lt;&gt;"",AN100,IF(AB100&lt;&gt;"",AB100,AA100)),_xlpm.sent,_xlfn.MAXIFS('Rework Log'!$B$3:$B$499,'Rework Log'!$A$3:$A$499,$B100,'Rework Log'!$C$3:$C$499,"DPO*"),_xlpm.act,IF(AND(AC100&lt;&gt;"",AC100&gt;_xlpm.sent),AC100,""),IF(_xlpm.tgt="","No target set",IF(AND(_xlpm.tgt&lt;TODAY(),_xlpm.act=""),"Overdue","On track"))),IF(C100="RELEASED IN PROD","Delivered",""))))))))</f>
        <v>On track</v>
      </c>
      <c r="E100" s="31">
        <v>85</v>
      </c>
      <c r="F100" s="31"/>
      <c r="G100" s="31"/>
      <c r="H100" s="50">
        <v>46356</v>
      </c>
      <c r="I100" s="56" t="s">
        <v>260</v>
      </c>
      <c r="J100" s="54"/>
      <c r="K100" s="50">
        <v>46332</v>
      </c>
      <c r="L100" s="43"/>
      <c r="M100" s="44"/>
      <c r="N100" s="44"/>
      <c r="O100" s="36" t="s">
        <v>273</v>
      </c>
      <c r="P100" s="75"/>
      <c r="Q100" s="50">
        <v>46339</v>
      </c>
      <c r="R100" s="43"/>
      <c r="S100" s="44"/>
      <c r="T100" s="69" t="s">
        <v>277</v>
      </c>
      <c r="U100" s="47"/>
      <c r="V100" s="28">
        <v>46344</v>
      </c>
      <c r="W100" s="43"/>
      <c r="X100" s="31"/>
      <c r="Y100" s="31"/>
      <c r="Z100" s="36"/>
      <c r="AA100" s="28">
        <v>46356</v>
      </c>
      <c r="AB100" s="43"/>
      <c r="AC100" s="43"/>
      <c r="AD100" s="31" t="s">
        <v>288</v>
      </c>
      <c r="AE100" s="31" t="s">
        <v>72</v>
      </c>
      <c r="AF100" s="31"/>
      <c r="AG100" s="31"/>
      <c r="AH100" s="31"/>
      <c r="AI100" s="31"/>
      <c r="AJ100" s="31"/>
      <c r="AK100" s="31"/>
      <c r="AL100" s="31"/>
      <c r="AM100" s="32" t="str" cm="1">
        <f t="array" ref="AM100">_xlfn.LET(_xlpm.rep,$B100,_xlpm.sent,_xlfn.MAXIFS('Rework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0" s="32" t="str" cm="1">
        <f t="array" ref="AN100">_xlfn.LET(_xlpm.rep,$B100,_xlpm.sent,_xlfn.MAXIFS('Rework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1" spans="1:40" ht="14.45" hidden="1">
      <c r="A101" s="31" t="s">
        <v>289</v>
      </c>
      <c r="B101" s="31" t="s">
        <v>290</v>
      </c>
      <c r="C101" s="31" t="s">
        <v>206</v>
      </c>
      <c r="D101" t="str" cm="1">
        <f t="array" aca="1" ref="D101" ca="1">IF($B101="","",IF(LEFT($AJ101,3)="Yes","Blocked - "&amp;MID($AJ101,7,100)&amp;IF(SUMPRODUCT(('Rework Log'!$A$3:$A$499=$B101)*('Rework Log'!$G$3:$G$499&lt;&gt;"Yes")*('Rework Log'!$G$3:$G$499&lt;&gt;"Did not pass re-test"))=0,"",IF(SUMPRODUCT(MAX((('Rework Log'!$A$3:$A$499=$B101)*('Rework Log'!$G$3:$G$499&lt;&gt;"Yes")*('Rework Log'!$G$3:$G$499&lt;&gt;"Did not pass re-test"))*'Rework Log'!$I$3:$I$499))=0," - unclaimed"," - promised "&amp;TEXT(SUMPRODUCT(MAX((('Rework Log'!$A$3:$A$499=$B101)*('Rework Log'!$G$3:$G$499&lt;&gt;"Yes")*('Rework Log'!$G$3:$G$499&lt;&gt;"Did not pass re-test"))*'Rework Log'!$I$3:$I$499)),"m/d"))),IF(C101="NOT STARTED",IF(H101="","No plan date set",IF(H101&lt;TODAY(),"Review - planned start passed","On track")),IF(C101="DB Dev",IF(AND(L101="",K101=""),"No target set",IF(AND(IF(L101&lt;&gt;"",L101,K101)&lt;TODAY(),M101=""),"Overdue","On track")),IF(C101="PBI Dev",IF(AND(R101="",Q101=""),"No target set",IF(AND(IF(R101&lt;&gt;"",R101,Q101)&lt;TODAY(),S101=""),"Overdue","On track")),IF(C101="QA",_xlfn.LET(_xlpm.tgt,IF(AM101&lt;&gt;"",AM101,IF(W101&lt;&gt;"",W101,V101)),_xlpm.sent,_xlfn.MAXIFS('Rework Log'!$B$3:$B$499,'Rework Log'!$A$3:$A$499,$B101,'Rework Log'!$C$3:$C$499,"QA"),_xlpm.act,IF(AND(Y101&lt;&gt;"",Y101&gt;_xlpm.sent),Y101,""),IF(_xlpm.tgt="","No target set",IF(AND(_xlpm.tgt&lt;TODAY(),_xlpm.act=""),"Overdue","On track"))),IF(C101="DPO Approval",_xlfn.LET(_xlpm.tgt,IF(AN101&lt;&gt;"",AN101,IF(AB101&lt;&gt;"",AB101,AA101)),_xlpm.sent,_xlfn.MAXIFS('Rework Log'!$B$3:$B$499,'Rework Log'!$A$3:$A$499,$B101,'Rework Log'!$C$3:$C$499,"DPO*"),_xlpm.act,IF(AND(AC101&lt;&gt;"",AC101&gt;_xlpm.sent),AC101,""),IF(_xlpm.tgt="","No target set",IF(AND(_xlpm.tgt&lt;TODAY(),_xlpm.act=""),"Overdue","On track"))),IF(C101="RELEASED IN PROD","Delivered",""))))))))</f>
        <v>On track</v>
      </c>
      <c r="E101" s="31">
        <v>1</v>
      </c>
      <c r="F101" s="31" t="s">
        <v>130</v>
      </c>
      <c r="G101" s="31"/>
      <c r="H101" s="28">
        <v>46387</v>
      </c>
      <c r="I101" s="56" t="s">
        <v>291</v>
      </c>
      <c r="J101" s="54"/>
      <c r="K101" s="28">
        <v>46363</v>
      </c>
      <c r="L101" s="43"/>
      <c r="M101" s="31"/>
      <c r="N101" s="31"/>
      <c r="O101" s="36" t="s">
        <v>292</v>
      </c>
      <c r="P101" s="75"/>
      <c r="Q101" s="28">
        <v>46370</v>
      </c>
      <c r="R101" s="43"/>
      <c r="S101" s="31"/>
      <c r="T101" s="69" t="s">
        <v>277</v>
      </c>
      <c r="U101" s="47"/>
      <c r="V101" s="28">
        <v>46373</v>
      </c>
      <c r="W101" s="43"/>
      <c r="X101" s="31"/>
      <c r="Y101" s="31"/>
      <c r="Z101" s="36"/>
      <c r="AA101" s="28">
        <v>46386</v>
      </c>
      <c r="AB101" s="43"/>
      <c r="AC101" s="43"/>
      <c r="AD101" s="31" t="s">
        <v>293</v>
      </c>
      <c r="AE101" s="31" t="s">
        <v>94</v>
      </c>
      <c r="AF101" s="31"/>
      <c r="AG101" s="31"/>
      <c r="AH101" s="31"/>
      <c r="AI101" s="31"/>
      <c r="AJ101" s="31"/>
      <c r="AK101" s="31"/>
      <c r="AL101" s="31"/>
      <c r="AM101" s="31" t="str" cm="1">
        <f t="array" ref="AM101">_xlfn.LET(_xlpm.rep,$B101,_xlpm.sent,_xlfn.MAXIFS('Rework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1" s="31" t="str" cm="1">
        <f t="array" ref="AN101">_xlfn.LET(_xlpm.rep,$B101,_xlpm.sent,_xlfn.MAXIFS('Rework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2" spans="1:40" ht="14.45" hidden="1">
      <c r="A102" s="31" t="s">
        <v>289</v>
      </c>
      <c r="B102" s="31" t="s">
        <v>294</v>
      </c>
      <c r="C102" s="31" t="s">
        <v>206</v>
      </c>
      <c r="D102" t="str" cm="1">
        <f t="array" aca="1" ref="D102" ca="1">IF($B102="","",IF(LEFT($AJ102,3)="Yes","Blocked - "&amp;MID($AJ102,7,100)&amp;IF(SUMPRODUCT(('Rework Log'!$A$3:$A$499=$B102)*('Rework Log'!$G$3:$G$499&lt;&gt;"Yes")*('Rework Log'!$G$3:$G$499&lt;&gt;"Did not pass re-test"))=0,"",IF(SUMPRODUCT(MAX((('Rework Log'!$A$3:$A$499=$B102)*('Rework Log'!$G$3:$G$499&lt;&gt;"Yes")*('Rework Log'!$G$3:$G$499&lt;&gt;"Did not pass re-test"))*'Rework Log'!$I$3:$I$499))=0," - unclaimed"," - promised "&amp;TEXT(SUMPRODUCT(MAX((('Rework Log'!$A$3:$A$499=$B102)*('Rework Log'!$G$3:$G$499&lt;&gt;"Yes")*('Rework Log'!$G$3:$G$499&lt;&gt;"Did not pass re-test"))*'Rework Log'!$I$3:$I$499)),"m/d"))),IF(C102="NOT STARTED",IF(H102="","No plan date set",IF(H102&lt;TODAY(),"Review - planned start passed","On track")),IF(C102="DB Dev",IF(AND(L102="",K102=""),"No target set",IF(AND(IF(L102&lt;&gt;"",L102,K102)&lt;TODAY(),M102=""),"Overdue","On track")),IF(C102="PBI Dev",IF(AND(R102="",Q102=""),"No target set",IF(AND(IF(R102&lt;&gt;"",R102,Q102)&lt;TODAY(),S102=""),"Overdue","On track")),IF(C102="QA",_xlfn.LET(_xlpm.tgt,IF(AM102&lt;&gt;"",AM102,IF(W102&lt;&gt;"",W102,V102)),_xlpm.sent,_xlfn.MAXIFS('Rework Log'!$B$3:$B$499,'Rework Log'!$A$3:$A$499,$B102,'Rework Log'!$C$3:$C$499,"QA"),_xlpm.act,IF(AND(Y102&lt;&gt;"",Y102&gt;_xlpm.sent),Y102,""),IF(_xlpm.tgt="","No target set",IF(AND(_xlpm.tgt&lt;TODAY(),_xlpm.act=""),"Overdue","On track"))),IF(C102="DPO Approval",_xlfn.LET(_xlpm.tgt,IF(AN102&lt;&gt;"",AN102,IF(AB102&lt;&gt;"",AB102,AA102)),_xlpm.sent,_xlfn.MAXIFS('Rework Log'!$B$3:$B$499,'Rework Log'!$A$3:$A$499,$B102,'Rework Log'!$C$3:$C$499,"DPO*"),_xlpm.act,IF(AND(AC102&lt;&gt;"",AC102&gt;_xlpm.sent),AC102,""),IF(_xlpm.tgt="","No target set",IF(AND(_xlpm.tgt&lt;TODAY(),_xlpm.act=""),"Overdue","On track"))),IF(C102="RELEASED IN PROD","Delivered",""))))))))</f>
        <v>On track</v>
      </c>
      <c r="E102" s="31">
        <v>2</v>
      </c>
      <c r="F102" s="31" t="s">
        <v>130</v>
      </c>
      <c r="G102" s="31"/>
      <c r="H102" s="28">
        <v>46387</v>
      </c>
      <c r="I102" s="56" t="s">
        <v>291</v>
      </c>
      <c r="J102" s="54"/>
      <c r="K102" s="28">
        <v>46363</v>
      </c>
      <c r="L102" s="43"/>
      <c r="M102" s="31"/>
      <c r="N102" s="31"/>
      <c r="O102" s="36" t="s">
        <v>292</v>
      </c>
      <c r="P102" s="75"/>
      <c r="Q102" s="28">
        <v>46370</v>
      </c>
      <c r="R102" s="43"/>
      <c r="S102" s="31"/>
      <c r="T102" s="69" t="s">
        <v>295</v>
      </c>
      <c r="U102" s="47"/>
      <c r="V102" s="28">
        <v>46373</v>
      </c>
      <c r="W102" s="43"/>
      <c r="X102" s="31"/>
      <c r="Y102" s="31"/>
      <c r="Z102" s="36"/>
      <c r="AA102" s="28">
        <v>46386</v>
      </c>
      <c r="AB102" s="43"/>
      <c r="AC102" s="43"/>
      <c r="AD102" s="31" t="s">
        <v>296</v>
      </c>
      <c r="AE102" s="31" t="s">
        <v>94</v>
      </c>
      <c r="AF102" s="31"/>
      <c r="AG102" s="31"/>
      <c r="AH102" s="31"/>
      <c r="AI102" s="31"/>
      <c r="AJ102" s="31"/>
      <c r="AK102" s="31"/>
      <c r="AL102" s="31"/>
      <c r="AM102" s="31" t="str" cm="1">
        <f t="array" ref="AM102">_xlfn.LET(_xlpm.rep,$B102,_xlpm.sent,_xlfn.MAXIFS('Rework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2" s="31" t="str" cm="1">
        <f t="array" ref="AN102">_xlfn.LET(_xlpm.rep,$B102,_xlpm.sent,_xlfn.MAXIFS('Rework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3" spans="1:40" ht="14.45" hidden="1">
      <c r="A103" s="31" t="s">
        <v>289</v>
      </c>
      <c r="B103" s="31" t="s">
        <v>297</v>
      </c>
      <c r="C103" s="31" t="s">
        <v>206</v>
      </c>
      <c r="D103" t="str" cm="1">
        <f t="array" aca="1" ref="D103" ca="1">IF($B103="","",IF(LEFT($AJ103,3)="Yes","Blocked - "&amp;MID($AJ103,7,100)&amp;IF(SUMPRODUCT(('Rework Log'!$A$3:$A$499=$B103)*('Rework Log'!$G$3:$G$499&lt;&gt;"Yes")*('Rework Log'!$G$3:$G$499&lt;&gt;"Did not pass re-test"))=0,"",IF(SUMPRODUCT(MAX((('Rework Log'!$A$3:$A$499=$B103)*('Rework Log'!$G$3:$G$499&lt;&gt;"Yes")*('Rework Log'!$G$3:$G$499&lt;&gt;"Did not pass re-test"))*'Rework Log'!$I$3:$I$499))=0," - unclaimed"," - promised "&amp;TEXT(SUMPRODUCT(MAX((('Rework Log'!$A$3:$A$499=$B103)*('Rework Log'!$G$3:$G$499&lt;&gt;"Yes")*('Rework Log'!$G$3:$G$499&lt;&gt;"Did not pass re-test"))*'Rework Log'!$I$3:$I$499)),"m/d"))),IF(C103="NOT STARTED",IF(H103="","No plan date set",IF(H103&lt;TODAY(),"Review - planned start passed","On track")),IF(C103="DB Dev",IF(AND(L103="",K103=""),"No target set",IF(AND(IF(L103&lt;&gt;"",L103,K103)&lt;TODAY(),M103=""),"Overdue","On track")),IF(C103="PBI Dev",IF(AND(R103="",Q103=""),"No target set",IF(AND(IF(R103&lt;&gt;"",R103,Q103)&lt;TODAY(),S103=""),"Overdue","On track")),IF(C103="QA",_xlfn.LET(_xlpm.tgt,IF(AM103&lt;&gt;"",AM103,IF(W103&lt;&gt;"",W103,V103)),_xlpm.sent,_xlfn.MAXIFS('Rework Log'!$B$3:$B$499,'Rework Log'!$A$3:$A$499,$B103,'Rework Log'!$C$3:$C$499,"QA"),_xlpm.act,IF(AND(Y103&lt;&gt;"",Y103&gt;_xlpm.sent),Y103,""),IF(_xlpm.tgt="","No target set",IF(AND(_xlpm.tgt&lt;TODAY(),_xlpm.act=""),"Overdue","On track"))),IF(C103="DPO Approval",_xlfn.LET(_xlpm.tgt,IF(AN103&lt;&gt;"",AN103,IF(AB103&lt;&gt;"",AB103,AA103)),_xlpm.sent,_xlfn.MAXIFS('Rework Log'!$B$3:$B$499,'Rework Log'!$A$3:$A$499,$B103,'Rework Log'!$C$3:$C$499,"DPO*"),_xlpm.act,IF(AND(AC103&lt;&gt;"",AC103&gt;_xlpm.sent),AC103,""),IF(_xlpm.tgt="","No target set",IF(AND(_xlpm.tgt&lt;TODAY(),_xlpm.act=""),"Overdue","On track"))),IF(C103="RELEASED IN PROD","Delivered",""))))))))</f>
        <v>On track</v>
      </c>
      <c r="E103" s="31">
        <v>3</v>
      </c>
      <c r="F103" s="31" t="s">
        <v>130</v>
      </c>
      <c r="G103" s="31"/>
      <c r="H103" s="28">
        <v>46387</v>
      </c>
      <c r="I103" s="56" t="s">
        <v>291</v>
      </c>
      <c r="J103" s="54"/>
      <c r="K103" s="28">
        <v>46363</v>
      </c>
      <c r="L103" s="43"/>
      <c r="M103" s="31"/>
      <c r="N103" s="31"/>
      <c r="O103" s="36" t="s">
        <v>292</v>
      </c>
      <c r="P103" s="75"/>
      <c r="Q103" s="28">
        <v>46370</v>
      </c>
      <c r="R103" s="43"/>
      <c r="S103" s="31"/>
      <c r="T103" s="69" t="s">
        <v>295</v>
      </c>
      <c r="U103" s="47"/>
      <c r="V103" s="28">
        <v>46373</v>
      </c>
      <c r="W103" s="43"/>
      <c r="X103" s="31"/>
      <c r="Y103" s="31"/>
      <c r="Z103" s="36"/>
      <c r="AA103" s="28">
        <v>46386</v>
      </c>
      <c r="AB103" s="43"/>
      <c r="AC103" s="43"/>
      <c r="AD103" s="31" t="s">
        <v>298</v>
      </c>
      <c r="AE103" s="31" t="s">
        <v>94</v>
      </c>
      <c r="AF103" s="31"/>
      <c r="AG103" s="31"/>
      <c r="AH103" s="31"/>
      <c r="AI103" s="31"/>
      <c r="AJ103" s="31"/>
      <c r="AK103" s="31"/>
      <c r="AL103" s="31"/>
      <c r="AM103" s="31" t="str" cm="1">
        <f t="array" ref="AM103">_xlfn.LET(_xlpm.rep,$B103,_xlpm.sent,_xlfn.MAXIFS('Rework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3" s="31" t="str" cm="1">
        <f t="array" ref="AN103">_xlfn.LET(_xlpm.rep,$B103,_xlpm.sent,_xlfn.MAXIFS('Rework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4" spans="1:40" ht="14.45" hidden="1">
      <c r="A104" s="31" t="s">
        <v>299</v>
      </c>
      <c r="B104" s="31" t="s">
        <v>300</v>
      </c>
      <c r="C104" s="31" t="s">
        <v>206</v>
      </c>
      <c r="D104" t="str" cm="1">
        <f t="array" aca="1" ref="D104" ca="1">IF($B104="","",IF(LEFT($AJ104,3)="Yes","Blocked - "&amp;MID($AJ104,7,100)&amp;IF(SUMPRODUCT(('Rework Log'!$A$3:$A$499=$B104)*('Rework Log'!$G$3:$G$499&lt;&gt;"Yes")*('Rework Log'!$G$3:$G$499&lt;&gt;"Did not pass re-test"))=0,"",IF(SUMPRODUCT(MAX((('Rework Log'!$A$3:$A$499=$B104)*('Rework Log'!$G$3:$G$499&lt;&gt;"Yes")*('Rework Log'!$G$3:$G$499&lt;&gt;"Did not pass re-test"))*'Rework Log'!$I$3:$I$499))=0," - unclaimed"," - promised "&amp;TEXT(SUMPRODUCT(MAX((('Rework Log'!$A$3:$A$499=$B104)*('Rework Log'!$G$3:$G$499&lt;&gt;"Yes")*('Rework Log'!$G$3:$G$499&lt;&gt;"Did not pass re-test"))*'Rework Log'!$I$3:$I$499)),"m/d"))),IF(C104="NOT STARTED",IF(H104="","No plan date set",IF(H104&lt;TODAY(),"Review - planned start passed","On track")),IF(C104="DB Dev",IF(AND(L104="",K104=""),"No target set",IF(AND(IF(L104&lt;&gt;"",L104,K104)&lt;TODAY(),M104=""),"Overdue","On track")),IF(C104="PBI Dev",IF(AND(R104="",Q104=""),"No target set",IF(AND(IF(R104&lt;&gt;"",R104,Q104)&lt;TODAY(),S104=""),"Overdue","On track")),IF(C104="QA",_xlfn.LET(_xlpm.tgt,IF(AM104&lt;&gt;"",AM104,IF(W104&lt;&gt;"",W104,V104)),_xlpm.sent,_xlfn.MAXIFS('Rework Log'!$B$3:$B$499,'Rework Log'!$A$3:$A$499,$B104,'Rework Log'!$C$3:$C$499,"QA"),_xlpm.act,IF(AND(Y104&lt;&gt;"",Y104&gt;_xlpm.sent),Y104,""),IF(_xlpm.tgt="","No target set",IF(AND(_xlpm.tgt&lt;TODAY(),_xlpm.act=""),"Overdue","On track"))),IF(C104="DPO Approval",_xlfn.LET(_xlpm.tgt,IF(AN104&lt;&gt;"",AN104,IF(AB104&lt;&gt;"",AB104,AA104)),_xlpm.sent,_xlfn.MAXIFS('Rework Log'!$B$3:$B$499,'Rework Log'!$A$3:$A$499,$B104,'Rework Log'!$C$3:$C$499,"DPO*"),_xlpm.act,IF(AND(AC104&lt;&gt;"",AC104&gt;_xlpm.sent),AC104,""),IF(_xlpm.tgt="","No target set",IF(AND(_xlpm.tgt&lt;TODAY(),_xlpm.act=""),"Overdue","On track"))),IF(C104="RELEASED IN PROD","Delivered",""))))))))</f>
        <v>On track</v>
      </c>
      <c r="E104" s="31">
        <v>4</v>
      </c>
      <c r="F104" s="31" t="s">
        <v>147</v>
      </c>
      <c r="G104" s="31"/>
      <c r="H104" s="28">
        <v>46387</v>
      </c>
      <c r="I104" s="56" t="s">
        <v>291</v>
      </c>
      <c r="J104" s="54"/>
      <c r="K104" s="28">
        <v>46363</v>
      </c>
      <c r="L104" s="43"/>
      <c r="M104" s="31"/>
      <c r="N104" s="31"/>
      <c r="O104" s="36" t="s">
        <v>292</v>
      </c>
      <c r="P104" s="75"/>
      <c r="Q104" s="28">
        <v>46370</v>
      </c>
      <c r="R104" s="43"/>
      <c r="S104" s="31"/>
      <c r="T104" s="69" t="s">
        <v>295</v>
      </c>
      <c r="U104" s="47"/>
      <c r="V104" s="28">
        <v>46373</v>
      </c>
      <c r="W104" s="43"/>
      <c r="X104" s="31"/>
      <c r="Y104" s="31"/>
      <c r="Z104" s="36"/>
      <c r="AA104" s="28">
        <v>46386</v>
      </c>
      <c r="AB104" s="43"/>
      <c r="AC104" s="43"/>
      <c r="AD104" s="31" t="s">
        <v>301</v>
      </c>
      <c r="AE104" s="31" t="s">
        <v>49</v>
      </c>
      <c r="AF104" s="31"/>
      <c r="AG104" s="31"/>
      <c r="AH104" s="31"/>
      <c r="AI104" s="31"/>
      <c r="AJ104" s="31"/>
      <c r="AK104" s="31"/>
      <c r="AL104" s="31"/>
      <c r="AM104" s="31" t="str" cm="1">
        <f t="array" ref="AM104">_xlfn.LET(_xlpm.rep,$B104,_xlpm.sent,_xlfn.MAXIFS('Rework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4" s="31" t="str" cm="1">
        <f t="array" ref="AN104">_xlfn.LET(_xlpm.rep,$B104,_xlpm.sent,_xlfn.MAXIFS('Rework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5" spans="1:40" ht="14.45" hidden="1">
      <c r="A105" s="31" t="s">
        <v>289</v>
      </c>
      <c r="B105" s="31" t="s">
        <v>302</v>
      </c>
      <c r="C105" s="31" t="s">
        <v>206</v>
      </c>
      <c r="D105" t="str" cm="1">
        <f t="array" aca="1" ref="D105" ca="1">IF($B105="","",IF(LEFT($AJ105,3)="Yes","Blocked - "&amp;MID($AJ105,7,100)&amp;IF(SUMPRODUCT(('Rework Log'!$A$3:$A$499=$B105)*('Rework Log'!$G$3:$G$499&lt;&gt;"Yes")*('Rework Log'!$G$3:$G$499&lt;&gt;"Did not pass re-test"))=0,"",IF(SUMPRODUCT(MAX((('Rework Log'!$A$3:$A$499=$B105)*('Rework Log'!$G$3:$G$499&lt;&gt;"Yes")*('Rework Log'!$G$3:$G$499&lt;&gt;"Did not pass re-test"))*'Rework Log'!$I$3:$I$499))=0," - unclaimed"," - promised "&amp;TEXT(SUMPRODUCT(MAX((('Rework Log'!$A$3:$A$499=$B105)*('Rework Log'!$G$3:$G$499&lt;&gt;"Yes")*('Rework Log'!$G$3:$G$499&lt;&gt;"Did not pass re-test"))*'Rework Log'!$I$3:$I$499)),"m/d"))),IF(C105="NOT STARTED",IF(H105="","No plan date set",IF(H105&lt;TODAY(),"Review - planned start passed","On track")),IF(C105="DB Dev",IF(AND(L105="",K105=""),"No target set",IF(AND(IF(L105&lt;&gt;"",L105,K105)&lt;TODAY(),M105=""),"Overdue","On track")),IF(C105="PBI Dev",IF(AND(R105="",Q105=""),"No target set",IF(AND(IF(R105&lt;&gt;"",R105,Q105)&lt;TODAY(),S105=""),"Overdue","On track")),IF(C105="QA",_xlfn.LET(_xlpm.tgt,IF(AM105&lt;&gt;"",AM105,IF(W105&lt;&gt;"",W105,V105)),_xlpm.sent,_xlfn.MAXIFS('Rework Log'!$B$3:$B$499,'Rework Log'!$A$3:$A$499,$B105,'Rework Log'!$C$3:$C$499,"QA"),_xlpm.act,IF(AND(Y105&lt;&gt;"",Y105&gt;_xlpm.sent),Y105,""),IF(_xlpm.tgt="","No target set",IF(AND(_xlpm.tgt&lt;TODAY(),_xlpm.act=""),"Overdue","On track"))),IF(C105="DPO Approval",_xlfn.LET(_xlpm.tgt,IF(AN105&lt;&gt;"",AN105,IF(AB105&lt;&gt;"",AB105,AA105)),_xlpm.sent,_xlfn.MAXIFS('Rework Log'!$B$3:$B$499,'Rework Log'!$A$3:$A$499,$B105,'Rework Log'!$C$3:$C$499,"DPO*"),_xlpm.act,IF(AND(AC105&lt;&gt;"",AC105&gt;_xlpm.sent),AC105,""),IF(_xlpm.tgt="","No target set",IF(AND(_xlpm.tgt&lt;TODAY(),_xlpm.act=""),"Overdue","On track"))),IF(C105="RELEASED IN PROD","Delivered",""))))))))</f>
        <v>On track</v>
      </c>
      <c r="E105" s="31">
        <v>5</v>
      </c>
      <c r="F105" s="31" t="s">
        <v>130</v>
      </c>
      <c r="G105" s="31"/>
      <c r="H105" s="28">
        <v>46387</v>
      </c>
      <c r="I105" s="56" t="s">
        <v>291</v>
      </c>
      <c r="J105" s="54"/>
      <c r="K105" s="28">
        <v>46363</v>
      </c>
      <c r="L105" s="43"/>
      <c r="M105" s="31"/>
      <c r="N105" s="31"/>
      <c r="O105" s="36" t="s">
        <v>292</v>
      </c>
      <c r="P105" s="75"/>
      <c r="Q105" s="28">
        <v>46370</v>
      </c>
      <c r="R105" s="43"/>
      <c r="S105" s="31"/>
      <c r="T105" s="69" t="s">
        <v>295</v>
      </c>
      <c r="U105" s="47"/>
      <c r="V105" s="28">
        <v>46373</v>
      </c>
      <c r="W105" s="43"/>
      <c r="X105" s="31"/>
      <c r="Y105" s="31"/>
      <c r="Z105" s="36"/>
      <c r="AA105" s="28">
        <v>46386</v>
      </c>
      <c r="AB105" s="43"/>
      <c r="AC105" s="43"/>
      <c r="AD105" s="31" t="s">
        <v>303</v>
      </c>
      <c r="AE105" s="31" t="s">
        <v>72</v>
      </c>
      <c r="AF105" s="31"/>
      <c r="AG105" s="31"/>
      <c r="AH105" s="31"/>
      <c r="AI105" s="31"/>
      <c r="AJ105" s="31"/>
      <c r="AK105" s="31"/>
      <c r="AL105" s="31"/>
      <c r="AM105" s="31" t="str" cm="1">
        <f t="array" ref="AM105">_xlfn.LET(_xlpm.rep,$B105,_xlpm.sent,_xlfn.MAXIFS('Rework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5" s="31" t="str" cm="1">
        <f t="array" ref="AN105">_xlfn.LET(_xlpm.rep,$B105,_xlpm.sent,_xlfn.MAXIFS('Rework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6" spans="1:40" ht="14.45" hidden="1">
      <c r="A106" s="31" t="s">
        <v>289</v>
      </c>
      <c r="B106" s="31" t="s">
        <v>304</v>
      </c>
      <c r="C106" s="31" t="s">
        <v>206</v>
      </c>
      <c r="D106" t="str" cm="1">
        <f t="array" aca="1" ref="D106" ca="1">IF($B106="","",IF(LEFT($AJ106,3)="Yes","Blocked - "&amp;MID($AJ106,7,100)&amp;IF(SUMPRODUCT(('Rework Log'!$A$3:$A$499=$B106)*('Rework Log'!$G$3:$G$499&lt;&gt;"Yes")*('Rework Log'!$G$3:$G$499&lt;&gt;"Did not pass re-test"))=0,"",IF(SUMPRODUCT(MAX((('Rework Log'!$A$3:$A$499=$B106)*('Rework Log'!$G$3:$G$499&lt;&gt;"Yes")*('Rework Log'!$G$3:$G$499&lt;&gt;"Did not pass re-test"))*'Rework Log'!$I$3:$I$499))=0," - unclaimed"," - promised "&amp;TEXT(SUMPRODUCT(MAX((('Rework Log'!$A$3:$A$499=$B106)*('Rework Log'!$G$3:$G$499&lt;&gt;"Yes")*('Rework Log'!$G$3:$G$499&lt;&gt;"Did not pass re-test"))*'Rework Log'!$I$3:$I$499)),"m/d"))),IF(C106="NOT STARTED",IF(H106="","No plan date set",IF(H106&lt;TODAY(),"Review - planned start passed","On track")),IF(C106="DB Dev",IF(AND(L106="",K106=""),"No target set",IF(AND(IF(L106&lt;&gt;"",L106,K106)&lt;TODAY(),M106=""),"Overdue","On track")),IF(C106="PBI Dev",IF(AND(R106="",Q106=""),"No target set",IF(AND(IF(R106&lt;&gt;"",R106,Q106)&lt;TODAY(),S106=""),"Overdue","On track")),IF(C106="QA",_xlfn.LET(_xlpm.tgt,IF(AM106&lt;&gt;"",AM106,IF(W106&lt;&gt;"",W106,V106)),_xlpm.sent,_xlfn.MAXIFS('Rework Log'!$B$3:$B$499,'Rework Log'!$A$3:$A$499,$B106,'Rework Log'!$C$3:$C$499,"QA"),_xlpm.act,IF(AND(Y106&lt;&gt;"",Y106&gt;_xlpm.sent),Y106,""),IF(_xlpm.tgt="","No target set",IF(AND(_xlpm.tgt&lt;TODAY(),_xlpm.act=""),"Overdue","On track"))),IF(C106="DPO Approval",_xlfn.LET(_xlpm.tgt,IF(AN106&lt;&gt;"",AN106,IF(AB106&lt;&gt;"",AB106,AA106)),_xlpm.sent,_xlfn.MAXIFS('Rework Log'!$B$3:$B$499,'Rework Log'!$A$3:$A$499,$B106,'Rework Log'!$C$3:$C$499,"DPO*"),_xlpm.act,IF(AND(AC106&lt;&gt;"",AC106&gt;_xlpm.sent),AC106,""),IF(_xlpm.tgt="","No target set",IF(AND(_xlpm.tgt&lt;TODAY(),_xlpm.act=""),"Overdue","On track"))),IF(C106="RELEASED IN PROD","Delivered",""))))))))</f>
        <v>On track</v>
      </c>
      <c r="E106" s="31">
        <v>6</v>
      </c>
      <c r="F106" s="31" t="s">
        <v>130</v>
      </c>
      <c r="G106" s="31"/>
      <c r="H106" s="28">
        <v>46387</v>
      </c>
      <c r="I106" s="56" t="s">
        <v>291</v>
      </c>
      <c r="J106" s="54"/>
      <c r="K106" s="28">
        <v>46363</v>
      </c>
      <c r="L106" s="43"/>
      <c r="M106" s="31"/>
      <c r="N106" s="31"/>
      <c r="O106" s="36" t="s">
        <v>292</v>
      </c>
      <c r="P106" s="75"/>
      <c r="Q106" s="28">
        <v>46370</v>
      </c>
      <c r="R106" s="43"/>
      <c r="S106" s="31"/>
      <c r="T106" s="69" t="s">
        <v>295</v>
      </c>
      <c r="U106" s="47"/>
      <c r="V106" s="28">
        <v>46373</v>
      </c>
      <c r="W106" s="43"/>
      <c r="X106" s="31"/>
      <c r="Y106" s="31"/>
      <c r="Z106" s="36"/>
      <c r="AA106" s="28">
        <v>46386</v>
      </c>
      <c r="AB106" s="43"/>
      <c r="AC106" s="43"/>
      <c r="AD106" s="31" t="s">
        <v>305</v>
      </c>
      <c r="AE106" s="31" t="s">
        <v>72</v>
      </c>
      <c r="AF106" s="31"/>
      <c r="AG106" s="31"/>
      <c r="AH106" s="31"/>
      <c r="AI106" s="31"/>
      <c r="AJ106" s="31"/>
      <c r="AK106" s="31"/>
      <c r="AL106" s="31"/>
      <c r="AM106" s="31" t="str" cm="1">
        <f t="array" ref="AM106">_xlfn.LET(_xlpm.rep,$B106,_xlpm.sent,_xlfn.MAXIFS('Rework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6" s="31" t="str" cm="1">
        <f t="array" ref="AN106">_xlfn.LET(_xlpm.rep,$B106,_xlpm.sent,_xlfn.MAXIFS('Rework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7" spans="1:40" ht="14.45" hidden="1">
      <c r="A107" s="31" t="s">
        <v>289</v>
      </c>
      <c r="B107" s="31" t="s">
        <v>306</v>
      </c>
      <c r="C107" s="31" t="s">
        <v>206</v>
      </c>
      <c r="D107" t="str" cm="1">
        <f t="array" aca="1" ref="D107" ca="1">IF($B107="","",IF(LEFT($AJ107,3)="Yes","Blocked - "&amp;MID($AJ107,7,100)&amp;IF(SUMPRODUCT(('Rework Log'!$A$3:$A$499=$B107)*('Rework Log'!$G$3:$G$499&lt;&gt;"Yes")*('Rework Log'!$G$3:$G$499&lt;&gt;"Did not pass re-test"))=0,"",IF(SUMPRODUCT(MAX((('Rework Log'!$A$3:$A$499=$B107)*('Rework Log'!$G$3:$G$499&lt;&gt;"Yes")*('Rework Log'!$G$3:$G$499&lt;&gt;"Did not pass re-test"))*'Rework Log'!$I$3:$I$499))=0," - unclaimed"," - promised "&amp;TEXT(SUMPRODUCT(MAX((('Rework Log'!$A$3:$A$499=$B107)*('Rework Log'!$G$3:$G$499&lt;&gt;"Yes")*('Rework Log'!$G$3:$G$499&lt;&gt;"Did not pass re-test"))*'Rework Log'!$I$3:$I$499)),"m/d"))),IF(C107="NOT STARTED",IF(H107="","No plan date set",IF(H107&lt;TODAY(),"Review - planned start passed","On track")),IF(C107="DB Dev",IF(AND(L107="",K107=""),"No target set",IF(AND(IF(L107&lt;&gt;"",L107,K107)&lt;TODAY(),M107=""),"Overdue","On track")),IF(C107="PBI Dev",IF(AND(R107="",Q107=""),"No target set",IF(AND(IF(R107&lt;&gt;"",R107,Q107)&lt;TODAY(),S107=""),"Overdue","On track")),IF(C107="QA",_xlfn.LET(_xlpm.tgt,IF(AM107&lt;&gt;"",AM107,IF(W107&lt;&gt;"",W107,V107)),_xlpm.sent,_xlfn.MAXIFS('Rework Log'!$B$3:$B$499,'Rework Log'!$A$3:$A$499,$B107,'Rework Log'!$C$3:$C$499,"QA"),_xlpm.act,IF(AND(Y107&lt;&gt;"",Y107&gt;_xlpm.sent),Y107,""),IF(_xlpm.tgt="","No target set",IF(AND(_xlpm.tgt&lt;TODAY(),_xlpm.act=""),"Overdue","On track"))),IF(C107="DPO Approval",_xlfn.LET(_xlpm.tgt,IF(AN107&lt;&gt;"",AN107,IF(AB107&lt;&gt;"",AB107,AA107)),_xlpm.sent,_xlfn.MAXIFS('Rework Log'!$B$3:$B$499,'Rework Log'!$A$3:$A$499,$B107,'Rework Log'!$C$3:$C$499,"DPO*"),_xlpm.act,IF(AND(AC107&lt;&gt;"",AC107&gt;_xlpm.sent),AC107,""),IF(_xlpm.tgt="","No target set",IF(AND(_xlpm.tgt&lt;TODAY(),_xlpm.act=""),"Overdue","On track"))),IF(C107="RELEASED IN PROD","Delivered",""))))))))</f>
        <v>On track</v>
      </c>
      <c r="E107" s="31">
        <v>7</v>
      </c>
      <c r="F107" s="31" t="s">
        <v>130</v>
      </c>
      <c r="G107" s="31"/>
      <c r="H107" s="28">
        <v>46387</v>
      </c>
      <c r="I107" s="56" t="s">
        <v>291</v>
      </c>
      <c r="J107" s="54"/>
      <c r="K107" s="28">
        <v>46363</v>
      </c>
      <c r="L107" s="43"/>
      <c r="M107" s="31"/>
      <c r="N107" s="31"/>
      <c r="O107" s="36" t="s">
        <v>292</v>
      </c>
      <c r="P107" s="75"/>
      <c r="Q107" s="28">
        <v>46370</v>
      </c>
      <c r="R107" s="43"/>
      <c r="S107" s="31"/>
      <c r="T107" s="69" t="s">
        <v>295</v>
      </c>
      <c r="U107" s="47"/>
      <c r="V107" s="28">
        <v>46373</v>
      </c>
      <c r="W107" s="43"/>
      <c r="X107" s="31"/>
      <c r="Y107" s="31"/>
      <c r="Z107" s="36"/>
      <c r="AA107" s="28">
        <v>46386</v>
      </c>
      <c r="AB107" s="43"/>
      <c r="AC107" s="43"/>
      <c r="AD107" s="31" t="s">
        <v>307</v>
      </c>
      <c r="AE107" s="31" t="s">
        <v>72</v>
      </c>
      <c r="AF107" s="31"/>
      <c r="AG107" s="31"/>
      <c r="AH107" s="31"/>
      <c r="AI107" s="31"/>
      <c r="AJ107" s="31"/>
      <c r="AK107" s="31"/>
      <c r="AL107" s="31"/>
      <c r="AM107" s="31" t="str" cm="1">
        <f t="array" ref="AM107">_xlfn.LET(_xlpm.rep,$B107,_xlpm.sent,_xlfn.MAXIFS('Rework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7" s="31" t="str" cm="1">
        <f t="array" ref="AN107">_xlfn.LET(_xlpm.rep,$B107,_xlpm.sent,_xlfn.MAXIFS('Rework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8" spans="1:40" ht="14.45" hidden="1">
      <c r="A108" s="31" t="s">
        <v>289</v>
      </c>
      <c r="B108" s="31" t="s">
        <v>308</v>
      </c>
      <c r="C108" s="31" t="s">
        <v>206</v>
      </c>
      <c r="D108" t="str" cm="1">
        <f t="array" aca="1" ref="D108" ca="1">IF($B108="","",IF(LEFT($AJ108,3)="Yes","Blocked - "&amp;MID($AJ108,7,100)&amp;IF(SUMPRODUCT(('Rework Log'!$A$3:$A$499=$B108)*('Rework Log'!$G$3:$G$499&lt;&gt;"Yes")*('Rework Log'!$G$3:$G$499&lt;&gt;"Did not pass re-test"))=0,"",IF(SUMPRODUCT(MAX((('Rework Log'!$A$3:$A$499=$B108)*('Rework Log'!$G$3:$G$499&lt;&gt;"Yes")*('Rework Log'!$G$3:$G$499&lt;&gt;"Did not pass re-test"))*'Rework Log'!$I$3:$I$499))=0," - unclaimed"," - promised "&amp;TEXT(SUMPRODUCT(MAX((('Rework Log'!$A$3:$A$499=$B108)*('Rework Log'!$G$3:$G$499&lt;&gt;"Yes")*('Rework Log'!$G$3:$G$499&lt;&gt;"Did not pass re-test"))*'Rework Log'!$I$3:$I$499)),"m/d"))),IF(C108="NOT STARTED",IF(H108="","No plan date set",IF(H108&lt;TODAY(),"Review - planned start passed","On track")),IF(C108="DB Dev",IF(AND(L108="",K108=""),"No target set",IF(AND(IF(L108&lt;&gt;"",L108,K108)&lt;TODAY(),M108=""),"Overdue","On track")),IF(C108="PBI Dev",IF(AND(R108="",Q108=""),"No target set",IF(AND(IF(R108&lt;&gt;"",R108,Q108)&lt;TODAY(),S108=""),"Overdue","On track")),IF(C108="QA",_xlfn.LET(_xlpm.tgt,IF(AM108&lt;&gt;"",AM108,IF(W108&lt;&gt;"",W108,V108)),_xlpm.sent,_xlfn.MAXIFS('Rework Log'!$B$3:$B$499,'Rework Log'!$A$3:$A$499,$B108,'Rework Log'!$C$3:$C$499,"QA"),_xlpm.act,IF(AND(Y108&lt;&gt;"",Y108&gt;_xlpm.sent),Y108,""),IF(_xlpm.tgt="","No target set",IF(AND(_xlpm.tgt&lt;TODAY(),_xlpm.act=""),"Overdue","On track"))),IF(C108="DPO Approval",_xlfn.LET(_xlpm.tgt,IF(AN108&lt;&gt;"",AN108,IF(AB108&lt;&gt;"",AB108,AA108)),_xlpm.sent,_xlfn.MAXIFS('Rework Log'!$B$3:$B$499,'Rework Log'!$A$3:$A$499,$B108,'Rework Log'!$C$3:$C$499,"DPO*"),_xlpm.act,IF(AND(AC108&lt;&gt;"",AC108&gt;_xlpm.sent),AC108,""),IF(_xlpm.tgt="","No target set",IF(AND(_xlpm.tgt&lt;TODAY(),_xlpm.act=""),"Overdue","On track"))),IF(C108="RELEASED IN PROD","Delivered",""))))))))</f>
        <v>On track</v>
      </c>
      <c r="E108" s="31">
        <v>8</v>
      </c>
      <c r="F108" s="31" t="s">
        <v>130</v>
      </c>
      <c r="G108" s="31"/>
      <c r="H108" s="28">
        <v>46387</v>
      </c>
      <c r="I108" s="56" t="s">
        <v>291</v>
      </c>
      <c r="J108" s="54"/>
      <c r="K108" s="28">
        <v>46363</v>
      </c>
      <c r="L108" s="43"/>
      <c r="M108" s="31"/>
      <c r="N108" s="31"/>
      <c r="O108" s="36" t="s">
        <v>309</v>
      </c>
      <c r="P108" s="75"/>
      <c r="Q108" s="28">
        <v>46370</v>
      </c>
      <c r="R108" s="43"/>
      <c r="S108" s="31"/>
      <c r="T108" s="69" t="s">
        <v>295</v>
      </c>
      <c r="U108" s="47"/>
      <c r="V108" s="28">
        <v>46373</v>
      </c>
      <c r="W108" s="43"/>
      <c r="X108" s="31"/>
      <c r="Y108" s="31"/>
      <c r="Z108" s="36"/>
      <c r="AA108" s="28">
        <v>46386</v>
      </c>
      <c r="AB108" s="43"/>
      <c r="AC108" s="43"/>
      <c r="AD108" s="31" t="s">
        <v>310</v>
      </c>
      <c r="AE108" s="31" t="s">
        <v>72</v>
      </c>
      <c r="AF108" s="31"/>
      <c r="AG108" s="31"/>
      <c r="AH108" s="31"/>
      <c r="AI108" s="31"/>
      <c r="AJ108" s="31"/>
      <c r="AK108" s="31"/>
      <c r="AL108" s="31"/>
      <c r="AM108" s="31" t="str" cm="1">
        <f t="array" ref="AM108">_xlfn.LET(_xlpm.rep,$B108,_xlpm.sent,_xlfn.MAXIFS('Rework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8" s="31" t="str" cm="1">
        <f t="array" ref="AN108">_xlfn.LET(_xlpm.rep,$B108,_xlpm.sent,_xlfn.MAXIFS('Rework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9" spans="1:40" ht="14.45" hidden="1">
      <c r="A109" s="31" t="s">
        <v>299</v>
      </c>
      <c r="B109" s="31" t="s">
        <v>311</v>
      </c>
      <c r="C109" s="31" t="s">
        <v>206</v>
      </c>
      <c r="D109" t="str" cm="1">
        <f t="array" aca="1" ref="D109" ca="1">IF($B109="","",IF(LEFT($AJ109,3)="Yes","Blocked - "&amp;MID($AJ109,7,100)&amp;IF(SUMPRODUCT(('Rework Log'!$A$3:$A$499=$B109)*('Rework Log'!$G$3:$G$499&lt;&gt;"Yes")*('Rework Log'!$G$3:$G$499&lt;&gt;"Did not pass re-test"))=0,"",IF(SUMPRODUCT(MAX((('Rework Log'!$A$3:$A$499=$B109)*('Rework Log'!$G$3:$G$499&lt;&gt;"Yes")*('Rework Log'!$G$3:$G$499&lt;&gt;"Did not pass re-test"))*'Rework Log'!$I$3:$I$499))=0," - unclaimed"," - promised "&amp;TEXT(SUMPRODUCT(MAX((('Rework Log'!$A$3:$A$499=$B109)*('Rework Log'!$G$3:$G$499&lt;&gt;"Yes")*('Rework Log'!$G$3:$G$499&lt;&gt;"Did not pass re-test"))*'Rework Log'!$I$3:$I$499)),"m/d"))),IF(C109="NOT STARTED",IF(H109="","No plan date set",IF(H109&lt;TODAY(),"Review - planned start passed","On track")),IF(C109="DB Dev",IF(AND(L109="",K109=""),"No target set",IF(AND(IF(L109&lt;&gt;"",L109,K109)&lt;TODAY(),M109=""),"Overdue","On track")),IF(C109="PBI Dev",IF(AND(R109="",Q109=""),"No target set",IF(AND(IF(R109&lt;&gt;"",R109,Q109)&lt;TODAY(),S109=""),"Overdue","On track")),IF(C109="QA",_xlfn.LET(_xlpm.tgt,IF(AM109&lt;&gt;"",AM109,IF(W109&lt;&gt;"",W109,V109)),_xlpm.sent,_xlfn.MAXIFS('Rework Log'!$B$3:$B$499,'Rework Log'!$A$3:$A$499,$B109,'Rework Log'!$C$3:$C$499,"QA"),_xlpm.act,IF(AND(Y109&lt;&gt;"",Y109&gt;_xlpm.sent),Y109,""),IF(_xlpm.tgt="","No target set",IF(AND(_xlpm.tgt&lt;TODAY(),_xlpm.act=""),"Overdue","On track"))),IF(C109="DPO Approval",_xlfn.LET(_xlpm.tgt,IF(AN109&lt;&gt;"",AN109,IF(AB109&lt;&gt;"",AB109,AA109)),_xlpm.sent,_xlfn.MAXIFS('Rework Log'!$B$3:$B$499,'Rework Log'!$A$3:$A$499,$B109,'Rework Log'!$C$3:$C$499,"DPO*"),_xlpm.act,IF(AND(AC109&lt;&gt;"",AC109&gt;_xlpm.sent),AC109,""),IF(_xlpm.tgt="","No target set",IF(AND(_xlpm.tgt&lt;TODAY(),_xlpm.act=""),"Overdue","On track"))),IF(C109="RELEASED IN PROD","Delivered",""))))))))</f>
        <v>On track</v>
      </c>
      <c r="E109" s="31">
        <v>9</v>
      </c>
      <c r="F109" s="31" t="s">
        <v>147</v>
      </c>
      <c r="G109" s="31"/>
      <c r="H109" s="28">
        <v>46387</v>
      </c>
      <c r="I109" s="56" t="s">
        <v>291</v>
      </c>
      <c r="J109" s="54"/>
      <c r="K109" s="28">
        <v>46363</v>
      </c>
      <c r="L109" s="43"/>
      <c r="M109" s="31"/>
      <c r="N109" s="31"/>
      <c r="O109" s="36" t="s">
        <v>309</v>
      </c>
      <c r="P109" s="75"/>
      <c r="Q109" s="28">
        <v>46370</v>
      </c>
      <c r="R109" s="43"/>
      <c r="S109" s="31"/>
      <c r="T109" s="69" t="s">
        <v>312</v>
      </c>
      <c r="U109" s="47"/>
      <c r="V109" s="28">
        <v>46373</v>
      </c>
      <c r="W109" s="43"/>
      <c r="X109" s="31"/>
      <c r="Y109" s="31"/>
      <c r="Z109" s="36"/>
      <c r="AA109" s="28">
        <v>46386</v>
      </c>
      <c r="AB109" s="43"/>
      <c r="AC109" s="43"/>
      <c r="AD109" s="31" t="s">
        <v>313</v>
      </c>
      <c r="AE109" s="31" t="s">
        <v>72</v>
      </c>
      <c r="AF109" s="31"/>
      <c r="AG109" s="31"/>
      <c r="AH109" s="31"/>
      <c r="AI109" s="31"/>
      <c r="AJ109" s="31"/>
      <c r="AK109" s="31"/>
      <c r="AL109" s="31"/>
      <c r="AM109" s="31" t="str" cm="1">
        <f t="array" ref="AM109">_xlfn.LET(_xlpm.rep,$B109,_xlpm.sent,_xlfn.MAXIFS('Rework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9" s="31" t="str" cm="1">
        <f t="array" ref="AN109">_xlfn.LET(_xlpm.rep,$B109,_xlpm.sent,_xlfn.MAXIFS('Rework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0" spans="1:40" ht="14.45" hidden="1">
      <c r="A110" s="31" t="s">
        <v>289</v>
      </c>
      <c r="B110" s="31" t="s">
        <v>314</v>
      </c>
      <c r="C110" s="31" t="s">
        <v>206</v>
      </c>
      <c r="D110" t="str" cm="1">
        <f t="array" aca="1" ref="D110" ca="1">IF($B110="","",IF(LEFT($AJ110,3)="Yes","Blocked - "&amp;MID($AJ110,7,100)&amp;IF(SUMPRODUCT(('Rework Log'!$A$3:$A$499=$B110)*('Rework Log'!$G$3:$G$499&lt;&gt;"Yes")*('Rework Log'!$G$3:$G$499&lt;&gt;"Did not pass re-test"))=0,"",IF(SUMPRODUCT(MAX((('Rework Log'!$A$3:$A$499=$B110)*('Rework Log'!$G$3:$G$499&lt;&gt;"Yes")*('Rework Log'!$G$3:$G$499&lt;&gt;"Did not pass re-test"))*'Rework Log'!$I$3:$I$499))=0," - unclaimed"," - promised "&amp;TEXT(SUMPRODUCT(MAX((('Rework Log'!$A$3:$A$499=$B110)*('Rework Log'!$G$3:$G$499&lt;&gt;"Yes")*('Rework Log'!$G$3:$G$499&lt;&gt;"Did not pass re-test"))*'Rework Log'!$I$3:$I$499)),"m/d"))),IF(C110="NOT STARTED",IF(H110="","No plan date set",IF(H110&lt;TODAY(),"Review - planned start passed","On track")),IF(C110="DB Dev",IF(AND(L110="",K110=""),"No target set",IF(AND(IF(L110&lt;&gt;"",L110,K110)&lt;TODAY(),M110=""),"Overdue","On track")),IF(C110="PBI Dev",IF(AND(R110="",Q110=""),"No target set",IF(AND(IF(R110&lt;&gt;"",R110,Q110)&lt;TODAY(),S110=""),"Overdue","On track")),IF(C110="QA",_xlfn.LET(_xlpm.tgt,IF(AM110&lt;&gt;"",AM110,IF(W110&lt;&gt;"",W110,V110)),_xlpm.sent,_xlfn.MAXIFS('Rework Log'!$B$3:$B$499,'Rework Log'!$A$3:$A$499,$B110,'Rework Log'!$C$3:$C$499,"QA"),_xlpm.act,IF(AND(Y110&lt;&gt;"",Y110&gt;_xlpm.sent),Y110,""),IF(_xlpm.tgt="","No target set",IF(AND(_xlpm.tgt&lt;TODAY(),_xlpm.act=""),"Overdue","On track"))),IF(C110="DPO Approval",_xlfn.LET(_xlpm.tgt,IF(AN110&lt;&gt;"",AN110,IF(AB110&lt;&gt;"",AB110,AA110)),_xlpm.sent,_xlfn.MAXIFS('Rework Log'!$B$3:$B$499,'Rework Log'!$A$3:$A$499,$B110,'Rework Log'!$C$3:$C$499,"DPO*"),_xlpm.act,IF(AND(AC110&lt;&gt;"",AC110&gt;_xlpm.sent),AC110,""),IF(_xlpm.tgt="","No target set",IF(AND(_xlpm.tgt&lt;TODAY(),_xlpm.act=""),"Overdue","On track"))),IF(C110="RELEASED IN PROD","Delivered",""))))))))</f>
        <v>On track</v>
      </c>
      <c r="E110" s="31">
        <v>10</v>
      </c>
      <c r="F110" s="31" t="s">
        <v>130</v>
      </c>
      <c r="G110" s="31"/>
      <c r="H110" s="28">
        <v>46387</v>
      </c>
      <c r="I110" s="56" t="s">
        <v>291</v>
      </c>
      <c r="J110" s="54"/>
      <c r="K110" s="28">
        <v>46363</v>
      </c>
      <c r="L110" s="43"/>
      <c r="M110" s="31"/>
      <c r="N110" s="31"/>
      <c r="O110" s="36" t="s">
        <v>309</v>
      </c>
      <c r="P110" s="75"/>
      <c r="Q110" s="28">
        <v>46370</v>
      </c>
      <c r="R110" s="43"/>
      <c r="S110" s="31"/>
      <c r="T110" s="69" t="s">
        <v>312</v>
      </c>
      <c r="U110" s="47"/>
      <c r="V110" s="28">
        <v>46373</v>
      </c>
      <c r="W110" s="43"/>
      <c r="X110" s="31"/>
      <c r="Y110" s="31"/>
      <c r="Z110" s="36"/>
      <c r="AA110" s="28">
        <v>46386</v>
      </c>
      <c r="AB110" s="43"/>
      <c r="AC110" s="43"/>
      <c r="AD110" s="31" t="s">
        <v>315</v>
      </c>
      <c r="AE110" s="31" t="s">
        <v>72</v>
      </c>
      <c r="AF110" s="31"/>
      <c r="AG110" s="31"/>
      <c r="AH110" s="31"/>
      <c r="AI110" s="31"/>
      <c r="AJ110" s="31"/>
      <c r="AK110" s="31"/>
      <c r="AL110" s="31"/>
      <c r="AM110" s="31" t="str" cm="1">
        <f t="array" ref="AM110">_xlfn.LET(_xlpm.rep,$B110,_xlpm.sent,_xlfn.MAXIFS('Rework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0" s="31" t="str" cm="1">
        <f t="array" ref="AN110">_xlfn.LET(_xlpm.rep,$B110,_xlpm.sent,_xlfn.MAXIFS('Rework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1" spans="1:40" ht="14.45" hidden="1">
      <c r="A111" s="31" t="s">
        <v>299</v>
      </c>
      <c r="B111" s="31" t="s">
        <v>316</v>
      </c>
      <c r="C111" s="31" t="s">
        <v>206</v>
      </c>
      <c r="D111" t="str" cm="1">
        <f t="array" aca="1" ref="D111" ca="1">IF($B111="","",IF(LEFT($AJ111,3)="Yes","Blocked - "&amp;MID($AJ111,7,100)&amp;IF(SUMPRODUCT(('Rework Log'!$A$3:$A$499=$B111)*('Rework Log'!$G$3:$G$499&lt;&gt;"Yes")*('Rework Log'!$G$3:$G$499&lt;&gt;"Did not pass re-test"))=0,"",IF(SUMPRODUCT(MAX((('Rework Log'!$A$3:$A$499=$B111)*('Rework Log'!$G$3:$G$499&lt;&gt;"Yes")*('Rework Log'!$G$3:$G$499&lt;&gt;"Did not pass re-test"))*'Rework Log'!$I$3:$I$499))=0," - unclaimed"," - promised "&amp;TEXT(SUMPRODUCT(MAX((('Rework Log'!$A$3:$A$499=$B111)*('Rework Log'!$G$3:$G$499&lt;&gt;"Yes")*('Rework Log'!$G$3:$G$499&lt;&gt;"Did not pass re-test"))*'Rework Log'!$I$3:$I$499)),"m/d"))),IF(C111="NOT STARTED",IF(H111="","No plan date set",IF(H111&lt;TODAY(),"Review - planned start passed","On track")),IF(C111="DB Dev",IF(AND(L111="",K111=""),"No target set",IF(AND(IF(L111&lt;&gt;"",L111,K111)&lt;TODAY(),M111=""),"Overdue","On track")),IF(C111="PBI Dev",IF(AND(R111="",Q111=""),"No target set",IF(AND(IF(R111&lt;&gt;"",R111,Q111)&lt;TODAY(),S111=""),"Overdue","On track")),IF(C111="QA",_xlfn.LET(_xlpm.tgt,IF(AM111&lt;&gt;"",AM111,IF(W111&lt;&gt;"",W111,V111)),_xlpm.sent,_xlfn.MAXIFS('Rework Log'!$B$3:$B$499,'Rework Log'!$A$3:$A$499,$B111,'Rework Log'!$C$3:$C$499,"QA"),_xlpm.act,IF(AND(Y111&lt;&gt;"",Y111&gt;_xlpm.sent),Y111,""),IF(_xlpm.tgt="","No target set",IF(AND(_xlpm.tgt&lt;TODAY(),_xlpm.act=""),"Overdue","On track"))),IF(C111="DPO Approval",_xlfn.LET(_xlpm.tgt,IF(AN111&lt;&gt;"",AN111,IF(AB111&lt;&gt;"",AB111,AA111)),_xlpm.sent,_xlfn.MAXIFS('Rework Log'!$B$3:$B$499,'Rework Log'!$A$3:$A$499,$B111,'Rework Log'!$C$3:$C$499,"DPO*"),_xlpm.act,IF(AND(AC111&lt;&gt;"",AC111&gt;_xlpm.sent),AC111,""),IF(_xlpm.tgt="","No target set",IF(AND(_xlpm.tgt&lt;TODAY(),_xlpm.act=""),"Overdue","On track"))),IF(C111="RELEASED IN PROD","Delivered",""))))))))</f>
        <v>On track</v>
      </c>
      <c r="E111" s="31">
        <v>11</v>
      </c>
      <c r="F111" s="31" t="s">
        <v>147</v>
      </c>
      <c r="G111" s="31"/>
      <c r="H111" s="28">
        <v>46387</v>
      </c>
      <c r="I111" s="56" t="s">
        <v>291</v>
      </c>
      <c r="J111" s="54"/>
      <c r="K111" s="28">
        <v>46363</v>
      </c>
      <c r="L111" s="43"/>
      <c r="M111" s="31"/>
      <c r="N111" s="31"/>
      <c r="O111" s="36" t="s">
        <v>309</v>
      </c>
      <c r="P111" s="75"/>
      <c r="Q111" s="28">
        <v>46370</v>
      </c>
      <c r="R111" s="43"/>
      <c r="S111" s="31"/>
      <c r="T111" s="69" t="s">
        <v>312</v>
      </c>
      <c r="U111" s="47"/>
      <c r="V111" s="28">
        <v>46373</v>
      </c>
      <c r="W111" s="43"/>
      <c r="X111" s="31"/>
      <c r="Y111" s="31"/>
      <c r="Z111" s="36"/>
      <c r="AA111" s="28">
        <v>46386</v>
      </c>
      <c r="AB111" s="43"/>
      <c r="AC111" s="43"/>
      <c r="AD111" s="31" t="s">
        <v>317</v>
      </c>
      <c r="AE111" s="31" t="s">
        <v>72</v>
      </c>
      <c r="AF111" s="31"/>
      <c r="AG111" s="31"/>
      <c r="AH111" s="31"/>
      <c r="AI111" s="31"/>
      <c r="AJ111" s="31"/>
      <c r="AK111" s="31"/>
      <c r="AL111" s="31"/>
      <c r="AM111" s="31" t="str" cm="1">
        <f t="array" ref="AM111">_xlfn.LET(_xlpm.rep,$B111,_xlpm.sent,_xlfn.MAXIFS('Rework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1" s="31" t="str" cm="1">
        <f t="array" ref="AN111">_xlfn.LET(_xlpm.rep,$B111,_xlpm.sent,_xlfn.MAXIFS('Rework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2" spans="1:40" ht="14.45" hidden="1">
      <c r="A112" s="31" t="s">
        <v>299</v>
      </c>
      <c r="B112" s="31" t="s">
        <v>318</v>
      </c>
      <c r="C112" s="31" t="s">
        <v>206</v>
      </c>
      <c r="D112" t="str" cm="1">
        <f t="array" aca="1" ref="D112" ca="1">IF($B112="","",IF(LEFT($AJ112,3)="Yes","Blocked - "&amp;MID($AJ112,7,100)&amp;IF(SUMPRODUCT(('Rework Log'!$A$3:$A$499=$B112)*('Rework Log'!$G$3:$G$499&lt;&gt;"Yes")*('Rework Log'!$G$3:$G$499&lt;&gt;"Did not pass re-test"))=0,"",IF(SUMPRODUCT(MAX((('Rework Log'!$A$3:$A$499=$B112)*('Rework Log'!$G$3:$G$499&lt;&gt;"Yes")*('Rework Log'!$G$3:$G$499&lt;&gt;"Did not pass re-test"))*'Rework Log'!$I$3:$I$499))=0," - unclaimed"," - promised "&amp;TEXT(SUMPRODUCT(MAX((('Rework Log'!$A$3:$A$499=$B112)*('Rework Log'!$G$3:$G$499&lt;&gt;"Yes")*('Rework Log'!$G$3:$G$499&lt;&gt;"Did not pass re-test"))*'Rework Log'!$I$3:$I$499)),"m/d"))),IF(C112="NOT STARTED",IF(H112="","No plan date set",IF(H112&lt;TODAY(),"Review - planned start passed","On track")),IF(C112="DB Dev",IF(AND(L112="",K112=""),"No target set",IF(AND(IF(L112&lt;&gt;"",L112,K112)&lt;TODAY(),M112=""),"Overdue","On track")),IF(C112="PBI Dev",IF(AND(R112="",Q112=""),"No target set",IF(AND(IF(R112&lt;&gt;"",R112,Q112)&lt;TODAY(),S112=""),"Overdue","On track")),IF(C112="QA",_xlfn.LET(_xlpm.tgt,IF(AM112&lt;&gt;"",AM112,IF(W112&lt;&gt;"",W112,V112)),_xlpm.sent,_xlfn.MAXIFS('Rework Log'!$B$3:$B$499,'Rework Log'!$A$3:$A$499,$B112,'Rework Log'!$C$3:$C$499,"QA"),_xlpm.act,IF(AND(Y112&lt;&gt;"",Y112&gt;_xlpm.sent),Y112,""),IF(_xlpm.tgt="","No target set",IF(AND(_xlpm.tgt&lt;TODAY(),_xlpm.act=""),"Overdue","On track"))),IF(C112="DPO Approval",_xlfn.LET(_xlpm.tgt,IF(AN112&lt;&gt;"",AN112,IF(AB112&lt;&gt;"",AB112,AA112)),_xlpm.sent,_xlfn.MAXIFS('Rework Log'!$B$3:$B$499,'Rework Log'!$A$3:$A$499,$B112,'Rework Log'!$C$3:$C$499,"DPO*"),_xlpm.act,IF(AND(AC112&lt;&gt;"",AC112&gt;_xlpm.sent),AC112,""),IF(_xlpm.tgt="","No target set",IF(AND(_xlpm.tgt&lt;TODAY(),_xlpm.act=""),"Overdue","On track"))),IF(C112="RELEASED IN PROD","Delivered",""))))))))</f>
        <v>On track</v>
      </c>
      <c r="E112" s="31">
        <v>12</v>
      </c>
      <c r="F112" s="31" t="s">
        <v>147</v>
      </c>
      <c r="G112" s="31"/>
      <c r="H112" s="28">
        <v>46387</v>
      </c>
      <c r="I112" s="56" t="s">
        <v>291</v>
      </c>
      <c r="J112" s="54"/>
      <c r="K112" s="28">
        <v>46363</v>
      </c>
      <c r="L112" s="43"/>
      <c r="M112" s="31"/>
      <c r="N112" s="31"/>
      <c r="O112" s="36" t="s">
        <v>309</v>
      </c>
      <c r="P112" s="75"/>
      <c r="Q112" s="28">
        <v>46370</v>
      </c>
      <c r="R112" s="43"/>
      <c r="S112" s="31"/>
      <c r="T112" s="69" t="s">
        <v>312</v>
      </c>
      <c r="U112" s="47"/>
      <c r="V112" s="28">
        <v>46373</v>
      </c>
      <c r="W112" s="43"/>
      <c r="X112" s="31"/>
      <c r="Y112" s="31"/>
      <c r="Z112" s="36"/>
      <c r="AA112" s="28">
        <v>46386</v>
      </c>
      <c r="AB112" s="43"/>
      <c r="AC112" s="43"/>
      <c r="AD112" s="31" t="s">
        <v>313</v>
      </c>
      <c r="AE112" s="31" t="s">
        <v>72</v>
      </c>
      <c r="AF112" s="31"/>
      <c r="AG112" s="31"/>
      <c r="AH112" s="31"/>
      <c r="AI112" s="31"/>
      <c r="AJ112" s="31"/>
      <c r="AK112" s="31"/>
      <c r="AL112" s="31"/>
      <c r="AM112" s="31" t="str" cm="1">
        <f t="array" ref="AM112">_xlfn.LET(_xlpm.rep,$B112,_xlpm.sent,_xlfn.MAXIFS('Rework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2" s="31" t="str" cm="1">
        <f t="array" ref="AN112">_xlfn.LET(_xlpm.rep,$B112,_xlpm.sent,_xlfn.MAXIFS('Rework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3" spans="1:40" ht="14.45" hidden="1">
      <c r="A113" s="31" t="s">
        <v>299</v>
      </c>
      <c r="B113" s="31" t="s">
        <v>319</v>
      </c>
      <c r="C113" s="31" t="s">
        <v>206</v>
      </c>
      <c r="D113" t="str" cm="1">
        <f t="array" aca="1" ref="D113" ca="1">IF($B113="","",IF(LEFT($AJ113,3)="Yes","Blocked - "&amp;MID($AJ113,7,100)&amp;IF(SUMPRODUCT(('Rework Log'!$A$3:$A$499=$B113)*('Rework Log'!$G$3:$G$499&lt;&gt;"Yes")*('Rework Log'!$G$3:$G$499&lt;&gt;"Did not pass re-test"))=0,"",IF(SUMPRODUCT(MAX((('Rework Log'!$A$3:$A$499=$B113)*('Rework Log'!$G$3:$G$499&lt;&gt;"Yes")*('Rework Log'!$G$3:$G$499&lt;&gt;"Did not pass re-test"))*'Rework Log'!$I$3:$I$499))=0," - unclaimed"," - promised "&amp;TEXT(SUMPRODUCT(MAX((('Rework Log'!$A$3:$A$499=$B113)*('Rework Log'!$G$3:$G$499&lt;&gt;"Yes")*('Rework Log'!$G$3:$G$499&lt;&gt;"Did not pass re-test"))*'Rework Log'!$I$3:$I$499)),"m/d"))),IF(C113="NOT STARTED",IF(H113="","No plan date set",IF(H113&lt;TODAY(),"Review - planned start passed","On track")),IF(C113="DB Dev",IF(AND(L113="",K113=""),"No target set",IF(AND(IF(L113&lt;&gt;"",L113,K113)&lt;TODAY(),M113=""),"Overdue","On track")),IF(C113="PBI Dev",IF(AND(R113="",Q113=""),"No target set",IF(AND(IF(R113&lt;&gt;"",R113,Q113)&lt;TODAY(),S113=""),"Overdue","On track")),IF(C113="QA",_xlfn.LET(_xlpm.tgt,IF(AM113&lt;&gt;"",AM113,IF(W113&lt;&gt;"",W113,V113)),_xlpm.sent,_xlfn.MAXIFS('Rework Log'!$B$3:$B$499,'Rework Log'!$A$3:$A$499,$B113,'Rework Log'!$C$3:$C$499,"QA"),_xlpm.act,IF(AND(Y113&lt;&gt;"",Y113&gt;_xlpm.sent),Y113,""),IF(_xlpm.tgt="","No target set",IF(AND(_xlpm.tgt&lt;TODAY(),_xlpm.act=""),"Overdue","On track"))),IF(C113="DPO Approval",_xlfn.LET(_xlpm.tgt,IF(AN113&lt;&gt;"",AN113,IF(AB113&lt;&gt;"",AB113,AA113)),_xlpm.sent,_xlfn.MAXIFS('Rework Log'!$B$3:$B$499,'Rework Log'!$A$3:$A$499,$B113,'Rework Log'!$C$3:$C$499,"DPO*"),_xlpm.act,IF(AND(AC113&lt;&gt;"",AC113&gt;_xlpm.sent),AC113,""),IF(_xlpm.tgt="","No target set",IF(AND(_xlpm.tgt&lt;TODAY(),_xlpm.act=""),"Overdue","On track"))),IF(C113="RELEASED IN PROD","Delivered",""))))))))</f>
        <v>On track</v>
      </c>
      <c r="E113" s="31">
        <v>13</v>
      </c>
      <c r="F113" s="31" t="s">
        <v>147</v>
      </c>
      <c r="G113" s="31"/>
      <c r="H113" s="28">
        <v>46387</v>
      </c>
      <c r="I113" s="56" t="s">
        <v>291</v>
      </c>
      <c r="J113" s="54"/>
      <c r="K113" s="28">
        <v>46363</v>
      </c>
      <c r="L113" s="43"/>
      <c r="M113" s="31"/>
      <c r="N113" s="31"/>
      <c r="O113" s="36" t="s">
        <v>309</v>
      </c>
      <c r="P113" s="75"/>
      <c r="Q113" s="28">
        <v>46370</v>
      </c>
      <c r="R113" s="43"/>
      <c r="S113" s="31"/>
      <c r="T113" s="69" t="s">
        <v>312</v>
      </c>
      <c r="U113" s="47"/>
      <c r="V113" s="28">
        <v>46373</v>
      </c>
      <c r="W113" s="43"/>
      <c r="X113" s="31"/>
      <c r="Y113" s="31"/>
      <c r="Z113" s="36"/>
      <c r="AA113" s="28">
        <v>46386</v>
      </c>
      <c r="AB113" s="43"/>
      <c r="AC113" s="43"/>
      <c r="AD113" s="31" t="s">
        <v>313</v>
      </c>
      <c r="AE113" s="31" t="s">
        <v>72</v>
      </c>
      <c r="AF113" s="31"/>
      <c r="AG113" s="31"/>
      <c r="AH113" s="31"/>
      <c r="AI113" s="31"/>
      <c r="AJ113" s="31"/>
      <c r="AK113" s="31"/>
      <c r="AL113" s="31"/>
      <c r="AM113" s="31" t="str" cm="1">
        <f t="array" ref="AM113">_xlfn.LET(_xlpm.rep,$B113,_xlpm.sent,_xlfn.MAXIFS('Rework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3" s="31" t="str" cm="1">
        <f t="array" ref="AN113">_xlfn.LET(_xlpm.rep,$B113,_xlpm.sent,_xlfn.MAXIFS('Rework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4" spans="1:40" ht="14.45" hidden="1">
      <c r="A114" s="31" t="s">
        <v>299</v>
      </c>
      <c r="B114" s="31" t="s">
        <v>320</v>
      </c>
      <c r="C114" s="31" t="s">
        <v>206</v>
      </c>
      <c r="D114" t="str" cm="1">
        <f t="array" aca="1" ref="D114" ca="1">IF($B114="","",IF(LEFT($AJ114,3)="Yes","Blocked - "&amp;MID($AJ114,7,100)&amp;IF(SUMPRODUCT(('Rework Log'!$A$3:$A$499=$B114)*('Rework Log'!$G$3:$G$499&lt;&gt;"Yes")*('Rework Log'!$G$3:$G$499&lt;&gt;"Did not pass re-test"))=0,"",IF(SUMPRODUCT(MAX((('Rework Log'!$A$3:$A$499=$B114)*('Rework Log'!$G$3:$G$499&lt;&gt;"Yes")*('Rework Log'!$G$3:$G$499&lt;&gt;"Did not pass re-test"))*'Rework Log'!$I$3:$I$499))=0," - unclaimed"," - promised "&amp;TEXT(SUMPRODUCT(MAX((('Rework Log'!$A$3:$A$499=$B114)*('Rework Log'!$G$3:$G$499&lt;&gt;"Yes")*('Rework Log'!$G$3:$G$499&lt;&gt;"Did not pass re-test"))*'Rework Log'!$I$3:$I$499)),"m/d"))),IF(C114="NOT STARTED",IF(H114="","No plan date set",IF(H114&lt;TODAY(),"Review - planned start passed","On track")),IF(C114="DB Dev",IF(AND(L114="",K114=""),"No target set",IF(AND(IF(L114&lt;&gt;"",L114,K114)&lt;TODAY(),M114=""),"Overdue","On track")),IF(C114="PBI Dev",IF(AND(R114="",Q114=""),"No target set",IF(AND(IF(R114&lt;&gt;"",R114,Q114)&lt;TODAY(),S114=""),"Overdue","On track")),IF(C114="QA",_xlfn.LET(_xlpm.tgt,IF(AM114&lt;&gt;"",AM114,IF(W114&lt;&gt;"",W114,V114)),_xlpm.sent,_xlfn.MAXIFS('Rework Log'!$B$3:$B$499,'Rework Log'!$A$3:$A$499,$B114,'Rework Log'!$C$3:$C$499,"QA"),_xlpm.act,IF(AND(Y114&lt;&gt;"",Y114&gt;_xlpm.sent),Y114,""),IF(_xlpm.tgt="","No target set",IF(AND(_xlpm.tgt&lt;TODAY(),_xlpm.act=""),"Overdue","On track"))),IF(C114="DPO Approval",_xlfn.LET(_xlpm.tgt,IF(AN114&lt;&gt;"",AN114,IF(AB114&lt;&gt;"",AB114,AA114)),_xlpm.sent,_xlfn.MAXIFS('Rework Log'!$B$3:$B$499,'Rework Log'!$A$3:$A$499,$B114,'Rework Log'!$C$3:$C$499,"DPO*"),_xlpm.act,IF(AND(AC114&lt;&gt;"",AC114&gt;_xlpm.sent),AC114,""),IF(_xlpm.tgt="","No target set",IF(AND(_xlpm.tgt&lt;TODAY(),_xlpm.act=""),"Overdue","On track"))),IF(C114="RELEASED IN PROD","Delivered",""))))))))</f>
        <v>On track</v>
      </c>
      <c r="E114" s="31">
        <v>14</v>
      </c>
      <c r="F114" s="31" t="s">
        <v>147</v>
      </c>
      <c r="G114" s="31"/>
      <c r="H114" s="28">
        <v>46387</v>
      </c>
      <c r="I114" s="56" t="s">
        <v>291</v>
      </c>
      <c r="J114" s="54"/>
      <c r="K114" s="28">
        <v>46363</v>
      </c>
      <c r="L114" s="43"/>
      <c r="M114" s="31"/>
      <c r="N114" s="31"/>
      <c r="O114" s="36" t="s">
        <v>321</v>
      </c>
      <c r="P114" s="75"/>
      <c r="Q114" s="28">
        <v>46370</v>
      </c>
      <c r="R114" s="43"/>
      <c r="S114" s="31"/>
      <c r="T114" s="69" t="s">
        <v>312</v>
      </c>
      <c r="U114" s="47"/>
      <c r="V114" s="28">
        <v>46373</v>
      </c>
      <c r="W114" s="43"/>
      <c r="X114" s="31"/>
      <c r="Y114" s="31"/>
      <c r="Z114" s="36"/>
      <c r="AA114" s="28">
        <v>46386</v>
      </c>
      <c r="AB114" s="43"/>
      <c r="AC114" s="43"/>
      <c r="AD114" s="31" t="s">
        <v>317</v>
      </c>
      <c r="AE114" s="31" t="s">
        <v>72</v>
      </c>
      <c r="AF114" s="31"/>
      <c r="AG114" s="31"/>
      <c r="AH114" s="31"/>
      <c r="AI114" s="31"/>
      <c r="AJ114" s="31"/>
      <c r="AK114" s="31"/>
      <c r="AL114" s="31"/>
      <c r="AM114" s="31" t="str" cm="1">
        <f t="array" ref="AM114">_xlfn.LET(_xlpm.rep,$B114,_xlpm.sent,_xlfn.MAXIFS('Rework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4" s="31" t="str" cm="1">
        <f t="array" ref="AN114">_xlfn.LET(_xlpm.rep,$B114,_xlpm.sent,_xlfn.MAXIFS('Rework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5" spans="1:40" ht="14.45" hidden="1">
      <c r="A115" s="31" t="s">
        <v>299</v>
      </c>
      <c r="B115" s="31" t="s">
        <v>322</v>
      </c>
      <c r="C115" s="31" t="s">
        <v>206</v>
      </c>
      <c r="D115" t="str" cm="1">
        <f t="array" aca="1" ref="D115" ca="1">IF($B115="","",IF(LEFT($AJ115,3)="Yes","Blocked - "&amp;MID($AJ115,7,100)&amp;IF(SUMPRODUCT(('Rework Log'!$A$3:$A$499=$B115)*('Rework Log'!$G$3:$G$499&lt;&gt;"Yes")*('Rework Log'!$G$3:$G$499&lt;&gt;"Did not pass re-test"))=0,"",IF(SUMPRODUCT(MAX((('Rework Log'!$A$3:$A$499=$B115)*('Rework Log'!$G$3:$G$499&lt;&gt;"Yes")*('Rework Log'!$G$3:$G$499&lt;&gt;"Did not pass re-test"))*'Rework Log'!$I$3:$I$499))=0," - unclaimed"," - promised "&amp;TEXT(SUMPRODUCT(MAX((('Rework Log'!$A$3:$A$499=$B115)*('Rework Log'!$G$3:$G$499&lt;&gt;"Yes")*('Rework Log'!$G$3:$G$499&lt;&gt;"Did not pass re-test"))*'Rework Log'!$I$3:$I$499)),"m/d"))),IF(C115="NOT STARTED",IF(H115="","No plan date set",IF(H115&lt;TODAY(),"Review - planned start passed","On track")),IF(C115="DB Dev",IF(AND(L115="",K115=""),"No target set",IF(AND(IF(L115&lt;&gt;"",L115,K115)&lt;TODAY(),M115=""),"Overdue","On track")),IF(C115="PBI Dev",IF(AND(R115="",Q115=""),"No target set",IF(AND(IF(R115&lt;&gt;"",R115,Q115)&lt;TODAY(),S115=""),"Overdue","On track")),IF(C115="QA",_xlfn.LET(_xlpm.tgt,IF(AM115&lt;&gt;"",AM115,IF(W115&lt;&gt;"",W115,V115)),_xlpm.sent,_xlfn.MAXIFS('Rework Log'!$B$3:$B$499,'Rework Log'!$A$3:$A$499,$B115,'Rework Log'!$C$3:$C$499,"QA"),_xlpm.act,IF(AND(Y115&lt;&gt;"",Y115&gt;_xlpm.sent),Y115,""),IF(_xlpm.tgt="","No target set",IF(AND(_xlpm.tgt&lt;TODAY(),_xlpm.act=""),"Overdue","On track"))),IF(C115="DPO Approval",_xlfn.LET(_xlpm.tgt,IF(AN115&lt;&gt;"",AN115,IF(AB115&lt;&gt;"",AB115,AA115)),_xlpm.sent,_xlfn.MAXIFS('Rework Log'!$B$3:$B$499,'Rework Log'!$A$3:$A$499,$B115,'Rework Log'!$C$3:$C$499,"DPO*"),_xlpm.act,IF(AND(AC115&lt;&gt;"",AC115&gt;_xlpm.sent),AC115,""),IF(_xlpm.tgt="","No target set",IF(AND(_xlpm.tgt&lt;TODAY(),_xlpm.act=""),"Overdue","On track"))),IF(C115="RELEASED IN PROD","Delivered",""))))))))</f>
        <v>On track</v>
      </c>
      <c r="E115" s="31">
        <v>15</v>
      </c>
      <c r="F115" s="31" t="s">
        <v>147</v>
      </c>
      <c r="G115" s="31"/>
      <c r="H115" s="28">
        <v>46387</v>
      </c>
      <c r="I115" s="56" t="s">
        <v>291</v>
      </c>
      <c r="J115" s="54"/>
      <c r="K115" s="28">
        <v>46363</v>
      </c>
      <c r="L115" s="43"/>
      <c r="M115" s="31"/>
      <c r="N115" s="31"/>
      <c r="O115" s="36" t="s">
        <v>321</v>
      </c>
      <c r="P115" s="75"/>
      <c r="Q115" s="28">
        <v>46370</v>
      </c>
      <c r="R115" s="43"/>
      <c r="S115" s="31"/>
      <c r="T115" s="69" t="s">
        <v>312</v>
      </c>
      <c r="U115" s="47"/>
      <c r="V115" s="28">
        <v>46373</v>
      </c>
      <c r="W115" s="43"/>
      <c r="X115" s="31"/>
      <c r="Y115" s="31"/>
      <c r="Z115" s="36"/>
      <c r="AA115" s="28">
        <v>46386</v>
      </c>
      <c r="AB115" s="43"/>
      <c r="AC115" s="43"/>
      <c r="AD115" s="31" t="s">
        <v>261</v>
      </c>
      <c r="AE115" s="31" t="s">
        <v>72</v>
      </c>
      <c r="AF115" s="31"/>
      <c r="AG115" s="31"/>
      <c r="AH115" s="31"/>
      <c r="AI115" s="31"/>
      <c r="AJ115" s="31"/>
      <c r="AK115" s="31"/>
      <c r="AL115" s="31"/>
      <c r="AM115" s="31" t="str" cm="1">
        <f t="array" ref="AM115">_xlfn.LET(_xlpm.rep,$B115,_xlpm.sent,_xlfn.MAXIFS('Rework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5" s="31" t="str" cm="1">
        <f t="array" ref="AN115">_xlfn.LET(_xlpm.rep,$B115,_xlpm.sent,_xlfn.MAXIFS('Rework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6" spans="1:40" ht="14.45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31"/>
      <c r="P116" s="66"/>
      <c r="R116" s="31"/>
      <c r="S116" s="31"/>
      <c r="T116" s="71"/>
      <c r="U116" s="31"/>
      <c r="W116" s="31"/>
      <c r="Y116" s="31"/>
      <c r="Z116" s="31"/>
      <c r="AA116" s="31"/>
      <c r="AB116" s="31"/>
      <c r="AC116" s="31"/>
      <c r="AD116" s="31"/>
      <c r="AE116" s="31"/>
      <c r="AG116" s="31"/>
    </row>
    <row r="117" spans="1:40" ht="14.45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31"/>
      <c r="P117" s="66"/>
      <c r="R117" s="31"/>
      <c r="S117" s="31"/>
      <c r="T117" s="71"/>
      <c r="U117" s="31"/>
      <c r="W117" s="31"/>
      <c r="Y117" s="31"/>
      <c r="Z117" s="31"/>
      <c r="AA117" s="31"/>
      <c r="AB117" s="31"/>
      <c r="AC117" s="31"/>
      <c r="AD117" s="31"/>
      <c r="AE117" s="31"/>
      <c r="AG117" s="31"/>
    </row>
    <row r="118" spans="1:40" ht="14.45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31"/>
      <c r="P118" s="66"/>
      <c r="R118" s="31"/>
      <c r="S118" s="31"/>
      <c r="T118" s="71"/>
      <c r="U118" s="31"/>
      <c r="W118" s="31"/>
      <c r="Y118" s="31"/>
      <c r="Z118" s="31"/>
      <c r="AA118" s="31"/>
      <c r="AB118" s="31"/>
      <c r="AC118" s="31"/>
      <c r="AD118" s="31"/>
      <c r="AE118" s="31"/>
      <c r="AG118" s="31"/>
    </row>
    <row r="119" spans="1:40" ht="14.45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31"/>
      <c r="P119" s="66"/>
      <c r="R119" s="31"/>
      <c r="S119" s="31"/>
      <c r="T119" s="71"/>
      <c r="U119" s="31"/>
      <c r="W119" s="31"/>
      <c r="Y119" s="31"/>
      <c r="Z119" s="31"/>
      <c r="AA119" s="31"/>
      <c r="AB119" s="31"/>
      <c r="AC119" s="31"/>
      <c r="AD119" s="31"/>
      <c r="AE119" s="31"/>
      <c r="AG119" s="31"/>
    </row>
    <row r="120" spans="1:40" ht="14.45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31"/>
      <c r="P120" s="66"/>
      <c r="R120" s="31"/>
      <c r="S120" s="31"/>
      <c r="T120" s="71"/>
      <c r="U120" s="31"/>
      <c r="W120" s="31"/>
      <c r="Y120" s="31"/>
      <c r="Z120" s="31"/>
      <c r="AA120" s="31"/>
      <c r="AB120" s="31"/>
      <c r="AC120" s="31"/>
      <c r="AD120" s="31"/>
      <c r="AE120" s="31"/>
      <c r="AG120" s="31"/>
    </row>
    <row r="121" spans="1:40" ht="14.45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31"/>
      <c r="P121" s="66"/>
      <c r="R121" s="31"/>
      <c r="S121" s="31"/>
      <c r="T121" s="71"/>
      <c r="U121" s="31"/>
      <c r="W121" s="31"/>
      <c r="Y121" s="31"/>
      <c r="Z121" s="31"/>
      <c r="AA121" s="31"/>
      <c r="AB121" s="31"/>
      <c r="AC121" s="31"/>
      <c r="AD121" s="31"/>
      <c r="AE121" s="31"/>
      <c r="AG121" s="31"/>
    </row>
    <row r="122" spans="1:40" ht="14.45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31"/>
      <c r="P122" s="66"/>
      <c r="R122" s="31"/>
      <c r="S122" s="31"/>
      <c r="T122" s="71"/>
      <c r="U122" s="31"/>
      <c r="W122" s="31"/>
      <c r="Y122" s="31"/>
      <c r="Z122" s="31"/>
      <c r="AA122" s="31"/>
      <c r="AB122" s="31"/>
      <c r="AC122" s="31"/>
      <c r="AD122" s="31"/>
      <c r="AE122" s="31"/>
      <c r="AG122" s="31"/>
    </row>
    <row r="123" spans="1:40" ht="14.45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31"/>
      <c r="P123" s="66"/>
      <c r="R123" s="31"/>
      <c r="S123" s="31"/>
      <c r="T123" s="71"/>
      <c r="U123" s="31"/>
      <c r="W123" s="31"/>
      <c r="Y123" s="31"/>
      <c r="Z123" s="31"/>
      <c r="AA123" s="31"/>
      <c r="AB123" s="31"/>
      <c r="AC123" s="31"/>
      <c r="AD123" s="31"/>
      <c r="AE123" s="31"/>
      <c r="AG123" s="31"/>
    </row>
    <row r="124" spans="1:40" ht="14.45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31"/>
      <c r="P124" s="66"/>
      <c r="R124" s="31"/>
      <c r="S124" s="31"/>
      <c r="T124" s="71"/>
      <c r="U124" s="31"/>
      <c r="W124" s="31"/>
      <c r="Y124" s="31"/>
      <c r="Z124" s="31"/>
      <c r="AA124" s="31"/>
      <c r="AB124" s="31"/>
      <c r="AC124" s="31"/>
      <c r="AD124" s="31"/>
      <c r="AE124" s="31"/>
      <c r="AG124" s="31"/>
    </row>
    <row r="125" spans="1:40" ht="14.45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31"/>
      <c r="P125" s="66"/>
      <c r="R125" s="31"/>
      <c r="S125" s="31"/>
      <c r="T125" s="71"/>
      <c r="U125" s="31"/>
      <c r="W125" s="31"/>
      <c r="Y125" s="31"/>
      <c r="Z125" s="31"/>
      <c r="AA125" s="31"/>
      <c r="AB125" s="31"/>
      <c r="AC125" s="31"/>
      <c r="AD125" s="31"/>
      <c r="AE125" s="31"/>
      <c r="AG125" s="31"/>
    </row>
    <row r="126" spans="1:40" ht="14.45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31"/>
      <c r="P126" s="66"/>
      <c r="R126" s="31"/>
      <c r="S126" s="31"/>
      <c r="T126" s="71"/>
      <c r="U126" s="31"/>
      <c r="W126" s="31"/>
      <c r="Y126" s="31"/>
      <c r="Z126" s="31"/>
      <c r="AA126" s="31"/>
      <c r="AB126" s="31"/>
      <c r="AC126" s="31"/>
      <c r="AD126" s="31"/>
      <c r="AE126" s="31"/>
      <c r="AG126" s="31"/>
    </row>
    <row r="127" spans="1:40" ht="14.45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31"/>
      <c r="P127" s="66"/>
      <c r="R127" s="31"/>
      <c r="S127" s="31"/>
      <c r="T127" s="71"/>
      <c r="U127" s="31"/>
      <c r="W127" s="31"/>
      <c r="Y127" s="31"/>
      <c r="Z127" s="31"/>
      <c r="AA127" s="31"/>
      <c r="AB127" s="31"/>
      <c r="AC127" s="31"/>
      <c r="AD127" s="31"/>
      <c r="AE127" s="31"/>
      <c r="AG127" s="31"/>
    </row>
    <row r="128" spans="1:40" ht="14.45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31"/>
      <c r="P128" s="66"/>
      <c r="R128" s="31"/>
      <c r="S128" s="31"/>
      <c r="T128" s="71"/>
      <c r="U128" s="31"/>
      <c r="W128" s="31"/>
      <c r="Y128" s="31"/>
      <c r="Z128" s="31"/>
      <c r="AA128" s="31"/>
      <c r="AB128" s="31"/>
      <c r="AC128" s="31"/>
      <c r="AD128" s="31"/>
      <c r="AE128" s="31"/>
      <c r="AG128" s="31"/>
    </row>
    <row r="129" spans="1:33" ht="14.45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31"/>
      <c r="P129" s="66"/>
      <c r="R129" s="31"/>
      <c r="S129" s="31"/>
      <c r="T129" s="71"/>
      <c r="U129" s="31"/>
      <c r="W129" s="31"/>
      <c r="Y129" s="31"/>
      <c r="Z129" s="31"/>
      <c r="AA129" s="31"/>
      <c r="AB129" s="31"/>
      <c r="AC129" s="31"/>
      <c r="AD129" s="31"/>
      <c r="AE129" s="31"/>
      <c r="AG129" s="31"/>
    </row>
    <row r="130" spans="1:33" ht="14.45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31"/>
      <c r="P130" s="66"/>
      <c r="R130" s="31"/>
      <c r="S130" s="31"/>
      <c r="T130" s="71"/>
      <c r="U130" s="31"/>
      <c r="W130" s="31"/>
      <c r="Y130" s="31"/>
      <c r="Z130" s="31"/>
      <c r="AA130" s="31"/>
      <c r="AB130" s="31"/>
      <c r="AC130" s="31"/>
      <c r="AD130" s="31"/>
      <c r="AE130" s="31"/>
      <c r="AG130" s="31"/>
    </row>
    <row r="131" spans="1:33" ht="14.45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31"/>
      <c r="P131" s="66"/>
      <c r="R131" s="31"/>
      <c r="S131" s="31"/>
      <c r="T131" s="71"/>
      <c r="U131" s="31"/>
      <c r="W131" s="31"/>
      <c r="Y131" s="31"/>
      <c r="Z131" s="31"/>
      <c r="AA131" s="31"/>
      <c r="AB131" s="31"/>
      <c r="AC131" s="31"/>
      <c r="AD131" s="31"/>
      <c r="AE131" s="31"/>
      <c r="AG131" s="31"/>
    </row>
    <row r="132" spans="1:33" ht="14.45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31"/>
      <c r="P132" s="66"/>
      <c r="R132" s="31"/>
      <c r="S132" s="31"/>
      <c r="T132" s="71"/>
      <c r="U132" s="31"/>
      <c r="W132" s="31"/>
      <c r="Y132" s="31"/>
      <c r="Z132" s="31"/>
      <c r="AA132" s="31"/>
      <c r="AB132" s="31"/>
      <c r="AC132" s="31"/>
      <c r="AD132" s="31"/>
      <c r="AE132" s="31"/>
      <c r="AG132" s="31"/>
    </row>
    <row r="133" spans="1:33" ht="14.45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31"/>
      <c r="P133" s="66"/>
      <c r="R133" s="31"/>
      <c r="S133" s="31"/>
      <c r="T133" s="71"/>
      <c r="U133" s="31"/>
      <c r="W133" s="31"/>
      <c r="Y133" s="31"/>
      <c r="Z133" s="31"/>
      <c r="AA133" s="31"/>
      <c r="AB133" s="31"/>
      <c r="AC133" s="31"/>
      <c r="AD133" s="31"/>
      <c r="AE133" s="31"/>
      <c r="AG133" s="31"/>
    </row>
    <row r="134" spans="1:33" ht="14.45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31"/>
      <c r="P134" s="66"/>
      <c r="R134" s="31"/>
      <c r="S134" s="31"/>
      <c r="T134" s="71"/>
      <c r="U134" s="31"/>
      <c r="W134" s="31"/>
      <c r="Y134" s="31"/>
      <c r="Z134" s="31"/>
      <c r="AA134" s="31"/>
      <c r="AB134" s="31"/>
      <c r="AC134" s="31"/>
      <c r="AD134" s="31"/>
      <c r="AE134" s="31"/>
      <c r="AG134" s="31"/>
    </row>
    <row r="135" spans="1:33" ht="14.45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31"/>
      <c r="P135" s="66"/>
      <c r="R135" s="31"/>
      <c r="S135" s="31"/>
      <c r="T135" s="71"/>
      <c r="U135" s="31"/>
      <c r="W135" s="31"/>
      <c r="Y135" s="31"/>
      <c r="Z135" s="31"/>
      <c r="AA135" s="31"/>
      <c r="AB135" s="31"/>
      <c r="AC135" s="31"/>
      <c r="AD135" s="31"/>
      <c r="AE135" s="31"/>
      <c r="AG135" s="31"/>
    </row>
    <row r="136" spans="1:33" ht="14.45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31"/>
      <c r="P136" s="66"/>
      <c r="R136" s="31"/>
      <c r="S136" s="31"/>
      <c r="T136" s="71"/>
      <c r="U136" s="31"/>
      <c r="W136" s="31"/>
      <c r="Y136" s="31"/>
      <c r="Z136" s="31"/>
      <c r="AA136" s="31"/>
      <c r="AB136" s="31"/>
      <c r="AC136" s="31"/>
      <c r="AD136" s="31"/>
      <c r="AE136" s="31"/>
      <c r="AG136" s="31"/>
    </row>
    <row r="137" spans="1:33" ht="14.45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31"/>
      <c r="P137" s="66"/>
      <c r="R137" s="31"/>
      <c r="S137" s="31"/>
      <c r="T137" s="71"/>
      <c r="U137" s="31"/>
      <c r="W137" s="31"/>
      <c r="Y137" s="31"/>
      <c r="Z137" s="31"/>
      <c r="AA137" s="31"/>
      <c r="AB137" s="31"/>
      <c r="AC137" s="31"/>
      <c r="AD137" s="31"/>
      <c r="AE137" s="31"/>
      <c r="AG137" s="31"/>
    </row>
    <row r="138" spans="1:33" ht="14.45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31"/>
      <c r="P138" s="66"/>
      <c r="R138" s="31"/>
      <c r="S138" s="31"/>
      <c r="T138" s="71"/>
      <c r="U138" s="31"/>
      <c r="W138" s="31"/>
      <c r="Y138" s="31"/>
      <c r="Z138" s="31"/>
      <c r="AA138" s="31"/>
      <c r="AB138" s="31"/>
      <c r="AC138" s="31"/>
      <c r="AD138" s="31"/>
      <c r="AE138" s="31"/>
      <c r="AG138" s="31"/>
    </row>
    <row r="139" spans="1:33" ht="14.45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31"/>
      <c r="P139" s="66"/>
      <c r="R139" s="31"/>
      <c r="S139" s="31"/>
      <c r="T139" s="71"/>
      <c r="U139" s="31"/>
      <c r="W139" s="31"/>
      <c r="Y139" s="31"/>
      <c r="Z139" s="31"/>
      <c r="AA139" s="31"/>
      <c r="AB139" s="31"/>
      <c r="AC139" s="31"/>
      <c r="AD139" s="31"/>
      <c r="AE139" s="31"/>
      <c r="AG139" s="31"/>
    </row>
    <row r="140" spans="1:33" ht="14.45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31"/>
      <c r="P140" s="66"/>
      <c r="R140" s="31"/>
      <c r="S140" s="31"/>
      <c r="T140" s="71"/>
      <c r="U140" s="31"/>
      <c r="W140" s="31"/>
      <c r="Y140" s="31"/>
      <c r="Z140" s="31"/>
      <c r="AA140" s="31"/>
      <c r="AB140" s="31"/>
      <c r="AC140" s="31"/>
      <c r="AD140" s="31"/>
      <c r="AE140" s="31"/>
      <c r="AG140" s="31"/>
    </row>
    <row r="141" spans="1:33" ht="14.45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31"/>
      <c r="P141" s="66"/>
      <c r="R141" s="31"/>
      <c r="S141" s="31"/>
      <c r="T141" s="71"/>
      <c r="U141" s="31"/>
      <c r="W141" s="31"/>
      <c r="Y141" s="31"/>
      <c r="Z141" s="31"/>
      <c r="AA141" s="31"/>
      <c r="AB141" s="31"/>
      <c r="AC141" s="31"/>
      <c r="AD141" s="31"/>
      <c r="AE141" s="31"/>
      <c r="AG141" s="31"/>
    </row>
    <row r="142" spans="1:33" ht="14.45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31"/>
      <c r="P142" s="66"/>
      <c r="R142" s="31"/>
      <c r="S142" s="31"/>
      <c r="T142" s="71"/>
      <c r="U142" s="31"/>
      <c r="W142" s="31"/>
      <c r="Y142" s="31"/>
      <c r="Z142" s="31"/>
      <c r="AA142" s="31"/>
      <c r="AB142" s="31"/>
      <c r="AC142" s="31"/>
      <c r="AD142" s="31"/>
      <c r="AE142" s="31"/>
      <c r="AG142" s="31"/>
    </row>
    <row r="143" spans="1:33" ht="14.45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31"/>
      <c r="P143" s="66"/>
      <c r="R143" s="31"/>
      <c r="S143" s="31"/>
      <c r="T143" s="71"/>
      <c r="U143" s="31"/>
      <c r="W143" s="31"/>
      <c r="Y143" s="31"/>
      <c r="Z143" s="31"/>
      <c r="AA143" s="31"/>
      <c r="AB143" s="31"/>
      <c r="AC143" s="31"/>
      <c r="AD143" s="31"/>
      <c r="AE143" s="31"/>
      <c r="AG143" s="31"/>
    </row>
    <row r="144" spans="1:33" ht="14.45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31"/>
      <c r="P144" s="66"/>
      <c r="R144" s="31"/>
      <c r="S144" s="31"/>
      <c r="T144" s="71"/>
      <c r="U144" s="31"/>
      <c r="W144" s="31"/>
      <c r="Y144" s="31"/>
      <c r="Z144" s="31"/>
      <c r="AA144" s="31"/>
      <c r="AB144" s="31"/>
      <c r="AC144" s="31"/>
      <c r="AD144" s="31"/>
      <c r="AE144" s="31"/>
      <c r="AG144" s="31"/>
    </row>
    <row r="145" spans="1:33" ht="14.45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31"/>
      <c r="P145" s="66"/>
      <c r="R145" s="31"/>
      <c r="S145" s="31"/>
      <c r="T145" s="71"/>
      <c r="U145" s="31"/>
      <c r="W145" s="31"/>
      <c r="Y145" s="31"/>
      <c r="Z145" s="31"/>
      <c r="AA145" s="31"/>
      <c r="AB145" s="31"/>
      <c r="AC145" s="31"/>
      <c r="AD145" s="31"/>
      <c r="AE145" s="31"/>
      <c r="AG145" s="31"/>
    </row>
    <row r="146" spans="1:33" ht="14.45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31"/>
      <c r="P146" s="66"/>
      <c r="R146" s="31"/>
      <c r="S146" s="31"/>
      <c r="T146" s="71"/>
      <c r="U146" s="31"/>
      <c r="W146" s="31"/>
      <c r="Y146" s="31"/>
      <c r="Z146" s="31"/>
      <c r="AA146" s="31"/>
      <c r="AB146" s="31"/>
      <c r="AC146" s="31"/>
      <c r="AD146" s="31"/>
      <c r="AE146" s="31"/>
      <c r="AG146" s="31"/>
    </row>
    <row r="147" spans="1:33" ht="14.45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31"/>
      <c r="P147" s="66"/>
      <c r="R147" s="31"/>
      <c r="S147" s="31"/>
      <c r="T147" s="71"/>
      <c r="U147" s="31"/>
      <c r="W147" s="31"/>
      <c r="Y147" s="31"/>
      <c r="Z147" s="31"/>
      <c r="AA147" s="31"/>
      <c r="AB147" s="31"/>
      <c r="AC147" s="31"/>
      <c r="AD147" s="31"/>
      <c r="AE147" s="31"/>
      <c r="AG147" s="31"/>
    </row>
    <row r="148" spans="1:33" ht="14.45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31"/>
      <c r="P148" s="66"/>
      <c r="R148" s="31"/>
      <c r="S148" s="31"/>
      <c r="T148" s="71"/>
      <c r="U148" s="31"/>
      <c r="W148" s="31"/>
      <c r="Y148" s="31"/>
      <c r="Z148" s="31"/>
      <c r="AA148" s="31"/>
      <c r="AB148" s="31"/>
      <c r="AC148" s="31"/>
      <c r="AD148" s="31"/>
      <c r="AE148" s="31"/>
      <c r="AG148" s="31"/>
    </row>
    <row r="149" spans="1:33" ht="14.45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31"/>
      <c r="P149" s="66"/>
      <c r="R149" s="31"/>
      <c r="S149" s="31"/>
      <c r="T149" s="71"/>
      <c r="U149" s="31"/>
      <c r="W149" s="31"/>
      <c r="Y149" s="31"/>
      <c r="Z149" s="31"/>
      <c r="AA149" s="31"/>
      <c r="AB149" s="31"/>
      <c r="AC149" s="31"/>
      <c r="AD149" s="31"/>
      <c r="AE149" s="31"/>
      <c r="AG149" s="31"/>
    </row>
    <row r="150" spans="1:33" ht="14.45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31"/>
      <c r="P150" s="66"/>
      <c r="R150" s="31"/>
      <c r="S150" s="31"/>
      <c r="T150" s="71"/>
      <c r="U150" s="31"/>
      <c r="W150" s="31"/>
      <c r="Y150" s="31"/>
      <c r="Z150" s="31"/>
      <c r="AA150" s="31"/>
      <c r="AB150" s="31"/>
      <c r="AC150" s="31"/>
      <c r="AD150" s="31"/>
      <c r="AE150" s="31"/>
      <c r="AG150" s="31"/>
    </row>
    <row r="151" spans="1:33" ht="14.45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31"/>
      <c r="P151" s="66"/>
      <c r="R151" s="31"/>
      <c r="S151" s="31"/>
      <c r="T151" s="71"/>
      <c r="U151" s="31"/>
      <c r="W151" s="31"/>
      <c r="Y151" s="31"/>
      <c r="Z151" s="31"/>
      <c r="AA151" s="31"/>
      <c r="AB151" s="31"/>
      <c r="AC151" s="31"/>
      <c r="AD151" s="31"/>
      <c r="AE151" s="31"/>
      <c r="AG151" s="31"/>
    </row>
    <row r="152" spans="1:33" ht="14.45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31"/>
      <c r="P152" s="66"/>
      <c r="R152" s="31"/>
      <c r="S152" s="31"/>
      <c r="T152" s="71"/>
      <c r="U152" s="31"/>
      <c r="W152" s="31"/>
      <c r="Y152" s="31"/>
      <c r="Z152" s="31"/>
      <c r="AA152" s="31"/>
      <c r="AB152" s="31"/>
      <c r="AC152" s="31"/>
      <c r="AD152" s="31"/>
      <c r="AE152" s="31"/>
      <c r="AG152" s="31"/>
    </row>
    <row r="153" spans="1:33" ht="14.45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31"/>
      <c r="P153" s="66"/>
      <c r="R153" s="31"/>
      <c r="S153" s="31"/>
      <c r="T153" s="71"/>
      <c r="U153" s="31"/>
      <c r="W153" s="31"/>
      <c r="Y153" s="31"/>
      <c r="Z153" s="31"/>
      <c r="AA153" s="31"/>
      <c r="AB153" s="31"/>
      <c r="AC153" s="31"/>
      <c r="AD153" s="31"/>
      <c r="AE153" s="31"/>
      <c r="AG153" s="31"/>
    </row>
    <row r="154" spans="1:33" ht="14.45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31"/>
      <c r="P154" s="66"/>
      <c r="R154" s="31"/>
      <c r="S154" s="31"/>
      <c r="T154" s="71"/>
      <c r="U154" s="31"/>
      <c r="W154" s="31"/>
      <c r="Y154" s="31"/>
      <c r="Z154" s="31"/>
      <c r="AA154" s="31"/>
      <c r="AB154" s="31"/>
      <c r="AC154" s="31"/>
      <c r="AD154" s="31"/>
      <c r="AE154" s="31"/>
      <c r="AG154" s="31"/>
    </row>
    <row r="155" spans="1:33" ht="14.45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31"/>
      <c r="P155" s="66"/>
      <c r="R155" s="31"/>
      <c r="S155" s="31"/>
      <c r="T155" s="71"/>
      <c r="U155" s="31"/>
      <c r="W155" s="31"/>
      <c r="Y155" s="31"/>
      <c r="Z155" s="31"/>
      <c r="AA155" s="31"/>
      <c r="AB155" s="31"/>
      <c r="AC155" s="31"/>
      <c r="AD155" s="31"/>
      <c r="AE155" s="31"/>
      <c r="AG155" s="31"/>
    </row>
    <row r="156" spans="1:33" ht="14.45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31"/>
      <c r="P156" s="66"/>
      <c r="R156" s="31"/>
      <c r="S156" s="31"/>
      <c r="T156" s="71"/>
      <c r="U156" s="31"/>
      <c r="W156" s="31"/>
      <c r="Y156" s="31"/>
      <c r="Z156" s="31"/>
      <c r="AA156" s="31"/>
      <c r="AB156" s="31"/>
      <c r="AC156" s="31"/>
      <c r="AD156" s="31"/>
      <c r="AE156" s="31"/>
      <c r="AG156" s="31"/>
    </row>
    <row r="157" spans="1:33" ht="14.45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31"/>
      <c r="P157" s="66"/>
      <c r="R157" s="31"/>
      <c r="S157" s="31"/>
      <c r="T157" s="71"/>
      <c r="U157" s="31"/>
      <c r="W157" s="31"/>
      <c r="Y157" s="31"/>
      <c r="Z157" s="31"/>
      <c r="AA157" s="31"/>
      <c r="AB157" s="31"/>
      <c r="AC157" s="31"/>
      <c r="AD157" s="31"/>
      <c r="AE157" s="31"/>
      <c r="AG157" s="31"/>
    </row>
    <row r="158" spans="1:33" ht="14.45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31"/>
      <c r="P158" s="66"/>
      <c r="R158" s="31"/>
      <c r="S158" s="31"/>
      <c r="T158" s="71"/>
      <c r="U158" s="31"/>
      <c r="W158" s="31"/>
      <c r="Y158" s="31"/>
      <c r="Z158" s="31"/>
      <c r="AA158" s="31"/>
      <c r="AB158" s="31"/>
      <c r="AC158" s="31"/>
      <c r="AD158" s="31"/>
      <c r="AE158" s="31"/>
      <c r="AG158" s="31"/>
    </row>
    <row r="159" spans="1:33" ht="14.45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31"/>
      <c r="P159" s="66"/>
      <c r="R159" s="31"/>
      <c r="S159" s="31"/>
      <c r="T159" s="71"/>
      <c r="U159" s="31"/>
      <c r="W159" s="31"/>
      <c r="Y159" s="31"/>
      <c r="Z159" s="31"/>
      <c r="AA159" s="31"/>
      <c r="AB159" s="31"/>
      <c r="AC159" s="31"/>
      <c r="AD159" s="31"/>
      <c r="AE159" s="31"/>
      <c r="AG159" s="31"/>
    </row>
    <row r="160" spans="1:33" ht="14.45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31"/>
      <c r="P160" s="66"/>
      <c r="R160" s="31"/>
      <c r="S160" s="31"/>
      <c r="T160" s="71"/>
      <c r="U160" s="31"/>
      <c r="W160" s="31"/>
      <c r="Y160" s="31"/>
      <c r="Z160" s="31"/>
      <c r="AA160" s="31"/>
      <c r="AB160" s="31"/>
      <c r="AC160" s="31"/>
      <c r="AD160" s="31"/>
      <c r="AE160" s="31"/>
      <c r="AG160" s="31"/>
    </row>
    <row r="161" spans="1:33" ht="14.45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31"/>
      <c r="P161" s="66"/>
      <c r="R161" s="31"/>
      <c r="S161" s="31"/>
      <c r="T161" s="71"/>
      <c r="U161" s="31"/>
      <c r="W161" s="31"/>
      <c r="Y161" s="31"/>
      <c r="Z161" s="31"/>
      <c r="AA161" s="31"/>
      <c r="AB161" s="31"/>
      <c r="AC161" s="31"/>
      <c r="AD161" s="31"/>
      <c r="AE161" s="31"/>
      <c r="AG161" s="31"/>
    </row>
    <row r="162" spans="1:33" ht="14.45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31"/>
      <c r="P162" s="66"/>
      <c r="R162" s="31"/>
      <c r="S162" s="31"/>
      <c r="T162" s="71"/>
      <c r="U162" s="31"/>
      <c r="W162" s="31"/>
      <c r="Y162" s="31"/>
      <c r="Z162" s="31"/>
      <c r="AA162" s="31"/>
      <c r="AB162" s="31"/>
      <c r="AC162" s="31"/>
      <c r="AD162" s="31"/>
      <c r="AE162" s="31"/>
      <c r="AG162" s="31"/>
    </row>
    <row r="163" spans="1:33" ht="14.45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31"/>
      <c r="P163" s="66"/>
      <c r="R163" s="31"/>
      <c r="S163" s="31"/>
      <c r="T163" s="71"/>
      <c r="U163" s="31"/>
      <c r="W163" s="31"/>
      <c r="Y163" s="31"/>
      <c r="Z163" s="31"/>
      <c r="AA163" s="31"/>
      <c r="AB163" s="31"/>
      <c r="AC163" s="31"/>
      <c r="AD163" s="31"/>
      <c r="AE163" s="31"/>
      <c r="AG163" s="31"/>
    </row>
    <row r="164" spans="1:33" ht="14.45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31"/>
      <c r="P164" s="66"/>
      <c r="R164" s="31"/>
      <c r="S164" s="31"/>
      <c r="T164" s="71"/>
      <c r="U164" s="31"/>
      <c r="W164" s="31"/>
      <c r="Y164" s="31"/>
      <c r="Z164" s="31"/>
      <c r="AA164" s="31"/>
      <c r="AB164" s="31"/>
      <c r="AC164" s="31"/>
      <c r="AD164" s="31"/>
      <c r="AE164" s="31"/>
      <c r="AG164" s="31"/>
    </row>
    <row r="165" spans="1:33" ht="14.45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31"/>
      <c r="P165" s="66"/>
      <c r="R165" s="31"/>
      <c r="S165" s="31"/>
      <c r="T165" s="71"/>
      <c r="U165" s="31"/>
      <c r="W165" s="31"/>
      <c r="Y165" s="31"/>
      <c r="Z165" s="31"/>
      <c r="AA165" s="31"/>
      <c r="AB165" s="31"/>
      <c r="AC165" s="31"/>
      <c r="AD165" s="31"/>
      <c r="AE165" s="31"/>
      <c r="AG165" s="31"/>
    </row>
    <row r="166" spans="1:33" ht="14.45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31"/>
      <c r="P166" s="66"/>
      <c r="R166" s="31"/>
      <c r="S166" s="31"/>
      <c r="T166" s="71"/>
      <c r="U166" s="31"/>
      <c r="W166" s="31"/>
      <c r="Y166" s="31"/>
      <c r="Z166" s="31"/>
      <c r="AA166" s="31"/>
      <c r="AB166" s="31"/>
      <c r="AC166" s="31"/>
      <c r="AD166" s="31"/>
      <c r="AE166" s="31"/>
      <c r="AG166" s="31"/>
    </row>
    <row r="167" spans="1:33" ht="14.45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31"/>
      <c r="P167" s="66"/>
      <c r="R167" s="31"/>
      <c r="S167" s="31"/>
      <c r="T167" s="71"/>
      <c r="U167" s="31"/>
      <c r="W167" s="31"/>
      <c r="Y167" s="31"/>
      <c r="Z167" s="31"/>
      <c r="AA167" s="31"/>
      <c r="AB167" s="31"/>
      <c r="AC167" s="31"/>
      <c r="AD167" s="31"/>
      <c r="AE167" s="31"/>
      <c r="AG167" s="31"/>
    </row>
    <row r="168" spans="1:33" ht="14.45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31"/>
      <c r="P168" s="66"/>
      <c r="R168" s="31"/>
      <c r="S168" s="31"/>
      <c r="T168" s="71"/>
      <c r="U168" s="31"/>
      <c r="W168" s="31"/>
      <c r="Y168" s="31"/>
      <c r="Z168" s="31"/>
      <c r="AA168" s="31"/>
      <c r="AB168" s="31"/>
      <c r="AC168" s="31"/>
      <c r="AD168" s="31"/>
      <c r="AE168" s="31"/>
      <c r="AG168" s="31"/>
    </row>
    <row r="169" spans="1:33" ht="14.45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31"/>
      <c r="P169" s="66"/>
      <c r="R169" s="31"/>
      <c r="S169" s="31"/>
      <c r="T169" s="71"/>
      <c r="U169" s="31"/>
      <c r="W169" s="31"/>
      <c r="Y169" s="31"/>
      <c r="Z169" s="31"/>
      <c r="AA169" s="31"/>
      <c r="AB169" s="31"/>
      <c r="AC169" s="31"/>
      <c r="AD169" s="31"/>
      <c r="AE169" s="31"/>
      <c r="AG169" s="31"/>
    </row>
    <row r="170" spans="1:33" ht="14.45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31"/>
      <c r="P170" s="66"/>
      <c r="R170" s="31"/>
      <c r="S170" s="31"/>
      <c r="T170" s="71"/>
      <c r="U170" s="31"/>
      <c r="W170" s="31"/>
      <c r="Y170" s="31"/>
      <c r="Z170" s="31"/>
      <c r="AA170" s="31"/>
      <c r="AB170" s="31"/>
      <c r="AC170" s="31"/>
      <c r="AD170" s="31"/>
      <c r="AE170" s="31"/>
      <c r="AG170" s="31"/>
    </row>
    <row r="171" spans="1:33" ht="14.45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31"/>
      <c r="P171" s="66"/>
      <c r="R171" s="31"/>
      <c r="S171" s="31"/>
      <c r="T171" s="71"/>
      <c r="U171" s="31"/>
      <c r="W171" s="31"/>
      <c r="Y171" s="31"/>
      <c r="Z171" s="31"/>
      <c r="AA171" s="31"/>
      <c r="AB171" s="31"/>
      <c r="AC171" s="31"/>
      <c r="AD171" s="31"/>
      <c r="AE171" s="31"/>
      <c r="AG171" s="31"/>
    </row>
    <row r="172" spans="1:33" ht="14.45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31"/>
      <c r="P172" s="66"/>
      <c r="R172" s="31"/>
      <c r="S172" s="31"/>
      <c r="T172" s="71"/>
      <c r="U172" s="31"/>
      <c r="W172" s="31"/>
      <c r="Y172" s="31"/>
      <c r="Z172" s="31"/>
      <c r="AA172" s="31"/>
      <c r="AB172" s="31"/>
      <c r="AC172" s="31"/>
      <c r="AD172" s="31"/>
      <c r="AE172" s="31"/>
      <c r="AG172" s="31"/>
    </row>
    <row r="173" spans="1:33" ht="14.45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31"/>
      <c r="P173" s="66"/>
      <c r="R173" s="31"/>
      <c r="S173" s="31"/>
      <c r="T173" s="71"/>
      <c r="U173" s="31"/>
      <c r="W173" s="31"/>
      <c r="Y173" s="31"/>
      <c r="Z173" s="31"/>
      <c r="AA173" s="31"/>
      <c r="AB173" s="31"/>
      <c r="AC173" s="31"/>
      <c r="AD173" s="31"/>
      <c r="AE173" s="31"/>
      <c r="AG173" s="31"/>
    </row>
    <row r="174" spans="1:33" ht="14.45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31"/>
      <c r="P174" s="66"/>
      <c r="R174" s="31"/>
      <c r="S174" s="31"/>
      <c r="T174" s="71"/>
      <c r="U174" s="31"/>
      <c r="W174" s="31"/>
      <c r="Y174" s="31"/>
      <c r="Z174" s="31"/>
      <c r="AA174" s="31"/>
      <c r="AB174" s="31"/>
      <c r="AC174" s="31"/>
      <c r="AD174" s="31"/>
      <c r="AE174" s="31"/>
      <c r="AG174" s="31"/>
    </row>
    <row r="175" spans="1:33" ht="14.45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31"/>
      <c r="P175" s="66"/>
      <c r="R175" s="31"/>
      <c r="S175" s="31"/>
      <c r="T175" s="71"/>
      <c r="U175" s="31"/>
      <c r="W175" s="31"/>
      <c r="Y175" s="31"/>
      <c r="Z175" s="31"/>
      <c r="AA175" s="31"/>
      <c r="AB175" s="31"/>
      <c r="AC175" s="31"/>
      <c r="AD175" s="31"/>
      <c r="AE175" s="31"/>
      <c r="AG175" s="31"/>
    </row>
    <row r="176" spans="1:33" ht="14.45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31"/>
      <c r="P176" s="66"/>
      <c r="R176" s="31"/>
      <c r="S176" s="31"/>
      <c r="T176" s="71"/>
      <c r="U176" s="31"/>
      <c r="W176" s="31"/>
      <c r="Y176" s="31"/>
      <c r="Z176" s="31"/>
      <c r="AA176" s="31"/>
      <c r="AB176" s="31"/>
      <c r="AC176" s="31"/>
      <c r="AD176" s="31"/>
      <c r="AE176" s="31"/>
      <c r="AG176" s="31"/>
    </row>
    <row r="177" spans="1:33" ht="14.45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31"/>
      <c r="P177" s="66"/>
      <c r="R177" s="31"/>
      <c r="S177" s="31"/>
      <c r="T177" s="71"/>
      <c r="U177" s="31"/>
      <c r="W177" s="31"/>
      <c r="Y177" s="31"/>
      <c r="Z177" s="31"/>
      <c r="AA177" s="31"/>
      <c r="AB177" s="31"/>
      <c r="AC177" s="31"/>
      <c r="AD177" s="31"/>
      <c r="AE177" s="31"/>
      <c r="AG177" s="31"/>
    </row>
    <row r="178" spans="1:33" ht="14.45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31"/>
      <c r="P178" s="66"/>
      <c r="R178" s="31"/>
      <c r="S178" s="31"/>
      <c r="T178" s="71"/>
      <c r="U178" s="31"/>
      <c r="W178" s="31"/>
      <c r="Y178" s="31"/>
      <c r="Z178" s="31"/>
      <c r="AA178" s="31"/>
      <c r="AB178" s="31"/>
      <c r="AC178" s="31"/>
      <c r="AD178" s="31"/>
      <c r="AE178" s="31"/>
      <c r="AG178" s="31"/>
    </row>
    <row r="179" spans="1:33" ht="14.45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31"/>
      <c r="P179" s="66"/>
      <c r="R179" s="31"/>
      <c r="S179" s="31"/>
      <c r="T179" s="71"/>
      <c r="U179" s="31"/>
      <c r="W179" s="31"/>
      <c r="Y179" s="31"/>
      <c r="Z179" s="31"/>
      <c r="AA179" s="31"/>
      <c r="AB179" s="31"/>
      <c r="AC179" s="31"/>
      <c r="AD179" s="31"/>
      <c r="AE179" s="31"/>
      <c r="AG179" s="31"/>
    </row>
    <row r="180" spans="1:33" ht="14.45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31"/>
      <c r="P180" s="66"/>
      <c r="R180" s="31"/>
      <c r="S180" s="31"/>
      <c r="T180" s="71"/>
      <c r="U180" s="31"/>
      <c r="W180" s="31"/>
      <c r="Y180" s="31"/>
      <c r="Z180" s="31"/>
      <c r="AA180" s="31"/>
      <c r="AB180" s="31"/>
      <c r="AC180" s="31"/>
      <c r="AD180" s="31"/>
      <c r="AE180" s="31"/>
      <c r="AG180" s="31"/>
    </row>
    <row r="181" spans="1:33" ht="14.45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31"/>
      <c r="P181" s="66"/>
      <c r="R181" s="31"/>
      <c r="S181" s="31"/>
      <c r="T181" s="71"/>
      <c r="U181" s="31"/>
      <c r="W181" s="31"/>
      <c r="Y181" s="31"/>
      <c r="Z181" s="31"/>
      <c r="AA181" s="31"/>
      <c r="AB181" s="31"/>
      <c r="AC181" s="31"/>
      <c r="AD181" s="31"/>
      <c r="AE181" s="31"/>
      <c r="AG181" s="31"/>
    </row>
    <row r="182" spans="1:33" ht="14.45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31"/>
      <c r="P182" s="66"/>
      <c r="R182" s="31"/>
      <c r="S182" s="31"/>
      <c r="T182" s="71"/>
      <c r="U182" s="31"/>
      <c r="W182" s="31"/>
      <c r="Y182" s="31"/>
      <c r="Z182" s="31"/>
      <c r="AA182" s="31"/>
      <c r="AB182" s="31"/>
      <c r="AC182" s="31"/>
      <c r="AD182" s="31"/>
      <c r="AE182" s="31"/>
      <c r="AG182" s="31"/>
    </row>
    <row r="183" spans="1:33" ht="14.45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31"/>
      <c r="P183" s="66"/>
      <c r="R183" s="31"/>
      <c r="S183" s="31"/>
      <c r="T183" s="71"/>
      <c r="U183" s="31"/>
      <c r="W183" s="31"/>
      <c r="Y183" s="31"/>
      <c r="Z183" s="31"/>
      <c r="AA183" s="31"/>
      <c r="AB183" s="31"/>
      <c r="AC183" s="31"/>
      <c r="AD183" s="31"/>
      <c r="AE183" s="31"/>
      <c r="AG183" s="31"/>
    </row>
    <row r="184" spans="1:33" ht="14.45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31"/>
      <c r="P184" s="66"/>
      <c r="R184" s="31"/>
      <c r="S184" s="31"/>
      <c r="T184" s="71"/>
      <c r="U184" s="31"/>
      <c r="W184" s="31"/>
      <c r="Y184" s="31"/>
      <c r="Z184" s="31"/>
      <c r="AA184" s="31"/>
      <c r="AB184" s="31"/>
      <c r="AC184" s="31"/>
      <c r="AD184" s="31"/>
      <c r="AE184" s="31"/>
      <c r="AG184" s="31"/>
    </row>
    <row r="185" spans="1:33" ht="14.45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31"/>
      <c r="P185" s="66"/>
      <c r="R185" s="31"/>
      <c r="S185" s="31"/>
      <c r="T185" s="71"/>
      <c r="U185" s="31"/>
      <c r="W185" s="31"/>
      <c r="Y185" s="31"/>
      <c r="Z185" s="31"/>
      <c r="AA185" s="31"/>
      <c r="AB185" s="31"/>
      <c r="AC185" s="31"/>
      <c r="AD185" s="31"/>
      <c r="AE185" s="31"/>
      <c r="AG185" s="31"/>
    </row>
    <row r="186" spans="1:33" ht="14.45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31"/>
      <c r="P186" s="66"/>
      <c r="R186" s="31"/>
      <c r="S186" s="31"/>
      <c r="T186" s="71"/>
      <c r="U186" s="31"/>
      <c r="W186" s="31"/>
      <c r="Y186" s="31"/>
      <c r="Z186" s="31"/>
      <c r="AA186" s="31"/>
      <c r="AB186" s="31"/>
      <c r="AC186" s="31"/>
      <c r="AD186" s="31"/>
      <c r="AE186" s="31"/>
      <c r="AG186" s="31"/>
    </row>
    <row r="187" spans="1:33" ht="14.45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31"/>
      <c r="P187" s="66"/>
      <c r="R187" s="31"/>
      <c r="S187" s="31"/>
      <c r="T187" s="71"/>
      <c r="U187" s="31"/>
      <c r="W187" s="31"/>
      <c r="Y187" s="31"/>
      <c r="Z187" s="31"/>
      <c r="AA187" s="31"/>
      <c r="AB187" s="31"/>
      <c r="AC187" s="31"/>
      <c r="AD187" s="31"/>
      <c r="AE187" s="31"/>
      <c r="AG187" s="31"/>
    </row>
    <row r="188" spans="1:33" ht="14.45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31"/>
      <c r="P188" s="66"/>
      <c r="R188" s="31"/>
      <c r="S188" s="31"/>
      <c r="T188" s="71"/>
      <c r="U188" s="31"/>
      <c r="W188" s="31"/>
      <c r="Y188" s="31"/>
      <c r="Z188" s="31"/>
      <c r="AA188" s="31"/>
      <c r="AB188" s="31"/>
      <c r="AC188" s="31"/>
      <c r="AD188" s="31"/>
      <c r="AE188" s="31"/>
      <c r="AG188" s="31"/>
    </row>
    <row r="189" spans="1:33" ht="14.45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31"/>
      <c r="P189" s="66"/>
      <c r="R189" s="31"/>
      <c r="S189" s="31"/>
      <c r="T189" s="71"/>
      <c r="U189" s="31"/>
      <c r="W189" s="31"/>
      <c r="Y189" s="31"/>
      <c r="Z189" s="31"/>
      <c r="AA189" s="31"/>
      <c r="AB189" s="31"/>
      <c r="AC189" s="31"/>
      <c r="AD189" s="31"/>
      <c r="AE189" s="31"/>
      <c r="AG189" s="31"/>
    </row>
    <row r="190" spans="1:33" ht="14.45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31"/>
      <c r="P190" s="66"/>
      <c r="R190" s="31"/>
      <c r="S190" s="31"/>
      <c r="T190" s="71"/>
      <c r="U190" s="31"/>
      <c r="W190" s="31"/>
      <c r="Y190" s="31"/>
      <c r="Z190" s="31"/>
      <c r="AA190" s="31"/>
      <c r="AB190" s="31"/>
      <c r="AC190" s="31"/>
      <c r="AD190" s="31"/>
      <c r="AE190" s="31"/>
      <c r="AG190" s="31"/>
    </row>
    <row r="191" spans="1:33" ht="14.45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31"/>
      <c r="P191" s="66"/>
      <c r="R191" s="31"/>
      <c r="S191" s="31"/>
      <c r="T191" s="71"/>
      <c r="U191" s="31"/>
      <c r="W191" s="31"/>
      <c r="Y191" s="31"/>
      <c r="Z191" s="31"/>
      <c r="AA191" s="31"/>
      <c r="AB191" s="31"/>
      <c r="AC191" s="31"/>
      <c r="AD191" s="31"/>
      <c r="AE191" s="31"/>
      <c r="AG191" s="31"/>
    </row>
    <row r="192" spans="1:33" ht="14.45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31"/>
      <c r="P192" s="66"/>
      <c r="R192" s="31"/>
      <c r="S192" s="31"/>
      <c r="T192" s="71"/>
      <c r="U192" s="31"/>
      <c r="W192" s="31"/>
      <c r="Y192" s="31"/>
      <c r="Z192" s="31"/>
      <c r="AA192" s="31"/>
      <c r="AB192" s="31"/>
      <c r="AC192" s="31"/>
      <c r="AD192" s="31"/>
      <c r="AE192" s="31"/>
      <c r="AG192" s="31"/>
    </row>
    <row r="193" spans="1:33" ht="14.45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31"/>
      <c r="P193" s="66"/>
      <c r="R193" s="31"/>
      <c r="S193" s="31"/>
      <c r="T193" s="71"/>
      <c r="U193" s="31"/>
      <c r="W193" s="31"/>
      <c r="Y193" s="31"/>
      <c r="Z193" s="31"/>
      <c r="AA193" s="31"/>
      <c r="AB193" s="31"/>
      <c r="AC193" s="31"/>
      <c r="AD193" s="31"/>
      <c r="AE193" s="31"/>
      <c r="AG193" s="31"/>
    </row>
    <row r="194" spans="1:33" ht="14.45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31"/>
      <c r="P194" s="66"/>
      <c r="R194" s="31"/>
      <c r="S194" s="31"/>
      <c r="T194" s="71"/>
      <c r="U194" s="31"/>
      <c r="W194" s="31"/>
      <c r="Y194" s="31"/>
      <c r="Z194" s="31"/>
      <c r="AA194" s="31"/>
      <c r="AB194" s="31"/>
      <c r="AC194" s="31"/>
      <c r="AD194" s="31"/>
      <c r="AE194" s="31"/>
      <c r="AG194" s="31"/>
    </row>
    <row r="195" spans="1:33" ht="14.45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31"/>
      <c r="P195" s="66"/>
      <c r="R195" s="31"/>
      <c r="S195" s="31"/>
      <c r="T195" s="71"/>
      <c r="U195" s="31"/>
      <c r="W195" s="31"/>
      <c r="Y195" s="31"/>
      <c r="Z195" s="31"/>
      <c r="AA195" s="31"/>
      <c r="AB195" s="31"/>
      <c r="AC195" s="31"/>
      <c r="AD195" s="31"/>
      <c r="AE195" s="31"/>
      <c r="AG195" s="31"/>
    </row>
    <row r="196" spans="1:33" ht="14.45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31"/>
      <c r="P196" s="66"/>
      <c r="R196" s="31"/>
      <c r="S196" s="31"/>
      <c r="T196" s="71"/>
      <c r="U196" s="31"/>
      <c r="W196" s="31"/>
      <c r="Y196" s="31"/>
      <c r="Z196" s="31"/>
      <c r="AA196" s="31"/>
      <c r="AB196" s="31"/>
      <c r="AC196" s="31"/>
      <c r="AD196" s="31"/>
      <c r="AE196" s="31"/>
      <c r="AG196" s="31"/>
    </row>
    <row r="197" spans="1:33" ht="14.45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31"/>
      <c r="P197" s="66"/>
      <c r="R197" s="31"/>
      <c r="S197" s="31"/>
      <c r="T197" s="71"/>
      <c r="U197" s="31"/>
      <c r="W197" s="31"/>
      <c r="Y197" s="31"/>
      <c r="Z197" s="31"/>
      <c r="AA197" s="31"/>
      <c r="AB197" s="31"/>
      <c r="AC197" s="31"/>
      <c r="AD197" s="31"/>
      <c r="AE197" s="31"/>
      <c r="AG197" s="31"/>
    </row>
    <row r="198" spans="1:33" ht="14.45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31"/>
      <c r="P198" s="66"/>
      <c r="R198" s="31"/>
      <c r="S198" s="31"/>
      <c r="T198" s="71"/>
      <c r="U198" s="31"/>
      <c r="W198" s="31"/>
      <c r="Y198" s="31"/>
      <c r="Z198" s="31"/>
      <c r="AA198" s="31"/>
      <c r="AB198" s="31"/>
      <c r="AC198" s="31"/>
      <c r="AD198" s="31"/>
      <c r="AE198" s="31"/>
      <c r="AG198" s="31"/>
    </row>
    <row r="199" spans="1:33" ht="14.45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31"/>
      <c r="P199" s="66"/>
      <c r="R199" s="31"/>
      <c r="S199" s="31"/>
      <c r="T199" s="71"/>
      <c r="U199" s="31"/>
      <c r="W199" s="31"/>
      <c r="Y199" s="31"/>
      <c r="Z199" s="31"/>
      <c r="AA199" s="31"/>
      <c r="AB199" s="31"/>
      <c r="AC199" s="31"/>
      <c r="AD199" s="31"/>
      <c r="AE199" s="31"/>
      <c r="AG199" s="31"/>
    </row>
    <row r="200" spans="1:33" ht="14.45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31"/>
      <c r="P200" s="66"/>
      <c r="R200" s="31"/>
      <c r="S200" s="31"/>
      <c r="T200" s="71"/>
      <c r="U200" s="31"/>
      <c r="W200" s="31"/>
      <c r="Y200" s="31"/>
      <c r="Z200" s="31"/>
      <c r="AA200" s="31"/>
      <c r="AB200" s="31"/>
      <c r="AC200" s="31"/>
      <c r="AD200" s="31"/>
      <c r="AE200" s="31"/>
      <c r="AG200" s="31"/>
    </row>
    <row r="201" spans="1:33" ht="14.45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31"/>
      <c r="P201" s="66"/>
      <c r="R201" s="31"/>
      <c r="S201" s="31"/>
      <c r="T201" s="71"/>
      <c r="U201" s="31"/>
      <c r="W201" s="31"/>
      <c r="Y201" s="31"/>
      <c r="Z201" s="31"/>
      <c r="AA201" s="31"/>
      <c r="AB201" s="31"/>
      <c r="AC201" s="31"/>
      <c r="AD201" s="31"/>
      <c r="AE201" s="31"/>
      <c r="AG201" s="31"/>
    </row>
    <row r="202" spans="1:33" ht="14.45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31"/>
      <c r="P202" s="66"/>
      <c r="R202" s="31"/>
      <c r="S202" s="31"/>
      <c r="T202" s="71"/>
      <c r="U202" s="31"/>
      <c r="W202" s="31"/>
      <c r="Y202" s="31"/>
      <c r="Z202" s="31"/>
      <c r="AA202" s="31"/>
      <c r="AB202" s="31"/>
      <c r="AC202" s="31"/>
      <c r="AD202" s="31"/>
      <c r="AE202" s="31"/>
      <c r="AG202" s="31"/>
    </row>
    <row r="203" spans="1:33" ht="14.45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31"/>
      <c r="P203" s="66"/>
      <c r="R203" s="31"/>
      <c r="S203" s="31"/>
      <c r="T203" s="71"/>
      <c r="U203" s="31"/>
      <c r="W203" s="31"/>
      <c r="Y203" s="31"/>
      <c r="Z203" s="31"/>
      <c r="AA203" s="31"/>
      <c r="AB203" s="31"/>
      <c r="AC203" s="31"/>
      <c r="AD203" s="31"/>
      <c r="AE203" s="31"/>
      <c r="AG203" s="31"/>
    </row>
    <row r="204" spans="1:33" ht="14.45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31"/>
      <c r="P204" s="66"/>
      <c r="R204" s="31"/>
      <c r="S204" s="31"/>
      <c r="T204" s="71"/>
      <c r="U204" s="31"/>
      <c r="W204" s="31"/>
      <c r="Y204" s="31"/>
      <c r="Z204" s="31"/>
      <c r="AA204" s="31"/>
      <c r="AB204" s="31"/>
      <c r="AC204" s="31"/>
      <c r="AD204" s="31"/>
      <c r="AE204" s="31"/>
      <c r="AG204" s="31"/>
    </row>
    <row r="205" spans="1:33" ht="14.45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31"/>
      <c r="P205" s="66"/>
      <c r="R205" s="31"/>
      <c r="S205" s="31"/>
      <c r="T205" s="71"/>
      <c r="U205" s="31"/>
      <c r="W205" s="31"/>
      <c r="Y205" s="31"/>
      <c r="Z205" s="31"/>
      <c r="AA205" s="31"/>
      <c r="AB205" s="31"/>
      <c r="AC205" s="31"/>
      <c r="AD205" s="31"/>
      <c r="AE205" s="31"/>
      <c r="AG205" s="31"/>
    </row>
    <row r="206" spans="1:33" ht="14.45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31"/>
      <c r="P206" s="66"/>
      <c r="R206" s="31"/>
      <c r="S206" s="31"/>
      <c r="T206" s="71"/>
      <c r="U206" s="31"/>
      <c r="W206" s="31"/>
      <c r="Y206" s="31"/>
      <c r="Z206" s="31"/>
      <c r="AA206" s="31"/>
      <c r="AB206" s="31"/>
      <c r="AC206" s="31"/>
      <c r="AD206" s="31"/>
      <c r="AE206" s="31"/>
      <c r="AG206" s="31"/>
    </row>
    <row r="207" spans="1:33" ht="14.45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31"/>
      <c r="P207" s="66"/>
      <c r="R207" s="31"/>
      <c r="S207" s="31"/>
      <c r="T207" s="71"/>
      <c r="U207" s="31"/>
      <c r="W207" s="31"/>
      <c r="Y207" s="31"/>
      <c r="Z207" s="31"/>
      <c r="AA207" s="31"/>
      <c r="AB207" s="31"/>
      <c r="AC207" s="31"/>
      <c r="AD207" s="31"/>
      <c r="AE207" s="31"/>
      <c r="AG207" s="31"/>
    </row>
    <row r="208" spans="1:33" ht="14.45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31"/>
      <c r="P208" s="66"/>
      <c r="R208" s="31"/>
      <c r="S208" s="31"/>
      <c r="T208" s="71"/>
      <c r="U208" s="31"/>
      <c r="W208" s="31"/>
      <c r="Y208" s="31"/>
      <c r="Z208" s="31"/>
      <c r="AA208" s="31"/>
      <c r="AB208" s="31"/>
      <c r="AC208" s="31"/>
      <c r="AD208" s="31"/>
      <c r="AE208" s="31"/>
      <c r="AG208" s="31"/>
    </row>
    <row r="209" spans="1:33" ht="14.45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31"/>
      <c r="P209" s="66"/>
      <c r="R209" s="31"/>
      <c r="S209" s="31"/>
      <c r="T209" s="71"/>
      <c r="U209" s="31"/>
      <c r="W209" s="31"/>
      <c r="Y209" s="31"/>
      <c r="Z209" s="31"/>
      <c r="AA209" s="31"/>
      <c r="AB209" s="31"/>
      <c r="AC209" s="31"/>
      <c r="AD209" s="31"/>
      <c r="AE209" s="31"/>
      <c r="AG209" s="31"/>
    </row>
    <row r="210" spans="1:33" ht="14.45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31"/>
      <c r="P210" s="66"/>
      <c r="R210" s="31"/>
      <c r="S210" s="31"/>
      <c r="T210" s="71"/>
      <c r="U210" s="31"/>
      <c r="W210" s="31"/>
      <c r="Y210" s="31"/>
      <c r="Z210" s="31"/>
      <c r="AA210" s="31"/>
      <c r="AB210" s="31"/>
      <c r="AC210" s="31"/>
      <c r="AD210" s="31"/>
      <c r="AE210" s="31"/>
      <c r="AG210" s="31"/>
    </row>
    <row r="211" spans="1:33" ht="14.45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31"/>
      <c r="P211" s="66"/>
      <c r="R211" s="31"/>
      <c r="S211" s="31"/>
      <c r="T211" s="71"/>
      <c r="U211" s="31"/>
      <c r="W211" s="31"/>
      <c r="Y211" s="31"/>
      <c r="Z211" s="31"/>
      <c r="AA211" s="31"/>
      <c r="AB211" s="31"/>
      <c r="AC211" s="31"/>
      <c r="AD211" s="31"/>
      <c r="AE211" s="31"/>
      <c r="AG211" s="31"/>
    </row>
    <row r="212" spans="1:33" ht="14.45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31"/>
      <c r="P212" s="66"/>
      <c r="R212" s="31"/>
      <c r="S212" s="31"/>
      <c r="T212" s="71"/>
      <c r="U212" s="31"/>
      <c r="W212" s="31"/>
      <c r="Y212" s="31"/>
      <c r="Z212" s="31"/>
      <c r="AA212" s="31"/>
      <c r="AB212" s="31"/>
      <c r="AC212" s="31"/>
      <c r="AD212" s="31"/>
      <c r="AE212" s="31"/>
      <c r="AG212" s="31"/>
    </row>
    <row r="213" spans="1:33" ht="14.45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31"/>
      <c r="P213" s="66"/>
      <c r="R213" s="31"/>
      <c r="S213" s="31"/>
      <c r="T213" s="71"/>
      <c r="U213" s="31"/>
      <c r="W213" s="31"/>
      <c r="Y213" s="31"/>
      <c r="Z213" s="31"/>
      <c r="AA213" s="31"/>
      <c r="AB213" s="31"/>
      <c r="AC213" s="31"/>
      <c r="AD213" s="31"/>
      <c r="AE213" s="31"/>
      <c r="AG213" s="31"/>
    </row>
    <row r="214" spans="1:33" ht="14.45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31"/>
      <c r="P214" s="66"/>
      <c r="R214" s="31"/>
      <c r="S214" s="31"/>
      <c r="T214" s="71"/>
      <c r="U214" s="31"/>
      <c r="W214" s="31"/>
      <c r="Y214" s="31"/>
      <c r="Z214" s="31"/>
      <c r="AA214" s="31"/>
      <c r="AB214" s="31"/>
      <c r="AC214" s="31"/>
      <c r="AD214" s="31"/>
      <c r="AE214" s="31"/>
      <c r="AG214" s="31"/>
    </row>
    <row r="215" spans="1:33" ht="14.45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31"/>
      <c r="P215" s="66"/>
      <c r="R215" s="31"/>
      <c r="S215" s="31"/>
      <c r="T215" s="71"/>
      <c r="U215" s="31"/>
      <c r="W215" s="31"/>
      <c r="Y215" s="31"/>
      <c r="Z215" s="31"/>
      <c r="AA215" s="31"/>
      <c r="AB215" s="31"/>
      <c r="AC215" s="31"/>
      <c r="AD215" s="31"/>
      <c r="AE215" s="31"/>
      <c r="AG215" s="31"/>
    </row>
    <row r="216" spans="1:33" ht="14.45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31"/>
      <c r="P216" s="66"/>
      <c r="R216" s="31"/>
      <c r="S216" s="31"/>
      <c r="T216" s="71"/>
      <c r="U216" s="31"/>
      <c r="W216" s="31"/>
      <c r="Y216" s="31"/>
      <c r="Z216" s="31"/>
      <c r="AA216" s="31"/>
      <c r="AB216" s="31"/>
      <c r="AC216" s="31"/>
      <c r="AD216" s="31"/>
      <c r="AE216" s="31"/>
      <c r="AG216" s="31"/>
    </row>
    <row r="217" spans="1:33" ht="14.45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31"/>
      <c r="P217" s="66"/>
      <c r="R217" s="31"/>
      <c r="S217" s="31"/>
      <c r="T217" s="71"/>
      <c r="U217" s="31"/>
      <c r="W217" s="31"/>
      <c r="Y217" s="31"/>
      <c r="Z217" s="31"/>
      <c r="AA217" s="31"/>
      <c r="AB217" s="31"/>
      <c r="AC217" s="31"/>
      <c r="AD217" s="31"/>
      <c r="AE217" s="31"/>
      <c r="AG217" s="31"/>
    </row>
    <row r="218" spans="1:33" ht="14.45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31"/>
      <c r="P218" s="66"/>
      <c r="R218" s="31"/>
      <c r="S218" s="31"/>
      <c r="T218" s="71"/>
      <c r="U218" s="31"/>
      <c r="W218" s="31"/>
      <c r="Y218" s="31"/>
      <c r="Z218" s="31"/>
      <c r="AA218" s="31"/>
      <c r="AB218" s="31"/>
      <c r="AC218" s="31"/>
      <c r="AD218" s="31"/>
      <c r="AE218" s="31"/>
      <c r="AG218" s="31"/>
    </row>
    <row r="219" spans="1:33" ht="14.45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31"/>
      <c r="P219" s="66"/>
      <c r="R219" s="31"/>
      <c r="S219" s="31"/>
      <c r="T219" s="71"/>
      <c r="U219" s="31"/>
      <c r="W219" s="31"/>
      <c r="Y219" s="31"/>
      <c r="Z219" s="31"/>
      <c r="AA219" s="31"/>
      <c r="AB219" s="31"/>
      <c r="AC219" s="31"/>
      <c r="AD219" s="31"/>
      <c r="AE219" s="31"/>
      <c r="AG219" s="31"/>
    </row>
    <row r="220" spans="1:33" ht="14.45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31"/>
      <c r="P220" s="66"/>
      <c r="R220" s="31"/>
      <c r="S220" s="31"/>
      <c r="T220" s="71"/>
      <c r="U220" s="31"/>
      <c r="W220" s="31"/>
      <c r="Y220" s="31"/>
      <c r="Z220" s="31"/>
      <c r="AA220" s="31"/>
      <c r="AB220" s="31"/>
      <c r="AC220" s="31"/>
      <c r="AD220" s="31"/>
      <c r="AE220" s="31"/>
      <c r="AG220" s="31"/>
    </row>
    <row r="221" spans="1:33" ht="14.45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31"/>
      <c r="P221" s="66"/>
      <c r="R221" s="31"/>
      <c r="S221" s="31"/>
      <c r="T221" s="71"/>
      <c r="U221" s="31"/>
      <c r="W221" s="31"/>
      <c r="Y221" s="31"/>
      <c r="Z221" s="31"/>
      <c r="AA221" s="31"/>
      <c r="AB221" s="31"/>
      <c r="AC221" s="31"/>
      <c r="AD221" s="31"/>
      <c r="AE221" s="31"/>
      <c r="AG221" s="31"/>
    </row>
    <row r="222" spans="1:33" ht="14.45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31"/>
      <c r="P222" s="66"/>
      <c r="R222" s="31"/>
      <c r="S222" s="31"/>
      <c r="T222" s="71"/>
      <c r="U222" s="31"/>
      <c r="W222" s="31"/>
      <c r="Y222" s="31"/>
      <c r="Z222" s="31"/>
      <c r="AA222" s="31"/>
      <c r="AB222" s="31"/>
      <c r="AC222" s="31"/>
      <c r="AD222" s="31"/>
      <c r="AE222" s="31"/>
      <c r="AG222" s="31"/>
    </row>
    <row r="223" spans="1:33" ht="14.45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31"/>
      <c r="P223" s="66"/>
      <c r="R223" s="31"/>
      <c r="S223" s="31"/>
      <c r="T223" s="71"/>
      <c r="U223" s="31"/>
      <c r="W223" s="31"/>
      <c r="Y223" s="31"/>
      <c r="Z223" s="31"/>
      <c r="AA223" s="31"/>
      <c r="AB223" s="31"/>
      <c r="AC223" s="31"/>
      <c r="AD223" s="31"/>
      <c r="AE223" s="31"/>
      <c r="AG223" s="31"/>
    </row>
    <row r="224" spans="1:33" ht="14.45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31"/>
      <c r="P224" s="66"/>
      <c r="R224" s="31"/>
      <c r="S224" s="31"/>
      <c r="T224" s="71"/>
      <c r="U224" s="31"/>
      <c r="W224" s="31"/>
      <c r="Y224" s="31"/>
      <c r="Z224" s="31"/>
      <c r="AA224" s="31"/>
      <c r="AB224" s="31"/>
      <c r="AC224" s="31"/>
      <c r="AD224" s="31"/>
      <c r="AE224" s="31"/>
      <c r="AG224" s="31"/>
    </row>
    <row r="225" spans="1:33" ht="14.45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31"/>
      <c r="P225" s="66"/>
      <c r="R225" s="31"/>
      <c r="S225" s="31"/>
      <c r="T225" s="71"/>
      <c r="U225" s="31"/>
      <c r="W225" s="31"/>
      <c r="Y225" s="31"/>
      <c r="Z225" s="31"/>
      <c r="AA225" s="31"/>
      <c r="AB225" s="31"/>
      <c r="AC225" s="31"/>
      <c r="AD225" s="31"/>
      <c r="AE225" s="31"/>
      <c r="AG225" s="31"/>
    </row>
    <row r="226" spans="1:33" ht="14.45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31"/>
      <c r="P226" s="66"/>
      <c r="R226" s="31"/>
      <c r="S226" s="31"/>
      <c r="T226" s="71"/>
      <c r="U226" s="31"/>
      <c r="W226" s="31"/>
      <c r="Y226" s="31"/>
      <c r="Z226" s="31"/>
      <c r="AA226" s="31"/>
      <c r="AB226" s="31"/>
      <c r="AC226" s="31"/>
      <c r="AD226" s="31"/>
      <c r="AE226" s="31"/>
      <c r="AG226" s="31"/>
    </row>
    <row r="227" spans="1:33" ht="14.45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31"/>
      <c r="P227" s="66"/>
      <c r="R227" s="31"/>
      <c r="S227" s="31"/>
      <c r="T227" s="71"/>
      <c r="U227" s="31"/>
      <c r="W227" s="31"/>
      <c r="Y227" s="31"/>
      <c r="Z227" s="31"/>
      <c r="AA227" s="31"/>
      <c r="AB227" s="31"/>
      <c r="AC227" s="31"/>
      <c r="AD227" s="31"/>
      <c r="AE227" s="31"/>
      <c r="AG227" s="31"/>
    </row>
    <row r="228" spans="1:33" ht="14.45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31"/>
      <c r="P228" s="66"/>
      <c r="R228" s="31"/>
      <c r="S228" s="31"/>
      <c r="T228" s="71"/>
      <c r="U228" s="31"/>
      <c r="W228" s="31"/>
      <c r="Y228" s="31"/>
      <c r="Z228" s="31"/>
      <c r="AA228" s="31"/>
      <c r="AB228" s="31"/>
      <c r="AC228" s="31"/>
      <c r="AD228" s="31"/>
      <c r="AE228" s="31"/>
      <c r="AG228" s="31"/>
    </row>
    <row r="229" spans="1:33" ht="14.45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31"/>
      <c r="P229" s="66"/>
      <c r="R229" s="31"/>
      <c r="S229" s="31"/>
      <c r="T229" s="71"/>
      <c r="U229" s="31"/>
      <c r="W229" s="31"/>
      <c r="Y229" s="31"/>
      <c r="Z229" s="31"/>
      <c r="AA229" s="31"/>
      <c r="AB229" s="31"/>
      <c r="AC229" s="31"/>
      <c r="AD229" s="31"/>
      <c r="AE229" s="31"/>
      <c r="AG229" s="31"/>
    </row>
    <row r="230" spans="1:33" ht="14.45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31"/>
      <c r="P230" s="66"/>
      <c r="R230" s="31"/>
      <c r="S230" s="31"/>
      <c r="T230" s="71"/>
      <c r="U230" s="31"/>
      <c r="W230" s="31"/>
      <c r="Y230" s="31"/>
      <c r="Z230" s="31"/>
      <c r="AA230" s="31"/>
      <c r="AB230" s="31"/>
      <c r="AC230" s="31"/>
      <c r="AD230" s="31"/>
      <c r="AE230" s="31"/>
      <c r="AG230" s="31"/>
    </row>
    <row r="231" spans="1:33" ht="14.45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31"/>
      <c r="P231" s="66"/>
      <c r="R231" s="31"/>
      <c r="S231" s="31"/>
      <c r="T231" s="71"/>
      <c r="U231" s="31"/>
      <c r="W231" s="31"/>
      <c r="Y231" s="31"/>
      <c r="Z231" s="31"/>
      <c r="AA231" s="31"/>
      <c r="AB231" s="31"/>
      <c r="AC231" s="31"/>
      <c r="AD231" s="31"/>
      <c r="AE231" s="31"/>
      <c r="AG231" s="31"/>
    </row>
    <row r="232" spans="1:33" ht="14.45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31"/>
      <c r="P232" s="66"/>
      <c r="R232" s="31"/>
      <c r="S232" s="31"/>
      <c r="T232" s="71"/>
      <c r="U232" s="31"/>
      <c r="W232" s="31"/>
      <c r="Y232" s="31"/>
      <c r="Z232" s="31"/>
      <c r="AA232" s="31"/>
      <c r="AB232" s="31"/>
      <c r="AC232" s="31"/>
      <c r="AD232" s="31"/>
      <c r="AE232" s="31"/>
      <c r="AG232" s="31"/>
    </row>
    <row r="233" spans="1:33" ht="14.45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31"/>
      <c r="P233" s="66"/>
      <c r="R233" s="31"/>
      <c r="S233" s="31"/>
      <c r="T233" s="71"/>
      <c r="U233" s="31"/>
      <c r="W233" s="31"/>
      <c r="Y233" s="31"/>
      <c r="Z233" s="31"/>
      <c r="AA233" s="31"/>
      <c r="AB233" s="31"/>
      <c r="AC233" s="31"/>
      <c r="AD233" s="31"/>
      <c r="AE233" s="31"/>
      <c r="AG233" s="31"/>
    </row>
    <row r="234" spans="1:33" ht="14.45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31"/>
      <c r="P234" s="66"/>
      <c r="R234" s="31"/>
      <c r="S234" s="31"/>
      <c r="T234" s="71"/>
      <c r="U234" s="31"/>
      <c r="W234" s="31"/>
      <c r="Y234" s="31"/>
      <c r="Z234" s="31"/>
      <c r="AA234" s="31"/>
      <c r="AB234" s="31"/>
      <c r="AC234" s="31"/>
      <c r="AD234" s="31"/>
      <c r="AE234" s="31"/>
      <c r="AG234" s="31"/>
    </row>
    <row r="235" spans="1:33" ht="14.45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31"/>
      <c r="P235" s="66"/>
      <c r="R235" s="31"/>
      <c r="S235" s="31"/>
      <c r="T235" s="71"/>
      <c r="U235" s="31"/>
      <c r="W235" s="31"/>
      <c r="Y235" s="31"/>
      <c r="Z235" s="31"/>
      <c r="AA235" s="31"/>
      <c r="AB235" s="31"/>
      <c r="AC235" s="31"/>
      <c r="AD235" s="31"/>
      <c r="AE235" s="31"/>
      <c r="AG235" s="31"/>
    </row>
    <row r="236" spans="1:33" ht="14.45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31"/>
      <c r="P236" s="66"/>
      <c r="R236" s="31"/>
      <c r="S236" s="31"/>
      <c r="T236" s="71"/>
      <c r="U236" s="31"/>
      <c r="W236" s="31"/>
      <c r="Y236" s="31"/>
      <c r="Z236" s="31"/>
      <c r="AA236" s="31"/>
      <c r="AB236" s="31"/>
      <c r="AC236" s="31"/>
      <c r="AD236" s="31"/>
      <c r="AE236" s="31"/>
      <c r="AG236" s="31"/>
    </row>
    <row r="237" spans="1:33" ht="14.45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31"/>
      <c r="P237" s="66"/>
      <c r="R237" s="31"/>
      <c r="S237" s="31"/>
      <c r="T237" s="71"/>
      <c r="U237" s="31"/>
      <c r="W237" s="31"/>
      <c r="Y237" s="31"/>
      <c r="Z237" s="31"/>
      <c r="AA237" s="31"/>
      <c r="AB237" s="31"/>
      <c r="AC237" s="31"/>
      <c r="AD237" s="31"/>
      <c r="AE237" s="31"/>
      <c r="AG237" s="31"/>
    </row>
    <row r="238" spans="1:33" ht="14.45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31"/>
      <c r="P238" s="66"/>
      <c r="R238" s="31"/>
      <c r="S238" s="31"/>
      <c r="T238" s="71"/>
      <c r="U238" s="31"/>
      <c r="W238" s="31"/>
      <c r="Y238" s="31"/>
      <c r="Z238" s="31"/>
      <c r="AA238" s="31"/>
      <c r="AB238" s="31"/>
      <c r="AC238" s="31"/>
      <c r="AD238" s="31"/>
      <c r="AE238" s="31"/>
      <c r="AG238" s="31"/>
    </row>
    <row r="239" spans="1:33" ht="14.45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31"/>
      <c r="P239" s="66"/>
      <c r="R239" s="31"/>
      <c r="S239" s="31"/>
      <c r="T239" s="71"/>
      <c r="U239" s="31"/>
      <c r="W239" s="31"/>
      <c r="Y239" s="31"/>
      <c r="Z239" s="31"/>
      <c r="AA239" s="31"/>
      <c r="AB239" s="31"/>
      <c r="AC239" s="31"/>
      <c r="AD239" s="31"/>
      <c r="AE239" s="31"/>
      <c r="AG239" s="31"/>
    </row>
    <row r="240" spans="1:33" ht="14.45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31"/>
      <c r="P240" s="66"/>
      <c r="R240" s="31"/>
      <c r="S240" s="31"/>
      <c r="T240" s="71"/>
      <c r="U240" s="31"/>
      <c r="W240" s="31"/>
      <c r="Y240" s="31"/>
      <c r="Z240" s="31"/>
      <c r="AA240" s="31"/>
      <c r="AB240" s="31"/>
      <c r="AC240" s="31"/>
      <c r="AD240" s="31"/>
      <c r="AE240" s="31"/>
      <c r="AG240" s="31"/>
    </row>
    <row r="241" spans="1:33" ht="14.45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31"/>
      <c r="P241" s="66"/>
      <c r="R241" s="31"/>
      <c r="S241" s="31"/>
      <c r="T241" s="71"/>
      <c r="U241" s="31"/>
      <c r="W241" s="31"/>
      <c r="Y241" s="31"/>
      <c r="Z241" s="31"/>
      <c r="AA241" s="31"/>
      <c r="AB241" s="31"/>
      <c r="AC241" s="31"/>
      <c r="AD241" s="31"/>
      <c r="AE241" s="31"/>
      <c r="AG241" s="31"/>
    </row>
    <row r="242" spans="1:33" ht="14.45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31"/>
      <c r="P242" s="66"/>
      <c r="R242" s="31"/>
      <c r="S242" s="31"/>
      <c r="T242" s="71"/>
      <c r="U242" s="31"/>
      <c r="W242" s="31"/>
      <c r="Y242" s="31"/>
      <c r="Z242" s="31"/>
      <c r="AA242" s="31"/>
      <c r="AB242" s="31"/>
      <c r="AC242" s="31"/>
      <c r="AD242" s="31"/>
      <c r="AE242" s="31"/>
      <c r="AG242" s="31"/>
    </row>
    <row r="243" spans="1:33" ht="14.45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31"/>
      <c r="P243" s="66"/>
      <c r="R243" s="31"/>
      <c r="S243" s="31"/>
      <c r="T243" s="71"/>
      <c r="U243" s="31"/>
      <c r="W243" s="31"/>
      <c r="Y243" s="31"/>
      <c r="Z243" s="31"/>
      <c r="AA243" s="31"/>
      <c r="AB243" s="31"/>
      <c r="AC243" s="31"/>
      <c r="AD243" s="31"/>
      <c r="AE243" s="31"/>
      <c r="AG243" s="31"/>
    </row>
    <row r="244" spans="1:33" ht="14.45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31"/>
      <c r="P244" s="66"/>
      <c r="R244" s="31"/>
      <c r="S244" s="31"/>
      <c r="T244" s="71"/>
      <c r="U244" s="31"/>
      <c r="W244" s="31"/>
      <c r="Y244" s="31"/>
      <c r="Z244" s="31"/>
      <c r="AA244" s="31"/>
      <c r="AB244" s="31"/>
      <c r="AC244" s="31"/>
      <c r="AD244" s="31"/>
      <c r="AE244" s="31"/>
      <c r="AG244" s="31"/>
    </row>
    <row r="245" spans="1:33" ht="14.45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31"/>
      <c r="P245" s="66"/>
      <c r="R245" s="31"/>
      <c r="S245" s="31"/>
      <c r="T245" s="71"/>
      <c r="U245" s="31"/>
      <c r="W245" s="31"/>
      <c r="Y245" s="31"/>
      <c r="Z245" s="31"/>
      <c r="AA245" s="31"/>
      <c r="AB245" s="31"/>
      <c r="AC245" s="31"/>
      <c r="AD245" s="31"/>
      <c r="AE245" s="31"/>
      <c r="AG245" s="31"/>
    </row>
    <row r="246" spans="1:33" ht="14.45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31"/>
      <c r="P246" s="66"/>
      <c r="R246" s="31"/>
      <c r="S246" s="31"/>
      <c r="T246" s="71"/>
      <c r="U246" s="31"/>
      <c r="W246" s="31"/>
      <c r="Y246" s="31"/>
      <c r="Z246" s="31"/>
      <c r="AA246" s="31"/>
      <c r="AB246" s="31"/>
      <c r="AC246" s="31"/>
      <c r="AD246" s="31"/>
      <c r="AE246" s="31"/>
      <c r="AG246" s="31"/>
    </row>
    <row r="247" spans="1:33" ht="14.45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31"/>
      <c r="P247" s="66"/>
      <c r="R247" s="31"/>
      <c r="S247" s="31"/>
      <c r="T247" s="71"/>
      <c r="U247" s="31"/>
      <c r="W247" s="31"/>
      <c r="Y247" s="31"/>
      <c r="Z247" s="31"/>
      <c r="AA247" s="31"/>
      <c r="AB247" s="31"/>
      <c r="AC247" s="31"/>
      <c r="AD247" s="31"/>
      <c r="AE247" s="31"/>
      <c r="AG247" s="31"/>
    </row>
    <row r="248" spans="1:33" ht="14.45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31"/>
      <c r="P248" s="66"/>
      <c r="R248" s="31"/>
      <c r="S248" s="31"/>
      <c r="T248" s="71"/>
      <c r="U248" s="31"/>
      <c r="W248" s="31"/>
      <c r="Y248" s="31"/>
      <c r="Z248" s="31"/>
      <c r="AA248" s="31"/>
      <c r="AB248" s="31"/>
      <c r="AC248" s="31"/>
      <c r="AD248" s="31"/>
      <c r="AE248" s="31"/>
      <c r="AG248" s="31"/>
    </row>
    <row r="249" spans="1:33" ht="14.45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31"/>
      <c r="P249" s="66"/>
      <c r="R249" s="31"/>
      <c r="S249" s="31"/>
      <c r="T249" s="71"/>
      <c r="U249" s="31"/>
      <c r="W249" s="31"/>
      <c r="Y249" s="31"/>
      <c r="Z249" s="31"/>
      <c r="AA249" s="31"/>
      <c r="AB249" s="31"/>
      <c r="AC249" s="31"/>
      <c r="AD249" s="31"/>
      <c r="AE249" s="31"/>
      <c r="AG249" s="31"/>
    </row>
    <row r="250" spans="1:33" ht="14.45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31"/>
      <c r="P250" s="66"/>
      <c r="R250" s="31"/>
      <c r="S250" s="31"/>
      <c r="T250" s="71"/>
      <c r="U250" s="31"/>
      <c r="W250" s="31"/>
      <c r="Y250" s="31"/>
      <c r="Z250" s="31"/>
      <c r="AA250" s="31"/>
      <c r="AB250" s="31"/>
      <c r="AC250" s="31"/>
      <c r="AD250" s="31"/>
      <c r="AE250" s="31"/>
      <c r="AG250" s="31"/>
    </row>
    <row r="251" spans="1:33" ht="14.45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31"/>
      <c r="P251" s="66"/>
      <c r="R251" s="31"/>
      <c r="S251" s="31"/>
      <c r="T251" s="71"/>
      <c r="U251" s="31"/>
      <c r="W251" s="31"/>
      <c r="Y251" s="31"/>
      <c r="Z251" s="31"/>
      <c r="AA251" s="31"/>
      <c r="AB251" s="31"/>
      <c r="AC251" s="31"/>
      <c r="AD251" s="31"/>
      <c r="AE251" s="31"/>
      <c r="AG251" s="31"/>
    </row>
    <row r="252" spans="1:33" ht="14.45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31"/>
      <c r="P252" s="66"/>
      <c r="R252" s="31"/>
      <c r="S252" s="31"/>
      <c r="T252" s="71"/>
      <c r="U252" s="31"/>
      <c r="W252" s="31"/>
      <c r="Y252" s="31"/>
      <c r="Z252" s="31"/>
      <c r="AA252" s="31"/>
      <c r="AB252" s="31"/>
      <c r="AC252" s="31"/>
      <c r="AD252" s="31"/>
      <c r="AE252" s="31"/>
      <c r="AG252" s="31"/>
    </row>
    <row r="253" spans="1:33" ht="14.45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31"/>
      <c r="P253" s="66"/>
      <c r="R253" s="31"/>
      <c r="S253" s="31"/>
      <c r="T253" s="71"/>
      <c r="U253" s="31"/>
      <c r="W253" s="31"/>
      <c r="Y253" s="31"/>
      <c r="Z253" s="31"/>
      <c r="AA253" s="31"/>
      <c r="AB253" s="31"/>
      <c r="AC253" s="31"/>
      <c r="AD253" s="31"/>
      <c r="AE253" s="31"/>
      <c r="AG253" s="31"/>
    </row>
    <row r="254" spans="1:33" ht="14.45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31"/>
      <c r="P254" s="66"/>
      <c r="R254" s="31"/>
      <c r="S254" s="31"/>
      <c r="T254" s="71"/>
      <c r="U254" s="31"/>
      <c r="W254" s="31"/>
      <c r="Y254" s="31"/>
      <c r="Z254" s="31"/>
      <c r="AA254" s="31"/>
      <c r="AB254" s="31"/>
      <c r="AC254" s="31"/>
      <c r="AD254" s="31"/>
      <c r="AE254" s="31"/>
      <c r="AG254" s="31"/>
    </row>
    <row r="255" spans="1:33" ht="14.45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31"/>
      <c r="P255" s="66"/>
      <c r="R255" s="31"/>
      <c r="S255" s="31"/>
      <c r="T255" s="71"/>
      <c r="U255" s="31"/>
      <c r="W255" s="31"/>
      <c r="Y255" s="31"/>
      <c r="Z255" s="31"/>
      <c r="AA255" s="31"/>
      <c r="AB255" s="31"/>
      <c r="AC255" s="31"/>
      <c r="AD255" s="31"/>
      <c r="AE255" s="31"/>
      <c r="AG255" s="31"/>
    </row>
    <row r="256" spans="1:33" ht="14.45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31"/>
      <c r="P256" s="66"/>
      <c r="R256" s="31"/>
      <c r="S256" s="31"/>
      <c r="T256" s="71"/>
      <c r="U256" s="31"/>
      <c r="W256" s="31"/>
      <c r="Y256" s="31"/>
      <c r="Z256" s="31"/>
      <c r="AA256" s="31"/>
      <c r="AB256" s="31"/>
      <c r="AC256" s="31"/>
      <c r="AD256" s="31"/>
      <c r="AE256" s="31"/>
      <c r="AG256" s="31"/>
    </row>
    <row r="257" spans="1:33" ht="14.45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31"/>
      <c r="P257" s="66"/>
      <c r="R257" s="31"/>
      <c r="S257" s="31"/>
      <c r="T257" s="71"/>
      <c r="U257" s="31"/>
      <c r="W257" s="31"/>
      <c r="Y257" s="31"/>
      <c r="Z257" s="31"/>
      <c r="AA257" s="31"/>
      <c r="AB257" s="31"/>
      <c r="AC257" s="31"/>
      <c r="AD257" s="31"/>
      <c r="AE257" s="31"/>
      <c r="AG257" s="31"/>
    </row>
    <row r="258" spans="1:33" ht="14.45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31"/>
      <c r="P258" s="66"/>
      <c r="R258" s="31"/>
      <c r="S258" s="31"/>
      <c r="T258" s="71"/>
      <c r="U258" s="31"/>
      <c r="W258" s="31"/>
      <c r="Y258" s="31"/>
      <c r="Z258" s="31"/>
      <c r="AA258" s="31"/>
      <c r="AB258" s="31"/>
      <c r="AC258" s="31"/>
      <c r="AD258" s="31"/>
      <c r="AE258" s="31"/>
      <c r="AG258" s="31"/>
    </row>
    <row r="259" spans="1:33" ht="14.45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31"/>
      <c r="P259" s="66"/>
      <c r="R259" s="31"/>
      <c r="S259" s="31"/>
      <c r="T259" s="71"/>
      <c r="U259" s="31"/>
      <c r="W259" s="31"/>
      <c r="Y259" s="31"/>
      <c r="Z259" s="31"/>
      <c r="AA259" s="31"/>
      <c r="AB259" s="31"/>
      <c r="AC259" s="31"/>
      <c r="AD259" s="31"/>
      <c r="AE259" s="31"/>
      <c r="AG259" s="31"/>
    </row>
    <row r="260" spans="1:33" ht="14.45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31"/>
      <c r="P260" s="66"/>
      <c r="R260" s="31"/>
      <c r="S260" s="31"/>
      <c r="T260" s="71"/>
      <c r="U260" s="31"/>
      <c r="W260" s="31"/>
      <c r="Y260" s="31"/>
      <c r="Z260" s="31"/>
      <c r="AA260" s="31"/>
      <c r="AB260" s="31"/>
      <c r="AC260" s="31"/>
      <c r="AD260" s="31"/>
      <c r="AE260" s="31"/>
      <c r="AG260" s="31"/>
    </row>
    <row r="261" spans="1:33" ht="14.45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31"/>
      <c r="P261" s="66"/>
      <c r="R261" s="31"/>
      <c r="S261" s="31"/>
      <c r="T261" s="71"/>
      <c r="U261" s="31"/>
      <c r="W261" s="31"/>
      <c r="Y261" s="31"/>
      <c r="Z261" s="31"/>
      <c r="AA261" s="31"/>
      <c r="AB261" s="31"/>
      <c r="AC261" s="31"/>
      <c r="AD261" s="31"/>
      <c r="AE261" s="31"/>
      <c r="AG261" s="31"/>
    </row>
    <row r="262" spans="1:33" ht="14.45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31"/>
      <c r="P262" s="66"/>
      <c r="R262" s="31"/>
      <c r="S262" s="31"/>
      <c r="T262" s="71"/>
      <c r="U262" s="31"/>
      <c r="W262" s="31"/>
      <c r="Y262" s="31"/>
      <c r="Z262" s="31"/>
      <c r="AA262" s="31"/>
      <c r="AB262" s="31"/>
      <c r="AC262" s="31"/>
      <c r="AD262" s="31"/>
      <c r="AE262" s="31"/>
      <c r="AG262" s="31"/>
    </row>
    <row r="263" spans="1:33" ht="14.45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31"/>
      <c r="P263" s="66"/>
      <c r="R263" s="31"/>
      <c r="S263" s="31"/>
      <c r="T263" s="71"/>
      <c r="U263" s="31"/>
      <c r="W263" s="31"/>
      <c r="Y263" s="31"/>
      <c r="Z263" s="31"/>
      <c r="AA263" s="31"/>
      <c r="AB263" s="31"/>
      <c r="AC263" s="31"/>
      <c r="AD263" s="31"/>
      <c r="AE263" s="31"/>
      <c r="AG263" s="31"/>
    </row>
    <row r="264" spans="1:33" ht="14.45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31"/>
      <c r="P264" s="66"/>
      <c r="R264" s="31"/>
      <c r="S264" s="31"/>
      <c r="T264" s="71"/>
      <c r="U264" s="31"/>
      <c r="W264" s="31"/>
      <c r="Y264" s="31"/>
      <c r="Z264" s="31"/>
      <c r="AA264" s="31"/>
      <c r="AB264" s="31"/>
      <c r="AC264" s="31"/>
      <c r="AD264" s="31"/>
      <c r="AE264" s="31"/>
      <c r="AG264" s="31"/>
    </row>
    <row r="265" spans="1:33" ht="14.45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31"/>
      <c r="P265" s="66"/>
      <c r="R265" s="31"/>
      <c r="S265" s="31"/>
      <c r="T265" s="71"/>
      <c r="U265" s="31"/>
      <c r="W265" s="31"/>
      <c r="Y265" s="31"/>
      <c r="Z265" s="31"/>
      <c r="AA265" s="31"/>
      <c r="AB265" s="31"/>
      <c r="AC265" s="31"/>
      <c r="AD265" s="31"/>
      <c r="AE265" s="31"/>
      <c r="AG265" s="31"/>
    </row>
    <row r="266" spans="1:33" ht="14.45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31"/>
      <c r="P266" s="66"/>
      <c r="R266" s="31"/>
      <c r="S266" s="31"/>
      <c r="T266" s="71"/>
      <c r="U266" s="31"/>
      <c r="W266" s="31"/>
      <c r="Y266" s="31"/>
      <c r="Z266" s="31"/>
      <c r="AA266" s="31"/>
      <c r="AB266" s="31"/>
      <c r="AC266" s="31"/>
      <c r="AD266" s="31"/>
      <c r="AE266" s="31"/>
      <c r="AG266" s="31"/>
    </row>
    <row r="267" spans="1:33" ht="14.45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31"/>
      <c r="P267" s="66"/>
      <c r="R267" s="31"/>
      <c r="S267" s="31"/>
      <c r="T267" s="71"/>
      <c r="U267" s="31"/>
      <c r="W267" s="31"/>
      <c r="Y267" s="31"/>
      <c r="Z267" s="31"/>
      <c r="AA267" s="31"/>
      <c r="AB267" s="31"/>
      <c r="AC267" s="31"/>
      <c r="AD267" s="31"/>
      <c r="AE267" s="31"/>
      <c r="AG267" s="31"/>
    </row>
    <row r="268" spans="1:33" ht="14.45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31"/>
      <c r="P268" s="66"/>
      <c r="R268" s="31"/>
      <c r="S268" s="31"/>
      <c r="T268" s="71"/>
      <c r="U268" s="31"/>
      <c r="W268" s="31"/>
      <c r="Y268" s="31"/>
      <c r="Z268" s="31"/>
      <c r="AA268" s="31"/>
      <c r="AB268" s="31"/>
      <c r="AC268" s="31"/>
      <c r="AD268" s="31"/>
      <c r="AE268" s="31"/>
      <c r="AG268" s="31"/>
    </row>
    <row r="269" spans="1:33" ht="14.45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31"/>
      <c r="P269" s="66"/>
      <c r="R269" s="31"/>
      <c r="S269" s="31"/>
      <c r="T269" s="71"/>
      <c r="U269" s="31"/>
      <c r="W269" s="31"/>
      <c r="Y269" s="31"/>
      <c r="Z269" s="31"/>
      <c r="AA269" s="31"/>
      <c r="AB269" s="31"/>
      <c r="AC269" s="31"/>
      <c r="AD269" s="31"/>
      <c r="AE269" s="31"/>
      <c r="AG269" s="31"/>
    </row>
    <row r="270" spans="1:33" ht="14.45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31"/>
      <c r="P270" s="66"/>
      <c r="R270" s="31"/>
      <c r="S270" s="31"/>
      <c r="T270" s="71"/>
      <c r="U270" s="31"/>
      <c r="W270" s="31"/>
      <c r="Y270" s="31"/>
      <c r="Z270" s="31"/>
      <c r="AA270" s="31"/>
      <c r="AB270" s="31"/>
      <c r="AC270" s="31"/>
      <c r="AD270" s="31"/>
      <c r="AE270" s="31"/>
      <c r="AG270" s="31"/>
    </row>
    <row r="271" spans="1:33" ht="14.45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31"/>
      <c r="P271" s="66"/>
      <c r="R271" s="31"/>
      <c r="S271" s="31"/>
      <c r="T271" s="71"/>
      <c r="U271" s="31"/>
      <c r="W271" s="31"/>
      <c r="Y271" s="31"/>
      <c r="Z271" s="31"/>
      <c r="AA271" s="31"/>
      <c r="AB271" s="31"/>
      <c r="AC271" s="31"/>
      <c r="AD271" s="31"/>
      <c r="AE271" s="31"/>
      <c r="AG271" s="31"/>
    </row>
    <row r="272" spans="1:33" ht="14.45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31"/>
      <c r="P272" s="66"/>
      <c r="R272" s="31"/>
      <c r="S272" s="31"/>
      <c r="T272" s="71"/>
      <c r="U272" s="31"/>
      <c r="W272" s="31"/>
      <c r="Y272" s="31"/>
      <c r="Z272" s="31"/>
      <c r="AA272" s="31"/>
      <c r="AB272" s="31"/>
      <c r="AC272" s="31"/>
      <c r="AD272" s="31"/>
      <c r="AE272" s="31"/>
      <c r="AG272" s="31"/>
    </row>
    <row r="273" spans="1:33" ht="14.45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31"/>
      <c r="P273" s="66"/>
      <c r="R273" s="31"/>
      <c r="S273" s="31"/>
      <c r="T273" s="71"/>
      <c r="U273" s="31"/>
      <c r="W273" s="31"/>
      <c r="Y273" s="31"/>
      <c r="Z273" s="31"/>
      <c r="AA273" s="31"/>
      <c r="AB273" s="31"/>
      <c r="AC273" s="31"/>
      <c r="AD273" s="31"/>
      <c r="AE273" s="31"/>
      <c r="AG273" s="31"/>
    </row>
    <row r="274" spans="1:33" ht="14.45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31"/>
      <c r="P274" s="66"/>
      <c r="R274" s="31"/>
      <c r="S274" s="31"/>
      <c r="T274" s="71"/>
      <c r="U274" s="31"/>
      <c r="W274" s="31"/>
      <c r="Y274" s="31"/>
      <c r="Z274" s="31"/>
      <c r="AA274" s="31"/>
      <c r="AB274" s="31"/>
      <c r="AC274" s="31"/>
      <c r="AD274" s="31"/>
      <c r="AE274" s="31"/>
      <c r="AG274" s="31"/>
    </row>
    <row r="275" spans="1:33" ht="14.45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31"/>
      <c r="P275" s="66"/>
      <c r="R275" s="31"/>
      <c r="S275" s="31"/>
      <c r="T275" s="71"/>
      <c r="U275" s="31"/>
      <c r="W275" s="31"/>
      <c r="Y275" s="31"/>
      <c r="Z275" s="31"/>
      <c r="AA275" s="31"/>
      <c r="AB275" s="31"/>
      <c r="AC275" s="31"/>
      <c r="AD275" s="31"/>
      <c r="AE275" s="31"/>
      <c r="AG275" s="31"/>
    </row>
    <row r="276" spans="1:33" ht="14.45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31"/>
      <c r="P276" s="66"/>
      <c r="R276" s="31"/>
      <c r="S276" s="31"/>
      <c r="T276" s="71"/>
      <c r="U276" s="31"/>
      <c r="W276" s="31"/>
      <c r="Y276" s="31"/>
      <c r="Z276" s="31"/>
      <c r="AA276" s="31"/>
      <c r="AB276" s="31"/>
      <c r="AC276" s="31"/>
      <c r="AD276" s="31"/>
      <c r="AE276" s="31"/>
      <c r="AG276" s="31"/>
    </row>
    <row r="277" spans="1:33" ht="14.45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31"/>
      <c r="P277" s="66"/>
      <c r="R277" s="31"/>
      <c r="S277" s="31"/>
      <c r="T277" s="71"/>
      <c r="U277" s="31"/>
      <c r="W277" s="31"/>
      <c r="Y277" s="31"/>
      <c r="Z277" s="31"/>
      <c r="AA277" s="31"/>
      <c r="AB277" s="31"/>
      <c r="AC277" s="31"/>
      <c r="AD277" s="31"/>
      <c r="AE277" s="31"/>
      <c r="AG277" s="31"/>
    </row>
    <row r="278" spans="1:33" ht="14.45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31"/>
      <c r="P278" s="66"/>
      <c r="R278" s="31"/>
      <c r="S278" s="31"/>
      <c r="T278" s="71"/>
      <c r="U278" s="31"/>
      <c r="W278" s="31"/>
      <c r="Y278" s="31"/>
      <c r="Z278" s="31"/>
      <c r="AA278" s="31"/>
      <c r="AB278" s="31"/>
      <c r="AC278" s="31"/>
      <c r="AD278" s="31"/>
      <c r="AE278" s="31"/>
      <c r="AG278" s="31"/>
    </row>
    <row r="279" spans="1:33" ht="14.45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31"/>
      <c r="P279" s="66"/>
      <c r="R279" s="31"/>
      <c r="S279" s="31"/>
      <c r="T279" s="71"/>
      <c r="U279" s="31"/>
      <c r="W279" s="31"/>
      <c r="Y279" s="31"/>
      <c r="Z279" s="31"/>
      <c r="AA279" s="31"/>
      <c r="AB279" s="31"/>
      <c r="AC279" s="31"/>
      <c r="AD279" s="31"/>
      <c r="AE279" s="31"/>
      <c r="AG279" s="31"/>
    </row>
    <row r="280" spans="1:33" ht="14.45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31"/>
      <c r="P280" s="66"/>
      <c r="R280" s="31"/>
      <c r="S280" s="31"/>
      <c r="T280" s="71"/>
      <c r="U280" s="31"/>
      <c r="W280" s="31"/>
      <c r="Y280" s="31"/>
      <c r="Z280" s="31"/>
      <c r="AA280" s="31"/>
      <c r="AB280" s="31"/>
      <c r="AC280" s="31"/>
      <c r="AD280" s="31"/>
      <c r="AE280" s="31"/>
      <c r="AG280" s="31"/>
    </row>
    <row r="281" spans="1:33" ht="14.45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31"/>
      <c r="P281" s="66"/>
      <c r="R281" s="31"/>
      <c r="S281" s="31"/>
      <c r="T281" s="71"/>
      <c r="U281" s="31"/>
      <c r="W281" s="31"/>
      <c r="Y281" s="31"/>
      <c r="Z281" s="31"/>
      <c r="AA281" s="31"/>
      <c r="AB281" s="31"/>
      <c r="AC281" s="31"/>
      <c r="AD281" s="31"/>
      <c r="AE281" s="31"/>
      <c r="AG281" s="31"/>
    </row>
    <row r="282" spans="1:33" ht="14.45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31"/>
      <c r="P282" s="66"/>
      <c r="R282" s="31"/>
      <c r="S282" s="31"/>
      <c r="T282" s="71"/>
      <c r="U282" s="31"/>
      <c r="W282" s="31"/>
      <c r="Y282" s="31"/>
      <c r="Z282" s="31"/>
      <c r="AA282" s="31"/>
      <c r="AB282" s="31"/>
      <c r="AC282" s="31"/>
      <c r="AD282" s="31"/>
      <c r="AE282" s="31"/>
      <c r="AG282" s="31"/>
    </row>
    <row r="283" spans="1:33" ht="14.45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31"/>
      <c r="P283" s="66"/>
      <c r="R283" s="31"/>
      <c r="S283" s="31"/>
      <c r="T283" s="71"/>
      <c r="U283" s="31"/>
      <c r="W283" s="31"/>
      <c r="Y283" s="31"/>
      <c r="Z283" s="31"/>
      <c r="AA283" s="31"/>
      <c r="AB283" s="31"/>
      <c r="AC283" s="31"/>
      <c r="AD283" s="31"/>
      <c r="AE283" s="31"/>
      <c r="AG283" s="31"/>
    </row>
    <row r="284" spans="1:33" ht="14.45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31"/>
      <c r="P284" s="66"/>
      <c r="R284" s="31"/>
      <c r="S284" s="31"/>
      <c r="T284" s="71"/>
      <c r="U284" s="31"/>
      <c r="W284" s="31"/>
      <c r="Y284" s="31"/>
      <c r="Z284" s="31"/>
      <c r="AA284" s="31"/>
      <c r="AB284" s="31"/>
      <c r="AC284" s="31"/>
      <c r="AD284" s="31"/>
      <c r="AE284" s="31"/>
      <c r="AG284" s="31"/>
    </row>
    <row r="285" spans="1:33" ht="14.45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31"/>
      <c r="P285" s="66"/>
      <c r="R285" s="31"/>
      <c r="S285" s="31"/>
      <c r="T285" s="71"/>
      <c r="U285" s="31"/>
      <c r="W285" s="31"/>
      <c r="Y285" s="31"/>
      <c r="Z285" s="31"/>
      <c r="AA285" s="31"/>
      <c r="AB285" s="31"/>
      <c r="AC285" s="31"/>
      <c r="AD285" s="31"/>
      <c r="AE285" s="31"/>
      <c r="AG285" s="31"/>
    </row>
    <row r="286" spans="1:33" ht="14.45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31"/>
      <c r="P286" s="66"/>
      <c r="R286" s="31"/>
      <c r="S286" s="31"/>
      <c r="T286" s="71"/>
      <c r="U286" s="31"/>
      <c r="W286" s="31"/>
      <c r="Y286" s="31"/>
      <c r="Z286" s="31"/>
      <c r="AA286" s="31"/>
      <c r="AB286" s="31"/>
      <c r="AC286" s="31"/>
      <c r="AD286" s="31"/>
      <c r="AE286" s="31"/>
      <c r="AG286" s="31"/>
    </row>
    <row r="287" spans="1:33" ht="14.45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31"/>
      <c r="P287" s="66"/>
      <c r="R287" s="31"/>
      <c r="S287" s="31"/>
      <c r="T287" s="71"/>
      <c r="U287" s="31"/>
      <c r="W287" s="31"/>
      <c r="Y287" s="31"/>
      <c r="Z287" s="31"/>
      <c r="AA287" s="31"/>
      <c r="AB287" s="31"/>
      <c r="AC287" s="31"/>
      <c r="AD287" s="31"/>
      <c r="AE287" s="31"/>
      <c r="AG287" s="31"/>
    </row>
    <row r="288" spans="1:33" ht="14.45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31"/>
      <c r="P288" s="66"/>
      <c r="R288" s="31"/>
      <c r="S288" s="31"/>
      <c r="T288" s="71"/>
      <c r="U288" s="31"/>
      <c r="W288" s="31"/>
      <c r="Y288" s="31"/>
      <c r="Z288" s="31"/>
      <c r="AA288" s="31"/>
      <c r="AB288" s="31"/>
      <c r="AC288" s="31"/>
      <c r="AD288" s="31"/>
      <c r="AE288" s="31"/>
      <c r="AG288" s="31"/>
    </row>
    <row r="289" spans="1:33" ht="14.45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31"/>
      <c r="P289" s="66"/>
      <c r="R289" s="31"/>
      <c r="S289" s="31"/>
      <c r="T289" s="71"/>
      <c r="U289" s="31"/>
      <c r="W289" s="31"/>
      <c r="Y289" s="31"/>
      <c r="Z289" s="31"/>
      <c r="AA289" s="31"/>
      <c r="AB289" s="31"/>
      <c r="AC289" s="31"/>
      <c r="AD289" s="31"/>
      <c r="AE289" s="31"/>
      <c r="AG289" s="31"/>
    </row>
    <row r="290" spans="1:33" ht="14.45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31"/>
      <c r="P290" s="66"/>
      <c r="R290" s="31"/>
      <c r="S290" s="31"/>
      <c r="T290" s="71"/>
      <c r="U290" s="31"/>
      <c r="W290" s="31"/>
      <c r="Y290" s="31"/>
      <c r="Z290" s="31"/>
      <c r="AA290" s="31"/>
      <c r="AB290" s="31"/>
      <c r="AC290" s="31"/>
      <c r="AD290" s="31"/>
      <c r="AE290" s="31"/>
      <c r="AG290" s="31"/>
    </row>
    <row r="291" spans="1:33" ht="14.45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31"/>
      <c r="P291" s="66"/>
      <c r="R291" s="31"/>
      <c r="S291" s="31"/>
      <c r="T291" s="71"/>
      <c r="U291" s="31"/>
      <c r="W291" s="31"/>
      <c r="Y291" s="31"/>
      <c r="Z291" s="31"/>
      <c r="AA291" s="31"/>
      <c r="AB291" s="31"/>
      <c r="AC291" s="31"/>
      <c r="AD291" s="31"/>
      <c r="AE291" s="31"/>
      <c r="AG291" s="31"/>
    </row>
    <row r="292" spans="1:33" ht="14.45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31"/>
      <c r="P292" s="66"/>
      <c r="R292" s="31"/>
      <c r="S292" s="31"/>
      <c r="T292" s="71"/>
      <c r="U292" s="31"/>
      <c r="W292" s="31"/>
      <c r="Y292" s="31"/>
      <c r="Z292" s="31"/>
      <c r="AA292" s="31"/>
      <c r="AB292" s="31"/>
      <c r="AC292" s="31"/>
      <c r="AD292" s="31"/>
      <c r="AE292" s="31"/>
      <c r="AG292" s="31"/>
    </row>
    <row r="293" spans="1:33" ht="14.45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31"/>
      <c r="P293" s="66"/>
      <c r="R293" s="31"/>
      <c r="S293" s="31"/>
      <c r="T293" s="71"/>
      <c r="U293" s="31"/>
      <c r="W293" s="31"/>
      <c r="Y293" s="31"/>
      <c r="Z293" s="31"/>
      <c r="AA293" s="31"/>
      <c r="AB293" s="31"/>
      <c r="AC293" s="31"/>
      <c r="AD293" s="31"/>
      <c r="AE293" s="31"/>
      <c r="AG293" s="31"/>
    </row>
    <row r="294" spans="1:33" ht="14.45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31"/>
      <c r="P294" s="66"/>
      <c r="R294" s="31"/>
      <c r="S294" s="31"/>
      <c r="T294" s="71"/>
      <c r="U294" s="31"/>
      <c r="W294" s="31"/>
      <c r="Y294" s="31"/>
      <c r="Z294" s="31"/>
      <c r="AA294" s="31"/>
      <c r="AB294" s="31"/>
      <c r="AC294" s="31"/>
      <c r="AD294" s="31"/>
      <c r="AE294" s="31"/>
      <c r="AG294" s="31"/>
    </row>
    <row r="295" spans="1:33" ht="14.45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31"/>
      <c r="P295" s="66"/>
      <c r="R295" s="31"/>
      <c r="S295" s="31"/>
      <c r="T295" s="71"/>
      <c r="U295" s="31"/>
      <c r="W295" s="31"/>
      <c r="Y295" s="31"/>
      <c r="Z295" s="31"/>
      <c r="AA295" s="31"/>
      <c r="AB295" s="31"/>
      <c r="AC295" s="31"/>
      <c r="AD295" s="31"/>
      <c r="AE295" s="31"/>
      <c r="AG295" s="31"/>
    </row>
    <row r="296" spans="1:33" ht="14.45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31"/>
      <c r="P296" s="66"/>
      <c r="R296" s="31"/>
      <c r="S296" s="31"/>
      <c r="T296" s="71"/>
      <c r="U296" s="31"/>
      <c r="W296" s="31"/>
      <c r="Y296" s="31"/>
      <c r="Z296" s="31"/>
      <c r="AA296" s="31"/>
      <c r="AB296" s="31"/>
      <c r="AC296" s="31"/>
      <c r="AD296" s="31"/>
      <c r="AE296" s="31"/>
      <c r="AG296" s="31"/>
    </row>
    <row r="297" spans="1:33" ht="14.45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31"/>
      <c r="P297" s="66"/>
      <c r="R297" s="31"/>
      <c r="S297" s="31"/>
      <c r="T297" s="71"/>
      <c r="U297" s="31"/>
      <c r="W297" s="31"/>
      <c r="Y297" s="31"/>
      <c r="Z297" s="31"/>
      <c r="AA297" s="31"/>
      <c r="AB297" s="31"/>
      <c r="AC297" s="31"/>
      <c r="AD297" s="31"/>
      <c r="AE297" s="31"/>
      <c r="AG297" s="31"/>
    </row>
    <row r="298" spans="1:33" ht="14.45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31"/>
      <c r="P298" s="66"/>
      <c r="R298" s="31"/>
      <c r="S298" s="31"/>
      <c r="T298" s="71"/>
      <c r="U298" s="31"/>
      <c r="W298" s="31"/>
      <c r="Y298" s="31"/>
      <c r="Z298" s="31"/>
      <c r="AA298" s="31"/>
      <c r="AB298" s="31"/>
      <c r="AC298" s="31"/>
      <c r="AD298" s="31"/>
      <c r="AE298" s="31"/>
      <c r="AG298" s="31"/>
    </row>
    <row r="299" spans="1:33" ht="14.45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31"/>
      <c r="P299" s="66"/>
      <c r="R299" s="31"/>
      <c r="S299" s="31"/>
      <c r="T299" s="71"/>
      <c r="U299" s="31"/>
      <c r="W299" s="31"/>
      <c r="Y299" s="31"/>
      <c r="Z299" s="31"/>
      <c r="AA299" s="31"/>
      <c r="AB299" s="31"/>
      <c r="AC299" s="31"/>
      <c r="AD299" s="31"/>
      <c r="AE299" s="31"/>
      <c r="AG299" s="31"/>
    </row>
    <row r="300" spans="1:33" ht="14.45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31"/>
      <c r="P300" s="66"/>
      <c r="R300" s="31"/>
      <c r="S300" s="31"/>
      <c r="T300" s="71"/>
      <c r="U300" s="31"/>
      <c r="W300" s="31"/>
      <c r="Y300" s="31"/>
      <c r="Z300" s="31"/>
      <c r="AA300" s="31"/>
      <c r="AB300" s="31"/>
      <c r="AC300" s="31"/>
      <c r="AD300" s="31"/>
      <c r="AE300" s="31"/>
      <c r="AG300" s="31"/>
    </row>
    <row r="301" spans="1:33" ht="14.45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31"/>
      <c r="P301" s="66"/>
      <c r="R301" s="31"/>
      <c r="S301" s="31"/>
      <c r="T301" s="71"/>
      <c r="U301" s="31"/>
      <c r="W301" s="31"/>
      <c r="Y301" s="31"/>
      <c r="Z301" s="31"/>
      <c r="AA301" s="31"/>
      <c r="AB301" s="31"/>
      <c r="AC301" s="31"/>
      <c r="AD301" s="31"/>
      <c r="AE301" s="31"/>
      <c r="AG301" s="31"/>
    </row>
    <row r="302" spans="1:33" ht="14.45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31"/>
      <c r="P302" s="66"/>
      <c r="R302" s="31"/>
      <c r="S302" s="31"/>
      <c r="T302" s="71"/>
      <c r="U302" s="31"/>
      <c r="W302" s="31"/>
      <c r="Y302" s="31"/>
      <c r="Z302" s="31"/>
      <c r="AA302" s="31"/>
      <c r="AB302" s="31"/>
      <c r="AC302" s="31"/>
      <c r="AD302" s="31"/>
      <c r="AE302" s="31"/>
      <c r="AG302" s="31"/>
    </row>
    <row r="303" spans="1:33" ht="14.45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31"/>
      <c r="P303" s="66"/>
      <c r="R303" s="31"/>
      <c r="S303" s="31"/>
      <c r="T303" s="71"/>
      <c r="U303" s="31"/>
      <c r="W303" s="31"/>
      <c r="Y303" s="31"/>
      <c r="Z303" s="31"/>
      <c r="AA303" s="31"/>
      <c r="AB303" s="31"/>
      <c r="AC303" s="31"/>
      <c r="AD303" s="31"/>
      <c r="AE303" s="31"/>
      <c r="AG303" s="31"/>
    </row>
    <row r="304" spans="1:33" ht="14.45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31"/>
      <c r="P304" s="66"/>
      <c r="R304" s="31"/>
      <c r="S304" s="31"/>
      <c r="T304" s="71"/>
      <c r="U304" s="31"/>
      <c r="W304" s="31"/>
      <c r="Y304" s="31"/>
      <c r="Z304" s="31"/>
      <c r="AA304" s="31"/>
      <c r="AB304" s="31"/>
      <c r="AC304" s="31"/>
      <c r="AD304" s="31"/>
      <c r="AE304" s="31"/>
      <c r="AG304" s="31"/>
    </row>
    <row r="305" spans="1:33" ht="14.45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31"/>
      <c r="P305" s="66"/>
      <c r="R305" s="31"/>
      <c r="S305" s="31"/>
      <c r="T305" s="71"/>
      <c r="U305" s="31"/>
      <c r="W305" s="31"/>
      <c r="Y305" s="31"/>
      <c r="Z305" s="31"/>
      <c r="AA305" s="31"/>
      <c r="AB305" s="31"/>
      <c r="AC305" s="31"/>
      <c r="AD305" s="31"/>
      <c r="AE305" s="31"/>
      <c r="AG305" s="31"/>
    </row>
    <row r="306" spans="1:33" ht="14.45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31"/>
      <c r="P306" s="66"/>
      <c r="R306" s="31"/>
      <c r="S306" s="31"/>
      <c r="T306" s="71"/>
      <c r="U306" s="31"/>
      <c r="W306" s="31"/>
      <c r="Y306" s="31"/>
      <c r="Z306" s="31"/>
      <c r="AA306" s="31"/>
      <c r="AB306" s="31"/>
      <c r="AC306" s="31"/>
      <c r="AD306" s="31"/>
      <c r="AE306" s="31"/>
      <c r="AG306" s="31"/>
    </row>
    <row r="307" spans="1:33" ht="14.45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31"/>
      <c r="P307" s="66"/>
      <c r="R307" s="31"/>
      <c r="S307" s="31"/>
      <c r="T307" s="71"/>
      <c r="U307" s="31"/>
      <c r="W307" s="31"/>
      <c r="Y307" s="31"/>
      <c r="Z307" s="31"/>
      <c r="AA307" s="31"/>
      <c r="AB307" s="31"/>
      <c r="AC307" s="31"/>
      <c r="AD307" s="31"/>
      <c r="AE307" s="31"/>
      <c r="AG307" s="31"/>
    </row>
    <row r="308" spans="1:33" ht="14.45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31"/>
      <c r="P308" s="66"/>
      <c r="R308" s="31"/>
      <c r="S308" s="31"/>
      <c r="T308" s="71"/>
      <c r="U308" s="31"/>
      <c r="W308" s="31"/>
      <c r="Y308" s="31"/>
      <c r="Z308" s="31"/>
      <c r="AA308" s="31"/>
      <c r="AB308" s="31"/>
      <c r="AC308" s="31"/>
      <c r="AD308" s="31"/>
      <c r="AE308" s="31"/>
      <c r="AG308" s="31"/>
    </row>
    <row r="309" spans="1:33" ht="14.45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31"/>
      <c r="P309" s="66"/>
      <c r="R309" s="31"/>
      <c r="S309" s="31"/>
      <c r="T309" s="71"/>
      <c r="U309" s="31"/>
      <c r="W309" s="31"/>
      <c r="Y309" s="31"/>
      <c r="Z309" s="31"/>
      <c r="AA309" s="31"/>
      <c r="AB309" s="31"/>
      <c r="AC309" s="31"/>
      <c r="AD309" s="31"/>
      <c r="AE309" s="31"/>
      <c r="AG309" s="31"/>
    </row>
    <row r="310" spans="1:33" ht="14.45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31"/>
      <c r="P310" s="66"/>
      <c r="R310" s="31"/>
      <c r="S310" s="31"/>
      <c r="T310" s="71"/>
      <c r="U310" s="31"/>
      <c r="W310" s="31"/>
      <c r="Y310" s="31"/>
      <c r="Z310" s="31"/>
      <c r="AA310" s="31"/>
      <c r="AB310" s="31"/>
      <c r="AC310" s="31"/>
      <c r="AD310" s="31"/>
      <c r="AE310" s="31"/>
      <c r="AG310" s="31"/>
    </row>
    <row r="311" spans="1:33" ht="14.45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31"/>
      <c r="P311" s="66"/>
      <c r="R311" s="31"/>
      <c r="S311" s="31"/>
      <c r="T311" s="71"/>
      <c r="U311" s="31"/>
      <c r="W311" s="31"/>
      <c r="Y311" s="31"/>
      <c r="Z311" s="31"/>
      <c r="AA311" s="31"/>
      <c r="AB311" s="31"/>
      <c r="AC311" s="31"/>
      <c r="AD311" s="31"/>
      <c r="AE311" s="31"/>
      <c r="AG311" s="31"/>
    </row>
    <row r="312" spans="1:33" ht="14.45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31"/>
      <c r="P312" s="66"/>
      <c r="R312" s="31"/>
      <c r="S312" s="31"/>
      <c r="T312" s="71"/>
      <c r="U312" s="31"/>
      <c r="W312" s="31"/>
      <c r="Y312" s="31"/>
      <c r="Z312" s="31"/>
      <c r="AA312" s="31"/>
      <c r="AB312" s="31"/>
      <c r="AC312" s="31"/>
      <c r="AD312" s="31"/>
      <c r="AE312" s="31"/>
      <c r="AG312" s="31"/>
    </row>
    <row r="313" spans="1:33" ht="14.45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31"/>
      <c r="P313" s="66"/>
      <c r="R313" s="31"/>
      <c r="S313" s="31"/>
      <c r="T313" s="71"/>
      <c r="U313" s="31"/>
      <c r="W313" s="31"/>
      <c r="Y313" s="31"/>
      <c r="Z313" s="31"/>
      <c r="AA313" s="31"/>
      <c r="AB313" s="31"/>
      <c r="AC313" s="31"/>
      <c r="AD313" s="31"/>
      <c r="AE313" s="31"/>
      <c r="AG313" s="31"/>
    </row>
    <row r="314" spans="1:33" ht="14.45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31"/>
      <c r="P314" s="66"/>
      <c r="R314" s="31"/>
      <c r="S314" s="31"/>
      <c r="T314" s="71"/>
      <c r="U314" s="31"/>
      <c r="W314" s="31"/>
      <c r="Y314" s="31"/>
      <c r="Z314" s="31"/>
      <c r="AA314" s="31"/>
      <c r="AB314" s="31"/>
      <c r="AC314" s="31"/>
      <c r="AD314" s="31"/>
      <c r="AE314" s="31"/>
      <c r="AG314" s="31"/>
    </row>
    <row r="315" spans="1:33" ht="14.45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31"/>
      <c r="P315" s="66"/>
      <c r="R315" s="31"/>
      <c r="S315" s="31"/>
      <c r="T315" s="71"/>
      <c r="U315" s="31"/>
      <c r="W315" s="31"/>
      <c r="Y315" s="31"/>
      <c r="Z315" s="31"/>
      <c r="AA315" s="31"/>
      <c r="AB315" s="31"/>
      <c r="AC315" s="31"/>
      <c r="AD315" s="31"/>
      <c r="AE315" s="31"/>
      <c r="AG315" s="31"/>
    </row>
    <row r="316" spans="1:33" ht="14.45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31"/>
      <c r="P316" s="66"/>
      <c r="R316" s="31"/>
      <c r="S316" s="31"/>
      <c r="T316" s="71"/>
      <c r="U316" s="31"/>
      <c r="W316" s="31"/>
      <c r="Y316" s="31"/>
      <c r="Z316" s="31"/>
      <c r="AA316" s="31"/>
      <c r="AB316" s="31"/>
      <c r="AC316" s="31"/>
      <c r="AD316" s="31"/>
      <c r="AE316" s="31"/>
      <c r="AG316" s="31"/>
    </row>
    <row r="317" spans="1:33" ht="14.45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31"/>
      <c r="P317" s="66"/>
      <c r="R317" s="31"/>
      <c r="S317" s="31"/>
      <c r="T317" s="71"/>
      <c r="U317" s="31"/>
      <c r="W317" s="31"/>
      <c r="Y317" s="31"/>
      <c r="Z317" s="31"/>
      <c r="AA317" s="31"/>
      <c r="AB317" s="31"/>
      <c r="AC317" s="31"/>
      <c r="AD317" s="31"/>
      <c r="AE317" s="31"/>
      <c r="AG317" s="31"/>
    </row>
    <row r="318" spans="1:33" ht="14.45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31"/>
      <c r="P318" s="66"/>
      <c r="R318" s="31"/>
      <c r="S318" s="31"/>
      <c r="T318" s="71"/>
      <c r="U318" s="31"/>
      <c r="W318" s="31"/>
      <c r="Y318" s="31"/>
      <c r="Z318" s="31"/>
      <c r="AA318" s="31"/>
      <c r="AB318" s="31"/>
      <c r="AC318" s="31"/>
      <c r="AD318" s="31"/>
      <c r="AE318" s="31"/>
      <c r="AG318" s="31"/>
    </row>
    <row r="319" spans="1:33" ht="14.45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31"/>
      <c r="P319" s="66"/>
      <c r="R319" s="31"/>
      <c r="S319" s="31"/>
      <c r="T319" s="71"/>
      <c r="U319" s="31"/>
      <c r="W319" s="31"/>
      <c r="Y319" s="31"/>
      <c r="Z319" s="31"/>
      <c r="AA319" s="31"/>
      <c r="AB319" s="31"/>
      <c r="AC319" s="31"/>
      <c r="AD319" s="31"/>
      <c r="AE319" s="31"/>
      <c r="AG319" s="31"/>
    </row>
    <row r="320" spans="1:33" ht="14.45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31"/>
      <c r="P320" s="66"/>
      <c r="R320" s="31"/>
      <c r="S320" s="31"/>
      <c r="T320" s="71"/>
      <c r="U320" s="31"/>
      <c r="W320" s="31"/>
      <c r="Y320" s="31"/>
      <c r="Z320" s="31"/>
      <c r="AA320" s="31"/>
      <c r="AB320" s="31"/>
      <c r="AC320" s="31"/>
      <c r="AD320" s="31"/>
      <c r="AE320" s="31"/>
      <c r="AG320" s="31"/>
    </row>
    <row r="321" spans="1:33" ht="14.45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31"/>
      <c r="P321" s="66"/>
      <c r="R321" s="31"/>
      <c r="S321" s="31"/>
      <c r="T321" s="71"/>
      <c r="U321" s="31"/>
      <c r="W321" s="31"/>
      <c r="Y321" s="31"/>
      <c r="Z321" s="31"/>
      <c r="AA321" s="31"/>
      <c r="AB321" s="31"/>
      <c r="AC321" s="31"/>
      <c r="AD321" s="31"/>
      <c r="AE321" s="31"/>
      <c r="AG321" s="31"/>
    </row>
    <row r="322" spans="1:33" ht="14.45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31"/>
      <c r="P322" s="66"/>
      <c r="R322" s="31"/>
      <c r="S322" s="31"/>
      <c r="T322" s="71"/>
      <c r="U322" s="31"/>
      <c r="W322" s="31"/>
      <c r="Y322" s="31"/>
      <c r="Z322" s="31"/>
      <c r="AA322" s="31"/>
      <c r="AB322" s="31"/>
      <c r="AC322" s="31"/>
      <c r="AD322" s="31"/>
      <c r="AE322" s="31"/>
      <c r="AG322" s="31"/>
    </row>
    <row r="323" spans="1:33" ht="14.45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31"/>
      <c r="P323" s="66"/>
      <c r="R323" s="31"/>
      <c r="S323" s="31"/>
      <c r="T323" s="71"/>
      <c r="U323" s="31"/>
      <c r="W323" s="31"/>
      <c r="Y323" s="31"/>
      <c r="Z323" s="31"/>
      <c r="AA323" s="31"/>
      <c r="AB323" s="31"/>
      <c r="AC323" s="31"/>
      <c r="AD323" s="31"/>
      <c r="AE323" s="31"/>
      <c r="AG323" s="31"/>
    </row>
    <row r="324" spans="1:33" ht="14.45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31"/>
      <c r="P324" s="66"/>
      <c r="R324" s="31"/>
      <c r="S324" s="31"/>
      <c r="T324" s="71"/>
      <c r="U324" s="31"/>
      <c r="W324" s="31"/>
      <c r="Y324" s="31"/>
      <c r="Z324" s="31"/>
      <c r="AA324" s="31"/>
      <c r="AB324" s="31"/>
      <c r="AC324" s="31"/>
      <c r="AD324" s="31"/>
      <c r="AE324" s="31"/>
      <c r="AG324" s="31"/>
    </row>
    <row r="325" spans="1:33" ht="14.45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31"/>
      <c r="P325" s="66"/>
      <c r="R325" s="31"/>
      <c r="S325" s="31"/>
      <c r="T325" s="71"/>
      <c r="U325" s="31"/>
      <c r="W325" s="31"/>
      <c r="Y325" s="31"/>
      <c r="Z325" s="31"/>
      <c r="AA325" s="31"/>
      <c r="AB325" s="31"/>
      <c r="AC325" s="31"/>
      <c r="AD325" s="31"/>
      <c r="AE325" s="31"/>
      <c r="AG325" s="31"/>
    </row>
    <row r="326" spans="1:33" ht="14.45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31"/>
      <c r="P326" s="66"/>
      <c r="R326" s="31"/>
      <c r="S326" s="31"/>
      <c r="T326" s="71"/>
      <c r="U326" s="31"/>
      <c r="W326" s="31"/>
      <c r="Y326" s="31"/>
      <c r="Z326" s="31"/>
      <c r="AA326" s="31"/>
      <c r="AB326" s="31"/>
      <c r="AC326" s="31"/>
      <c r="AD326" s="31"/>
      <c r="AE326" s="31"/>
      <c r="AG326" s="31"/>
    </row>
    <row r="327" spans="1:33" ht="14.45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31"/>
      <c r="P327" s="66"/>
      <c r="R327" s="31"/>
      <c r="S327" s="31"/>
      <c r="T327" s="71"/>
      <c r="U327" s="31"/>
      <c r="W327" s="31"/>
      <c r="Y327" s="31"/>
      <c r="Z327" s="31"/>
      <c r="AA327" s="31"/>
      <c r="AB327" s="31"/>
      <c r="AC327" s="31"/>
      <c r="AD327" s="31"/>
      <c r="AE327" s="31"/>
      <c r="AG327" s="31"/>
    </row>
    <row r="328" spans="1:33" ht="14.45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31"/>
      <c r="P328" s="66"/>
      <c r="R328" s="31"/>
      <c r="S328" s="31"/>
      <c r="T328" s="71"/>
      <c r="U328" s="31"/>
      <c r="W328" s="31"/>
      <c r="Y328" s="31"/>
      <c r="Z328" s="31"/>
      <c r="AA328" s="31"/>
      <c r="AB328" s="31"/>
      <c r="AC328" s="31"/>
      <c r="AD328" s="31"/>
      <c r="AE328" s="31"/>
      <c r="AG328" s="31"/>
    </row>
    <row r="329" spans="1:33" ht="14.45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31"/>
      <c r="P329" s="66"/>
      <c r="R329" s="31"/>
      <c r="S329" s="31"/>
      <c r="T329" s="71"/>
      <c r="U329" s="31"/>
      <c r="W329" s="31"/>
      <c r="Y329" s="31"/>
      <c r="Z329" s="31"/>
      <c r="AA329" s="31"/>
      <c r="AB329" s="31"/>
      <c r="AC329" s="31"/>
      <c r="AD329" s="31"/>
      <c r="AE329" s="31"/>
      <c r="AG329" s="31"/>
    </row>
    <row r="330" spans="1:33" ht="14.45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31"/>
      <c r="P330" s="66"/>
      <c r="R330" s="31"/>
      <c r="S330" s="31"/>
      <c r="T330" s="71"/>
      <c r="U330" s="31"/>
      <c r="W330" s="31"/>
      <c r="Y330" s="31"/>
      <c r="Z330" s="31"/>
      <c r="AA330" s="31"/>
      <c r="AB330" s="31"/>
      <c r="AC330" s="31"/>
      <c r="AD330" s="31"/>
      <c r="AE330" s="31"/>
      <c r="AG330" s="31"/>
    </row>
    <row r="331" spans="1:33" ht="14.45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31"/>
      <c r="P331" s="66"/>
      <c r="R331" s="31"/>
      <c r="S331" s="31"/>
      <c r="T331" s="71"/>
      <c r="U331" s="31"/>
      <c r="W331" s="31"/>
      <c r="Y331" s="31"/>
      <c r="Z331" s="31"/>
      <c r="AA331" s="31"/>
      <c r="AB331" s="31"/>
      <c r="AC331" s="31"/>
      <c r="AD331" s="31"/>
      <c r="AE331" s="31"/>
      <c r="AG331" s="31"/>
    </row>
    <row r="332" spans="1:33" ht="14.45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31"/>
      <c r="P332" s="66"/>
      <c r="R332" s="31"/>
      <c r="S332" s="31"/>
      <c r="T332" s="71"/>
      <c r="U332" s="31"/>
      <c r="W332" s="31"/>
      <c r="Y332" s="31"/>
      <c r="Z332" s="31"/>
      <c r="AA332" s="31"/>
      <c r="AB332" s="31"/>
      <c r="AC332" s="31"/>
      <c r="AD332" s="31"/>
      <c r="AE332" s="31"/>
      <c r="AG332" s="31"/>
    </row>
    <row r="333" spans="1:33" ht="14.45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31"/>
      <c r="P333" s="66"/>
      <c r="R333" s="31"/>
      <c r="S333" s="31"/>
      <c r="T333" s="71"/>
      <c r="U333" s="31"/>
      <c r="W333" s="31"/>
      <c r="Y333" s="31"/>
      <c r="Z333" s="31"/>
      <c r="AA333" s="31"/>
      <c r="AB333" s="31"/>
      <c r="AC333" s="31"/>
      <c r="AD333" s="31"/>
      <c r="AE333" s="31"/>
      <c r="AG333" s="31"/>
    </row>
    <row r="334" spans="1:33" ht="14.45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31"/>
      <c r="P334" s="66"/>
      <c r="R334" s="31"/>
      <c r="S334" s="31"/>
      <c r="T334" s="71"/>
      <c r="U334" s="31"/>
      <c r="W334" s="31"/>
      <c r="Y334" s="31"/>
      <c r="Z334" s="31"/>
      <c r="AA334" s="31"/>
      <c r="AB334" s="31"/>
      <c r="AC334" s="31"/>
      <c r="AD334" s="31"/>
      <c r="AE334" s="31"/>
      <c r="AG334" s="31"/>
    </row>
    <row r="335" spans="1:33" ht="14.45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31"/>
      <c r="P335" s="66"/>
      <c r="R335" s="31"/>
      <c r="S335" s="31"/>
      <c r="T335" s="71"/>
      <c r="U335" s="31"/>
      <c r="W335" s="31"/>
      <c r="Y335" s="31"/>
      <c r="Z335" s="31"/>
      <c r="AA335" s="31"/>
      <c r="AB335" s="31"/>
      <c r="AC335" s="31"/>
      <c r="AD335" s="31"/>
      <c r="AE335" s="31"/>
      <c r="AG335" s="31"/>
    </row>
    <row r="336" spans="1:33" ht="14.45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31"/>
      <c r="P336" s="66"/>
      <c r="R336" s="31"/>
      <c r="S336" s="31"/>
      <c r="T336" s="71"/>
      <c r="U336" s="31"/>
      <c r="W336" s="31"/>
      <c r="Y336" s="31"/>
      <c r="Z336" s="31"/>
      <c r="AA336" s="31"/>
      <c r="AB336" s="31"/>
      <c r="AC336" s="31"/>
      <c r="AD336" s="31"/>
      <c r="AE336" s="31"/>
      <c r="AG336" s="31"/>
    </row>
    <row r="337" spans="1:33" ht="14.45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31"/>
      <c r="P337" s="66"/>
      <c r="R337" s="31"/>
      <c r="S337" s="31"/>
      <c r="T337" s="71"/>
      <c r="U337" s="31"/>
      <c r="W337" s="31"/>
      <c r="Y337" s="31"/>
      <c r="Z337" s="31"/>
      <c r="AA337" s="31"/>
      <c r="AB337" s="31"/>
      <c r="AC337" s="31"/>
      <c r="AD337" s="31"/>
      <c r="AE337" s="31"/>
      <c r="AG337" s="31"/>
    </row>
    <row r="338" spans="1:33" ht="14.45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31"/>
      <c r="P338" s="66"/>
      <c r="R338" s="31"/>
      <c r="S338" s="31"/>
      <c r="T338" s="71"/>
      <c r="U338" s="31"/>
      <c r="W338" s="31"/>
      <c r="Y338" s="31"/>
      <c r="Z338" s="31"/>
      <c r="AA338" s="31"/>
      <c r="AB338" s="31"/>
      <c r="AC338" s="31"/>
      <c r="AD338" s="31"/>
      <c r="AE338" s="31"/>
      <c r="AG338" s="31"/>
    </row>
    <row r="339" spans="1:33" ht="14.45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31"/>
      <c r="P339" s="66"/>
      <c r="R339" s="31"/>
      <c r="S339" s="31"/>
      <c r="T339" s="71"/>
      <c r="U339" s="31"/>
      <c r="W339" s="31"/>
      <c r="Y339" s="31"/>
      <c r="Z339" s="31"/>
      <c r="AA339" s="31"/>
      <c r="AB339" s="31"/>
      <c r="AC339" s="31"/>
      <c r="AD339" s="31"/>
      <c r="AE339" s="31"/>
      <c r="AG339" s="31"/>
    </row>
    <row r="340" spans="1:33" ht="14.45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31"/>
      <c r="P340" s="66"/>
      <c r="R340" s="31"/>
      <c r="S340" s="31"/>
      <c r="T340" s="71"/>
      <c r="U340" s="31"/>
      <c r="W340" s="31"/>
      <c r="Y340" s="31"/>
      <c r="Z340" s="31"/>
      <c r="AA340" s="31"/>
      <c r="AB340" s="31"/>
      <c r="AC340" s="31"/>
      <c r="AD340" s="31"/>
      <c r="AE340" s="31"/>
      <c r="AG340" s="31"/>
    </row>
    <row r="341" spans="1:33" ht="14.45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31"/>
      <c r="P341" s="66"/>
      <c r="R341" s="31"/>
      <c r="S341" s="31"/>
      <c r="T341" s="71"/>
      <c r="U341" s="31"/>
      <c r="W341" s="31"/>
      <c r="Y341" s="31"/>
      <c r="Z341" s="31"/>
      <c r="AA341" s="31"/>
      <c r="AB341" s="31"/>
      <c r="AC341" s="31"/>
      <c r="AD341" s="31"/>
      <c r="AE341" s="31"/>
      <c r="AG341" s="31"/>
    </row>
    <row r="342" spans="1:33" ht="14.45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31"/>
      <c r="P342" s="66"/>
      <c r="R342" s="31"/>
      <c r="S342" s="31"/>
      <c r="T342" s="71"/>
      <c r="U342" s="31"/>
      <c r="W342" s="31"/>
      <c r="Y342" s="31"/>
      <c r="Z342" s="31"/>
      <c r="AA342" s="31"/>
      <c r="AB342" s="31"/>
      <c r="AC342" s="31"/>
      <c r="AD342" s="31"/>
      <c r="AE342" s="31"/>
      <c r="AG342" s="31"/>
    </row>
    <row r="343" spans="1:33" ht="14.45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31"/>
      <c r="P343" s="66"/>
      <c r="R343" s="31"/>
      <c r="S343" s="31"/>
      <c r="T343" s="71"/>
      <c r="U343" s="31"/>
      <c r="W343" s="31"/>
      <c r="Y343" s="31"/>
      <c r="Z343" s="31"/>
      <c r="AA343" s="31"/>
      <c r="AB343" s="31"/>
      <c r="AC343" s="31"/>
      <c r="AD343" s="31"/>
      <c r="AE343" s="31"/>
      <c r="AG343" s="31"/>
    </row>
    <row r="344" spans="1:33" ht="14.45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31"/>
      <c r="P344" s="66"/>
      <c r="R344" s="31"/>
      <c r="S344" s="31"/>
      <c r="T344" s="71"/>
      <c r="U344" s="31"/>
      <c r="W344" s="31"/>
      <c r="Y344" s="31"/>
      <c r="Z344" s="31"/>
      <c r="AA344" s="31"/>
      <c r="AB344" s="31"/>
      <c r="AC344" s="31"/>
      <c r="AD344" s="31"/>
      <c r="AE344" s="31"/>
      <c r="AG344" s="31"/>
    </row>
    <row r="345" spans="1:33" ht="14.45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31"/>
      <c r="P345" s="66"/>
      <c r="R345" s="31"/>
      <c r="S345" s="31"/>
      <c r="T345" s="71"/>
      <c r="U345" s="31"/>
      <c r="W345" s="31"/>
      <c r="Y345" s="31"/>
      <c r="Z345" s="31"/>
      <c r="AA345" s="31"/>
      <c r="AB345" s="31"/>
      <c r="AC345" s="31"/>
      <c r="AD345" s="31"/>
      <c r="AE345" s="31"/>
      <c r="AG345" s="31"/>
    </row>
    <row r="346" spans="1:33" ht="14.45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31"/>
      <c r="P346" s="66"/>
      <c r="R346" s="31"/>
      <c r="S346" s="31"/>
      <c r="T346" s="71"/>
      <c r="U346" s="31"/>
      <c r="W346" s="31"/>
      <c r="Y346" s="31"/>
      <c r="Z346" s="31"/>
      <c r="AA346" s="31"/>
      <c r="AB346" s="31"/>
      <c r="AC346" s="31"/>
      <c r="AD346" s="31"/>
      <c r="AE346" s="31"/>
      <c r="AG346" s="31"/>
    </row>
    <row r="347" spans="1:33" ht="14.45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31"/>
      <c r="P347" s="66"/>
      <c r="R347" s="31"/>
      <c r="S347" s="31"/>
      <c r="T347" s="71"/>
      <c r="U347" s="31"/>
      <c r="W347" s="31"/>
      <c r="Y347" s="31"/>
      <c r="Z347" s="31"/>
      <c r="AA347" s="31"/>
      <c r="AB347" s="31"/>
      <c r="AC347" s="31"/>
      <c r="AD347" s="31"/>
      <c r="AE347" s="31"/>
      <c r="AG347" s="31"/>
    </row>
    <row r="348" spans="1:33" ht="14.45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31"/>
      <c r="P348" s="66"/>
      <c r="R348" s="31"/>
      <c r="S348" s="31"/>
      <c r="T348" s="71"/>
      <c r="U348" s="31"/>
      <c r="W348" s="31"/>
      <c r="Y348" s="31"/>
      <c r="Z348" s="31"/>
      <c r="AA348" s="31"/>
      <c r="AB348" s="31"/>
      <c r="AC348" s="31"/>
      <c r="AD348" s="31"/>
      <c r="AE348" s="31"/>
      <c r="AG348" s="31"/>
    </row>
    <row r="349" spans="1:33" ht="14.45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31"/>
      <c r="P349" s="66"/>
      <c r="R349" s="31"/>
      <c r="S349" s="31"/>
      <c r="T349" s="71"/>
      <c r="U349" s="31"/>
      <c r="W349" s="31"/>
      <c r="Y349" s="31"/>
      <c r="Z349" s="31"/>
      <c r="AA349" s="31"/>
      <c r="AB349" s="31"/>
      <c r="AC349" s="31"/>
      <c r="AD349" s="31"/>
      <c r="AE349" s="31"/>
      <c r="AG349" s="31"/>
    </row>
    <row r="350" spans="1:33" ht="14.45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31"/>
      <c r="P350" s="66"/>
      <c r="R350" s="31"/>
      <c r="S350" s="31"/>
      <c r="T350" s="71"/>
      <c r="U350" s="31"/>
      <c r="W350" s="31"/>
      <c r="Y350" s="31"/>
      <c r="Z350" s="31"/>
      <c r="AA350" s="31"/>
      <c r="AB350" s="31"/>
      <c r="AC350" s="31"/>
      <c r="AD350" s="31"/>
      <c r="AE350" s="31"/>
      <c r="AG350" s="31"/>
    </row>
    <row r="351" spans="1:33" ht="14.45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31"/>
      <c r="P351" s="66"/>
      <c r="R351" s="31"/>
      <c r="S351" s="31"/>
      <c r="T351" s="71"/>
      <c r="U351" s="31"/>
      <c r="W351" s="31"/>
      <c r="Y351" s="31"/>
      <c r="Z351" s="31"/>
      <c r="AA351" s="31"/>
      <c r="AB351" s="31"/>
      <c r="AC351" s="31"/>
      <c r="AD351" s="31"/>
      <c r="AE351" s="31"/>
      <c r="AG351" s="31"/>
    </row>
    <row r="352" spans="1:33" ht="14.45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31"/>
      <c r="P352" s="66"/>
      <c r="R352" s="31"/>
      <c r="S352" s="31"/>
      <c r="T352" s="71"/>
      <c r="U352" s="31"/>
      <c r="W352" s="31"/>
      <c r="Y352" s="31"/>
      <c r="Z352" s="31"/>
      <c r="AA352" s="31"/>
      <c r="AB352" s="31"/>
      <c r="AC352" s="31"/>
      <c r="AD352" s="31"/>
      <c r="AE352" s="31"/>
      <c r="AG352" s="31"/>
    </row>
    <row r="353" spans="1:33" ht="14.45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31"/>
      <c r="P353" s="66"/>
      <c r="R353" s="31"/>
      <c r="S353" s="31"/>
      <c r="T353" s="71"/>
      <c r="U353" s="31"/>
      <c r="W353" s="31"/>
      <c r="Y353" s="31"/>
      <c r="Z353" s="31"/>
      <c r="AA353" s="31"/>
      <c r="AB353" s="31"/>
      <c r="AC353" s="31"/>
      <c r="AD353" s="31"/>
      <c r="AE353" s="31"/>
      <c r="AG353" s="31"/>
    </row>
    <row r="354" spans="1:33" ht="14.45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31"/>
      <c r="P354" s="66"/>
      <c r="R354" s="31"/>
      <c r="S354" s="31"/>
      <c r="T354" s="71"/>
      <c r="U354" s="31"/>
      <c r="W354" s="31"/>
      <c r="Y354" s="31"/>
      <c r="Z354" s="31"/>
      <c r="AA354" s="31"/>
      <c r="AB354" s="31"/>
      <c r="AC354" s="31"/>
      <c r="AD354" s="31"/>
      <c r="AE354" s="31"/>
      <c r="AG354" s="31"/>
    </row>
    <row r="355" spans="1:33" ht="14.45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31"/>
      <c r="P355" s="66"/>
      <c r="R355" s="31"/>
      <c r="S355" s="31"/>
      <c r="T355" s="71"/>
      <c r="U355" s="31"/>
      <c r="W355" s="31"/>
      <c r="Y355" s="31"/>
      <c r="Z355" s="31"/>
      <c r="AA355" s="31"/>
      <c r="AB355" s="31"/>
      <c r="AC355" s="31"/>
      <c r="AD355" s="31"/>
      <c r="AE355" s="31"/>
      <c r="AG355" s="31"/>
    </row>
    <row r="356" spans="1:33" ht="14.45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31"/>
      <c r="P356" s="66"/>
      <c r="R356" s="31"/>
      <c r="S356" s="31"/>
      <c r="T356" s="71"/>
      <c r="U356" s="31"/>
      <c r="W356" s="31"/>
      <c r="Y356" s="31"/>
      <c r="Z356" s="31"/>
      <c r="AA356" s="31"/>
      <c r="AB356" s="31"/>
      <c r="AC356" s="31"/>
      <c r="AD356" s="31"/>
      <c r="AE356" s="31"/>
      <c r="AG356" s="31"/>
    </row>
    <row r="357" spans="1:33" ht="14.45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31"/>
      <c r="P357" s="66"/>
      <c r="R357" s="31"/>
      <c r="S357" s="31"/>
      <c r="T357" s="71"/>
      <c r="U357" s="31"/>
      <c r="W357" s="31"/>
      <c r="Y357" s="31"/>
      <c r="Z357" s="31"/>
      <c r="AA357" s="31"/>
      <c r="AB357" s="31"/>
      <c r="AC357" s="31"/>
      <c r="AD357" s="31"/>
      <c r="AE357" s="31"/>
      <c r="AG357" s="31"/>
    </row>
    <row r="358" spans="1:33" ht="14.45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31"/>
      <c r="P358" s="66"/>
      <c r="R358" s="31"/>
      <c r="S358" s="31"/>
      <c r="T358" s="71"/>
      <c r="U358" s="31"/>
      <c r="W358" s="31"/>
      <c r="Y358" s="31"/>
      <c r="Z358" s="31"/>
      <c r="AA358" s="31"/>
      <c r="AB358" s="31"/>
      <c r="AC358" s="31"/>
      <c r="AD358" s="31"/>
      <c r="AE358" s="31"/>
      <c r="AG358" s="31"/>
    </row>
    <row r="359" spans="1:33" ht="14.45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31"/>
      <c r="P359" s="66"/>
      <c r="R359" s="31"/>
      <c r="S359" s="31"/>
      <c r="T359" s="71"/>
      <c r="U359" s="31"/>
      <c r="W359" s="31"/>
      <c r="Y359" s="31"/>
      <c r="Z359" s="31"/>
      <c r="AA359" s="31"/>
      <c r="AB359" s="31"/>
      <c r="AC359" s="31"/>
      <c r="AD359" s="31"/>
      <c r="AE359" s="31"/>
      <c r="AG359" s="31"/>
    </row>
    <row r="360" spans="1:33" ht="14.45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31"/>
      <c r="P360" s="66"/>
      <c r="R360" s="31"/>
      <c r="S360" s="31"/>
      <c r="T360" s="71"/>
      <c r="U360" s="31"/>
      <c r="W360" s="31"/>
      <c r="Y360" s="31"/>
      <c r="Z360" s="31"/>
      <c r="AA360" s="31"/>
      <c r="AB360" s="31"/>
      <c r="AC360" s="31"/>
      <c r="AD360" s="31"/>
      <c r="AE360" s="31"/>
      <c r="AG360" s="31"/>
    </row>
    <row r="361" spans="1:33" ht="14.45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31"/>
      <c r="P361" s="66"/>
      <c r="R361" s="31"/>
      <c r="S361" s="31"/>
      <c r="T361" s="71"/>
      <c r="U361" s="31"/>
      <c r="W361" s="31"/>
      <c r="Y361" s="31"/>
      <c r="Z361" s="31"/>
      <c r="AA361" s="31"/>
      <c r="AB361" s="31"/>
      <c r="AC361" s="31"/>
      <c r="AD361" s="31"/>
      <c r="AE361" s="31"/>
      <c r="AG361" s="31"/>
    </row>
    <row r="362" spans="1:33" ht="14.45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31"/>
      <c r="P362" s="66"/>
      <c r="R362" s="31"/>
      <c r="S362" s="31"/>
      <c r="T362" s="71"/>
      <c r="U362" s="31"/>
      <c r="W362" s="31"/>
      <c r="Y362" s="31"/>
      <c r="Z362" s="31"/>
      <c r="AA362" s="31"/>
      <c r="AB362" s="31"/>
      <c r="AC362" s="31"/>
      <c r="AD362" s="31"/>
      <c r="AE362" s="31"/>
      <c r="AG362" s="31"/>
    </row>
    <row r="363" spans="1:33" ht="14.45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31"/>
      <c r="P363" s="66"/>
      <c r="R363" s="31"/>
      <c r="S363" s="31"/>
      <c r="T363" s="71"/>
      <c r="U363" s="31"/>
      <c r="W363" s="31"/>
      <c r="Y363" s="31"/>
      <c r="Z363" s="31"/>
      <c r="AA363" s="31"/>
      <c r="AB363" s="31"/>
      <c r="AC363" s="31"/>
      <c r="AD363" s="31"/>
      <c r="AE363" s="31"/>
      <c r="AG363" s="31"/>
    </row>
    <row r="364" spans="1:33" ht="14.45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31"/>
      <c r="P364" s="66"/>
      <c r="R364" s="31"/>
      <c r="S364" s="31"/>
      <c r="T364" s="71"/>
      <c r="U364" s="31"/>
      <c r="W364" s="31"/>
      <c r="Y364" s="31"/>
      <c r="Z364" s="31"/>
      <c r="AA364" s="31"/>
      <c r="AB364" s="31"/>
      <c r="AC364" s="31"/>
      <c r="AD364" s="31"/>
      <c r="AE364" s="31"/>
      <c r="AG364" s="31"/>
    </row>
    <row r="365" spans="1:33" ht="14.45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31"/>
      <c r="P365" s="66"/>
      <c r="R365" s="31"/>
      <c r="S365" s="31"/>
      <c r="T365" s="71"/>
      <c r="U365" s="31"/>
      <c r="W365" s="31"/>
      <c r="Y365" s="31"/>
      <c r="Z365" s="31"/>
      <c r="AA365" s="31"/>
      <c r="AB365" s="31"/>
      <c r="AC365" s="31"/>
      <c r="AD365" s="31"/>
      <c r="AE365" s="31"/>
      <c r="AG365" s="31"/>
    </row>
    <row r="366" spans="1:33" ht="14.45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31"/>
      <c r="P366" s="66"/>
      <c r="R366" s="31"/>
      <c r="S366" s="31"/>
      <c r="T366" s="71"/>
      <c r="U366" s="31"/>
      <c r="W366" s="31"/>
      <c r="Y366" s="31"/>
      <c r="Z366" s="31"/>
      <c r="AA366" s="31"/>
      <c r="AB366" s="31"/>
      <c r="AC366" s="31"/>
      <c r="AD366" s="31"/>
      <c r="AE366" s="31"/>
      <c r="AG366" s="31"/>
    </row>
    <row r="367" spans="1:33" ht="14.45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31"/>
      <c r="P367" s="66"/>
      <c r="R367" s="31"/>
      <c r="S367" s="31"/>
      <c r="T367" s="71"/>
      <c r="U367" s="31"/>
      <c r="W367" s="31"/>
      <c r="Y367" s="31"/>
      <c r="Z367" s="31"/>
      <c r="AA367" s="31"/>
      <c r="AB367" s="31"/>
      <c r="AC367" s="31"/>
      <c r="AD367" s="31"/>
      <c r="AE367" s="31"/>
      <c r="AG367" s="31"/>
    </row>
    <row r="368" spans="1:33" ht="14.45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31"/>
      <c r="P368" s="66"/>
      <c r="R368" s="31"/>
      <c r="S368" s="31"/>
      <c r="T368" s="71"/>
      <c r="U368" s="31"/>
      <c r="W368" s="31"/>
      <c r="Y368" s="31"/>
      <c r="Z368" s="31"/>
      <c r="AA368" s="31"/>
      <c r="AB368" s="31"/>
      <c r="AC368" s="31"/>
      <c r="AD368" s="31"/>
      <c r="AE368" s="31"/>
      <c r="AG368" s="31"/>
    </row>
    <row r="369" spans="1:33" ht="14.45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31"/>
      <c r="P369" s="66"/>
      <c r="R369" s="31"/>
      <c r="S369" s="31"/>
      <c r="T369" s="71"/>
      <c r="U369" s="31"/>
      <c r="W369" s="31"/>
      <c r="Y369" s="31"/>
      <c r="Z369" s="31"/>
      <c r="AA369" s="31"/>
      <c r="AB369" s="31"/>
      <c r="AC369" s="31"/>
      <c r="AD369" s="31"/>
      <c r="AE369" s="31"/>
      <c r="AG369" s="31"/>
    </row>
    <row r="370" spans="1:33" ht="14.45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31"/>
      <c r="P370" s="66"/>
      <c r="R370" s="31"/>
      <c r="S370" s="31"/>
      <c r="T370" s="71"/>
      <c r="U370" s="31"/>
      <c r="W370" s="31"/>
      <c r="Y370" s="31"/>
      <c r="Z370" s="31"/>
      <c r="AA370" s="31"/>
      <c r="AB370" s="31"/>
      <c r="AC370" s="31"/>
      <c r="AD370" s="31"/>
      <c r="AE370" s="31"/>
      <c r="AG370" s="31"/>
    </row>
    <row r="371" spans="1:33" ht="14.45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31"/>
      <c r="P371" s="66"/>
      <c r="R371" s="31"/>
      <c r="S371" s="31"/>
      <c r="T371" s="71"/>
      <c r="U371" s="31"/>
      <c r="W371" s="31"/>
      <c r="Y371" s="31"/>
      <c r="Z371" s="31"/>
      <c r="AA371" s="31"/>
      <c r="AB371" s="31"/>
      <c r="AC371" s="31"/>
      <c r="AD371" s="31"/>
      <c r="AE371" s="31"/>
      <c r="AG371" s="31"/>
    </row>
    <row r="372" spans="1:33" ht="14.45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31"/>
      <c r="P372" s="66"/>
      <c r="R372" s="31"/>
      <c r="S372" s="31"/>
      <c r="T372" s="71"/>
      <c r="U372" s="31"/>
      <c r="W372" s="31"/>
      <c r="Y372" s="31"/>
      <c r="Z372" s="31"/>
      <c r="AA372" s="31"/>
      <c r="AB372" s="31"/>
      <c r="AC372" s="31"/>
      <c r="AD372" s="31"/>
      <c r="AE372" s="31"/>
      <c r="AG372" s="31"/>
    </row>
    <row r="373" spans="1:33" ht="14.45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31"/>
      <c r="P373" s="66"/>
      <c r="R373" s="31"/>
      <c r="S373" s="31"/>
      <c r="T373" s="71"/>
      <c r="U373" s="31"/>
      <c r="W373" s="31"/>
      <c r="Y373" s="31"/>
      <c r="Z373" s="31"/>
      <c r="AA373" s="31"/>
      <c r="AB373" s="31"/>
      <c r="AC373" s="31"/>
      <c r="AD373" s="31"/>
      <c r="AE373" s="31"/>
      <c r="AG373" s="31"/>
    </row>
    <row r="374" spans="1:33" ht="14.45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31"/>
      <c r="P374" s="66"/>
      <c r="R374" s="31"/>
      <c r="S374" s="31"/>
      <c r="T374" s="71"/>
      <c r="U374" s="31"/>
      <c r="W374" s="31"/>
      <c r="Y374" s="31"/>
      <c r="Z374" s="31"/>
      <c r="AA374" s="31"/>
      <c r="AB374" s="31"/>
      <c r="AC374" s="31"/>
      <c r="AD374" s="31"/>
      <c r="AE374" s="31"/>
      <c r="AG374" s="31"/>
    </row>
    <row r="375" spans="1:33" ht="14.45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31"/>
      <c r="P375" s="66"/>
      <c r="R375" s="31"/>
      <c r="S375" s="31"/>
      <c r="T375" s="71"/>
      <c r="U375" s="31"/>
      <c r="W375" s="31"/>
      <c r="Y375" s="31"/>
      <c r="Z375" s="31"/>
      <c r="AA375" s="31"/>
      <c r="AB375" s="31"/>
      <c r="AC375" s="31"/>
      <c r="AD375" s="31"/>
      <c r="AE375" s="31"/>
      <c r="AG375" s="31"/>
    </row>
    <row r="376" spans="1:33" ht="14.45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31"/>
      <c r="P376" s="66"/>
      <c r="R376" s="31"/>
      <c r="S376" s="31"/>
      <c r="T376" s="71"/>
      <c r="U376" s="31"/>
      <c r="W376" s="31"/>
      <c r="Y376" s="31"/>
      <c r="Z376" s="31"/>
      <c r="AA376" s="31"/>
      <c r="AB376" s="31"/>
      <c r="AC376" s="31"/>
      <c r="AD376" s="31"/>
      <c r="AE376" s="31"/>
      <c r="AG376" s="31"/>
    </row>
    <row r="377" spans="1:33" ht="14.45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31"/>
      <c r="P377" s="66"/>
      <c r="R377" s="31"/>
      <c r="S377" s="31"/>
      <c r="T377" s="71"/>
      <c r="U377" s="31"/>
      <c r="W377" s="31"/>
      <c r="Y377" s="31"/>
      <c r="Z377" s="31"/>
      <c r="AA377" s="31"/>
      <c r="AB377" s="31"/>
      <c r="AC377" s="31"/>
      <c r="AD377" s="31"/>
      <c r="AE377" s="31"/>
      <c r="AG377" s="31"/>
    </row>
    <row r="378" spans="1:33" ht="14.45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31"/>
      <c r="P378" s="66"/>
      <c r="R378" s="31"/>
      <c r="S378" s="31"/>
      <c r="T378" s="71"/>
      <c r="U378" s="31"/>
      <c r="W378" s="31"/>
      <c r="Y378" s="31"/>
      <c r="Z378" s="31"/>
      <c r="AA378" s="31"/>
      <c r="AB378" s="31"/>
      <c r="AC378" s="31"/>
      <c r="AD378" s="31"/>
      <c r="AE378" s="31"/>
      <c r="AG378" s="31"/>
    </row>
    <row r="379" spans="1:33" ht="14.45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31"/>
      <c r="P379" s="66"/>
      <c r="R379" s="31"/>
      <c r="S379" s="31"/>
      <c r="T379" s="71"/>
      <c r="U379" s="31"/>
      <c r="W379" s="31"/>
      <c r="Y379" s="31"/>
      <c r="Z379" s="31"/>
      <c r="AA379" s="31"/>
      <c r="AB379" s="31"/>
      <c r="AC379" s="31"/>
      <c r="AD379" s="31"/>
      <c r="AE379" s="31"/>
      <c r="AG379" s="31"/>
    </row>
    <row r="380" spans="1:33" ht="14.45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31"/>
      <c r="P380" s="66"/>
      <c r="R380" s="31"/>
      <c r="S380" s="31"/>
      <c r="T380" s="71"/>
      <c r="U380" s="31"/>
      <c r="W380" s="31"/>
      <c r="Y380" s="31"/>
      <c r="Z380" s="31"/>
      <c r="AA380" s="31"/>
      <c r="AB380" s="31"/>
      <c r="AC380" s="31"/>
      <c r="AD380" s="31"/>
      <c r="AE380" s="31"/>
      <c r="AG380" s="31"/>
    </row>
    <row r="381" spans="1:33" ht="14.45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31"/>
      <c r="P381" s="66"/>
      <c r="R381" s="31"/>
      <c r="S381" s="31"/>
      <c r="T381" s="71"/>
      <c r="U381" s="31"/>
      <c r="W381" s="31"/>
      <c r="Y381" s="31"/>
      <c r="Z381" s="31"/>
      <c r="AA381" s="31"/>
      <c r="AB381" s="31"/>
      <c r="AC381" s="31"/>
      <c r="AD381" s="31"/>
      <c r="AE381" s="31"/>
      <c r="AG381" s="31"/>
    </row>
    <row r="382" spans="1:33" ht="14.45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31"/>
      <c r="P382" s="66"/>
      <c r="R382" s="31"/>
      <c r="S382" s="31"/>
      <c r="T382" s="71"/>
      <c r="U382" s="31"/>
      <c r="W382" s="31"/>
      <c r="Y382" s="31"/>
      <c r="Z382" s="31"/>
      <c r="AA382" s="31"/>
      <c r="AB382" s="31"/>
      <c r="AC382" s="31"/>
      <c r="AD382" s="31"/>
      <c r="AE382" s="31"/>
      <c r="AG382" s="31"/>
    </row>
    <row r="383" spans="1:33" ht="14.45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31"/>
      <c r="P383" s="66"/>
      <c r="R383" s="31"/>
      <c r="S383" s="31"/>
      <c r="T383" s="71"/>
      <c r="U383" s="31"/>
      <c r="W383" s="31"/>
      <c r="Y383" s="31"/>
      <c r="Z383" s="31"/>
      <c r="AA383" s="31"/>
      <c r="AB383" s="31"/>
      <c r="AC383" s="31"/>
      <c r="AD383" s="31"/>
      <c r="AE383" s="31"/>
      <c r="AG383" s="31"/>
    </row>
    <row r="384" spans="1:33" ht="14.45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31"/>
      <c r="P384" s="66"/>
      <c r="R384" s="31"/>
      <c r="S384" s="31"/>
      <c r="T384" s="71"/>
      <c r="U384" s="31"/>
      <c r="W384" s="31"/>
      <c r="Y384" s="31"/>
      <c r="Z384" s="31"/>
      <c r="AA384" s="31"/>
      <c r="AB384" s="31"/>
      <c r="AC384" s="31"/>
      <c r="AD384" s="31"/>
      <c r="AE384" s="31"/>
      <c r="AG384" s="31"/>
    </row>
    <row r="385" spans="1:33" ht="14.45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31"/>
      <c r="P385" s="66"/>
      <c r="R385" s="31"/>
      <c r="S385" s="31"/>
      <c r="T385" s="71"/>
      <c r="U385" s="31"/>
      <c r="W385" s="31"/>
      <c r="Y385" s="31"/>
      <c r="Z385" s="31"/>
      <c r="AA385" s="31"/>
      <c r="AB385" s="31"/>
      <c r="AC385" s="31"/>
      <c r="AD385" s="31"/>
      <c r="AE385" s="31"/>
      <c r="AG385" s="31"/>
    </row>
    <row r="386" spans="1:33" ht="14.45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31"/>
      <c r="P386" s="66"/>
      <c r="R386" s="31"/>
      <c r="S386" s="31"/>
      <c r="T386" s="71"/>
      <c r="U386" s="31"/>
      <c r="W386" s="31"/>
      <c r="Y386" s="31"/>
      <c r="Z386" s="31"/>
      <c r="AA386" s="31"/>
      <c r="AB386" s="31"/>
      <c r="AC386" s="31"/>
      <c r="AD386" s="31"/>
      <c r="AE386" s="31"/>
      <c r="AG386" s="31"/>
    </row>
    <row r="387" spans="1:33" ht="14.45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31"/>
      <c r="P387" s="66"/>
      <c r="R387" s="31"/>
      <c r="S387" s="31"/>
      <c r="T387" s="71"/>
      <c r="U387" s="31"/>
      <c r="W387" s="31"/>
      <c r="Y387" s="31"/>
      <c r="Z387" s="31"/>
      <c r="AA387" s="31"/>
      <c r="AB387" s="31"/>
      <c r="AC387" s="31"/>
      <c r="AD387" s="31"/>
      <c r="AE387" s="31"/>
      <c r="AG387" s="31"/>
    </row>
    <row r="388" spans="1:33" ht="14.45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31"/>
      <c r="P388" s="66"/>
      <c r="R388" s="31"/>
      <c r="S388" s="31"/>
      <c r="T388" s="71"/>
      <c r="U388" s="31"/>
      <c r="W388" s="31"/>
      <c r="Y388" s="31"/>
      <c r="Z388" s="31"/>
      <c r="AA388" s="31"/>
      <c r="AB388" s="31"/>
      <c r="AC388" s="31"/>
      <c r="AD388" s="31"/>
      <c r="AE388" s="31"/>
      <c r="AG388" s="31"/>
    </row>
    <row r="389" spans="1:33" ht="14.45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31"/>
      <c r="P389" s="66"/>
      <c r="R389" s="31"/>
      <c r="S389" s="31"/>
      <c r="T389" s="71"/>
      <c r="U389" s="31"/>
      <c r="W389" s="31"/>
      <c r="Y389" s="31"/>
      <c r="Z389" s="31"/>
      <c r="AA389" s="31"/>
      <c r="AB389" s="31"/>
      <c r="AC389" s="31"/>
      <c r="AD389" s="31"/>
      <c r="AE389" s="31"/>
      <c r="AG389" s="31"/>
    </row>
    <row r="390" spans="1:33" ht="14.45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31"/>
      <c r="P390" s="66"/>
      <c r="R390" s="31"/>
      <c r="S390" s="31"/>
      <c r="T390" s="71"/>
      <c r="U390" s="31"/>
      <c r="W390" s="31"/>
      <c r="Y390" s="31"/>
      <c r="Z390" s="31"/>
      <c r="AA390" s="31"/>
      <c r="AB390" s="31"/>
      <c r="AC390" s="31"/>
      <c r="AD390" s="31"/>
      <c r="AE390" s="31"/>
      <c r="AG390" s="31"/>
    </row>
    <row r="391" spans="1:33" ht="14.45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31"/>
      <c r="P391" s="66"/>
      <c r="R391" s="31"/>
      <c r="S391" s="31"/>
      <c r="T391" s="71"/>
      <c r="U391" s="31"/>
      <c r="W391" s="31"/>
      <c r="Y391" s="31"/>
      <c r="Z391" s="31"/>
      <c r="AA391" s="31"/>
      <c r="AB391" s="31"/>
      <c r="AC391" s="31"/>
      <c r="AD391" s="31"/>
      <c r="AE391" s="31"/>
      <c r="AG391" s="31"/>
    </row>
    <row r="392" spans="1:33" ht="14.45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31"/>
      <c r="P392" s="66"/>
      <c r="R392" s="31"/>
      <c r="S392" s="31"/>
      <c r="T392" s="71"/>
      <c r="U392" s="31"/>
      <c r="W392" s="31"/>
      <c r="Y392" s="31"/>
      <c r="Z392" s="31"/>
      <c r="AA392" s="31"/>
      <c r="AB392" s="31"/>
      <c r="AC392" s="31"/>
      <c r="AD392" s="31"/>
      <c r="AE392" s="31"/>
      <c r="AG392" s="31"/>
    </row>
    <row r="393" spans="1:33" ht="14.45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31"/>
      <c r="P393" s="66"/>
      <c r="R393" s="31"/>
      <c r="S393" s="31"/>
      <c r="T393" s="71"/>
      <c r="U393" s="31"/>
      <c r="W393" s="31"/>
      <c r="Y393" s="31"/>
      <c r="Z393" s="31"/>
      <c r="AA393" s="31"/>
      <c r="AB393" s="31"/>
      <c r="AC393" s="31"/>
      <c r="AD393" s="31"/>
      <c r="AE393" s="31"/>
      <c r="AG393" s="31"/>
    </row>
    <row r="394" spans="1:33" ht="14.45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31"/>
      <c r="P394" s="66"/>
      <c r="R394" s="31"/>
      <c r="S394" s="31"/>
      <c r="T394" s="71"/>
      <c r="U394" s="31"/>
      <c r="W394" s="31"/>
      <c r="Y394" s="31"/>
      <c r="Z394" s="31"/>
      <c r="AA394" s="31"/>
      <c r="AB394" s="31"/>
      <c r="AC394" s="31"/>
      <c r="AD394" s="31"/>
      <c r="AE394" s="31"/>
      <c r="AG394" s="31"/>
    </row>
    <row r="395" spans="1:33" ht="14.45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31"/>
      <c r="P395" s="66"/>
      <c r="R395" s="31"/>
      <c r="S395" s="31"/>
      <c r="T395" s="71"/>
      <c r="U395" s="31"/>
      <c r="W395" s="31"/>
      <c r="Y395" s="31"/>
      <c r="Z395" s="31"/>
      <c r="AA395" s="31"/>
      <c r="AB395" s="31"/>
      <c r="AC395" s="31"/>
      <c r="AD395" s="31"/>
      <c r="AE395" s="31"/>
      <c r="AG395" s="31"/>
    </row>
    <row r="396" spans="1:33" ht="14.45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31"/>
      <c r="P396" s="66"/>
      <c r="R396" s="31"/>
      <c r="S396" s="31"/>
      <c r="T396" s="71"/>
      <c r="U396" s="31"/>
      <c r="W396" s="31"/>
      <c r="Y396" s="31"/>
      <c r="Z396" s="31"/>
      <c r="AA396" s="31"/>
      <c r="AB396" s="31"/>
      <c r="AC396" s="31"/>
      <c r="AD396" s="31"/>
      <c r="AE396" s="31"/>
      <c r="AG396" s="31"/>
    </row>
    <row r="397" spans="1:33" ht="14.45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31"/>
      <c r="P397" s="66"/>
      <c r="R397" s="31"/>
      <c r="S397" s="31"/>
      <c r="T397" s="71"/>
      <c r="U397" s="31"/>
      <c r="W397" s="31"/>
      <c r="Y397" s="31"/>
      <c r="Z397" s="31"/>
      <c r="AA397" s="31"/>
      <c r="AB397" s="31"/>
      <c r="AC397" s="31"/>
      <c r="AD397" s="31"/>
      <c r="AE397" s="31"/>
      <c r="AG397" s="31"/>
    </row>
    <row r="398" spans="1:33" ht="14.45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31"/>
      <c r="P398" s="66"/>
      <c r="R398" s="31"/>
      <c r="S398" s="31"/>
      <c r="T398" s="71"/>
      <c r="U398" s="31"/>
      <c r="W398" s="31"/>
      <c r="Y398" s="31"/>
      <c r="Z398" s="31"/>
      <c r="AA398" s="31"/>
      <c r="AB398" s="31"/>
      <c r="AC398" s="31"/>
      <c r="AD398" s="31"/>
      <c r="AE398" s="31"/>
      <c r="AG398" s="31"/>
    </row>
    <row r="399" spans="1:33" ht="14.45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31"/>
      <c r="P399" s="66"/>
      <c r="R399" s="31"/>
      <c r="S399" s="31"/>
      <c r="T399" s="71"/>
      <c r="U399" s="31"/>
      <c r="W399" s="31"/>
      <c r="Y399" s="31"/>
      <c r="Z399" s="31"/>
      <c r="AA399" s="31"/>
      <c r="AB399" s="31"/>
      <c r="AC399" s="31"/>
      <c r="AD399" s="31"/>
      <c r="AE399" s="31"/>
      <c r="AG399" s="31"/>
    </row>
    <row r="400" spans="1:33" ht="14.45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31"/>
      <c r="P400" s="66"/>
      <c r="R400" s="31"/>
      <c r="S400" s="31"/>
      <c r="T400" s="71"/>
      <c r="U400" s="31"/>
      <c r="W400" s="31"/>
      <c r="Y400" s="31"/>
      <c r="Z400" s="31"/>
      <c r="AA400" s="31"/>
      <c r="AB400" s="31"/>
      <c r="AC400" s="31"/>
      <c r="AD400" s="31"/>
      <c r="AE400" s="31"/>
      <c r="AG400" s="31"/>
    </row>
    <row r="401" spans="1:33" ht="14.45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31"/>
      <c r="P401" s="66"/>
      <c r="R401" s="31"/>
      <c r="S401" s="31"/>
      <c r="T401" s="71"/>
      <c r="U401" s="31"/>
      <c r="W401" s="31"/>
      <c r="Y401" s="31"/>
      <c r="Z401" s="31"/>
      <c r="AA401" s="31"/>
      <c r="AB401" s="31"/>
      <c r="AC401" s="31"/>
      <c r="AD401" s="31"/>
      <c r="AE401" s="31"/>
      <c r="AG401" s="31"/>
    </row>
    <row r="402" spans="1:33" ht="14.45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31"/>
      <c r="P402" s="66"/>
      <c r="R402" s="31"/>
      <c r="S402" s="31"/>
      <c r="T402" s="71"/>
      <c r="U402" s="31"/>
      <c r="W402" s="31"/>
      <c r="Y402" s="31"/>
      <c r="Z402" s="31"/>
      <c r="AA402" s="31"/>
      <c r="AB402" s="31"/>
      <c r="AC402" s="31"/>
      <c r="AD402" s="31"/>
      <c r="AE402" s="31"/>
      <c r="AG402" s="31"/>
    </row>
    <row r="403" spans="1:33" ht="14.45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31"/>
      <c r="P403" s="66"/>
      <c r="R403" s="31"/>
      <c r="S403" s="31"/>
      <c r="T403" s="71"/>
      <c r="U403" s="31"/>
      <c r="W403" s="31"/>
      <c r="Y403" s="31"/>
      <c r="Z403" s="31"/>
      <c r="AA403" s="31"/>
      <c r="AB403" s="31"/>
      <c r="AC403" s="31"/>
      <c r="AD403" s="31"/>
      <c r="AE403" s="31"/>
      <c r="AG403" s="31"/>
    </row>
    <row r="404" spans="1:33" ht="14.45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31"/>
      <c r="P404" s="66"/>
      <c r="R404" s="31"/>
      <c r="S404" s="31"/>
      <c r="T404" s="71"/>
      <c r="U404" s="31"/>
      <c r="W404" s="31"/>
      <c r="Y404" s="31"/>
      <c r="Z404" s="31"/>
      <c r="AA404" s="31"/>
      <c r="AB404" s="31"/>
      <c r="AC404" s="31"/>
      <c r="AD404" s="31"/>
      <c r="AE404" s="31"/>
      <c r="AG404" s="31"/>
    </row>
    <row r="405" spans="1:33" ht="14.45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31"/>
      <c r="P405" s="66"/>
      <c r="R405" s="31"/>
      <c r="S405" s="31"/>
      <c r="T405" s="71"/>
      <c r="U405" s="31"/>
      <c r="W405" s="31"/>
      <c r="Y405" s="31"/>
      <c r="Z405" s="31"/>
      <c r="AA405" s="31"/>
      <c r="AB405" s="31"/>
      <c r="AC405" s="31"/>
      <c r="AD405" s="31"/>
      <c r="AE405" s="31"/>
      <c r="AG405" s="31"/>
    </row>
    <row r="406" spans="1:33" ht="14.45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31"/>
      <c r="P406" s="66"/>
      <c r="R406" s="31"/>
      <c r="S406" s="31"/>
      <c r="T406" s="71"/>
      <c r="U406" s="31"/>
      <c r="W406" s="31"/>
      <c r="Y406" s="31"/>
      <c r="Z406" s="31"/>
      <c r="AA406" s="31"/>
      <c r="AB406" s="31"/>
      <c r="AC406" s="31"/>
      <c r="AD406" s="31"/>
      <c r="AE406" s="31"/>
      <c r="AG406" s="31"/>
    </row>
    <row r="407" spans="1:33" ht="14.45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31"/>
      <c r="P407" s="66"/>
      <c r="R407" s="31"/>
      <c r="S407" s="31"/>
      <c r="T407" s="71"/>
      <c r="U407" s="31"/>
      <c r="W407" s="31"/>
      <c r="Y407" s="31"/>
      <c r="Z407" s="31"/>
      <c r="AA407" s="31"/>
      <c r="AB407" s="31"/>
      <c r="AC407" s="31"/>
      <c r="AD407" s="31"/>
      <c r="AE407" s="31"/>
      <c r="AG407" s="31"/>
    </row>
    <row r="408" spans="1:33" ht="14.45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31"/>
      <c r="P408" s="66"/>
      <c r="R408" s="31"/>
      <c r="S408" s="31"/>
      <c r="T408" s="71"/>
      <c r="U408" s="31"/>
      <c r="W408" s="31"/>
      <c r="Y408" s="31"/>
      <c r="Z408" s="31"/>
      <c r="AA408" s="31"/>
      <c r="AB408" s="31"/>
      <c r="AC408" s="31"/>
      <c r="AD408" s="31"/>
      <c r="AE408" s="31"/>
      <c r="AG408" s="31"/>
    </row>
    <row r="409" spans="1:33" ht="14.45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31"/>
      <c r="P409" s="66"/>
      <c r="R409" s="31"/>
      <c r="S409" s="31"/>
      <c r="T409" s="71"/>
      <c r="U409" s="31"/>
      <c r="W409" s="31"/>
      <c r="Y409" s="31"/>
      <c r="Z409" s="31"/>
      <c r="AA409" s="31"/>
      <c r="AB409" s="31"/>
      <c r="AC409" s="31"/>
      <c r="AD409" s="31"/>
      <c r="AE409" s="31"/>
      <c r="AG409" s="31"/>
    </row>
    <row r="410" spans="1:33" ht="14.45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31"/>
      <c r="P410" s="66"/>
      <c r="R410" s="31"/>
      <c r="S410" s="31"/>
      <c r="T410" s="71"/>
      <c r="U410" s="31"/>
      <c r="W410" s="31"/>
      <c r="Y410" s="31"/>
      <c r="Z410" s="31"/>
      <c r="AA410" s="31"/>
      <c r="AB410" s="31"/>
      <c r="AC410" s="31"/>
      <c r="AD410" s="31"/>
      <c r="AE410" s="31"/>
      <c r="AG410" s="31"/>
    </row>
    <row r="411" spans="1:33" ht="14.45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31"/>
      <c r="P411" s="66"/>
      <c r="R411" s="31"/>
      <c r="S411" s="31"/>
      <c r="T411" s="71"/>
      <c r="U411" s="31"/>
      <c r="W411" s="31"/>
      <c r="Y411" s="31"/>
      <c r="Z411" s="31"/>
      <c r="AA411" s="31"/>
      <c r="AB411" s="31"/>
      <c r="AC411" s="31"/>
      <c r="AD411" s="31"/>
      <c r="AE411" s="31"/>
      <c r="AG411" s="31"/>
    </row>
    <row r="412" spans="1:33" ht="14.45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31"/>
      <c r="P412" s="66"/>
      <c r="R412" s="31"/>
      <c r="S412" s="31"/>
      <c r="T412" s="71"/>
      <c r="U412" s="31"/>
      <c r="W412" s="31"/>
      <c r="Y412" s="31"/>
      <c r="Z412" s="31"/>
      <c r="AA412" s="31"/>
      <c r="AB412" s="31"/>
      <c r="AC412" s="31"/>
      <c r="AD412" s="31"/>
      <c r="AE412" s="31"/>
      <c r="AG412" s="31"/>
    </row>
    <row r="413" spans="1:33" ht="14.45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31"/>
      <c r="P413" s="66"/>
      <c r="R413" s="31"/>
      <c r="S413" s="31"/>
      <c r="T413" s="71"/>
      <c r="U413" s="31"/>
      <c r="W413" s="31"/>
      <c r="Y413" s="31"/>
      <c r="Z413" s="31"/>
      <c r="AA413" s="31"/>
      <c r="AB413" s="31"/>
      <c r="AC413" s="31"/>
      <c r="AD413" s="31"/>
      <c r="AE413" s="31"/>
      <c r="AG413" s="31"/>
    </row>
    <row r="414" spans="1:33" ht="14.45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31"/>
      <c r="P414" s="66"/>
      <c r="R414" s="31"/>
      <c r="S414" s="31"/>
      <c r="T414" s="71"/>
      <c r="U414" s="31"/>
      <c r="W414" s="31"/>
      <c r="Y414" s="31"/>
      <c r="Z414" s="31"/>
      <c r="AA414" s="31"/>
      <c r="AB414" s="31"/>
      <c r="AC414" s="31"/>
      <c r="AD414" s="31"/>
      <c r="AE414" s="31"/>
      <c r="AG414" s="31"/>
    </row>
    <row r="415" spans="1:33" ht="14.45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31"/>
      <c r="P415" s="66"/>
      <c r="R415" s="31"/>
      <c r="S415" s="31"/>
      <c r="T415" s="71"/>
      <c r="U415" s="31"/>
      <c r="W415" s="31"/>
      <c r="Y415" s="31"/>
      <c r="Z415" s="31"/>
      <c r="AA415" s="31"/>
      <c r="AB415" s="31"/>
      <c r="AC415" s="31"/>
      <c r="AD415" s="31"/>
      <c r="AE415" s="31"/>
      <c r="AG415" s="31"/>
    </row>
    <row r="416" spans="1:33" ht="14.45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31"/>
      <c r="P416" s="66"/>
      <c r="R416" s="31"/>
      <c r="S416" s="31"/>
      <c r="T416" s="71"/>
      <c r="U416" s="31"/>
      <c r="W416" s="31"/>
      <c r="Y416" s="31"/>
      <c r="Z416" s="31"/>
      <c r="AA416" s="31"/>
      <c r="AB416" s="31"/>
      <c r="AC416" s="31"/>
      <c r="AD416" s="31"/>
      <c r="AE416" s="31"/>
      <c r="AG416" s="31"/>
    </row>
    <row r="417" spans="1:33" ht="14.45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31"/>
      <c r="P417" s="66"/>
      <c r="R417" s="31"/>
      <c r="S417" s="31"/>
      <c r="T417" s="71"/>
      <c r="U417" s="31"/>
      <c r="W417" s="31"/>
      <c r="Y417" s="31"/>
      <c r="Z417" s="31"/>
      <c r="AA417" s="31"/>
      <c r="AB417" s="31"/>
      <c r="AC417" s="31"/>
      <c r="AD417" s="31"/>
      <c r="AE417" s="31"/>
      <c r="AG417" s="31"/>
    </row>
    <row r="418" spans="1:33" ht="14.45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31"/>
      <c r="P418" s="66"/>
      <c r="R418" s="31"/>
      <c r="S418" s="31"/>
      <c r="T418" s="71"/>
      <c r="U418" s="31"/>
      <c r="W418" s="31"/>
      <c r="Y418" s="31"/>
      <c r="Z418" s="31"/>
      <c r="AA418" s="31"/>
      <c r="AB418" s="31"/>
      <c r="AC418" s="31"/>
      <c r="AD418" s="31"/>
      <c r="AE418" s="31"/>
      <c r="AG418" s="31"/>
    </row>
    <row r="419" spans="1:33" ht="14.45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31"/>
      <c r="P419" s="66"/>
      <c r="R419" s="31"/>
      <c r="S419" s="31"/>
      <c r="T419" s="71"/>
      <c r="U419" s="31"/>
      <c r="W419" s="31"/>
      <c r="Y419" s="31"/>
      <c r="Z419" s="31"/>
      <c r="AA419" s="31"/>
      <c r="AB419" s="31"/>
      <c r="AC419" s="31"/>
      <c r="AD419" s="31"/>
      <c r="AE419" s="31"/>
      <c r="AG419" s="31"/>
    </row>
    <row r="420" spans="1:33" ht="14.45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31"/>
      <c r="P420" s="66"/>
      <c r="R420" s="31"/>
      <c r="S420" s="31"/>
      <c r="T420" s="71"/>
      <c r="U420" s="31"/>
      <c r="W420" s="31"/>
      <c r="Y420" s="31"/>
      <c r="Z420" s="31"/>
      <c r="AA420" s="31"/>
      <c r="AB420" s="31"/>
      <c r="AC420" s="31"/>
      <c r="AD420" s="31"/>
      <c r="AE420" s="31"/>
      <c r="AG420" s="31"/>
    </row>
    <row r="421" spans="1:33" ht="14.45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31"/>
      <c r="P421" s="66"/>
      <c r="R421" s="31"/>
      <c r="S421" s="31"/>
      <c r="T421" s="71"/>
      <c r="U421" s="31"/>
      <c r="W421" s="31"/>
      <c r="Y421" s="31"/>
      <c r="Z421" s="31"/>
      <c r="AA421" s="31"/>
      <c r="AB421" s="31"/>
      <c r="AC421" s="31"/>
      <c r="AD421" s="31"/>
      <c r="AE421" s="31"/>
      <c r="AG421" s="31"/>
    </row>
    <row r="422" spans="1:33" ht="14.45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31"/>
      <c r="P422" s="66"/>
      <c r="R422" s="31"/>
      <c r="S422" s="31"/>
      <c r="T422" s="71"/>
      <c r="U422" s="31"/>
      <c r="W422" s="31"/>
      <c r="Y422" s="31"/>
      <c r="Z422" s="31"/>
      <c r="AA422" s="31"/>
      <c r="AB422" s="31"/>
      <c r="AC422" s="31"/>
      <c r="AD422" s="31"/>
      <c r="AE422" s="31"/>
      <c r="AG422" s="31"/>
    </row>
    <row r="423" spans="1:33" ht="14.45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31"/>
      <c r="P423" s="66"/>
      <c r="R423" s="31"/>
      <c r="S423" s="31"/>
      <c r="T423" s="71"/>
      <c r="U423" s="31"/>
      <c r="W423" s="31"/>
      <c r="Y423" s="31"/>
      <c r="Z423" s="31"/>
      <c r="AA423" s="31"/>
      <c r="AB423" s="31"/>
      <c r="AC423" s="31"/>
      <c r="AD423" s="31"/>
      <c r="AE423" s="31"/>
      <c r="AG423" s="31"/>
    </row>
    <row r="424" spans="1:33" ht="14.45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31"/>
      <c r="P424" s="66"/>
      <c r="R424" s="31"/>
      <c r="S424" s="31"/>
      <c r="T424" s="71"/>
      <c r="U424" s="31"/>
      <c r="W424" s="31"/>
      <c r="Y424" s="31"/>
      <c r="Z424" s="31"/>
      <c r="AA424" s="31"/>
      <c r="AB424" s="31"/>
      <c r="AC424" s="31"/>
      <c r="AD424" s="31"/>
      <c r="AE424" s="31"/>
      <c r="AG424" s="31"/>
    </row>
    <row r="425" spans="1:33" ht="14.45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31"/>
      <c r="P425" s="66"/>
      <c r="R425" s="31"/>
      <c r="S425" s="31"/>
      <c r="T425" s="71"/>
      <c r="U425" s="31"/>
      <c r="W425" s="31"/>
      <c r="Y425" s="31"/>
      <c r="Z425" s="31"/>
      <c r="AA425" s="31"/>
      <c r="AB425" s="31"/>
      <c r="AC425" s="31"/>
      <c r="AD425" s="31"/>
      <c r="AE425" s="31"/>
      <c r="AG425" s="31"/>
    </row>
    <row r="426" spans="1:33" ht="14.45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31"/>
      <c r="P426" s="66"/>
      <c r="R426" s="31"/>
      <c r="S426" s="31"/>
      <c r="T426" s="71"/>
      <c r="U426" s="31"/>
      <c r="W426" s="31"/>
      <c r="Y426" s="31"/>
      <c r="Z426" s="31"/>
      <c r="AA426" s="31"/>
      <c r="AB426" s="31"/>
      <c r="AC426" s="31"/>
      <c r="AD426" s="31"/>
      <c r="AE426" s="31"/>
      <c r="AG426" s="31"/>
    </row>
    <row r="427" spans="1:33" ht="14.45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31"/>
      <c r="P427" s="66"/>
      <c r="R427" s="31"/>
      <c r="S427" s="31"/>
      <c r="T427" s="71"/>
      <c r="U427" s="31"/>
      <c r="W427" s="31"/>
      <c r="Y427" s="31"/>
      <c r="Z427" s="31"/>
      <c r="AA427" s="31"/>
      <c r="AB427" s="31"/>
      <c r="AC427" s="31"/>
      <c r="AD427" s="31"/>
      <c r="AE427" s="31"/>
      <c r="AG427" s="31"/>
    </row>
    <row r="428" spans="1:33" ht="14.45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31"/>
      <c r="P428" s="66"/>
      <c r="R428" s="31"/>
      <c r="S428" s="31"/>
      <c r="T428" s="71"/>
      <c r="U428" s="31"/>
      <c r="W428" s="31"/>
      <c r="Y428" s="31"/>
      <c r="Z428" s="31"/>
      <c r="AA428" s="31"/>
      <c r="AB428" s="31"/>
      <c r="AC428" s="31"/>
      <c r="AD428" s="31"/>
      <c r="AE428" s="31"/>
      <c r="AG428" s="31"/>
    </row>
    <row r="429" spans="1:33" ht="14.45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31"/>
      <c r="P429" s="66"/>
      <c r="R429" s="31"/>
      <c r="S429" s="31"/>
      <c r="T429" s="71"/>
      <c r="U429" s="31"/>
      <c r="W429" s="31"/>
      <c r="Y429" s="31"/>
      <c r="Z429" s="31"/>
      <c r="AA429" s="31"/>
      <c r="AB429" s="31"/>
      <c r="AC429" s="31"/>
      <c r="AD429" s="31"/>
      <c r="AE429" s="31"/>
      <c r="AG429" s="31"/>
    </row>
    <row r="430" spans="1:33" ht="14.45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31"/>
      <c r="P430" s="66"/>
      <c r="R430" s="31"/>
      <c r="S430" s="31"/>
      <c r="T430" s="71"/>
      <c r="U430" s="31"/>
      <c r="W430" s="31"/>
      <c r="Y430" s="31"/>
      <c r="Z430" s="31"/>
      <c r="AA430" s="31"/>
      <c r="AB430" s="31"/>
      <c r="AC430" s="31"/>
      <c r="AD430" s="31"/>
      <c r="AE430" s="31"/>
      <c r="AG430" s="31"/>
    </row>
    <row r="431" spans="1:33" ht="14.45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31"/>
      <c r="P431" s="66"/>
      <c r="R431" s="31"/>
      <c r="S431" s="31"/>
      <c r="T431" s="71"/>
      <c r="U431" s="31"/>
      <c r="W431" s="31"/>
      <c r="Y431" s="31"/>
      <c r="Z431" s="31"/>
      <c r="AA431" s="31"/>
      <c r="AB431" s="31"/>
      <c r="AC431" s="31"/>
      <c r="AD431" s="31"/>
      <c r="AE431" s="31"/>
      <c r="AG431" s="31"/>
    </row>
    <row r="432" spans="1:33" ht="14.45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31"/>
      <c r="P432" s="66"/>
      <c r="R432" s="31"/>
      <c r="S432" s="31"/>
      <c r="T432" s="71"/>
      <c r="U432" s="31"/>
      <c r="W432" s="31"/>
      <c r="Y432" s="31"/>
      <c r="Z432" s="31"/>
      <c r="AA432" s="31"/>
      <c r="AB432" s="31"/>
      <c r="AC432" s="31"/>
      <c r="AD432" s="31"/>
      <c r="AE432" s="31"/>
      <c r="AG432" s="31"/>
    </row>
    <row r="433" spans="1:33" ht="14.45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31"/>
      <c r="P433" s="66"/>
      <c r="R433" s="31"/>
      <c r="S433" s="31"/>
      <c r="T433" s="71"/>
      <c r="U433" s="31"/>
      <c r="W433" s="31"/>
      <c r="Y433" s="31"/>
      <c r="Z433" s="31"/>
      <c r="AA433" s="31"/>
      <c r="AB433" s="31"/>
      <c r="AC433" s="31"/>
      <c r="AD433" s="31"/>
      <c r="AE433" s="31"/>
      <c r="AG433" s="31"/>
    </row>
    <row r="434" spans="1:33" ht="14.45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31"/>
      <c r="P434" s="66"/>
      <c r="R434" s="31"/>
      <c r="S434" s="31"/>
      <c r="T434" s="71"/>
      <c r="U434" s="31"/>
      <c r="W434" s="31"/>
      <c r="Y434" s="31"/>
      <c r="Z434" s="31"/>
      <c r="AA434" s="31"/>
      <c r="AB434" s="31"/>
      <c r="AC434" s="31"/>
      <c r="AD434" s="31"/>
      <c r="AE434" s="31"/>
      <c r="AG434" s="31"/>
    </row>
    <row r="435" spans="1:33" ht="14.45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31"/>
      <c r="P435" s="66"/>
      <c r="R435" s="31"/>
      <c r="S435" s="31"/>
      <c r="T435" s="71"/>
      <c r="U435" s="31"/>
      <c r="W435" s="31"/>
      <c r="Y435" s="31"/>
      <c r="Z435" s="31"/>
      <c r="AA435" s="31"/>
      <c r="AB435" s="31"/>
      <c r="AC435" s="31"/>
      <c r="AD435" s="31"/>
      <c r="AE435" s="31"/>
      <c r="AG435" s="31"/>
    </row>
    <row r="436" spans="1:33" ht="14.45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31"/>
      <c r="P436" s="66"/>
      <c r="R436" s="31"/>
      <c r="S436" s="31"/>
      <c r="T436" s="71"/>
      <c r="U436" s="31"/>
      <c r="W436" s="31"/>
      <c r="Y436" s="31"/>
      <c r="Z436" s="31"/>
      <c r="AA436" s="31"/>
      <c r="AB436" s="31"/>
      <c r="AC436" s="31"/>
      <c r="AD436" s="31"/>
      <c r="AE436" s="31"/>
      <c r="AG436" s="31"/>
    </row>
    <row r="437" spans="1:33" ht="14.45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31"/>
      <c r="P437" s="66"/>
      <c r="R437" s="31"/>
      <c r="S437" s="31"/>
      <c r="T437" s="71"/>
      <c r="U437" s="31"/>
      <c r="W437" s="31"/>
      <c r="Y437" s="31"/>
      <c r="Z437" s="31"/>
      <c r="AA437" s="31"/>
      <c r="AB437" s="31"/>
      <c r="AC437" s="31"/>
      <c r="AD437" s="31"/>
      <c r="AE437" s="31"/>
      <c r="AG437" s="31"/>
    </row>
    <row r="438" spans="1:33" ht="14.45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31"/>
      <c r="P438" s="66"/>
      <c r="R438" s="31"/>
      <c r="S438" s="31"/>
      <c r="T438" s="71"/>
      <c r="U438" s="31"/>
      <c r="W438" s="31"/>
      <c r="Y438" s="31"/>
      <c r="Z438" s="31"/>
      <c r="AA438" s="31"/>
      <c r="AB438" s="31"/>
      <c r="AC438" s="31"/>
      <c r="AD438" s="31"/>
      <c r="AE438" s="31"/>
      <c r="AG438" s="31"/>
    </row>
    <row r="439" spans="1:33" ht="14.45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31"/>
      <c r="P439" s="66"/>
      <c r="R439" s="31"/>
      <c r="S439" s="31"/>
      <c r="T439" s="71"/>
      <c r="U439" s="31"/>
      <c r="W439" s="31"/>
      <c r="Y439" s="31"/>
      <c r="Z439" s="31"/>
      <c r="AA439" s="31"/>
      <c r="AB439" s="31"/>
      <c r="AC439" s="31"/>
      <c r="AD439" s="31"/>
      <c r="AE439" s="31"/>
      <c r="AG439" s="31"/>
    </row>
    <row r="440" spans="1:33" ht="14.45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31"/>
      <c r="P440" s="66"/>
      <c r="R440" s="31"/>
      <c r="S440" s="31"/>
      <c r="T440" s="71"/>
      <c r="U440" s="31"/>
      <c r="W440" s="31"/>
      <c r="Y440" s="31"/>
      <c r="Z440" s="31"/>
      <c r="AA440" s="31"/>
      <c r="AB440" s="31"/>
      <c r="AC440" s="31"/>
      <c r="AD440" s="31"/>
      <c r="AE440" s="31"/>
      <c r="AG440" s="31"/>
    </row>
    <row r="441" spans="1:33" ht="14.45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31"/>
      <c r="P441" s="66"/>
      <c r="R441" s="31"/>
      <c r="S441" s="31"/>
      <c r="T441" s="71"/>
      <c r="U441" s="31"/>
      <c r="W441" s="31"/>
      <c r="Y441" s="31"/>
      <c r="Z441" s="31"/>
      <c r="AA441" s="31"/>
      <c r="AB441" s="31"/>
      <c r="AC441" s="31"/>
      <c r="AD441" s="31"/>
      <c r="AE441" s="31"/>
      <c r="AG441" s="31"/>
    </row>
    <row r="442" spans="1:33" ht="14.45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31"/>
      <c r="P442" s="66"/>
      <c r="R442" s="31"/>
      <c r="S442" s="31"/>
      <c r="T442" s="71"/>
      <c r="U442" s="31"/>
      <c r="W442" s="31"/>
      <c r="Y442" s="31"/>
      <c r="Z442" s="31"/>
      <c r="AA442" s="31"/>
      <c r="AB442" s="31"/>
      <c r="AC442" s="31"/>
      <c r="AD442" s="31"/>
      <c r="AE442" s="31"/>
      <c r="AG442" s="31"/>
    </row>
    <row r="443" spans="1:33" ht="14.45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31"/>
      <c r="P443" s="66"/>
      <c r="R443" s="31"/>
      <c r="S443" s="31"/>
      <c r="T443" s="71"/>
      <c r="U443" s="31"/>
      <c r="W443" s="31"/>
      <c r="Y443" s="31"/>
      <c r="Z443" s="31"/>
      <c r="AA443" s="31"/>
      <c r="AB443" s="31"/>
      <c r="AC443" s="31"/>
      <c r="AD443" s="31"/>
      <c r="AE443" s="31"/>
      <c r="AG443" s="31"/>
    </row>
    <row r="444" spans="1:33" ht="14.45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31"/>
      <c r="P444" s="66"/>
      <c r="R444" s="31"/>
      <c r="S444" s="31"/>
      <c r="T444" s="71"/>
      <c r="U444" s="31"/>
      <c r="W444" s="31"/>
      <c r="Y444" s="31"/>
      <c r="Z444" s="31"/>
      <c r="AA444" s="31"/>
      <c r="AB444" s="31"/>
      <c r="AC444" s="31"/>
      <c r="AD444" s="31"/>
      <c r="AE444" s="31"/>
      <c r="AG444" s="31"/>
    </row>
    <row r="445" spans="1:33" ht="14.45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31"/>
      <c r="P445" s="66"/>
      <c r="R445" s="31"/>
      <c r="S445" s="31"/>
      <c r="T445" s="71"/>
      <c r="U445" s="31"/>
      <c r="W445" s="31"/>
      <c r="Y445" s="31"/>
      <c r="Z445" s="31"/>
      <c r="AA445" s="31"/>
      <c r="AB445" s="31"/>
      <c r="AC445" s="31"/>
      <c r="AD445" s="31"/>
      <c r="AE445" s="31"/>
      <c r="AG445" s="31"/>
    </row>
    <row r="446" spans="1:33" ht="14.45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31"/>
      <c r="P446" s="66"/>
      <c r="R446" s="31"/>
      <c r="S446" s="31"/>
      <c r="T446" s="71"/>
      <c r="U446" s="31"/>
      <c r="W446" s="31"/>
      <c r="Y446" s="31"/>
      <c r="Z446" s="31"/>
      <c r="AA446" s="31"/>
      <c r="AB446" s="31"/>
      <c r="AC446" s="31"/>
      <c r="AD446" s="31"/>
      <c r="AE446" s="31"/>
      <c r="AG446" s="31"/>
    </row>
    <row r="447" spans="1:33" ht="14.45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31"/>
      <c r="P447" s="66"/>
      <c r="R447" s="31"/>
      <c r="S447" s="31"/>
      <c r="T447" s="71"/>
      <c r="U447" s="31"/>
      <c r="W447" s="31"/>
      <c r="Y447" s="31"/>
      <c r="Z447" s="31"/>
      <c r="AA447" s="31"/>
      <c r="AB447" s="31"/>
      <c r="AC447" s="31"/>
      <c r="AD447" s="31"/>
      <c r="AE447" s="31"/>
      <c r="AG447" s="31"/>
    </row>
    <row r="448" spans="1:33" ht="14.45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31"/>
      <c r="P448" s="66"/>
      <c r="R448" s="31"/>
      <c r="S448" s="31"/>
      <c r="T448" s="71"/>
      <c r="U448" s="31"/>
      <c r="W448" s="31"/>
      <c r="Y448" s="31"/>
      <c r="Z448" s="31"/>
      <c r="AA448" s="31"/>
      <c r="AB448" s="31"/>
      <c r="AC448" s="31"/>
      <c r="AD448" s="31"/>
      <c r="AE448" s="31"/>
      <c r="AG448" s="31"/>
    </row>
    <row r="449" spans="1:33" ht="14.45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31"/>
      <c r="P449" s="66"/>
      <c r="R449" s="31"/>
      <c r="S449" s="31"/>
      <c r="T449" s="71"/>
      <c r="U449" s="31"/>
      <c r="W449" s="31"/>
      <c r="Y449" s="31"/>
      <c r="Z449" s="31"/>
      <c r="AA449" s="31"/>
      <c r="AB449" s="31"/>
      <c r="AC449" s="31"/>
      <c r="AD449" s="31"/>
      <c r="AE449" s="31"/>
      <c r="AG449" s="31"/>
    </row>
    <row r="450" spans="1:33" ht="14.45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31"/>
      <c r="P450" s="66"/>
      <c r="R450" s="31"/>
      <c r="S450" s="31"/>
      <c r="T450" s="71"/>
      <c r="U450" s="31"/>
      <c r="W450" s="31"/>
      <c r="Y450" s="31"/>
      <c r="Z450" s="31"/>
      <c r="AA450" s="31"/>
      <c r="AB450" s="31"/>
      <c r="AC450" s="31"/>
      <c r="AD450" s="31"/>
      <c r="AE450" s="31"/>
      <c r="AG450" s="31"/>
    </row>
    <row r="451" spans="1:33" ht="14.45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31"/>
      <c r="P451" s="66"/>
      <c r="R451" s="31"/>
      <c r="S451" s="31"/>
      <c r="T451" s="71"/>
      <c r="U451" s="31"/>
      <c r="W451" s="31"/>
      <c r="Y451" s="31"/>
      <c r="Z451" s="31"/>
      <c r="AA451" s="31"/>
      <c r="AB451" s="31"/>
      <c r="AC451" s="31"/>
      <c r="AD451" s="31"/>
      <c r="AE451" s="31"/>
      <c r="AG451" s="31"/>
    </row>
    <row r="452" spans="1:33" ht="14.45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31"/>
      <c r="P452" s="66"/>
      <c r="R452" s="31"/>
      <c r="S452" s="31"/>
      <c r="T452" s="71"/>
      <c r="U452" s="31"/>
      <c r="W452" s="31"/>
      <c r="Y452" s="31"/>
      <c r="Z452" s="31"/>
      <c r="AA452" s="31"/>
      <c r="AB452" s="31"/>
      <c r="AC452" s="31"/>
      <c r="AD452" s="31"/>
      <c r="AE452" s="31"/>
      <c r="AG452" s="31"/>
    </row>
    <row r="453" spans="1:33" ht="14.45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31"/>
      <c r="P453" s="66"/>
      <c r="R453" s="31"/>
      <c r="S453" s="31"/>
      <c r="T453" s="71"/>
      <c r="U453" s="31"/>
      <c r="W453" s="31"/>
      <c r="Y453" s="31"/>
      <c r="Z453" s="31"/>
      <c r="AA453" s="31"/>
      <c r="AB453" s="31"/>
      <c r="AC453" s="31"/>
      <c r="AD453" s="31"/>
      <c r="AE453" s="31"/>
      <c r="AG453" s="31"/>
    </row>
    <row r="454" spans="1:33" ht="14.45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31"/>
      <c r="P454" s="66"/>
      <c r="R454" s="31"/>
      <c r="S454" s="31"/>
      <c r="T454" s="71"/>
      <c r="U454" s="31"/>
      <c r="W454" s="31"/>
      <c r="Y454" s="31"/>
      <c r="Z454" s="31"/>
      <c r="AA454" s="31"/>
      <c r="AB454" s="31"/>
      <c r="AC454" s="31"/>
      <c r="AD454" s="31"/>
      <c r="AE454" s="31"/>
      <c r="AG454" s="31"/>
    </row>
    <row r="455" spans="1:33" ht="14.45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31"/>
      <c r="P455" s="66"/>
      <c r="R455" s="31"/>
      <c r="S455" s="31"/>
      <c r="T455" s="71"/>
      <c r="U455" s="31"/>
      <c r="W455" s="31"/>
      <c r="Y455" s="31"/>
      <c r="Z455" s="31"/>
      <c r="AA455" s="31"/>
      <c r="AB455" s="31"/>
      <c r="AC455" s="31"/>
      <c r="AD455" s="31"/>
      <c r="AE455" s="31"/>
      <c r="AG455" s="31"/>
    </row>
    <row r="456" spans="1:33" ht="14.45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31"/>
      <c r="P456" s="66"/>
      <c r="R456" s="31"/>
      <c r="S456" s="31"/>
      <c r="T456" s="71"/>
      <c r="U456" s="31"/>
      <c r="W456" s="31"/>
      <c r="Y456" s="31"/>
      <c r="Z456" s="31"/>
      <c r="AA456" s="31"/>
      <c r="AB456" s="31"/>
      <c r="AC456" s="31"/>
      <c r="AD456" s="31"/>
      <c r="AE456" s="31"/>
      <c r="AG456" s="31"/>
    </row>
    <row r="457" spans="1:33" ht="14.45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31"/>
      <c r="P457" s="66"/>
      <c r="R457" s="31"/>
      <c r="S457" s="31"/>
      <c r="T457" s="71"/>
      <c r="U457" s="31"/>
      <c r="W457" s="31"/>
      <c r="Y457" s="31"/>
      <c r="Z457" s="31"/>
      <c r="AA457" s="31"/>
      <c r="AB457" s="31"/>
      <c r="AC457" s="31"/>
      <c r="AD457" s="31"/>
      <c r="AE457" s="31"/>
      <c r="AG457" s="31"/>
    </row>
    <row r="458" spans="1:33" ht="14.45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31"/>
      <c r="P458" s="66"/>
      <c r="R458" s="31"/>
      <c r="S458" s="31"/>
      <c r="T458" s="71"/>
      <c r="U458" s="31"/>
      <c r="W458" s="31"/>
      <c r="Y458" s="31"/>
      <c r="Z458" s="31"/>
      <c r="AA458" s="31"/>
      <c r="AB458" s="31"/>
      <c r="AC458" s="31"/>
      <c r="AD458" s="31"/>
      <c r="AE458" s="31"/>
      <c r="AG458" s="31"/>
    </row>
    <row r="459" spans="1:33" ht="14.45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31"/>
      <c r="P459" s="66"/>
      <c r="R459" s="31"/>
      <c r="S459" s="31"/>
      <c r="T459" s="71"/>
      <c r="U459" s="31"/>
      <c r="W459" s="31"/>
      <c r="Y459" s="31"/>
      <c r="Z459" s="31"/>
      <c r="AA459" s="31"/>
      <c r="AB459" s="31"/>
      <c r="AC459" s="31"/>
      <c r="AD459" s="31"/>
      <c r="AE459" s="31"/>
      <c r="AG459" s="31"/>
    </row>
    <row r="460" spans="1:33" ht="14.45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31"/>
      <c r="P460" s="66"/>
      <c r="R460" s="31"/>
      <c r="S460" s="31"/>
      <c r="T460" s="71"/>
      <c r="U460" s="31"/>
      <c r="W460" s="31"/>
      <c r="Y460" s="31"/>
      <c r="Z460" s="31"/>
      <c r="AA460" s="31"/>
      <c r="AB460" s="31"/>
      <c r="AC460" s="31"/>
      <c r="AD460" s="31"/>
      <c r="AE460" s="31"/>
      <c r="AG460" s="31"/>
    </row>
    <row r="461" spans="1:33" ht="14.45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31"/>
      <c r="P461" s="66"/>
      <c r="R461" s="31"/>
      <c r="S461" s="31"/>
      <c r="T461" s="71"/>
      <c r="U461" s="31"/>
      <c r="W461" s="31"/>
      <c r="Y461" s="31"/>
      <c r="Z461" s="31"/>
      <c r="AA461" s="31"/>
      <c r="AB461" s="31"/>
      <c r="AC461" s="31"/>
      <c r="AD461" s="31"/>
      <c r="AE461" s="31"/>
      <c r="AG461" s="31"/>
    </row>
    <row r="462" spans="1:33" ht="14.45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31"/>
      <c r="P462" s="66"/>
      <c r="R462" s="31"/>
      <c r="S462" s="31"/>
      <c r="T462" s="71"/>
      <c r="U462" s="31"/>
      <c r="W462" s="31"/>
      <c r="Y462" s="31"/>
      <c r="Z462" s="31"/>
      <c r="AA462" s="31"/>
      <c r="AB462" s="31"/>
      <c r="AC462" s="31"/>
      <c r="AD462" s="31"/>
      <c r="AE462" s="31"/>
      <c r="AG462" s="31"/>
    </row>
    <row r="463" spans="1:33" ht="14.45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31"/>
      <c r="P463" s="66"/>
      <c r="R463" s="31"/>
      <c r="S463" s="31"/>
      <c r="T463" s="71"/>
      <c r="U463" s="31"/>
      <c r="W463" s="31"/>
      <c r="Y463" s="31"/>
      <c r="Z463" s="31"/>
      <c r="AA463" s="31"/>
      <c r="AB463" s="31"/>
      <c r="AC463" s="31"/>
      <c r="AD463" s="31"/>
      <c r="AE463" s="31"/>
      <c r="AG463" s="31"/>
    </row>
    <row r="464" spans="1:33" ht="14.45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31"/>
      <c r="P464" s="66"/>
      <c r="R464" s="31"/>
      <c r="S464" s="31"/>
      <c r="T464" s="71"/>
      <c r="U464" s="31"/>
      <c r="W464" s="31"/>
      <c r="Y464" s="31"/>
      <c r="Z464" s="31"/>
      <c r="AA464" s="31"/>
      <c r="AB464" s="31"/>
      <c r="AC464" s="31"/>
      <c r="AD464" s="31"/>
      <c r="AE464" s="31"/>
      <c r="AG464" s="31"/>
    </row>
    <row r="465" spans="1:33" ht="14.45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31"/>
      <c r="P465" s="66"/>
      <c r="R465" s="31"/>
      <c r="S465" s="31"/>
      <c r="T465" s="71"/>
      <c r="U465" s="31"/>
      <c r="W465" s="31"/>
      <c r="Y465" s="31"/>
      <c r="Z465" s="31"/>
      <c r="AA465" s="31"/>
      <c r="AB465" s="31"/>
      <c r="AC465" s="31"/>
      <c r="AD465" s="31"/>
      <c r="AE465" s="31"/>
      <c r="AG465" s="31"/>
    </row>
    <row r="466" spans="1:33" ht="14.45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31"/>
      <c r="P466" s="66"/>
      <c r="R466" s="31"/>
      <c r="S466" s="31"/>
      <c r="T466" s="71"/>
      <c r="U466" s="31"/>
      <c r="W466" s="31"/>
      <c r="Y466" s="31"/>
      <c r="Z466" s="31"/>
      <c r="AA466" s="31"/>
      <c r="AB466" s="31"/>
      <c r="AC466" s="31"/>
      <c r="AD466" s="31"/>
      <c r="AE466" s="31"/>
      <c r="AG466" s="31"/>
    </row>
    <row r="467" spans="1:33" ht="14.45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31"/>
      <c r="P467" s="66"/>
      <c r="R467" s="31"/>
      <c r="S467" s="31"/>
      <c r="T467" s="71"/>
      <c r="U467" s="31"/>
      <c r="W467" s="31"/>
      <c r="Y467" s="31"/>
      <c r="Z467" s="31"/>
      <c r="AA467" s="31"/>
      <c r="AB467" s="31"/>
      <c r="AC467" s="31"/>
      <c r="AD467" s="31"/>
      <c r="AE467" s="31"/>
      <c r="AG467" s="31"/>
    </row>
    <row r="468" spans="1:33" ht="14.45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31"/>
      <c r="P468" s="66"/>
      <c r="R468" s="31"/>
      <c r="S468" s="31"/>
      <c r="T468" s="71"/>
      <c r="U468" s="31"/>
      <c r="W468" s="31"/>
      <c r="Y468" s="31"/>
      <c r="Z468" s="31"/>
      <c r="AA468" s="31"/>
      <c r="AB468" s="31"/>
      <c r="AC468" s="31"/>
      <c r="AD468" s="31"/>
      <c r="AE468" s="31"/>
      <c r="AG468" s="31"/>
    </row>
    <row r="469" spans="1:33" ht="14.45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31"/>
      <c r="P469" s="66"/>
      <c r="R469" s="31"/>
      <c r="S469" s="31"/>
      <c r="T469" s="71"/>
      <c r="U469" s="31"/>
      <c r="W469" s="31"/>
      <c r="Y469" s="31"/>
      <c r="Z469" s="31"/>
      <c r="AA469" s="31"/>
      <c r="AB469" s="31"/>
      <c r="AC469" s="31"/>
      <c r="AD469" s="31"/>
      <c r="AE469" s="31"/>
      <c r="AG469" s="31"/>
    </row>
    <row r="470" spans="1:33" ht="14.45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31"/>
      <c r="P470" s="66"/>
      <c r="R470" s="31"/>
      <c r="S470" s="31"/>
      <c r="T470" s="71"/>
      <c r="U470" s="31"/>
      <c r="W470" s="31"/>
      <c r="Y470" s="31"/>
      <c r="Z470" s="31"/>
      <c r="AA470" s="31"/>
      <c r="AB470" s="31"/>
      <c r="AC470" s="31"/>
      <c r="AD470" s="31"/>
      <c r="AE470" s="31"/>
      <c r="AG470" s="31"/>
    </row>
    <row r="471" spans="1:33" ht="14.45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31"/>
      <c r="P471" s="66"/>
      <c r="R471" s="31"/>
      <c r="S471" s="31"/>
      <c r="T471" s="71"/>
      <c r="U471" s="31"/>
      <c r="W471" s="31"/>
      <c r="Y471" s="31"/>
      <c r="Z471" s="31"/>
      <c r="AA471" s="31"/>
      <c r="AB471" s="31"/>
      <c r="AC471" s="31"/>
      <c r="AD471" s="31"/>
      <c r="AE471" s="31"/>
      <c r="AG471" s="31"/>
    </row>
    <row r="472" spans="1:33" ht="14.45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31"/>
      <c r="P472" s="66"/>
      <c r="R472" s="31"/>
      <c r="S472" s="31"/>
      <c r="T472" s="71"/>
      <c r="U472" s="31"/>
      <c r="W472" s="31"/>
      <c r="Y472" s="31"/>
      <c r="Z472" s="31"/>
      <c r="AA472" s="31"/>
      <c r="AB472" s="31"/>
      <c r="AC472" s="31"/>
      <c r="AD472" s="31"/>
      <c r="AE472" s="31"/>
      <c r="AG472" s="31"/>
    </row>
    <row r="473" spans="1:33" ht="14.45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31"/>
      <c r="P473" s="66"/>
      <c r="R473" s="31"/>
      <c r="S473" s="31"/>
      <c r="T473" s="71"/>
      <c r="U473" s="31"/>
      <c r="W473" s="31"/>
      <c r="Y473" s="31"/>
      <c r="Z473" s="31"/>
      <c r="AA473" s="31"/>
      <c r="AB473" s="31"/>
      <c r="AC473" s="31"/>
      <c r="AD473" s="31"/>
      <c r="AE473" s="31"/>
      <c r="AG473" s="31"/>
    </row>
    <row r="474" spans="1:33" ht="14.45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31"/>
      <c r="P474" s="66"/>
      <c r="R474" s="31"/>
      <c r="S474" s="31"/>
      <c r="T474" s="71"/>
      <c r="U474" s="31"/>
      <c r="W474" s="31"/>
      <c r="Y474" s="31"/>
      <c r="Z474" s="31"/>
      <c r="AA474" s="31"/>
      <c r="AB474" s="31"/>
      <c r="AC474" s="31"/>
      <c r="AD474" s="31"/>
      <c r="AE474" s="31"/>
      <c r="AG474" s="31"/>
    </row>
    <row r="475" spans="1:33" ht="14.45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31"/>
      <c r="P475" s="66"/>
      <c r="R475" s="31"/>
      <c r="S475" s="31"/>
      <c r="T475" s="71"/>
      <c r="U475" s="31"/>
      <c r="W475" s="31"/>
      <c r="Y475" s="31"/>
      <c r="Z475" s="31"/>
      <c r="AA475" s="31"/>
      <c r="AB475" s="31"/>
      <c r="AC475" s="31"/>
      <c r="AD475" s="31"/>
      <c r="AE475" s="31"/>
      <c r="AG475" s="31"/>
    </row>
    <row r="476" spans="1:33" ht="14.45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31"/>
      <c r="P476" s="66"/>
      <c r="R476" s="31"/>
      <c r="S476" s="31"/>
      <c r="T476" s="71"/>
      <c r="U476" s="31"/>
      <c r="W476" s="31"/>
      <c r="Y476" s="31"/>
      <c r="Z476" s="31"/>
      <c r="AA476" s="31"/>
      <c r="AB476" s="31"/>
      <c r="AC476" s="31"/>
      <c r="AD476" s="31"/>
      <c r="AE476" s="31"/>
      <c r="AG476" s="31"/>
    </row>
    <row r="477" spans="1:33" ht="14.45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31"/>
      <c r="P477" s="66"/>
      <c r="R477" s="31"/>
      <c r="S477" s="31"/>
      <c r="T477" s="71"/>
      <c r="U477" s="31"/>
      <c r="W477" s="31"/>
      <c r="Y477" s="31"/>
      <c r="Z477" s="31"/>
      <c r="AA477" s="31"/>
      <c r="AB477" s="31"/>
      <c r="AC477" s="31"/>
      <c r="AD477" s="31"/>
      <c r="AE477" s="31"/>
      <c r="AG477" s="31"/>
    </row>
    <row r="478" spans="1:33" ht="14.45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31"/>
      <c r="P478" s="66"/>
      <c r="R478" s="31"/>
      <c r="S478" s="31"/>
      <c r="T478" s="71"/>
      <c r="U478" s="31"/>
      <c r="W478" s="31"/>
      <c r="Y478" s="31"/>
      <c r="Z478" s="31"/>
      <c r="AA478" s="31"/>
      <c r="AB478" s="31"/>
      <c r="AC478" s="31"/>
      <c r="AD478" s="31"/>
      <c r="AE478" s="31"/>
      <c r="AG478" s="31"/>
    </row>
    <row r="479" spans="1:33" ht="14.45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31"/>
      <c r="P479" s="66"/>
      <c r="R479" s="31"/>
      <c r="S479" s="31"/>
      <c r="T479" s="71"/>
      <c r="U479" s="31"/>
      <c r="W479" s="31"/>
      <c r="Y479" s="31"/>
      <c r="Z479" s="31"/>
      <c r="AA479" s="31"/>
      <c r="AB479" s="31"/>
      <c r="AC479" s="31"/>
      <c r="AD479" s="31"/>
      <c r="AE479" s="31"/>
      <c r="AG479" s="31"/>
    </row>
    <row r="480" spans="1:33" ht="14.45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31"/>
      <c r="P480" s="66"/>
      <c r="R480" s="31"/>
      <c r="S480" s="31"/>
      <c r="T480" s="71"/>
      <c r="U480" s="31"/>
      <c r="W480" s="31"/>
      <c r="Y480" s="31"/>
      <c r="Z480" s="31"/>
      <c r="AA480" s="31"/>
      <c r="AB480" s="31"/>
      <c r="AC480" s="31"/>
      <c r="AD480" s="31"/>
      <c r="AE480" s="31"/>
      <c r="AG480" s="31"/>
    </row>
    <row r="481" spans="1:33" ht="14.45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31"/>
      <c r="P481" s="66"/>
      <c r="R481" s="31"/>
      <c r="S481" s="31"/>
      <c r="T481" s="71"/>
      <c r="U481" s="31"/>
      <c r="W481" s="31"/>
      <c r="Y481" s="31"/>
      <c r="Z481" s="31"/>
      <c r="AA481" s="31"/>
      <c r="AB481" s="31"/>
      <c r="AC481" s="31"/>
      <c r="AD481" s="31"/>
      <c r="AE481" s="31"/>
      <c r="AG481" s="31"/>
    </row>
    <row r="482" spans="1:33" ht="14.45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31"/>
      <c r="P482" s="66"/>
      <c r="R482" s="31"/>
      <c r="S482" s="31"/>
      <c r="T482" s="71"/>
      <c r="U482" s="31"/>
      <c r="W482" s="31"/>
      <c r="Y482" s="31"/>
      <c r="Z482" s="31"/>
      <c r="AA482" s="31"/>
      <c r="AB482" s="31"/>
      <c r="AC482" s="31"/>
      <c r="AD482" s="31"/>
      <c r="AE482" s="31"/>
      <c r="AG482" s="31"/>
    </row>
    <row r="483" spans="1:33" ht="14.45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31"/>
      <c r="P483" s="66"/>
      <c r="R483" s="31"/>
      <c r="S483" s="31"/>
      <c r="T483" s="71"/>
      <c r="U483" s="31"/>
      <c r="W483" s="31"/>
      <c r="Y483" s="31"/>
      <c r="Z483" s="31"/>
      <c r="AA483" s="31"/>
      <c r="AB483" s="31"/>
      <c r="AC483" s="31"/>
      <c r="AD483" s="31"/>
      <c r="AE483" s="31"/>
      <c r="AG483" s="31"/>
    </row>
    <row r="484" spans="1:33" ht="14.45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31"/>
      <c r="P484" s="66"/>
      <c r="R484" s="31"/>
      <c r="S484" s="31"/>
      <c r="T484" s="71"/>
      <c r="U484" s="31"/>
      <c r="W484" s="31"/>
      <c r="Y484" s="31"/>
      <c r="Z484" s="31"/>
      <c r="AA484" s="31"/>
      <c r="AB484" s="31"/>
      <c r="AC484" s="31"/>
      <c r="AD484" s="31"/>
      <c r="AE484" s="31"/>
      <c r="AG484" s="31"/>
    </row>
    <row r="485" spans="1:33" ht="14.45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31"/>
      <c r="P485" s="66"/>
      <c r="R485" s="31"/>
      <c r="S485" s="31"/>
      <c r="T485" s="71"/>
      <c r="U485" s="31"/>
      <c r="W485" s="31"/>
      <c r="Y485" s="31"/>
      <c r="Z485" s="31"/>
      <c r="AA485" s="31"/>
      <c r="AB485" s="31"/>
      <c r="AC485" s="31"/>
      <c r="AD485" s="31"/>
      <c r="AE485" s="31"/>
      <c r="AG485" s="31"/>
    </row>
    <row r="486" spans="1:33" ht="14.45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31"/>
      <c r="P486" s="66"/>
      <c r="R486" s="31"/>
      <c r="S486" s="31"/>
      <c r="T486" s="71"/>
      <c r="U486" s="31"/>
      <c r="W486" s="31"/>
      <c r="Y486" s="31"/>
      <c r="Z486" s="31"/>
      <c r="AA486" s="31"/>
      <c r="AB486" s="31"/>
      <c r="AC486" s="31"/>
      <c r="AD486" s="31"/>
      <c r="AE486" s="31"/>
      <c r="AG486" s="31"/>
    </row>
    <row r="487" spans="1:33" ht="14.45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31"/>
      <c r="P487" s="66"/>
      <c r="R487" s="31"/>
      <c r="S487" s="31"/>
      <c r="T487" s="71"/>
      <c r="U487" s="31"/>
      <c r="W487" s="31"/>
      <c r="Y487" s="31"/>
      <c r="Z487" s="31"/>
      <c r="AA487" s="31"/>
      <c r="AB487" s="31"/>
      <c r="AC487" s="31"/>
      <c r="AD487" s="31"/>
      <c r="AE487" s="31"/>
      <c r="AG487" s="31"/>
    </row>
    <row r="488" spans="1:33" ht="14.45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31"/>
      <c r="P488" s="66"/>
      <c r="R488" s="31"/>
      <c r="S488" s="31"/>
      <c r="T488" s="71"/>
      <c r="U488" s="31"/>
      <c r="W488" s="31"/>
      <c r="Y488" s="31"/>
      <c r="Z488" s="31"/>
      <c r="AA488" s="31"/>
      <c r="AB488" s="31"/>
      <c r="AC488" s="31"/>
      <c r="AD488" s="31"/>
      <c r="AE488" s="31"/>
      <c r="AG488" s="31"/>
    </row>
    <row r="489" spans="1:33" ht="14.45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31"/>
      <c r="P489" s="66"/>
      <c r="R489" s="31"/>
      <c r="S489" s="31"/>
      <c r="T489" s="71"/>
      <c r="U489" s="31"/>
      <c r="W489" s="31"/>
      <c r="Y489" s="31"/>
      <c r="Z489" s="31"/>
      <c r="AA489" s="31"/>
      <c r="AB489" s="31"/>
      <c r="AC489" s="31"/>
      <c r="AD489" s="31"/>
      <c r="AE489" s="31"/>
      <c r="AG489" s="31"/>
    </row>
    <row r="490" spans="1:33" ht="14.45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31"/>
      <c r="P490" s="66"/>
      <c r="R490" s="31"/>
      <c r="S490" s="31"/>
      <c r="T490" s="71"/>
      <c r="U490" s="31"/>
      <c r="W490" s="31"/>
      <c r="Y490" s="31"/>
      <c r="Z490" s="31"/>
      <c r="AA490" s="31"/>
      <c r="AB490" s="31"/>
      <c r="AC490" s="31"/>
      <c r="AD490" s="31"/>
      <c r="AE490" s="31"/>
      <c r="AG490" s="31"/>
    </row>
    <row r="491" spans="1:33" ht="14.45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31"/>
      <c r="P491" s="66"/>
      <c r="R491" s="31"/>
      <c r="S491" s="31"/>
      <c r="T491" s="71"/>
      <c r="U491" s="31"/>
      <c r="W491" s="31"/>
      <c r="Y491" s="31"/>
      <c r="Z491" s="31"/>
      <c r="AA491" s="31"/>
      <c r="AB491" s="31"/>
      <c r="AC491" s="31"/>
      <c r="AD491" s="31"/>
      <c r="AE491" s="31"/>
      <c r="AG491" s="31"/>
    </row>
    <row r="492" spans="1:33" ht="14.45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31"/>
      <c r="P492" s="66"/>
      <c r="R492" s="31"/>
      <c r="S492" s="31"/>
      <c r="T492" s="71"/>
      <c r="U492" s="31"/>
      <c r="W492" s="31"/>
      <c r="Y492" s="31"/>
      <c r="Z492" s="31"/>
      <c r="AA492" s="31"/>
      <c r="AB492" s="31"/>
      <c r="AC492" s="31"/>
      <c r="AD492" s="31"/>
      <c r="AE492" s="31"/>
      <c r="AG492" s="31"/>
    </row>
    <row r="493" spans="1:33" ht="14.45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31"/>
      <c r="P493" s="66"/>
      <c r="R493" s="31"/>
      <c r="S493" s="31"/>
      <c r="T493" s="71"/>
      <c r="U493" s="31"/>
      <c r="W493" s="31"/>
      <c r="Y493" s="31"/>
      <c r="Z493" s="31"/>
      <c r="AA493" s="31"/>
      <c r="AB493" s="31"/>
      <c r="AC493" s="31"/>
      <c r="AD493" s="31"/>
      <c r="AE493" s="31"/>
      <c r="AG493" s="31"/>
    </row>
    <row r="494" spans="1:33" ht="14.45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31"/>
      <c r="P494" s="66"/>
      <c r="R494" s="31"/>
      <c r="S494" s="31"/>
      <c r="T494" s="71"/>
      <c r="U494" s="31"/>
      <c r="W494" s="31"/>
      <c r="Y494" s="31"/>
      <c r="Z494" s="31"/>
      <c r="AA494" s="31"/>
      <c r="AB494" s="31"/>
      <c r="AC494" s="31"/>
      <c r="AD494" s="31"/>
      <c r="AE494" s="31"/>
      <c r="AG494" s="31"/>
    </row>
    <row r="495" spans="1:33" ht="14.45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31"/>
      <c r="P495" s="66"/>
      <c r="R495" s="31"/>
      <c r="S495" s="31"/>
      <c r="T495" s="71"/>
      <c r="U495" s="31"/>
      <c r="W495" s="31"/>
      <c r="Y495" s="31"/>
      <c r="Z495" s="31"/>
      <c r="AA495" s="31"/>
      <c r="AB495" s="31"/>
      <c r="AC495" s="31"/>
      <c r="AD495" s="31"/>
      <c r="AE495" s="31"/>
      <c r="AG495" s="31"/>
    </row>
    <row r="496" spans="1:33" ht="14.45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31"/>
      <c r="P496" s="66"/>
      <c r="R496" s="31"/>
      <c r="S496" s="31"/>
      <c r="T496" s="71"/>
      <c r="U496" s="31"/>
      <c r="W496" s="31"/>
      <c r="Y496" s="31"/>
      <c r="Z496" s="31"/>
      <c r="AA496" s="31"/>
      <c r="AB496" s="31"/>
      <c r="AC496" s="31"/>
      <c r="AD496" s="31"/>
      <c r="AE496" s="31"/>
      <c r="AG496" s="31"/>
    </row>
    <row r="497" spans="1:33" ht="14.45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31"/>
      <c r="P497" s="66"/>
      <c r="R497" s="31"/>
      <c r="S497" s="31"/>
      <c r="T497" s="71"/>
      <c r="U497" s="31"/>
      <c r="W497" s="31"/>
      <c r="Y497" s="31"/>
      <c r="Z497" s="31"/>
      <c r="AA497" s="31"/>
      <c r="AB497" s="31"/>
      <c r="AC497" s="31"/>
      <c r="AD497" s="31"/>
      <c r="AE497" s="31"/>
      <c r="AG497" s="31"/>
    </row>
    <row r="498" spans="1:33" ht="14.45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31"/>
      <c r="P498" s="66"/>
      <c r="R498" s="31"/>
      <c r="S498" s="31"/>
      <c r="T498" s="71"/>
      <c r="U498" s="31"/>
      <c r="W498" s="31"/>
      <c r="Y498" s="31"/>
      <c r="Z498" s="31"/>
      <c r="AA498" s="31"/>
      <c r="AB498" s="31"/>
      <c r="AC498" s="31"/>
      <c r="AD498" s="31"/>
      <c r="AE498" s="31"/>
      <c r="AG498" s="31"/>
    </row>
    <row r="499" spans="1:33" ht="14.45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31"/>
      <c r="P499" s="66"/>
      <c r="R499" s="31"/>
      <c r="S499" s="31"/>
      <c r="T499" s="71"/>
      <c r="U499" s="31"/>
      <c r="W499" s="31"/>
      <c r="Y499" s="31"/>
      <c r="Z499" s="31"/>
      <c r="AA499" s="31"/>
      <c r="AB499" s="31"/>
      <c r="AC499" s="31"/>
      <c r="AD499" s="31"/>
      <c r="AE499" s="31"/>
      <c r="AG499" s="31"/>
    </row>
    <row r="500" spans="1:33" ht="14.45">
      <c r="A500" s="31"/>
      <c r="B500" s="31"/>
      <c r="C500" s="31"/>
      <c r="E500" s="31"/>
      <c r="F500" s="31"/>
      <c r="G500" s="31"/>
      <c r="J500" s="31"/>
      <c r="L500" s="31"/>
      <c r="M500" s="31"/>
      <c r="N500" s="31"/>
      <c r="O500" s="31"/>
      <c r="P500" s="66"/>
      <c r="R500" s="31"/>
      <c r="S500" s="31"/>
      <c r="T500" s="71"/>
      <c r="U500" s="31"/>
      <c r="W500" s="31"/>
      <c r="Y500" s="31"/>
      <c r="Z500" s="31"/>
      <c r="AA500" s="31"/>
      <c r="AB500" s="31"/>
      <c r="AC500" s="31"/>
      <c r="AD500" s="31"/>
      <c r="AE500" s="31"/>
      <c r="AG500" s="31"/>
    </row>
    <row r="501" spans="1:33" ht="15" customHeight="1">
      <c r="A501" s="31"/>
      <c r="B501" s="31"/>
      <c r="C501" s="31"/>
      <c r="E501" s="31"/>
      <c r="F501" s="31"/>
      <c r="G501" s="31"/>
      <c r="J501" s="31"/>
      <c r="L501" s="31"/>
      <c r="M501" s="31"/>
      <c r="N501" s="31"/>
      <c r="O501" s="31"/>
      <c r="P501" s="66"/>
      <c r="R501" s="31"/>
      <c r="S501" s="31"/>
      <c r="T501" s="71"/>
      <c r="U501" s="31"/>
      <c r="W501" s="31"/>
      <c r="Y501" s="31"/>
      <c r="Z501" s="31"/>
      <c r="AA501" s="31"/>
      <c r="AB501" s="31"/>
      <c r="AC501" s="31"/>
      <c r="AD501" s="31"/>
      <c r="AE501" s="31"/>
      <c r="AG501" s="31"/>
    </row>
    <row r="502" spans="1:33" ht="15" customHeight="1">
      <c r="A502" s="31"/>
      <c r="B502" s="31"/>
      <c r="C502" s="31"/>
      <c r="E502" s="31"/>
      <c r="F502" s="31"/>
      <c r="G502" s="31"/>
      <c r="J502" s="31"/>
      <c r="L502" s="31"/>
      <c r="M502" s="31"/>
      <c r="N502" s="31"/>
      <c r="O502" s="31"/>
      <c r="P502" s="66"/>
      <c r="R502" s="31"/>
      <c r="S502" s="31"/>
      <c r="T502" s="71"/>
      <c r="U502" s="31"/>
      <c r="W502" s="31"/>
      <c r="Y502" s="31"/>
      <c r="Z502" s="31"/>
      <c r="AA502" s="31"/>
      <c r="AB502" s="31"/>
      <c r="AC502" s="31"/>
      <c r="AD502" s="31"/>
      <c r="AE502" s="31"/>
      <c r="AG502" s="31"/>
    </row>
    <row r="503" spans="1:33" ht="15" customHeight="1">
      <c r="A503" s="31"/>
      <c r="B503" s="31"/>
      <c r="C503" s="31"/>
      <c r="E503" s="31"/>
      <c r="F503" s="31"/>
      <c r="G503" s="31"/>
      <c r="J503" s="31"/>
      <c r="L503" s="31"/>
      <c r="M503" s="31"/>
      <c r="N503" s="31"/>
      <c r="O503" s="31"/>
      <c r="P503" s="66"/>
      <c r="R503" s="31"/>
      <c r="S503" s="31"/>
      <c r="T503" s="71"/>
      <c r="U503" s="31"/>
      <c r="W503" s="31"/>
      <c r="Y503" s="31"/>
      <c r="Z503" s="31"/>
      <c r="AA503" s="31"/>
      <c r="AB503" s="31"/>
      <c r="AC503" s="31"/>
      <c r="AD503" s="31"/>
      <c r="AE503" s="31"/>
      <c r="AG503" s="31"/>
    </row>
    <row r="504" spans="1:33" ht="15" customHeight="1">
      <c r="A504" s="31"/>
      <c r="B504" s="31"/>
      <c r="C504" s="31"/>
      <c r="E504" s="31"/>
      <c r="F504" s="31"/>
      <c r="G504" s="31"/>
      <c r="J504" s="31"/>
      <c r="L504" s="31"/>
      <c r="M504" s="31"/>
      <c r="N504" s="31"/>
      <c r="O504" s="31"/>
      <c r="P504" s="66"/>
      <c r="R504" s="31"/>
      <c r="S504" s="31"/>
      <c r="T504" s="71"/>
      <c r="U504" s="31"/>
      <c r="W504" s="31"/>
      <c r="Y504" s="31"/>
      <c r="Z504" s="31"/>
      <c r="AA504" s="31"/>
      <c r="AB504" s="31"/>
      <c r="AC504" s="31"/>
      <c r="AD504" s="31"/>
      <c r="AE504" s="31"/>
      <c r="AG504" s="31"/>
    </row>
    <row r="505" spans="1:33" ht="15" customHeight="1">
      <c r="A505" s="31"/>
      <c r="B505" s="31"/>
      <c r="C505" s="31"/>
      <c r="E505" s="31"/>
      <c r="F505" s="31"/>
      <c r="G505" s="31"/>
      <c r="J505" s="31"/>
      <c r="L505" s="31"/>
      <c r="M505" s="31"/>
      <c r="N505" s="31"/>
      <c r="O505" s="31"/>
      <c r="P505" s="66"/>
      <c r="R505" s="31"/>
      <c r="S505" s="31"/>
      <c r="T505" s="71"/>
      <c r="U505" s="31"/>
      <c r="W505" s="31"/>
      <c r="Y505" s="31"/>
      <c r="Z505" s="31"/>
      <c r="AA505" s="31"/>
      <c r="AB505" s="31"/>
      <c r="AC505" s="31"/>
      <c r="AD505" s="31"/>
      <c r="AE505" s="31"/>
      <c r="AG505" s="31"/>
    </row>
    <row r="506" spans="1:33" ht="15" customHeight="1">
      <c r="A506" s="31"/>
      <c r="B506" s="31"/>
      <c r="C506" s="31"/>
      <c r="E506" s="31"/>
      <c r="F506" s="31"/>
      <c r="G506" s="31"/>
      <c r="J506" s="31"/>
      <c r="L506" s="31"/>
      <c r="M506" s="31"/>
      <c r="N506" s="31"/>
      <c r="O506" s="31"/>
      <c r="P506" s="66"/>
      <c r="R506" s="31"/>
      <c r="S506" s="31"/>
      <c r="T506" s="71"/>
      <c r="U506" s="31"/>
      <c r="W506" s="31"/>
      <c r="Y506" s="31"/>
      <c r="Z506" s="31"/>
      <c r="AA506" s="31"/>
      <c r="AB506" s="31"/>
      <c r="AC506" s="31"/>
      <c r="AD506" s="31"/>
      <c r="AE506" s="31"/>
      <c r="AG506" s="31"/>
    </row>
    <row r="507" spans="1:33" ht="15" customHeight="1">
      <c r="A507" s="31"/>
      <c r="B507" s="31"/>
      <c r="C507" s="31"/>
      <c r="E507" s="31"/>
      <c r="F507" s="31"/>
      <c r="G507" s="31"/>
      <c r="J507" s="31"/>
      <c r="L507" s="31"/>
      <c r="M507" s="31"/>
      <c r="N507" s="31"/>
      <c r="O507" s="31"/>
      <c r="P507" s="66"/>
      <c r="R507" s="31"/>
      <c r="S507" s="31"/>
      <c r="T507" s="71"/>
      <c r="U507" s="31"/>
      <c r="W507" s="31"/>
      <c r="Y507" s="31"/>
      <c r="Z507" s="31"/>
      <c r="AA507" s="31"/>
      <c r="AB507" s="31"/>
      <c r="AC507" s="31"/>
      <c r="AD507" s="31"/>
      <c r="AE507" s="31"/>
      <c r="AG507" s="31"/>
    </row>
    <row r="508" spans="1:33" ht="15" customHeight="1">
      <c r="A508" s="31"/>
      <c r="B508" s="31"/>
      <c r="C508" s="31"/>
      <c r="E508" s="31"/>
      <c r="F508" s="31"/>
      <c r="G508" s="31"/>
      <c r="J508" s="31"/>
      <c r="L508" s="31"/>
      <c r="M508" s="31"/>
      <c r="N508" s="31"/>
      <c r="O508" s="31"/>
      <c r="P508" s="66"/>
      <c r="R508" s="31"/>
      <c r="S508" s="31"/>
      <c r="T508" s="71"/>
      <c r="U508" s="31"/>
      <c r="W508" s="31"/>
      <c r="Y508" s="31"/>
      <c r="Z508" s="31"/>
      <c r="AA508" s="31"/>
      <c r="AB508" s="31"/>
      <c r="AC508" s="31"/>
      <c r="AD508" s="31"/>
      <c r="AE508" s="31"/>
      <c r="AG508" s="31"/>
    </row>
    <row r="509" spans="1:33" ht="15" customHeight="1">
      <c r="A509" s="31"/>
      <c r="B509" s="31"/>
      <c r="C509" s="31"/>
      <c r="E509" s="31"/>
      <c r="F509" s="31"/>
      <c r="G509" s="31"/>
      <c r="J509" s="31"/>
      <c r="L509" s="31"/>
      <c r="M509" s="31"/>
      <c r="N509" s="31"/>
      <c r="O509" s="31"/>
      <c r="P509" s="66"/>
      <c r="R509" s="31"/>
      <c r="S509" s="31"/>
      <c r="T509" s="71"/>
      <c r="U509" s="31"/>
      <c r="W509" s="31"/>
      <c r="Y509" s="31"/>
      <c r="Z509" s="31"/>
      <c r="AA509" s="31"/>
      <c r="AB509" s="31"/>
      <c r="AC509" s="31"/>
      <c r="AD509" s="31"/>
      <c r="AE509" s="31"/>
      <c r="AG509" s="31"/>
    </row>
    <row r="510" spans="1:33" ht="15" customHeight="1">
      <c r="A510" s="31"/>
      <c r="B510" s="31"/>
      <c r="C510" s="31"/>
      <c r="E510" s="31"/>
      <c r="F510" s="31"/>
      <c r="G510" s="31"/>
      <c r="J510" s="31"/>
      <c r="L510" s="31"/>
      <c r="M510" s="31"/>
      <c r="N510" s="31"/>
      <c r="O510" s="31"/>
      <c r="P510" s="66"/>
      <c r="R510" s="31"/>
      <c r="S510" s="31"/>
      <c r="T510" s="71"/>
      <c r="U510" s="31"/>
      <c r="W510" s="31"/>
      <c r="Y510" s="31"/>
      <c r="Z510" s="31"/>
      <c r="AA510" s="31"/>
      <c r="AB510" s="31"/>
      <c r="AC510" s="31"/>
      <c r="AD510" s="31"/>
      <c r="AE510" s="31"/>
      <c r="AG510" s="31"/>
    </row>
    <row r="511" spans="1:33" ht="15" customHeight="1">
      <c r="A511" s="31"/>
      <c r="B511" s="31"/>
      <c r="C511" s="31"/>
      <c r="E511" s="31"/>
      <c r="F511" s="31"/>
      <c r="G511" s="31"/>
      <c r="J511" s="31"/>
      <c r="L511" s="31"/>
      <c r="M511" s="31"/>
      <c r="N511" s="31"/>
      <c r="O511" s="31"/>
      <c r="P511" s="66"/>
      <c r="R511" s="31"/>
      <c r="S511" s="31"/>
      <c r="T511" s="71"/>
      <c r="U511" s="31"/>
      <c r="W511" s="31"/>
      <c r="Y511" s="31"/>
      <c r="Z511" s="31"/>
      <c r="AA511" s="31"/>
      <c r="AB511" s="31"/>
      <c r="AC511" s="31"/>
      <c r="AD511" s="31"/>
      <c r="AE511" s="31"/>
      <c r="AG511" s="31"/>
    </row>
    <row r="512" spans="1:33" ht="15" customHeight="1">
      <c r="A512" s="31"/>
      <c r="B512" s="31"/>
      <c r="C512" s="31"/>
      <c r="E512" s="31"/>
      <c r="F512" s="31"/>
      <c r="G512" s="31"/>
      <c r="J512" s="31"/>
      <c r="L512" s="31"/>
      <c r="M512" s="31"/>
      <c r="N512" s="31"/>
      <c r="O512" s="31"/>
      <c r="P512" s="66"/>
      <c r="R512" s="31"/>
      <c r="S512" s="31"/>
      <c r="T512" s="71"/>
      <c r="U512" s="31"/>
      <c r="W512" s="31"/>
      <c r="Y512" s="31"/>
      <c r="Z512" s="31"/>
      <c r="AA512" s="31"/>
      <c r="AB512" s="31"/>
      <c r="AC512" s="31"/>
      <c r="AD512" s="31"/>
      <c r="AE512" s="31"/>
      <c r="AG512" s="31"/>
    </row>
    <row r="513" spans="1:33" ht="15" customHeight="1">
      <c r="A513" s="31"/>
      <c r="B513" s="31"/>
      <c r="C513" s="31"/>
      <c r="E513" s="31"/>
      <c r="F513" s="31"/>
      <c r="G513" s="31"/>
      <c r="J513" s="31"/>
      <c r="L513" s="31"/>
      <c r="M513" s="31"/>
      <c r="N513" s="31"/>
      <c r="O513" s="31"/>
      <c r="P513" s="66"/>
      <c r="R513" s="31"/>
      <c r="S513" s="31"/>
      <c r="T513" s="71"/>
      <c r="U513" s="31"/>
      <c r="W513" s="31"/>
      <c r="Y513" s="31"/>
      <c r="Z513" s="31"/>
      <c r="AA513" s="31"/>
      <c r="AB513" s="31"/>
      <c r="AC513" s="31"/>
      <c r="AD513" s="31"/>
      <c r="AE513" s="31"/>
      <c r="AG513" s="31"/>
    </row>
    <row r="514" spans="1:33" ht="15" customHeight="1">
      <c r="A514" s="31"/>
      <c r="B514" s="31"/>
      <c r="C514" s="31"/>
      <c r="E514" s="31"/>
      <c r="F514" s="31"/>
      <c r="G514" s="31"/>
      <c r="J514" s="31"/>
      <c r="L514" s="31"/>
      <c r="M514" s="31"/>
      <c r="N514" s="31"/>
      <c r="O514" s="31"/>
      <c r="P514" s="66"/>
      <c r="R514" s="31"/>
      <c r="S514" s="31"/>
      <c r="T514" s="71"/>
      <c r="U514" s="31"/>
      <c r="W514" s="31"/>
      <c r="Y514" s="31"/>
      <c r="Z514" s="31"/>
      <c r="AA514" s="31"/>
      <c r="AB514" s="31"/>
      <c r="AC514" s="31"/>
      <c r="AD514" s="31"/>
      <c r="AE514" s="31"/>
      <c r="AG514" s="31"/>
    </row>
    <row r="515" spans="1:33" ht="15" customHeight="1">
      <c r="A515" s="31"/>
      <c r="B515" s="31"/>
      <c r="C515" s="31"/>
      <c r="E515" s="31"/>
      <c r="F515" s="31"/>
      <c r="G515" s="31"/>
      <c r="J515" s="31"/>
      <c r="L515" s="31"/>
      <c r="M515" s="31"/>
      <c r="N515" s="31"/>
      <c r="O515" s="31"/>
      <c r="P515" s="66"/>
      <c r="R515" s="31"/>
      <c r="S515" s="31"/>
      <c r="T515" s="71"/>
      <c r="U515" s="31"/>
      <c r="W515" s="31"/>
      <c r="Y515" s="31"/>
      <c r="Z515" s="31"/>
      <c r="AA515" s="31"/>
      <c r="AB515" s="31"/>
      <c r="AC515" s="31"/>
      <c r="AD515" s="31"/>
      <c r="AE515" s="31"/>
      <c r="AG515" s="31"/>
    </row>
    <row r="516" spans="1:33" ht="15" customHeight="1">
      <c r="A516" s="31"/>
      <c r="B516" s="31"/>
      <c r="C516" s="31"/>
      <c r="E516" s="31"/>
      <c r="F516" s="31"/>
      <c r="G516" s="31"/>
      <c r="J516" s="31"/>
      <c r="L516" s="31"/>
      <c r="M516" s="31"/>
      <c r="N516" s="31"/>
      <c r="O516" s="31"/>
      <c r="P516" s="66"/>
      <c r="R516" s="31"/>
      <c r="S516" s="31"/>
      <c r="T516" s="71"/>
      <c r="U516" s="31"/>
      <c r="W516" s="31"/>
      <c r="Y516" s="31"/>
      <c r="Z516" s="31"/>
      <c r="AA516" s="31"/>
      <c r="AB516" s="31"/>
      <c r="AC516" s="31"/>
      <c r="AD516" s="31"/>
      <c r="AE516" s="31"/>
      <c r="AG516" s="31"/>
    </row>
    <row r="517" spans="1:33" ht="15" customHeight="1">
      <c r="A517" s="31"/>
      <c r="B517" s="31"/>
      <c r="C517" s="31"/>
      <c r="E517" s="31"/>
      <c r="F517" s="31"/>
      <c r="G517" s="31"/>
      <c r="J517" s="31"/>
      <c r="L517" s="31"/>
      <c r="M517" s="31"/>
      <c r="N517" s="31"/>
      <c r="O517" s="31"/>
      <c r="P517" s="66"/>
      <c r="R517" s="31"/>
      <c r="S517" s="31"/>
      <c r="T517" s="71"/>
      <c r="U517" s="31"/>
      <c r="W517" s="31"/>
      <c r="Y517" s="31"/>
      <c r="Z517" s="31"/>
      <c r="AA517" s="31"/>
      <c r="AB517" s="31"/>
      <c r="AC517" s="31"/>
      <c r="AD517" s="31"/>
      <c r="AE517" s="31"/>
      <c r="AG517" s="31"/>
    </row>
    <row r="518" spans="1:33" ht="15" customHeight="1">
      <c r="A518" s="31"/>
      <c r="B518" s="31"/>
      <c r="C518" s="31"/>
      <c r="E518" s="31"/>
      <c r="F518" s="31"/>
      <c r="G518" s="31"/>
      <c r="J518" s="31"/>
      <c r="L518" s="31"/>
      <c r="M518" s="31"/>
      <c r="N518" s="31"/>
      <c r="O518" s="31"/>
      <c r="P518" s="66"/>
      <c r="R518" s="31"/>
      <c r="S518" s="31"/>
      <c r="T518" s="71"/>
      <c r="U518" s="31"/>
      <c r="W518" s="31"/>
      <c r="Y518" s="31"/>
      <c r="Z518" s="31"/>
      <c r="AA518" s="31"/>
      <c r="AB518" s="31"/>
      <c r="AC518" s="31"/>
      <c r="AD518" s="31"/>
      <c r="AE518" s="31"/>
      <c r="AG518" s="31"/>
    </row>
    <row r="519" spans="1:33" ht="15" customHeight="1">
      <c r="A519" s="31"/>
      <c r="B519" s="31"/>
      <c r="C519" s="31"/>
      <c r="E519" s="31"/>
      <c r="F519" s="31"/>
      <c r="G519" s="31"/>
      <c r="J519" s="31"/>
      <c r="L519" s="31"/>
      <c r="M519" s="31"/>
      <c r="N519" s="31"/>
      <c r="O519" s="31"/>
      <c r="P519" s="66"/>
      <c r="R519" s="31"/>
      <c r="S519" s="31"/>
      <c r="T519" s="71"/>
      <c r="U519" s="31"/>
      <c r="W519" s="31"/>
      <c r="Y519" s="31"/>
      <c r="Z519" s="31"/>
      <c r="AA519" s="31"/>
      <c r="AB519" s="31"/>
      <c r="AC519" s="31"/>
      <c r="AD519" s="31"/>
      <c r="AE519" s="31"/>
      <c r="AG519" s="31"/>
    </row>
    <row r="520" spans="1:33" ht="15" customHeight="1">
      <c r="A520" s="31"/>
      <c r="B520" s="31"/>
      <c r="C520" s="31"/>
      <c r="E520" s="31"/>
      <c r="F520" s="31"/>
      <c r="G520" s="31"/>
      <c r="J520" s="31"/>
      <c r="L520" s="31"/>
      <c r="M520" s="31"/>
      <c r="N520" s="31"/>
      <c r="O520" s="31"/>
      <c r="P520" s="66"/>
      <c r="R520" s="31"/>
      <c r="S520" s="31"/>
      <c r="T520" s="71"/>
      <c r="U520" s="31"/>
      <c r="W520" s="31"/>
      <c r="Y520" s="31"/>
      <c r="Z520" s="31"/>
      <c r="AA520" s="31"/>
      <c r="AB520" s="31"/>
      <c r="AC520" s="31"/>
      <c r="AD520" s="31"/>
      <c r="AE520" s="31"/>
      <c r="AG520" s="31"/>
    </row>
    <row r="521" spans="1:33" ht="15" customHeight="1">
      <c r="A521" s="31"/>
      <c r="B521" s="31"/>
      <c r="C521" s="31"/>
      <c r="E521" s="31"/>
      <c r="F521" s="31"/>
      <c r="G521" s="31"/>
      <c r="J521" s="31"/>
      <c r="L521" s="31"/>
      <c r="M521" s="31"/>
      <c r="N521" s="31"/>
      <c r="O521" s="31"/>
      <c r="P521" s="66"/>
      <c r="R521" s="31"/>
      <c r="S521" s="31"/>
      <c r="T521" s="71"/>
      <c r="U521" s="31"/>
      <c r="W521" s="31"/>
      <c r="Y521" s="31"/>
      <c r="Z521" s="31"/>
      <c r="AA521" s="31"/>
      <c r="AB521" s="31"/>
      <c r="AC521" s="31"/>
      <c r="AD521" s="31"/>
      <c r="AE521" s="31"/>
      <c r="AG521" s="31"/>
    </row>
    <row r="522" spans="1:33" ht="15" customHeight="1">
      <c r="A522" s="31"/>
      <c r="B522" s="31"/>
      <c r="C522" s="31"/>
      <c r="E522" s="31"/>
      <c r="F522" s="31"/>
      <c r="G522" s="31"/>
      <c r="J522" s="31"/>
      <c r="L522" s="31"/>
      <c r="M522" s="31"/>
      <c r="N522" s="31"/>
      <c r="O522" s="31"/>
      <c r="P522" s="66"/>
      <c r="R522" s="31"/>
      <c r="S522" s="31"/>
      <c r="T522" s="71"/>
      <c r="U522" s="31"/>
      <c r="W522" s="31"/>
      <c r="Y522" s="31"/>
      <c r="Z522" s="31"/>
      <c r="AA522" s="31"/>
      <c r="AB522" s="31"/>
      <c r="AC522" s="31"/>
      <c r="AD522" s="31"/>
      <c r="AE522" s="31"/>
      <c r="AG522" s="31"/>
    </row>
    <row r="523" spans="1:33" ht="15" customHeight="1">
      <c r="A523" s="31"/>
      <c r="B523" s="31"/>
      <c r="C523" s="31"/>
      <c r="E523" s="31"/>
      <c r="F523" s="31"/>
      <c r="G523" s="31"/>
      <c r="J523" s="31"/>
      <c r="L523" s="31"/>
      <c r="M523" s="31"/>
      <c r="N523" s="31"/>
      <c r="O523" s="31"/>
      <c r="P523" s="66"/>
      <c r="R523" s="31"/>
      <c r="S523" s="31"/>
      <c r="T523" s="71"/>
      <c r="U523" s="31"/>
      <c r="W523" s="31"/>
      <c r="Y523" s="31"/>
      <c r="Z523" s="31"/>
      <c r="AA523" s="31"/>
      <c r="AB523" s="31"/>
      <c r="AC523" s="31"/>
      <c r="AD523" s="31"/>
      <c r="AE523" s="31"/>
      <c r="AG523" s="31"/>
    </row>
    <row r="524" spans="1:33" ht="15" customHeight="1">
      <c r="A524" s="31"/>
      <c r="B524" s="31"/>
      <c r="C524" s="31"/>
      <c r="E524" s="31"/>
      <c r="F524" s="31"/>
      <c r="G524" s="31"/>
      <c r="J524" s="31"/>
      <c r="L524" s="31"/>
      <c r="M524" s="31"/>
      <c r="N524" s="31"/>
      <c r="O524" s="31"/>
      <c r="P524" s="66"/>
      <c r="R524" s="31"/>
      <c r="S524" s="31"/>
      <c r="T524" s="71"/>
      <c r="U524" s="31"/>
      <c r="W524" s="31"/>
      <c r="Y524" s="31"/>
      <c r="Z524" s="31"/>
      <c r="AA524" s="31"/>
      <c r="AB524" s="31"/>
      <c r="AC524" s="31"/>
      <c r="AD524" s="31"/>
      <c r="AE524" s="31"/>
      <c r="AG524" s="31"/>
    </row>
    <row r="525" spans="1:33" ht="15" customHeight="1">
      <c r="A525" s="31"/>
      <c r="B525" s="31"/>
      <c r="C525" s="31"/>
      <c r="E525" s="31"/>
      <c r="F525" s="31"/>
      <c r="G525" s="31"/>
      <c r="J525" s="31"/>
      <c r="L525" s="31"/>
      <c r="M525" s="31"/>
      <c r="N525" s="31"/>
      <c r="O525" s="31"/>
      <c r="P525" s="66"/>
      <c r="R525" s="31"/>
      <c r="S525" s="31"/>
      <c r="T525" s="71"/>
      <c r="U525" s="31"/>
      <c r="W525" s="31"/>
      <c r="Y525" s="31"/>
      <c r="Z525" s="31"/>
      <c r="AA525" s="31"/>
      <c r="AB525" s="31"/>
      <c r="AC525" s="31"/>
      <c r="AD525" s="31"/>
      <c r="AE525" s="31"/>
      <c r="AG525" s="31"/>
    </row>
    <row r="526" spans="1:33" ht="15" customHeight="1">
      <c r="A526" s="31"/>
      <c r="B526" s="31"/>
      <c r="C526" s="31"/>
      <c r="E526" s="31"/>
      <c r="F526" s="31"/>
      <c r="G526" s="31"/>
      <c r="J526" s="31"/>
      <c r="L526" s="31"/>
      <c r="M526" s="31"/>
      <c r="N526" s="31"/>
      <c r="O526" s="31"/>
      <c r="P526" s="66"/>
      <c r="R526" s="31"/>
      <c r="S526" s="31"/>
      <c r="T526" s="71"/>
      <c r="U526" s="31"/>
      <c r="W526" s="31"/>
      <c r="Y526" s="31"/>
      <c r="Z526" s="31"/>
      <c r="AA526" s="31"/>
      <c r="AB526" s="31"/>
      <c r="AC526" s="31"/>
      <c r="AD526" s="31"/>
      <c r="AE526" s="31"/>
      <c r="AG526" s="31"/>
    </row>
    <row r="527" spans="1:33" ht="15" customHeight="1">
      <c r="A527" s="31"/>
      <c r="B527" s="31"/>
      <c r="C527" s="31"/>
      <c r="E527" s="31"/>
      <c r="F527" s="31"/>
      <c r="G527" s="31"/>
      <c r="J527" s="31"/>
      <c r="L527" s="31"/>
      <c r="M527" s="31"/>
      <c r="N527" s="31"/>
      <c r="O527" s="31"/>
      <c r="P527" s="66"/>
      <c r="R527" s="31"/>
      <c r="S527" s="31"/>
      <c r="T527" s="71"/>
      <c r="U527" s="31"/>
      <c r="W527" s="31"/>
      <c r="Y527" s="31"/>
      <c r="Z527" s="31"/>
      <c r="AA527" s="31"/>
      <c r="AB527" s="31"/>
      <c r="AC527" s="31"/>
      <c r="AD527" s="31"/>
      <c r="AE527" s="31"/>
      <c r="AG527" s="31"/>
    </row>
  </sheetData>
  <sheetProtection formatColumns="0" formatRows="0" sort="0" autoFilter="0"/>
  <phoneticPr fontId="19" type="noConversion"/>
  <conditionalFormatting sqref="D2:D527">
    <cfRule type="expression" dxfId="125" priority="33">
      <formula>ISNUMBER(SEARCH("overdue",$D2))</formula>
    </cfRule>
    <cfRule type="expression" dxfId="124" priority="34">
      <formula>ISNUMBER(SEARCH("no target",$D2))</formula>
    </cfRule>
    <cfRule type="expression" dxfId="123" priority="35">
      <formula>ISNUMBER(SEARCH("Review",$D2))</formula>
    </cfRule>
    <cfRule type="expression" dxfId="122" priority="36">
      <formula>OR($D2="On track",$D2="Delivered")</formula>
    </cfRule>
    <cfRule type="expression" dxfId="121" priority="32">
      <formula>ISNUMBER(SEARCH("Blocked",$D2))</formula>
    </cfRule>
  </conditionalFormatting>
  <conditionalFormatting sqref="J2:O115">
    <cfRule type="expression" dxfId="120" priority="10">
      <formula>$AJ2="Yes – needs DB Dev to fix"</formula>
    </cfRule>
  </conditionalFormatting>
  <conditionalFormatting sqref="J116:O192">
    <cfRule type="expression" dxfId="119" priority="15">
      <formula>$AH116="Yes – needs DB Dev to fix"</formula>
    </cfRule>
  </conditionalFormatting>
  <conditionalFormatting sqref="K41">
    <cfRule type="expression" dxfId="118" priority="591">
      <formula>AND($B41&lt;&gt;"",MOD(ROW(),2)=0)</formula>
    </cfRule>
    <cfRule type="expression" dxfId="117" priority="592">
      <formula>$AJ41="Yes – needs DB Dev to fix"</formula>
    </cfRule>
  </conditionalFormatting>
  <conditionalFormatting sqref="K42">
    <cfRule type="expression" dxfId="116" priority="593">
      <formula>AND($B41&lt;&gt;"",MOD(ROW(),2)=0)</formula>
    </cfRule>
    <cfRule type="expression" dxfId="115" priority="594">
      <formula>$AJ41="Yes – needs DB Dev to fix"</formula>
    </cfRule>
  </conditionalFormatting>
  <conditionalFormatting sqref="K73:L100">
    <cfRule type="expression" dxfId="114" priority="107">
      <formula>$AF73="Yes – needs DB Dev to fix"</formula>
    </cfRule>
  </conditionalFormatting>
  <conditionalFormatting sqref="K101:L115">
    <cfRule type="expression" dxfId="113" priority="337">
      <formula>$AA101="Yes – needs DB Dev to fix"</formula>
    </cfRule>
  </conditionalFormatting>
  <conditionalFormatting sqref="K116:L527">
    <cfRule type="expression" dxfId="112" priority="564">
      <formula>$X116="Yes – needs DB Dev to fix"</formula>
    </cfRule>
  </conditionalFormatting>
  <conditionalFormatting sqref="M73">
    <cfRule type="expression" dxfId="111" priority="14">
      <formula>$AF73="Yes – needs DB Dev to fix"</formula>
    </cfRule>
  </conditionalFormatting>
  <conditionalFormatting sqref="M79">
    <cfRule type="expression" dxfId="110" priority="1">
      <formula>$AF79="Yes – needs DB Dev to fix"</formula>
    </cfRule>
  </conditionalFormatting>
  <conditionalFormatting sqref="M73:P100">
    <cfRule type="expression" dxfId="109" priority="292">
      <formula>$AD73="Yes – needs PBI Dev to fix"</formula>
    </cfRule>
  </conditionalFormatting>
  <conditionalFormatting sqref="M101:P115">
    <cfRule type="expression" dxfId="108" priority="339">
      <formula>$AA101="Yes – needs PBI Dev to fix"</formula>
    </cfRule>
  </conditionalFormatting>
  <conditionalFormatting sqref="M116:P527">
    <cfRule type="expression" dxfId="107" priority="565">
      <formula>$X116="Yes – needs PBI Dev to fix"</formula>
    </cfRule>
  </conditionalFormatting>
  <conditionalFormatting sqref="O101:O113">
    <cfRule type="expression" dxfId="106" priority="13">
      <formula>$AD101="Yes – needs PBI Dev to fix"</formula>
    </cfRule>
  </conditionalFormatting>
  <conditionalFormatting sqref="Q73:Q100">
    <cfRule type="expression" dxfId="105" priority="8">
      <formula>$AJ73="Yes – needs DB Dev to fix"</formula>
    </cfRule>
    <cfRule type="expression" dxfId="104" priority="9">
      <formula>$AF73="Yes – needs DB Dev to fix"</formula>
    </cfRule>
    <cfRule type="expression" dxfId="103" priority="111">
      <formula>$AF73="Yes – needs PBI Dev to fix"</formula>
    </cfRule>
  </conditionalFormatting>
  <conditionalFormatting sqref="Q101:R115 V101:V115 X101:X115">
    <cfRule type="expression" dxfId="102" priority="7">
      <formula>$AA101="Yes – needs QA to fix"</formula>
    </cfRule>
  </conditionalFormatting>
  <conditionalFormatting sqref="Q116:R527">
    <cfRule type="expression" dxfId="101" priority="566">
      <formula>$X116="Yes – needs QA to fix"</formula>
    </cfRule>
  </conditionalFormatting>
  <conditionalFormatting sqref="U10:V19 X10:X19 J29 M29:P29 J32:J33 M32:P33 K40:K41 M40:P41 Q65 T65:U65 V101:V115 X101:X115 Q2:U64 Q66:U115">
    <cfRule type="expression" dxfId="100" priority="22">
      <formula>$AJ2="Yes – needs PBI Dev to fix"</formula>
    </cfRule>
  </conditionalFormatting>
  <conditionalFormatting sqref="R58">
    <cfRule type="expression" dxfId="99" priority="309">
      <formula>$AJ65="Yes – needs PBI Dev to fix"</formula>
    </cfRule>
    <cfRule type="expression" dxfId="98" priority="307">
      <formula>AND($B65&lt;&gt;"",MOD(ROW(),2)=0)</formula>
    </cfRule>
  </conditionalFormatting>
  <conditionalFormatting sqref="R73:U100 T96:T101">
    <cfRule type="expression" dxfId="97" priority="113">
      <formula>$AF73="Yes – needs QA to fix"</formula>
    </cfRule>
  </conditionalFormatting>
  <conditionalFormatting sqref="S101:U115">
    <cfRule type="expression" dxfId="96" priority="353">
      <formula>$AA101="Yes – needs DPO Approval to fix"</formula>
    </cfRule>
  </conditionalFormatting>
  <conditionalFormatting sqref="S116:U527">
    <cfRule type="expression" dxfId="95" priority="567">
      <formula>$X116="Yes – needs DPO Approval to fix"</formula>
    </cfRule>
  </conditionalFormatting>
  <conditionalFormatting sqref="U101:V527 X101:X527">
    <cfRule type="expression" dxfId="94" priority="40">
      <formula>$V101="Yes"</formula>
    </cfRule>
  </conditionalFormatting>
  <conditionalFormatting sqref="U73:Y100">
    <cfRule type="expression" dxfId="93" priority="115">
      <formula>$AF73="Yes – needs DPO Approval to fix"</formula>
    </cfRule>
  </conditionalFormatting>
  <conditionalFormatting sqref="X116:X527">
    <cfRule type="expression" dxfId="92" priority="568">
      <formula>LEFT($X116,3)="Yes"</formula>
    </cfRule>
  </conditionalFormatting>
  <conditionalFormatting sqref="X73:Z100">
    <cfRule type="expression" dxfId="91" priority="467">
      <formula>$Y73="Yes"</formula>
    </cfRule>
  </conditionalFormatting>
  <conditionalFormatting sqref="Z116:AA527">
    <cfRule type="expression" dxfId="90" priority="45">
      <formula>ISNUMBER(SEARCH("Move old",$Z116))</formula>
    </cfRule>
    <cfRule type="expression" dxfId="89" priority="45">
      <formula>ISNUMBER(SEARCH("log it",$Z116))</formula>
    </cfRule>
    <cfRule type="expression" dxfId="88" priority="46">
      <formula>ISNUMBER(SEARCH("Duplicate",$Z116))</formula>
    </cfRule>
    <cfRule type="expression" dxfId="87" priority="47">
      <formula>$Z116&lt;&gt;""</formula>
    </cfRule>
    <cfRule type="expression" dxfId="86" priority="45">
      <formula>ISNUMBER(SEARCH("Open rework",$Z116))</formula>
    </cfRule>
  </conditionalFormatting>
  <conditionalFormatting sqref="Z116:AC527 W2:Y527 A74:V527 A2:F115 G2:V40 N3:N44 L41:V42 G65:Q65 T65:V65 G41:J42 Z2:AL2 Z3 Z4:AL41 Z42:AK42 Z43:AL44 Z45:AK47 Z48:AL72 Z73:AH100 Z101:AE115 AB3:AL3 G43:V64 G66:V73">
    <cfRule type="expression" dxfId="85" priority="48">
      <formula>AND($B2&lt;&gt;"",MOD(ROW(),2)=0)</formula>
    </cfRule>
  </conditionalFormatting>
  <conditionalFormatting sqref="AA3">
    <cfRule type="expression" dxfId="84" priority="596">
      <formula>$AJ3="Yes – needs DPO Approval to fix"</formula>
    </cfRule>
    <cfRule type="expression" dxfId="83" priority="595">
      <formula>AND($B3&lt;&gt;"",MOD(ROW(),2)=0)</formula>
    </cfRule>
  </conditionalFormatting>
  <conditionalFormatting sqref="AA101:AA115 U2:Z115">
    <cfRule type="expression" dxfId="82" priority="5">
      <formula>$AJ2="Yes – needs QA to fix"</formula>
    </cfRule>
  </conditionalFormatting>
  <conditionalFormatting sqref="AA101:AA115">
    <cfRule type="expression" dxfId="81" priority="361">
      <formula>LEFT($AA101,3)="Yes"</formula>
    </cfRule>
    <cfRule type="expression" dxfId="80" priority="4">
      <formula>$V101="Yes"</formula>
    </cfRule>
    <cfRule type="expression" dxfId="79" priority="3">
      <formula>$AA101="Yes – needs QA to fix"</formula>
    </cfRule>
    <cfRule type="expression" dxfId="78" priority="2">
      <formula>$AJ101="Yes – needs PBI Dev to fix"</formula>
    </cfRule>
  </conditionalFormatting>
  <conditionalFormatting sqref="AA2:AE2 AB3:AE3 AA4:AE100">
    <cfRule type="expression" dxfId="77" priority="89">
      <formula>$AJ2="Yes – needs DPO Approval to fix"</formula>
    </cfRule>
  </conditionalFormatting>
  <conditionalFormatting sqref="AB101:AC115">
    <cfRule type="expression" dxfId="76" priority="370">
      <formula>ISNUMBER(SEARCH("Move old",$AB101))</formula>
    </cfRule>
    <cfRule type="expression" dxfId="75" priority="371">
      <formula>ISNUMBER(SEARCH("log it",$AB101))</formula>
    </cfRule>
    <cfRule type="expression" dxfId="74" priority="372">
      <formula>ISNUMBER(SEARCH("Duplicate",$AB101))</formula>
    </cfRule>
    <cfRule type="expression" dxfId="73" priority="373">
      <formula>$AB101&lt;&gt;""</formula>
    </cfRule>
    <cfRule type="expression" dxfId="72" priority="369">
      <formula>ISNUMBER(SEARCH("Open rework",$AB101))</formula>
    </cfRule>
  </conditionalFormatting>
  <conditionalFormatting sqref="AF2:AF115">
    <cfRule type="expression" dxfId="71" priority="61">
      <formula>$AF2="Yes"</formula>
    </cfRule>
  </conditionalFormatting>
  <conditionalFormatting sqref="AF73:AF100">
    <cfRule type="expression" dxfId="70" priority="119">
      <formula>LEFT($AF73,3)="Yes"</formula>
    </cfRule>
  </conditionalFormatting>
  <conditionalFormatting sqref="AG73:AG100">
    <cfRule type="expression" dxfId="69" priority="128">
      <formula>ISNUMBER(SEARCH("Duplicate",$AG73))</formula>
    </cfRule>
    <cfRule type="expression" dxfId="68" priority="129">
      <formula>$AG73&lt;&gt;""</formula>
    </cfRule>
    <cfRule type="expression" dxfId="67" priority="125">
      <formula>ISNUMBER(SEARCH("Open rework",$AG73))</formula>
    </cfRule>
    <cfRule type="expression" dxfId="66" priority="126">
      <formula>ISNUMBER(SEARCH("Move old",$AG73))</formula>
    </cfRule>
    <cfRule type="expression" dxfId="65" priority="127">
      <formula>ISNUMBER(SEARCH("log it",$AG73))</formula>
    </cfRule>
  </conditionalFormatting>
  <conditionalFormatting sqref="AJ2:AJ115">
    <cfRule type="expression" dxfId="64" priority="63">
      <formula>LEFT($AJ2,3)="Yes"</formula>
    </cfRule>
  </conditionalFormatting>
  <conditionalFormatting sqref="AK2:AK115">
    <cfRule type="expression" dxfId="63" priority="71">
      <formula>ISNUMBER(SEARCH("Move old",$AK2))</formula>
    </cfRule>
    <cfRule type="expression" dxfId="62" priority="70">
      <formula>ISNUMBER(SEARCH("Open rework",$AK2))</formula>
    </cfRule>
    <cfRule type="expression" dxfId="61" priority="69">
      <formula>ISNUMBER(SEARCH("log it",$AK2))</formula>
    </cfRule>
    <cfRule type="expression" dxfId="60" priority="73">
      <formula>$AK2&lt;&gt;""</formula>
    </cfRule>
    <cfRule type="expression" dxfId="59" priority="72">
      <formula>ISNUMBER(SEARCH("Duplicate",$AK2))</formula>
    </cfRule>
  </conditionalFormatting>
  <conditionalFormatting sqref="AL45:AL47">
    <cfRule type="expression" dxfId="58" priority="12">
      <formula>AND($B49&lt;&gt;"",MOD(ROW(),2)=0)</formula>
    </cfRule>
  </conditionalFormatting>
  <dataValidations count="6">
    <dataValidation type="date" operator="greaterThanOrEqual" allowBlank="1" showErrorMessage="1" errorTitle="Real date only" error="This column only accepts real dates. Put notes in Comments instead." sqref="W101:Y527 AG2:AG72 AB2:AB72 AC5:AC72 S2:S28 Q2:R64 V2:V115 AA2:AA115 AC2:AC3 K2:M527 Q65 S30:S64 H2:H527 W2:W72 Y2:Y72 X2:X115 Q66:S527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O1:P1048568" xr:uid="{DAD9BD11-4282-4C05-A84B-0F51450196AD}"/>
    <dataValidation type="list" allowBlank="1" showInputMessage="1" showErrorMessage="1" sqref="J1:J1048568" xr:uid="{21F3A93D-2A33-4A7C-9F45-C528B522B74E}">
      <formula1>"Fetwi,Siva,Sreevasha,Siddu,Sree,Rupa,Greeta,Nick,Mejo,Michael"</formula1>
    </dataValidation>
    <dataValidation type="list" operator="greaterThanOrEqual" allowBlank="1" showErrorMessage="1" errorTitle="Real date only" error="This column only accepts real dates. Put notes in Comments instead." sqref="AC4" xr:uid="{AB5B7243-367B-48A5-B4E6-E66C038D2D60}">
      <formula1>"Compliance, Regulatory, Ops "</formula1>
    </dataValidation>
    <dataValidation allowBlank="1" showInputMessage="1" showErrorMessage="1" sqref="AE1" xr:uid="{FECAB9FC-5D18-4A69-8AB2-F9B5CCD5292C}"/>
    <dataValidation type="list" allowBlank="1" showInputMessage="1" showErrorMessage="1" sqref="AC116:AC1048576 AE2:AE115" xr:uid="{DA68FF9D-BD58-4B66-BD0E-CEC5E83F324E}">
      <formula1>$T$2:$T$4</formula1>
    </dataValidation>
  </dataValidations>
  <hyperlinks>
    <hyperlink ref="AL42" r:id="rId1" xr:uid="{5E1EBC8C-185D-4586-BE86-5E620BE457BD}"/>
  </hyperlinks>
  <pageMargins left="0.75" right="0.75" top="1" bottom="1" header="0.5" footer="0.5"/>
  <pageSetup orientation="portrait" r:id="rId2"/>
  <headerFooter>
    <oddFooter>&amp;L_x000D_&amp;1#&amp;"Aptos"&amp;10&amp;K000000 This content is for internal use only</oddFooter>
  </headerFooter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AF2:AF72 W73:Y100 X116:X527 U116:V527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AJ2:AJ115 AF73:AF100 X116:X527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A2:A527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C2:C527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F2:F527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P2:P527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U116:U527</xm:sqref>
        </x14:dataValidation>
        <x14:dataValidation type="list" allowBlank="1" showInputMessage="1" showErrorMessage="1" xr:uid="{93DF17FC-2AFB-4DB1-9C8B-30D4ED3B9678}">
          <x14:formula1>
            <xm:f>'Data Validation'!$R$2:$R$4</xm:f>
          </x14:formula1>
          <xm:sqref>N1:N1048576</xm:sqref>
        </x14:dataValidation>
        <x14:dataValidation type="list" allowBlank="1" showInputMessage="1" showErrorMessage="1" errorTitle="QA Tester" error="Pick a tester from the list. To add a new tester, add the name to the QA Tester list on the Data Validation tab." xr:uid="{8AA8E9FF-4D26-46D0-8785-CDE50C069E01}">
          <x14:formula1>
            <xm:f>'Data Validation'!$H$3:$H$7</xm:f>
          </x14:formula1>
          <xm:sqref>U2:U115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323</v>
      </c>
    </row>
    <row r="2" spans="1:5">
      <c r="A2" s="6" t="s">
        <v>324</v>
      </c>
    </row>
    <row r="4" spans="1:5" ht="21.95" customHeight="1">
      <c r="A4" s="5" t="s">
        <v>325</v>
      </c>
      <c r="B4" s="120"/>
      <c r="C4" s="121"/>
      <c r="D4" s="121"/>
      <c r="E4" s="121"/>
    </row>
    <row r="6" spans="1:5">
      <c r="A6" s="42" t="s">
        <v>0</v>
      </c>
      <c r="B6" s="117" t="str">
        <f>IF($B$4="","",IFERROR(INDEX('Combined Delivery Data'!$A:$A,MATCH($B$4,'Combined Delivery Data'!$B:$B,0)),""))</f>
        <v/>
      </c>
      <c r="C6" s="122"/>
      <c r="D6" s="122"/>
      <c r="E6" s="123"/>
    </row>
    <row r="7" spans="1:5">
      <c r="A7" s="42" t="s">
        <v>326</v>
      </c>
      <c r="B7" s="117" t="str">
        <f>IF($B$4="","",IFERROR(INDEX('Combined Delivery Data'!$C:$C,MATCH($B$4,'Combined Delivery Data'!$B:$B,0)),""))</f>
        <v/>
      </c>
      <c r="C7" s="122"/>
      <c r="D7" s="122"/>
      <c r="E7" s="123"/>
    </row>
    <row r="8" spans="1:5">
      <c r="A8" s="42" t="s">
        <v>3</v>
      </c>
      <c r="B8" s="117" t="str">
        <f>IF($B$4="","",IFERROR(INDEX('Combined Delivery Data'!$D:$D,MATCH($B$4,'Combined Delivery Data'!$B:$B,0)),""))</f>
        <v/>
      </c>
      <c r="C8" s="122"/>
      <c r="D8" s="122"/>
      <c r="E8" s="123"/>
    </row>
    <row r="9" spans="1:5">
      <c r="A9" s="42" t="s">
        <v>4</v>
      </c>
      <c r="B9" s="117" t="str">
        <f>IF($B$4="","",IFERROR(INDEX('Combined Delivery Data'!$E:$E,MATCH($B$4,'Combined Delivery Data'!$B:$B,0)),""))</f>
        <v/>
      </c>
      <c r="C9" s="122"/>
      <c r="D9" s="122"/>
      <c r="E9" s="123"/>
    </row>
    <row r="10" spans="1:5">
      <c r="A10" s="42" t="s">
        <v>5</v>
      </c>
      <c r="B10" s="117" t="str">
        <f>IF($B$4="","",IFERROR(INDEX('Combined Delivery Data'!$F:$F,MATCH($B$4,'Combined Delivery Data'!$B:$B,0)),""))</f>
        <v/>
      </c>
      <c r="C10" s="122"/>
      <c r="D10" s="122"/>
      <c r="E10" s="123"/>
    </row>
    <row r="11" spans="1:5">
      <c r="A11" s="42" t="s">
        <v>9</v>
      </c>
      <c r="B11" s="117" t="str">
        <f>IF($B$4="","",IFERROR(INDEX('Combined Delivery Data'!$J:$J,MATCH($B$4,'Combined Delivery Data'!$B:$B,0)),""))</f>
        <v/>
      </c>
      <c r="C11" s="122"/>
      <c r="D11" s="122"/>
      <c r="E11" s="123"/>
    </row>
    <row r="12" spans="1:5">
      <c r="A12" s="42" t="s">
        <v>15</v>
      </c>
      <c r="B12" s="117" t="str">
        <f>IF($B$4="","",IFERROR(INDEX('Combined Delivery Data'!$P:$P,MATCH($B$4,'Combined Delivery Data'!$B:$B,0)),""))</f>
        <v/>
      </c>
      <c r="C12" s="122"/>
      <c r="D12" s="122"/>
      <c r="E12" s="123"/>
    </row>
    <row r="13" spans="1:5">
      <c r="A13" s="42" t="s">
        <v>20</v>
      </c>
      <c r="B13" s="117" t="str">
        <f>IF($B$4="","",IFERROR(INDEX('Combined Delivery Data'!$U:$U,MATCH($B$4,'Combined Delivery Data'!$B:$B,0)),""))</f>
        <v/>
      </c>
      <c r="C13" s="122"/>
      <c r="D13" s="122"/>
      <c r="E13" s="123"/>
    </row>
    <row r="14" spans="1:5">
      <c r="A14" s="42" t="s">
        <v>327</v>
      </c>
      <c r="B14" s="116" t="str">
        <f>IF($B$4="","",IFERROR(INDEX('Combined Delivery Data'!$K:$K,MATCH($B$4,'Combined Delivery Data'!$B:$B,0)),""))</f>
        <v/>
      </c>
      <c r="C14" s="122"/>
      <c r="D14" s="122"/>
      <c r="E14" s="123"/>
    </row>
    <row r="15" spans="1:5">
      <c r="A15" s="42" t="s">
        <v>328</v>
      </c>
      <c r="B15" s="116" t="str">
        <f>IF($B$4="","",IFERROR(INDEX('Combined Delivery Data'!$L:$L,MATCH($B$4,'Combined Delivery Data'!$B:$B,0)),""))</f>
        <v/>
      </c>
      <c r="C15" s="122"/>
      <c r="D15" s="122"/>
      <c r="E15" s="123"/>
    </row>
    <row r="16" spans="1:5">
      <c r="A16" s="42" t="s">
        <v>329</v>
      </c>
      <c r="B16" s="116" t="str">
        <f>IF($B$4="","",IFERROR(INDEX('Combined Delivery Data'!$M:$M,MATCH($B$4,'Combined Delivery Data'!$B:$B,0)),""))</f>
        <v/>
      </c>
      <c r="C16" s="122"/>
      <c r="D16" s="122"/>
      <c r="E16" s="123"/>
    </row>
    <row r="17" spans="1:5">
      <c r="A17" s="42" t="s">
        <v>330</v>
      </c>
      <c r="B17" s="116" t="str">
        <f>IF($B$4="","",IFERROR(INDEX('Combined Delivery Data'!$O:$O,MATCH($B$4,'Combined Delivery Data'!$B:$B,0)),""))</f>
        <v/>
      </c>
      <c r="C17" s="122"/>
      <c r="D17" s="122"/>
      <c r="E17" s="123"/>
    </row>
    <row r="18" spans="1:5">
      <c r="A18" s="42" t="s">
        <v>331</v>
      </c>
      <c r="B18" s="116" t="str">
        <f>IF($B$4="","",IFERROR(INDEX('Combined Delivery Data'!$Q:$Q,MATCH($B$4,'Combined Delivery Data'!$B:$B,0)),""))</f>
        <v/>
      </c>
      <c r="C18" s="122"/>
      <c r="D18" s="122"/>
      <c r="E18" s="123"/>
    </row>
    <row r="19" spans="1:5">
      <c r="A19" s="42" t="s">
        <v>332</v>
      </c>
      <c r="B19" s="116" t="str">
        <f>IF($B$4="","",IFERROR(INDEX('Combined Delivery Data'!$R:$R,MATCH($B$4,'Combined Delivery Data'!$B:$B,0)),""))</f>
        <v/>
      </c>
      <c r="C19" s="122"/>
      <c r="D19" s="122"/>
      <c r="E19" s="123"/>
    </row>
    <row r="20" spans="1:5">
      <c r="A20" s="42" t="s">
        <v>333</v>
      </c>
      <c r="B20" s="116" t="str">
        <f>IF($B$4="","",IFERROR(INDEX('Combined Delivery Data'!$S:$S,MATCH($B$4,'Combined Delivery Data'!$B:$B,0)),""))</f>
        <v/>
      </c>
      <c r="C20" s="122"/>
      <c r="D20" s="122"/>
      <c r="E20" s="123"/>
    </row>
    <row r="21" spans="1:5">
      <c r="A21" s="42" t="s">
        <v>29</v>
      </c>
      <c r="B21" s="117" t="str">
        <f>IF($B$4="","",IFERROR(INDEX('Combined Delivery Data'!$T:$T,MATCH($B$4,'Combined Delivery Data'!$B:$B,0)),""))</f>
        <v/>
      </c>
      <c r="C21" s="122"/>
      <c r="D21" s="122"/>
      <c r="E21" s="123"/>
    </row>
    <row r="22" spans="1:5">
      <c r="A22" s="42" t="s">
        <v>31</v>
      </c>
      <c r="B22" s="117" t="str">
        <f>IF($B$4="","",IFERROR(INDEX('Combined Delivery Data'!$V:$V,MATCH($B$4,'Combined Delivery Data'!$B:$B,0)),""))</f>
        <v/>
      </c>
      <c r="C22" s="122"/>
      <c r="D22" s="122"/>
      <c r="E22" s="123"/>
    </row>
    <row r="23" spans="1:5">
      <c r="A23" s="42" t="s">
        <v>32</v>
      </c>
      <c r="B23" s="116" t="str">
        <f>IF($B$4="","",IFERROR(INDEX('Combined Delivery Data'!$W:$W,MATCH($B$4,'Combined Delivery Data'!$B:$B,0)),""))</f>
        <v/>
      </c>
      <c r="C23" s="122"/>
      <c r="D23" s="122"/>
      <c r="E23" s="123"/>
    </row>
    <row r="24" spans="1:5">
      <c r="A24" s="42" t="s">
        <v>35</v>
      </c>
      <c r="B24" s="117" t="str">
        <f>IF($B$4="","",IFERROR(INDEX('Combined Delivery Data'!$X:$X,MATCH($B$4,'Combined Delivery Data'!$B:$B,0)),""))</f>
        <v/>
      </c>
      <c r="C24" s="122"/>
      <c r="D24" s="122"/>
      <c r="E24" s="123"/>
    </row>
    <row r="25" spans="1:5">
      <c r="A25" s="42" t="s">
        <v>36</v>
      </c>
      <c r="B25" s="117" t="str">
        <f>IF($B$4="","",IFERROR(INDEX('Combined Delivery Data'!$Z:$Z,MATCH($B$4,'Combined Delivery Data'!$B:$B,0)),""))</f>
        <v/>
      </c>
      <c r="C25" s="122"/>
      <c r="D25" s="122"/>
      <c r="E25" s="123"/>
    </row>
    <row r="26" spans="1:5">
      <c r="A26" s="42" t="s">
        <v>334</v>
      </c>
      <c r="B26" s="117" t="str">
        <f>IF($B$4="","",IFERROR(INDEX('Rework Log'!$Q:$Q,MATCH($B$4,'Rework Log'!$P:$P,0)),""))</f>
        <v/>
      </c>
      <c r="C26" s="122"/>
      <c r="D26" s="122"/>
      <c r="E26" s="123"/>
    </row>
    <row r="27" spans="1:5">
      <c r="A27" s="42" t="s">
        <v>335</v>
      </c>
      <c r="B27" s="117" t="str">
        <f>IF($B$4="","",IFERROR(INDEX('Rework Log'!$R:$R,MATCH($B$4,'Rework Log'!$P:$P,0)),""))</f>
        <v/>
      </c>
      <c r="C27" s="122"/>
      <c r="D27" s="122"/>
      <c r="E27" s="123"/>
    </row>
    <row r="28" spans="1:5">
      <c r="A28" s="42" t="s">
        <v>336</v>
      </c>
      <c r="B28" s="117" t="str">
        <f>IF($B$4="","",IFERROR(INDEX('Rework Log'!$S:$S,MATCH($B$4,'Rework Log'!$P:$P,0)),""))</f>
        <v/>
      </c>
      <c r="C28" s="122"/>
      <c r="D28" s="122"/>
      <c r="E28" s="123"/>
    </row>
    <row r="29" spans="1:5">
      <c r="A29" s="42" t="s">
        <v>337</v>
      </c>
      <c r="B29" s="117" t="str">
        <f>IF($B$4="","",IFERROR(INDEX('Rework Log'!$T:$T,MATCH($B$4,'Rework Log'!$P:$P,0)),""))</f>
        <v/>
      </c>
      <c r="C29" s="122"/>
      <c r="D29" s="122"/>
      <c r="E29" s="123"/>
    </row>
    <row r="30" spans="1:5" ht="15.6" customHeight="1">
      <c r="A30" s="42"/>
      <c r="B30" s="117"/>
      <c r="C30" s="122"/>
      <c r="D30" s="122"/>
      <c r="E30" s="123"/>
    </row>
    <row r="31" spans="1:5" ht="15.6" customHeight="1">
      <c r="A31" s="5" t="s">
        <v>37</v>
      </c>
      <c r="B31" s="124" t="str">
        <f>IF($B$4="","",IFERROR(INDEX('Combined Delivery Data'!$AB:$AB,MATCH($B$4,'Combined Delivery Data'!$B:$B,0)),""))</f>
        <v/>
      </c>
      <c r="C31" s="121"/>
      <c r="D31" s="121"/>
      <c r="E31" s="121"/>
    </row>
  </sheetData>
  <mergeCells count="27"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499"/>
  <sheetViews>
    <sheetView workbookViewId="0">
      <pane ySplit="2" topLeftCell="A12" activePane="bottomLeft" state="frozen"/>
      <selection pane="bottomLeft" activeCell="F31" sqref="F31"/>
    </sheetView>
  </sheetViews>
  <sheetFormatPr defaultRowHeight="14.45"/>
  <cols>
    <col min="1" max="1" width="50.5703125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3.5703125" customWidth="1"/>
    <col min="9" max="9" width="17.7109375" customWidth="1"/>
    <col min="10" max="11" width="12" customWidth="1"/>
    <col min="12" max="12" width="51.140625" bestFit="1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118" t="s">
        <v>338</v>
      </c>
      <c r="B1" s="118"/>
      <c r="C1" s="118"/>
      <c r="D1" s="118"/>
      <c r="E1" s="118"/>
      <c r="F1" s="118"/>
      <c r="G1" s="118"/>
      <c r="H1" s="118"/>
      <c r="I1" s="118"/>
      <c r="J1" s="118"/>
      <c r="K1" s="118"/>
      <c r="L1" s="118"/>
      <c r="M1" s="118"/>
      <c r="P1" s="125" t="s">
        <v>339</v>
      </c>
      <c r="Q1" s="125"/>
      <c r="R1" s="125"/>
      <c r="S1" s="125"/>
      <c r="T1" s="125"/>
    </row>
    <row r="2" spans="1:20" ht="30" customHeight="1">
      <c r="A2" s="17" t="s">
        <v>1</v>
      </c>
      <c r="B2" s="17" t="s">
        <v>340</v>
      </c>
      <c r="C2" s="17" t="s">
        <v>341</v>
      </c>
      <c r="D2" s="17" t="s">
        <v>342</v>
      </c>
      <c r="E2" s="17" t="s">
        <v>343</v>
      </c>
      <c r="F2" s="17" t="s">
        <v>344</v>
      </c>
      <c r="G2" s="17" t="s">
        <v>345</v>
      </c>
      <c r="H2" s="30" t="s">
        <v>346</v>
      </c>
      <c r="I2" s="30" t="s">
        <v>347</v>
      </c>
      <c r="J2" s="30" t="s">
        <v>348</v>
      </c>
      <c r="K2" s="30" t="s">
        <v>349</v>
      </c>
      <c r="L2" s="30" t="s">
        <v>350</v>
      </c>
      <c r="M2" s="21" t="s">
        <v>351</v>
      </c>
      <c r="N2" s="21" t="s">
        <v>352</v>
      </c>
      <c r="P2" s="13" t="s">
        <v>1</v>
      </c>
      <c r="Q2" s="13" t="s">
        <v>334</v>
      </c>
      <c r="R2" s="13" t="s">
        <v>335</v>
      </c>
      <c r="S2" s="13" t="s">
        <v>336</v>
      </c>
      <c r="T2" s="13" t="s">
        <v>337</v>
      </c>
    </row>
    <row r="3" spans="1:20">
      <c r="A3" s="33" t="s">
        <v>146</v>
      </c>
      <c r="B3" s="36">
        <v>46230</v>
      </c>
      <c r="C3" s="33" t="s">
        <v>141</v>
      </c>
      <c r="D3" s="33" t="s">
        <v>154</v>
      </c>
      <c r="E3" s="33" t="s">
        <v>147</v>
      </c>
      <c r="F3" s="33" t="s">
        <v>353</v>
      </c>
      <c r="G3" s="33" t="s">
        <v>50</v>
      </c>
      <c r="H3" s="36"/>
      <c r="I3" s="53"/>
      <c r="J3" s="53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38 d</v>
      </c>
      <c r="N3" t="s">
        <v>50</v>
      </c>
      <c r="P3" t="str">
        <f>'Combined Delivery Data'!B2</f>
        <v>RPT_04_Active Leaks</v>
      </c>
      <c r="Q3">
        <f t="shared" ref="Q3:Q16" si="0">IF($P3="","",COUNTIF($A$3:$A$499,$P3))</f>
        <v>0</v>
      </c>
      <c r="R3">
        <f t="shared" ref="R3:R16" si="1">IF($P3="","",SUMPRODUCT(($A$3:$A$499=$P3)*($G$3:$G$499&lt;&gt;"Yes")*($G$3:$G$499&lt;&gt;"Did not pass re-test")))</f>
        <v>0</v>
      </c>
      <c r="S3" s="28" t="str">
        <f t="shared" ref="S3:S16" si="2">IF($P3="","",IF(SUMPRODUCT(MAX(($A$3:$A$499=$P3)*ROW($A$3:$A$499)))=0,"",INDEX($B:$B,SUMPRODUCT(MAX(($A$3:$A$499=$P3)*ROW($A$3:$A$499))))))</f>
        <v/>
      </c>
      <c r="T3" t="str">
        <f t="shared" ref="T3:T16" si="3">IF($P3="","",IF(SUMPRODUCT(MAX(($A$3:$A$499=$P3)*ROW($A$3:$A$499)))=0,"",INDEX($C:$C,SUMPRODUCT(MAX(($A$3:$A$499=$P3)*ROW($A$3:$A$499))))&amp;" -&gt; "&amp;INDEX($D:$D,SUMPRODUCT(MAX(($A$3:$A$499=$P3)*ROW($A$3:$A$499))))))</f>
        <v/>
      </c>
    </row>
    <row r="4" spans="1:20">
      <c r="A4" s="31" t="s">
        <v>158</v>
      </c>
      <c r="B4" s="32">
        <v>46237</v>
      </c>
      <c r="C4" s="31" t="s">
        <v>141</v>
      </c>
      <c r="D4" s="31" t="s">
        <v>154</v>
      </c>
      <c r="E4" s="31" t="s">
        <v>147</v>
      </c>
      <c r="F4" s="31" t="s">
        <v>354</v>
      </c>
      <c r="G4" s="31" t="s">
        <v>50</v>
      </c>
      <c r="H4" s="32"/>
      <c r="I4" s="32"/>
      <c r="J4" s="32">
        <v>46247</v>
      </c>
      <c r="K4" s="31" t="s">
        <v>60</v>
      </c>
      <c r="L4" s="31" t="s">
        <v>355</v>
      </c>
      <c r="M4" s="3" t="str">
        <f t="shared" ref="M4:M66" ca="1" si="4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50</v>
      </c>
      <c r="P4" t="str">
        <f>'Combined Delivery Data'!B3</f>
        <v>RPT_04_Count of Active Leaks On Hand</v>
      </c>
      <c r="Q4">
        <f t="shared" si="0"/>
        <v>0</v>
      </c>
      <c r="R4">
        <f t="shared" si="1"/>
        <v>0</v>
      </c>
      <c r="S4" s="28" t="str">
        <f t="shared" si="2"/>
        <v/>
      </c>
      <c r="T4" t="str">
        <f t="shared" si="3"/>
        <v/>
      </c>
    </row>
    <row r="5" spans="1:20">
      <c r="A5" s="54" t="s">
        <v>128</v>
      </c>
      <c r="B5" s="32">
        <v>46238</v>
      </c>
      <c r="C5" s="31" t="s">
        <v>141</v>
      </c>
      <c r="D5" s="31" t="s">
        <v>154</v>
      </c>
      <c r="E5" s="31" t="s">
        <v>130</v>
      </c>
      <c r="F5" s="31" t="s">
        <v>356</v>
      </c>
      <c r="G5" s="31" t="s">
        <v>50</v>
      </c>
      <c r="H5" s="32"/>
      <c r="I5" s="32"/>
      <c r="J5" s="32">
        <v>46245</v>
      </c>
      <c r="K5" s="31"/>
      <c r="L5" s="31"/>
      <c r="M5" s="3" t="str">
        <f t="shared" ca="1" si="4"/>
        <v>Fixed</v>
      </c>
      <c r="N5" t="s">
        <v>50</v>
      </c>
      <c r="P5" t="e">
        <f>'Combined Delivery Data'!#REF!</f>
        <v>#REF!</v>
      </c>
      <c r="Q5" t="e">
        <f t="shared" si="0"/>
        <v>#REF!</v>
      </c>
      <c r="R5" t="e">
        <f t="shared" si="1"/>
        <v>#REF!</v>
      </c>
      <c r="S5" s="28" t="e">
        <f t="shared" si="2"/>
        <v>#REF!</v>
      </c>
      <c r="T5" t="e">
        <f t="shared" si="3"/>
        <v>#REF!</v>
      </c>
    </row>
    <row r="6" spans="1:20">
      <c r="A6" s="54" t="s">
        <v>144</v>
      </c>
      <c r="B6" s="32">
        <v>46234</v>
      </c>
      <c r="C6" s="31" t="s">
        <v>141</v>
      </c>
      <c r="D6" s="31" t="s">
        <v>154</v>
      </c>
      <c r="E6" s="31" t="s">
        <v>130</v>
      </c>
      <c r="F6" s="31" t="s">
        <v>357</v>
      </c>
      <c r="G6" s="31" t="s">
        <v>50</v>
      </c>
      <c r="H6" s="32"/>
      <c r="I6" s="32"/>
      <c r="J6" s="32">
        <v>46251</v>
      </c>
      <c r="K6" s="31"/>
      <c r="L6" s="31"/>
      <c r="M6" s="3" t="str">
        <f t="shared" ca="1" si="4"/>
        <v>Fixed</v>
      </c>
      <c r="N6" t="s">
        <v>50</v>
      </c>
      <c r="P6" t="str">
        <f>'Combined Delivery Data'!B4</f>
        <v>RPT_04_Leak Days Remaining</v>
      </c>
      <c r="Q6">
        <f t="shared" si="0"/>
        <v>0</v>
      </c>
      <c r="R6">
        <f t="shared" si="1"/>
        <v>0</v>
      </c>
      <c r="S6" s="28" t="str">
        <f t="shared" si="2"/>
        <v/>
      </c>
      <c r="T6" t="str">
        <f t="shared" si="3"/>
        <v/>
      </c>
    </row>
    <row r="7" spans="1:20">
      <c r="A7" s="54" t="s">
        <v>135</v>
      </c>
      <c r="B7" s="32">
        <v>46239</v>
      </c>
      <c r="C7" s="31" t="s">
        <v>141</v>
      </c>
      <c r="D7" s="31" t="s">
        <v>154</v>
      </c>
      <c r="E7" s="31" t="s">
        <v>130</v>
      </c>
      <c r="F7" s="31" t="s">
        <v>358</v>
      </c>
      <c r="G7" s="31" t="s">
        <v>50</v>
      </c>
      <c r="H7" s="32"/>
      <c r="I7" s="32"/>
      <c r="J7" s="32">
        <v>46251</v>
      </c>
      <c r="K7" s="31"/>
      <c r="L7" s="31"/>
      <c r="M7" s="3" t="str">
        <f t="shared" ca="1" si="4"/>
        <v>Fixed</v>
      </c>
      <c r="N7" t="s">
        <v>50</v>
      </c>
      <c r="P7" t="str">
        <f>'Combined Delivery Data'!B5</f>
        <v>RPT_04_Cleared Leaks</v>
      </c>
      <c r="Q7">
        <f t="shared" si="0"/>
        <v>0</v>
      </c>
      <c r="R7">
        <f t="shared" si="1"/>
        <v>0</v>
      </c>
      <c r="S7" s="28" t="str">
        <f t="shared" si="2"/>
        <v/>
      </c>
      <c r="T7" t="str">
        <f t="shared" si="3"/>
        <v/>
      </c>
    </row>
    <row r="8" spans="1:20">
      <c r="A8" s="54" t="s">
        <v>135</v>
      </c>
      <c r="B8" s="32">
        <v>46246</v>
      </c>
      <c r="C8" s="31" t="s">
        <v>141</v>
      </c>
      <c r="D8" s="31" t="s">
        <v>154</v>
      </c>
      <c r="E8" s="31" t="s">
        <v>130</v>
      </c>
      <c r="F8" s="31" t="s">
        <v>359</v>
      </c>
      <c r="G8" s="31" t="s">
        <v>50</v>
      </c>
      <c r="H8" s="32"/>
      <c r="I8" s="32"/>
      <c r="J8" s="32">
        <v>46251</v>
      </c>
      <c r="K8" s="31"/>
      <c r="L8" s="31"/>
      <c r="M8" s="3" t="str">
        <f t="shared" ca="1" si="4"/>
        <v>Fixed</v>
      </c>
      <c r="N8" t="s">
        <v>360</v>
      </c>
      <c r="P8" t="str">
        <f>'Combined Delivery Data'!B10</f>
        <v>RPT_04_Rechecks Completed less than 14 days</v>
      </c>
      <c r="Q8">
        <f t="shared" si="0"/>
        <v>0</v>
      </c>
      <c r="R8">
        <f t="shared" si="1"/>
        <v>0</v>
      </c>
      <c r="S8" s="28" t="str">
        <f t="shared" si="2"/>
        <v/>
      </c>
      <c r="T8" t="str">
        <f t="shared" si="3"/>
        <v/>
      </c>
    </row>
    <row r="9" spans="1:20">
      <c r="A9" s="31" t="s">
        <v>158</v>
      </c>
      <c r="B9" s="32">
        <v>46251</v>
      </c>
      <c r="C9" s="31" t="s">
        <v>141</v>
      </c>
      <c r="D9" s="31" t="s">
        <v>154</v>
      </c>
      <c r="E9" s="31" t="s">
        <v>147</v>
      </c>
      <c r="F9" s="31" t="s">
        <v>361</v>
      </c>
      <c r="G9" s="31" t="s">
        <v>50</v>
      </c>
      <c r="H9" s="32"/>
      <c r="I9" s="32"/>
      <c r="J9" s="32">
        <v>46254</v>
      </c>
      <c r="K9" s="31"/>
      <c r="L9" s="31"/>
      <c r="M9" s="3" t="str">
        <f t="shared" ca="1" si="4"/>
        <v>Fixed</v>
      </c>
      <c r="N9" t="s">
        <v>360</v>
      </c>
      <c r="P9" t="str">
        <f>'Combined Delivery Data'!B11</f>
        <v>RPT_04_SEI Leak Activity</v>
      </c>
      <c r="Q9">
        <f t="shared" si="0"/>
        <v>0</v>
      </c>
      <c r="R9">
        <f t="shared" si="1"/>
        <v>0</v>
      </c>
      <c r="S9" s="28" t="str">
        <f t="shared" si="2"/>
        <v/>
      </c>
      <c r="T9" t="str">
        <f t="shared" si="3"/>
        <v/>
      </c>
    </row>
    <row r="10" spans="1:20">
      <c r="A10" s="31" t="s">
        <v>146</v>
      </c>
      <c r="B10" s="32">
        <v>46237</v>
      </c>
      <c r="C10" s="31" t="s">
        <v>141</v>
      </c>
      <c r="D10" s="31" t="s">
        <v>154</v>
      </c>
      <c r="E10" s="31" t="s">
        <v>147</v>
      </c>
      <c r="F10" s="31" t="s">
        <v>354</v>
      </c>
      <c r="G10" s="31" t="s">
        <v>50</v>
      </c>
      <c r="H10" s="32"/>
      <c r="I10" s="32"/>
      <c r="J10" s="32">
        <v>46252</v>
      </c>
      <c r="K10" s="31"/>
      <c r="L10" s="31"/>
      <c r="M10" s="3" t="str">
        <f t="shared" ca="1" si="4"/>
        <v>Fixed</v>
      </c>
      <c r="N10" t="s">
        <v>360</v>
      </c>
      <c r="P10" t="str">
        <f>'Combined Delivery Data'!B12</f>
        <v>RPT_04_CMS Leak Productivity</v>
      </c>
      <c r="Q10">
        <f t="shared" si="0"/>
        <v>0</v>
      </c>
      <c r="R10">
        <f t="shared" si="1"/>
        <v>0</v>
      </c>
      <c r="S10" s="28" t="str">
        <f t="shared" si="2"/>
        <v/>
      </c>
      <c r="T10" t="str">
        <f t="shared" si="3"/>
        <v/>
      </c>
    </row>
    <row r="11" spans="1:20">
      <c r="A11" s="54" t="s">
        <v>135</v>
      </c>
      <c r="B11" s="32">
        <v>46254</v>
      </c>
      <c r="C11" s="31" t="s">
        <v>141</v>
      </c>
      <c r="D11" s="31" t="s">
        <v>154</v>
      </c>
      <c r="E11" s="31" t="s">
        <v>130</v>
      </c>
      <c r="F11" s="31" t="s">
        <v>356</v>
      </c>
      <c r="G11" s="31" t="s">
        <v>50</v>
      </c>
      <c r="H11" s="32"/>
      <c r="I11" s="32"/>
      <c r="J11" s="32">
        <v>46255</v>
      </c>
      <c r="K11" s="31"/>
      <c r="L11" s="31"/>
      <c r="M11" s="76" t="str">
        <f ca="1">IF($A11="","",IF($G11="Did not pass re-test","Sent back again",IF(NOT(ISNUMBER($B11)),"Missing sent-back date",IF($J11&lt;&gt;"","Fixed",IF($I11="","UNCLAIMED "&amp;(TODAY()-$B11)&amp;" d",IF(TODAY()&gt;$I11,(TODAY()-$I11)&amp;" d LATE","Open "&amp;(TODAY()-$B11)&amp;" d"))))))</f>
        <v>Fixed</v>
      </c>
      <c r="N11" t="s">
        <v>50</v>
      </c>
      <c r="P11" t="str">
        <f>'Combined Delivery Data'!B13</f>
        <v>RPT_04_Main Break Corrosion and Leak Cluster</v>
      </c>
      <c r="Q11">
        <f t="shared" si="0"/>
        <v>0</v>
      </c>
      <c r="R11">
        <f t="shared" si="1"/>
        <v>0</v>
      </c>
      <c r="S11" s="28" t="str">
        <f t="shared" si="2"/>
        <v/>
      </c>
      <c r="T11" t="str">
        <f t="shared" si="3"/>
        <v/>
      </c>
    </row>
    <row r="12" spans="1:20">
      <c r="A12" s="54" t="s">
        <v>155</v>
      </c>
      <c r="B12" s="32">
        <v>46254</v>
      </c>
      <c r="C12" s="31" t="s">
        <v>141</v>
      </c>
      <c r="D12" s="31" t="s">
        <v>154</v>
      </c>
      <c r="E12" s="31" t="s">
        <v>147</v>
      </c>
      <c r="F12" s="31" t="s">
        <v>362</v>
      </c>
      <c r="G12" s="31" t="s">
        <v>50</v>
      </c>
      <c r="H12" s="32"/>
      <c r="I12" s="32"/>
      <c r="J12" s="32">
        <v>46255</v>
      </c>
      <c r="K12" s="31"/>
      <c r="L12" s="31"/>
      <c r="M12" s="76" t="str">
        <f ca="1">IF($A12="","",IF($G12="Did not pass re-test","Sent back again",IF(NOT(ISNUMBER($B12)),"Missing sent-back date",IF($J12&lt;&gt;"","Fixed",IF($I12="","UNCLAIMED "&amp;(TODAY()-$B12)&amp;" d",IF(TODAY()&gt;$I12,(TODAY()-$I12)&amp;" d LATE","Open "&amp;(TODAY()-$B12)&amp;" d"))))))</f>
        <v>Fixed</v>
      </c>
      <c r="N12" t="s">
        <v>363</v>
      </c>
      <c r="P12" t="str">
        <f>'Combined Delivery Data'!B14</f>
        <v>RPT_04_Leak Summary Status</v>
      </c>
      <c r="Q12">
        <f t="shared" si="0"/>
        <v>0</v>
      </c>
      <c r="R12">
        <f t="shared" si="1"/>
        <v>0</v>
      </c>
      <c r="S12" s="28" t="str">
        <f t="shared" si="2"/>
        <v/>
      </c>
      <c r="T12" t="str">
        <f t="shared" si="3"/>
        <v/>
      </c>
    </row>
    <row r="13" spans="1:20">
      <c r="A13" s="54" t="s">
        <v>140</v>
      </c>
      <c r="B13" s="32">
        <v>46258</v>
      </c>
      <c r="C13" s="31" t="s">
        <v>141</v>
      </c>
      <c r="D13" s="31" t="s">
        <v>154</v>
      </c>
      <c r="E13" s="31" t="s">
        <v>130</v>
      </c>
      <c r="F13" s="31" t="s">
        <v>364</v>
      </c>
      <c r="G13" s="31" t="s">
        <v>50</v>
      </c>
      <c r="H13" s="32"/>
      <c r="I13" s="32"/>
      <c r="J13" s="32">
        <v>46258</v>
      </c>
      <c r="K13" s="31"/>
      <c r="L13" s="31"/>
      <c r="M13" s="76" t="str">
        <f ca="1">IF($A13="","",IF($G13="Did not pass re-test","Sent back again",IF(NOT(ISNUMBER($B13)),"Missing sent-back date",IF($J13&lt;&gt;"","Fixed",IF($I13="","UNCLAIMED "&amp;(TODAY()-$B13)&amp;" d",IF(TODAY()&gt;$I13,(TODAY()-$I13)&amp;" d LATE","Open "&amp;(TODAY()-$B13)&amp;" d"))))))</f>
        <v>Fixed</v>
      </c>
      <c r="N13" t="s">
        <v>50</v>
      </c>
      <c r="P13" t="str">
        <f>'Combined Delivery Data'!B15</f>
        <v>RPT_04_PSC Leak Printout</v>
      </c>
      <c r="Q13">
        <f t="shared" si="0"/>
        <v>0</v>
      </c>
      <c r="R13">
        <f t="shared" si="1"/>
        <v>0</v>
      </c>
      <c r="S13" s="28" t="str">
        <f t="shared" si="2"/>
        <v/>
      </c>
      <c r="T13" t="str">
        <f t="shared" si="3"/>
        <v/>
      </c>
    </row>
    <row r="14" spans="1:20">
      <c r="A14" s="31" t="s">
        <v>149</v>
      </c>
      <c r="B14" s="32">
        <v>46258</v>
      </c>
      <c r="C14" s="31" t="s">
        <v>141</v>
      </c>
      <c r="D14" s="31" t="s">
        <v>150</v>
      </c>
      <c r="E14" s="31" t="s">
        <v>147</v>
      </c>
      <c r="F14" s="31" t="s">
        <v>365</v>
      </c>
      <c r="G14" s="31" t="s">
        <v>50</v>
      </c>
      <c r="H14" s="32"/>
      <c r="I14" s="32"/>
      <c r="J14" s="32">
        <v>46258</v>
      </c>
      <c r="K14" s="31"/>
      <c r="L14" s="31"/>
      <c r="M14" s="3" t="str">
        <f t="shared" ca="1" si="4"/>
        <v>Fixed</v>
      </c>
      <c r="N14" t="s">
        <v>50</v>
      </c>
      <c r="P14" t="str">
        <f>'Combined Delivery Data'!B20</f>
        <v>RPT_04_Leak Control Report</v>
      </c>
      <c r="Q14">
        <f t="shared" si="0"/>
        <v>0</v>
      </c>
      <c r="R14">
        <f t="shared" si="1"/>
        <v>0</v>
      </c>
      <c r="S14" s="28" t="str">
        <f t="shared" si="2"/>
        <v/>
      </c>
      <c r="T14" t="str">
        <f t="shared" si="3"/>
        <v/>
      </c>
    </row>
    <row r="15" spans="1:20" hidden="1">
      <c r="A15" s="31" t="s">
        <v>161</v>
      </c>
      <c r="B15" s="32">
        <v>46258</v>
      </c>
      <c r="C15" s="31" t="s">
        <v>141</v>
      </c>
      <c r="D15" s="31" t="s">
        <v>150</v>
      </c>
      <c r="E15" s="31" t="s">
        <v>147</v>
      </c>
      <c r="F15" s="31" t="s">
        <v>366</v>
      </c>
      <c r="G15" s="31" t="s">
        <v>50</v>
      </c>
      <c r="H15" s="32"/>
      <c r="I15" s="32"/>
      <c r="J15" s="32">
        <v>46258</v>
      </c>
      <c r="K15" s="31"/>
      <c r="L15" s="31"/>
      <c r="M15" s="3" t="str">
        <f t="shared" ca="1" si="4"/>
        <v>Fixed</v>
      </c>
      <c r="N15" t="s">
        <v>50</v>
      </c>
      <c r="P15" t="str">
        <f>'Combined Delivery Data'!B21</f>
        <v>RPT_04_Leak Life Cycle</v>
      </c>
      <c r="Q15">
        <f t="shared" si="0"/>
        <v>0</v>
      </c>
      <c r="R15">
        <f t="shared" si="1"/>
        <v>0</v>
      </c>
      <c r="S15" s="28" t="str">
        <f t="shared" si="2"/>
        <v/>
      </c>
      <c r="T15" t="str">
        <f t="shared" si="3"/>
        <v/>
      </c>
    </row>
    <row r="16" spans="1:20">
      <c r="A16" s="31" t="s">
        <v>153</v>
      </c>
      <c r="B16" s="32">
        <v>46258</v>
      </c>
      <c r="C16" s="31" t="s">
        <v>141</v>
      </c>
      <c r="D16" s="31" t="s">
        <v>154</v>
      </c>
      <c r="E16" s="31" t="s">
        <v>147</v>
      </c>
      <c r="F16" s="31" t="s">
        <v>367</v>
      </c>
      <c r="G16" s="31" t="s">
        <v>50</v>
      </c>
      <c r="H16" s="32"/>
      <c r="I16" s="32"/>
      <c r="J16" s="32">
        <v>46258</v>
      </c>
      <c r="K16" s="31"/>
      <c r="L16" s="31"/>
      <c r="M16" s="3" t="str">
        <f t="shared" ca="1" si="4"/>
        <v>Fixed</v>
      </c>
      <c r="N16" t="s">
        <v>363</v>
      </c>
      <c r="P16" t="str">
        <f>'Combined Delivery Data'!B10</f>
        <v>RPT_04_Rechecks Completed less than 14 days</v>
      </c>
      <c r="Q16">
        <f t="shared" si="0"/>
        <v>0</v>
      </c>
      <c r="R16">
        <f t="shared" si="1"/>
        <v>0</v>
      </c>
      <c r="S16" s="28" t="str">
        <f t="shared" si="2"/>
        <v/>
      </c>
      <c r="T16" t="str">
        <f t="shared" si="3"/>
        <v/>
      </c>
    </row>
    <row r="17" spans="1:20" hidden="1">
      <c r="A17" s="31" t="s">
        <v>149</v>
      </c>
      <c r="B17" s="32">
        <v>46260</v>
      </c>
      <c r="C17" s="31" t="s">
        <v>141</v>
      </c>
      <c r="D17" s="31" t="s">
        <v>150</v>
      </c>
      <c r="E17" s="31" t="s">
        <v>147</v>
      </c>
      <c r="F17" s="31" t="s">
        <v>368</v>
      </c>
      <c r="G17" s="31" t="s">
        <v>50</v>
      </c>
      <c r="H17" s="32"/>
      <c r="I17" s="32"/>
      <c r="J17" s="32"/>
      <c r="K17" s="31"/>
      <c r="L17" s="31"/>
      <c r="M17" s="3"/>
      <c r="S17" s="28"/>
    </row>
    <row r="18" spans="1:20">
      <c r="A18" s="33" t="s">
        <v>186</v>
      </c>
      <c r="B18" s="32">
        <v>46261</v>
      </c>
      <c r="C18" s="31" t="s">
        <v>141</v>
      </c>
      <c r="D18" s="31" t="s">
        <v>154</v>
      </c>
      <c r="E18" s="31" t="s">
        <v>130</v>
      </c>
      <c r="F18" s="31" t="s">
        <v>369</v>
      </c>
      <c r="G18" s="31" t="s">
        <v>50</v>
      </c>
      <c r="H18" s="32"/>
      <c r="I18" s="32"/>
      <c r="J18" s="32">
        <v>46261</v>
      </c>
      <c r="K18" s="31" t="s">
        <v>160</v>
      </c>
      <c r="L18" s="31"/>
      <c r="M18" s="3" t="str">
        <f t="shared" ca="1" si="4"/>
        <v>Fixed</v>
      </c>
      <c r="N18" t="s">
        <v>50</v>
      </c>
      <c r="P18" t="str">
        <f>'Combined Delivery Data'!B12</f>
        <v>RPT_04_CMS Leak Productivity</v>
      </c>
      <c r="Q18">
        <f t="shared" ref="Q18:Q81" si="5">IF($P18="","",COUNTIF($A$3:$A$499,$P18))</f>
        <v>0</v>
      </c>
      <c r="R18">
        <f t="shared" ref="R18:R81" si="6">IF($P18="","",SUMPRODUCT(($A$3:$A$499=$P18)*($G$3:$G$499&lt;&gt;"Yes")*($G$3:$G$499&lt;&gt;"Did not pass re-test")))</f>
        <v>0</v>
      </c>
      <c r="S18" s="28" t="str">
        <f t="shared" ref="S18:S81" si="7">IF($P18="","",IF(SUMPRODUCT(MAX(($A$3:$A$499=$P18)*ROW($A$3:$A$499)))=0,"",INDEX($B:$B,SUMPRODUCT(MAX(($A$3:$A$499=$P18)*ROW($A$3:$A$499))))))</f>
        <v/>
      </c>
      <c r="T18" t="str">
        <f t="shared" ref="T18:T81" si="8">IF($P18="","",IF(SUMPRODUCT(MAX(($A$3:$A$499=$P18)*ROW($A$3:$A$499)))=0,"",INDEX($C:$C,SUMPRODUCT(MAX(($A$3:$A$499=$P18)*ROW($A$3:$A$499))))&amp;" -&gt; "&amp;INDEX($D:$D,SUMPRODUCT(MAX(($A$3:$A$499=$P18)*ROW($A$3:$A$499))))))</f>
        <v/>
      </c>
    </row>
    <row r="19" spans="1:20">
      <c r="A19" s="31" t="s">
        <v>149</v>
      </c>
      <c r="B19" s="32">
        <v>46262</v>
      </c>
      <c r="C19" s="31" t="s">
        <v>141</v>
      </c>
      <c r="D19" s="31" t="s">
        <v>150</v>
      </c>
      <c r="E19" s="31" t="s">
        <v>147</v>
      </c>
      <c r="F19" s="31" t="s">
        <v>370</v>
      </c>
      <c r="G19" s="31" t="s">
        <v>50</v>
      </c>
      <c r="H19" s="32"/>
      <c r="I19" s="32"/>
      <c r="J19" s="32">
        <v>46266</v>
      </c>
      <c r="K19" s="31"/>
      <c r="L19" s="31"/>
      <c r="M19" s="3" t="str">
        <f t="shared" ca="1" si="4"/>
        <v>Fixed</v>
      </c>
      <c r="N19" t="s">
        <v>360</v>
      </c>
      <c r="P19" t="str">
        <f>'Combined Delivery Data'!B13</f>
        <v>RPT_04_Main Break Corrosion and Leak Cluster</v>
      </c>
      <c r="Q19">
        <f t="shared" si="5"/>
        <v>0</v>
      </c>
      <c r="R19">
        <f t="shared" si="6"/>
        <v>0</v>
      </c>
      <c r="S19" s="28" t="str">
        <f t="shared" si="7"/>
        <v/>
      </c>
      <c r="T19" t="str">
        <f t="shared" si="8"/>
        <v/>
      </c>
    </row>
    <row r="20" spans="1:20">
      <c r="A20" s="31" t="s">
        <v>371</v>
      </c>
      <c r="B20" s="32">
        <v>46265</v>
      </c>
      <c r="C20" s="31" t="s">
        <v>141</v>
      </c>
      <c r="D20" s="31" t="s">
        <v>150</v>
      </c>
      <c r="E20" s="31" t="s">
        <v>47</v>
      </c>
      <c r="F20" s="31" t="s">
        <v>372</v>
      </c>
      <c r="G20" s="31" t="s">
        <v>50</v>
      </c>
      <c r="H20" s="32"/>
      <c r="I20" s="32">
        <v>46265</v>
      </c>
      <c r="J20" s="32">
        <v>46265</v>
      </c>
      <c r="K20" s="31" t="s">
        <v>77</v>
      </c>
      <c r="L20" s="31" t="s">
        <v>373</v>
      </c>
      <c r="M20" s="3" t="str">
        <f t="shared" ca="1" si="4"/>
        <v>Fixed</v>
      </c>
      <c r="N20" t="s">
        <v>363</v>
      </c>
      <c r="P20" t="str">
        <f>'Combined Delivery Data'!B14</f>
        <v>RPT_04_Leak Summary Status</v>
      </c>
      <c r="Q20">
        <f t="shared" si="5"/>
        <v>0</v>
      </c>
      <c r="R20">
        <f t="shared" si="6"/>
        <v>0</v>
      </c>
      <c r="S20" s="28" t="str">
        <f t="shared" si="7"/>
        <v/>
      </c>
      <c r="T20" t="str">
        <f t="shared" si="8"/>
        <v/>
      </c>
    </row>
    <row r="21" spans="1:20">
      <c r="A21" s="31" t="s">
        <v>180</v>
      </c>
      <c r="B21" s="32">
        <v>46265</v>
      </c>
      <c r="C21" s="31" t="s">
        <v>141</v>
      </c>
      <c r="D21" s="31" t="s">
        <v>154</v>
      </c>
      <c r="E21" s="31" t="s">
        <v>47</v>
      </c>
      <c r="F21" s="31" t="s">
        <v>374</v>
      </c>
      <c r="G21" s="31" t="s">
        <v>50</v>
      </c>
      <c r="H21" s="32"/>
      <c r="I21" s="32"/>
      <c r="J21" s="32"/>
      <c r="K21" s="31"/>
      <c r="L21" s="31"/>
      <c r="M21" s="3" t="str">
        <f t="shared" ca="1" si="4"/>
        <v>UNCLAIMED 3 d</v>
      </c>
      <c r="N21" t="s">
        <v>50</v>
      </c>
      <c r="P21" t="str">
        <f>'Combined Delivery Data'!B15</f>
        <v>RPT_04_PSC Leak Printout</v>
      </c>
      <c r="Q21">
        <f t="shared" si="5"/>
        <v>0</v>
      </c>
      <c r="R21">
        <f t="shared" si="6"/>
        <v>0</v>
      </c>
      <c r="S21" s="28" t="str">
        <f t="shared" si="7"/>
        <v/>
      </c>
      <c r="T21" t="str">
        <f t="shared" si="8"/>
        <v/>
      </c>
    </row>
    <row r="22" spans="1:20">
      <c r="A22" s="54" t="s">
        <v>140</v>
      </c>
      <c r="B22" s="32">
        <v>46265</v>
      </c>
      <c r="C22" s="31" t="s">
        <v>141</v>
      </c>
      <c r="D22" s="31" t="s">
        <v>154</v>
      </c>
      <c r="E22" s="31" t="s">
        <v>130</v>
      </c>
      <c r="F22" s="31" t="s">
        <v>375</v>
      </c>
      <c r="G22" s="31" t="s">
        <v>50</v>
      </c>
      <c r="H22" s="32"/>
      <c r="I22" s="32"/>
      <c r="J22" s="32">
        <v>46266</v>
      </c>
      <c r="K22" s="31" t="s">
        <v>59</v>
      </c>
      <c r="L22" s="31"/>
      <c r="M22" s="3" t="str">
        <f t="shared" ca="1" si="4"/>
        <v>Fixed</v>
      </c>
      <c r="P22" t="str">
        <f>'Combined Delivery Data'!B21</f>
        <v>RPT_04_Leak Life Cycle</v>
      </c>
      <c r="Q22">
        <f t="shared" si="5"/>
        <v>0</v>
      </c>
      <c r="R22">
        <f t="shared" si="6"/>
        <v>0</v>
      </c>
      <c r="S22" s="28" t="str">
        <f t="shared" si="7"/>
        <v/>
      </c>
      <c r="T22" t="str">
        <f t="shared" si="8"/>
        <v/>
      </c>
    </row>
    <row r="23" spans="1:20">
      <c r="A23" s="31" t="s">
        <v>175</v>
      </c>
      <c r="B23" s="32">
        <v>46266</v>
      </c>
      <c r="C23" s="31" t="s">
        <v>141</v>
      </c>
      <c r="D23" s="31" t="s">
        <v>150</v>
      </c>
      <c r="E23" s="31" t="s">
        <v>47</v>
      </c>
      <c r="F23" s="31" t="s">
        <v>376</v>
      </c>
      <c r="G23" s="31" t="s">
        <v>50</v>
      </c>
      <c r="H23" s="32"/>
      <c r="I23" s="32"/>
      <c r="J23" s="32"/>
      <c r="K23" s="31" t="s">
        <v>46</v>
      </c>
      <c r="L23" s="31"/>
      <c r="M23" s="3" t="str">
        <f t="shared" ca="1" si="4"/>
        <v>UNCLAIMED 2 d</v>
      </c>
      <c r="N23" t="s">
        <v>50</v>
      </c>
      <c r="P23" t="str">
        <f>'Combined Delivery Data'!B22</f>
        <v>RPT_04_Leak Life Cycle Legacy LMS LI</v>
      </c>
      <c r="Q23">
        <f t="shared" si="5"/>
        <v>0</v>
      </c>
      <c r="R23">
        <f t="shared" si="6"/>
        <v>0</v>
      </c>
      <c r="S23" s="28" t="str">
        <f t="shared" si="7"/>
        <v/>
      </c>
      <c r="T23" t="str">
        <f t="shared" si="8"/>
        <v/>
      </c>
    </row>
    <row r="24" spans="1:20">
      <c r="A24" s="31" t="s">
        <v>175</v>
      </c>
      <c r="B24" s="32">
        <v>46266</v>
      </c>
      <c r="C24" s="31" t="s">
        <v>141</v>
      </c>
      <c r="D24" s="31" t="s">
        <v>150</v>
      </c>
      <c r="E24" s="31" t="s">
        <v>47</v>
      </c>
      <c r="F24" s="31" t="s">
        <v>377</v>
      </c>
      <c r="G24" s="31" t="s">
        <v>50</v>
      </c>
      <c r="H24" s="32"/>
      <c r="I24" s="32"/>
      <c r="J24" s="32"/>
      <c r="K24" s="31" t="s">
        <v>46</v>
      </c>
      <c r="L24" s="31"/>
      <c r="M24" s="3" t="str">
        <f t="shared" ca="1" si="4"/>
        <v>UNCLAIMED 2 d</v>
      </c>
      <c r="P24" t="str">
        <f>'Combined Delivery Data'!B23</f>
        <v>RPT_04_Leak Increase Reads</v>
      </c>
      <c r="Q24">
        <f t="shared" si="5"/>
        <v>0</v>
      </c>
      <c r="R24">
        <f t="shared" si="6"/>
        <v>0</v>
      </c>
      <c r="S24" s="28" t="str">
        <f t="shared" si="7"/>
        <v/>
      </c>
      <c r="T24" t="str">
        <f t="shared" si="8"/>
        <v/>
      </c>
    </row>
    <row r="25" spans="1:20" ht="30" customHeight="1">
      <c r="A25" s="31" t="s">
        <v>175</v>
      </c>
      <c r="B25" s="32">
        <v>46267</v>
      </c>
      <c r="C25" s="31" t="s">
        <v>141</v>
      </c>
      <c r="D25" s="31" t="s">
        <v>150</v>
      </c>
      <c r="E25" s="31" t="s">
        <v>47</v>
      </c>
      <c r="F25" s="77" t="s">
        <v>378</v>
      </c>
      <c r="G25" s="31" t="s">
        <v>50</v>
      </c>
      <c r="H25" s="32"/>
      <c r="I25" s="32"/>
      <c r="J25" s="32"/>
      <c r="K25" s="31" t="s">
        <v>46</v>
      </c>
      <c r="L25" s="31"/>
      <c r="M25" s="3" t="str">
        <f t="shared" ca="1" si="4"/>
        <v>UNCLAIMED 1 d</v>
      </c>
      <c r="P25" t="str">
        <f>'Combined Delivery Data'!B24</f>
        <v>Leak 360 Dashboard</v>
      </c>
      <c r="Q25">
        <f t="shared" si="5"/>
        <v>0</v>
      </c>
      <c r="R25">
        <f t="shared" si="6"/>
        <v>0</v>
      </c>
      <c r="S25" s="28" t="str">
        <f t="shared" si="7"/>
        <v/>
      </c>
      <c r="T25" t="str">
        <f t="shared" si="8"/>
        <v/>
      </c>
    </row>
    <row r="26" spans="1:20">
      <c r="A26" s="54" t="s">
        <v>190</v>
      </c>
      <c r="B26" s="32">
        <v>46267</v>
      </c>
      <c r="C26" s="31" t="s">
        <v>141</v>
      </c>
      <c r="D26" s="31" t="s">
        <v>150</v>
      </c>
      <c r="E26" s="31" t="s">
        <v>130</v>
      </c>
      <c r="F26" s="31" t="s">
        <v>379</v>
      </c>
      <c r="G26" s="31" t="s">
        <v>50</v>
      </c>
      <c r="H26" s="32"/>
      <c r="I26" s="32"/>
      <c r="J26" s="32"/>
      <c r="K26" s="31"/>
      <c r="L26" s="31"/>
      <c r="M26" s="3" t="str">
        <f ca="1">IF($A26="","",IF($G26="Did not pass re-test","Sent back again",IF(NOT(ISNUMBER($B26)),"Missing sent-back date",IF($J26&lt;&gt;"","Fixed",IF($I26="","UNCLAIMED "&amp;(TODAY()-$B26)&amp;" d",IF(TODAY()&gt;$I26,(TODAY()-$I26)&amp;" d LATE","Open "&amp;(TODAY()-$B26)&amp;" d"))))))</f>
        <v>UNCLAIMED 1 d</v>
      </c>
      <c r="N26" t="s">
        <v>50</v>
      </c>
      <c r="P26" t="str">
        <f>'Combined Delivery Data'!B25</f>
        <v>RPT_04_Leak Recheck Control</v>
      </c>
      <c r="Q26">
        <f t="shared" si="5"/>
        <v>0</v>
      </c>
      <c r="R26">
        <f t="shared" si="6"/>
        <v>0</v>
      </c>
      <c r="S26" s="28" t="str">
        <f t="shared" si="7"/>
        <v/>
      </c>
      <c r="T26" t="str">
        <f t="shared" si="8"/>
        <v/>
      </c>
    </row>
    <row r="27" spans="1:20">
      <c r="A27" s="54" t="s">
        <v>186</v>
      </c>
      <c r="B27" s="32">
        <v>46267</v>
      </c>
      <c r="C27" s="31" t="s">
        <v>141</v>
      </c>
      <c r="D27" s="31" t="s">
        <v>154</v>
      </c>
      <c r="E27" s="31" t="s">
        <v>130</v>
      </c>
      <c r="F27" s="31" t="s">
        <v>369</v>
      </c>
      <c r="G27" s="31" t="s">
        <v>50</v>
      </c>
      <c r="H27" s="32"/>
      <c r="I27" s="32"/>
      <c r="J27" s="32">
        <v>46267</v>
      </c>
      <c r="K27" s="31" t="s">
        <v>160</v>
      </c>
      <c r="L27" s="31"/>
      <c r="M27" s="3" t="str">
        <f ca="1">IF($A27="","",IF($G27="Did not pass re-test","Sent back again",IF(NOT(ISNUMBER($B27)),"Missing sent-back date",IF($J27&lt;&gt;"","Fixed",IF($I27="","UNCLAIMED "&amp;(TODAY()-$B27)&amp;" d",IF(TODAY()&gt;$I27,(TODAY()-$I27)&amp;" d LATE","Open "&amp;(TODAY()-$B27)&amp;" d"))))))</f>
        <v>Fixed</v>
      </c>
      <c r="P27" t="str">
        <f>'Combined Delivery Data'!B26</f>
        <v>RPT_04_Main_Replacement Report</v>
      </c>
      <c r="Q27">
        <f t="shared" si="5"/>
        <v>0</v>
      </c>
      <c r="R27">
        <f t="shared" si="6"/>
        <v>0</v>
      </c>
      <c r="S27" s="28" t="str">
        <f t="shared" si="7"/>
        <v/>
      </c>
      <c r="T27" t="str">
        <f t="shared" si="8"/>
        <v/>
      </c>
    </row>
    <row r="28" spans="1:20">
      <c r="A28" s="31" t="s">
        <v>161</v>
      </c>
      <c r="B28" s="32">
        <v>46267</v>
      </c>
      <c r="C28" s="31" t="s">
        <v>141</v>
      </c>
      <c r="D28" s="31" t="s">
        <v>150</v>
      </c>
      <c r="E28" s="31" t="s">
        <v>147</v>
      </c>
      <c r="F28" s="31" t="s">
        <v>380</v>
      </c>
      <c r="G28" s="31" t="s">
        <v>50</v>
      </c>
      <c r="H28" s="32"/>
      <c r="I28" s="32"/>
      <c r="J28" s="32">
        <v>46267</v>
      </c>
      <c r="K28" s="31" t="s">
        <v>77</v>
      </c>
      <c r="L28" s="31" t="s">
        <v>381</v>
      </c>
      <c r="M28" s="3" t="str">
        <f t="shared" ca="1" si="4"/>
        <v>Fixed</v>
      </c>
      <c r="P28" t="str">
        <f>'Combined Delivery Data'!B27</f>
        <v>New Report: Leak Repair Exception</v>
      </c>
      <c r="Q28">
        <f t="shared" si="5"/>
        <v>0</v>
      </c>
      <c r="R28">
        <f t="shared" si="6"/>
        <v>0</v>
      </c>
      <c r="S28" s="28" t="str">
        <f t="shared" si="7"/>
        <v/>
      </c>
      <c r="T28" t="str">
        <f t="shared" si="8"/>
        <v/>
      </c>
    </row>
    <row r="29" spans="1:20">
      <c r="A29" s="31" t="s">
        <v>138</v>
      </c>
      <c r="B29" s="32">
        <v>46267</v>
      </c>
      <c r="C29" s="31" t="s">
        <v>141</v>
      </c>
      <c r="D29" s="31" t="s">
        <v>150</v>
      </c>
      <c r="E29" s="31" t="s">
        <v>130</v>
      </c>
      <c r="F29" s="31" t="s">
        <v>380</v>
      </c>
      <c r="G29" s="31" t="s">
        <v>50</v>
      </c>
      <c r="H29" s="32"/>
      <c r="I29" s="32"/>
      <c r="J29" s="32">
        <v>46267</v>
      </c>
      <c r="K29" s="31" t="s">
        <v>77</v>
      </c>
      <c r="L29" s="115" t="s">
        <v>381</v>
      </c>
      <c r="M29" s="3" t="str">
        <f t="shared" ca="1" si="4"/>
        <v>Fixed</v>
      </c>
      <c r="N29" t="s">
        <v>50</v>
      </c>
      <c r="P29" t="str">
        <f>'Combined Delivery Data'!B28</f>
        <v>New Report: (Leak reading sample point mismatch ) Creating a new report that...</v>
      </c>
      <c r="Q29">
        <f t="shared" si="5"/>
        <v>0</v>
      </c>
      <c r="R29">
        <f t="shared" si="6"/>
        <v>0</v>
      </c>
      <c r="S29" s="28" t="str">
        <f t="shared" si="7"/>
        <v/>
      </c>
      <c r="T29" t="str">
        <f t="shared" si="8"/>
        <v/>
      </c>
    </row>
    <row r="30" spans="1:20">
      <c r="A30" s="31" t="s">
        <v>162</v>
      </c>
      <c r="B30" s="32">
        <v>46267</v>
      </c>
      <c r="C30" s="31" t="s">
        <v>141</v>
      </c>
      <c r="D30" s="31" t="s">
        <v>150</v>
      </c>
      <c r="E30" s="31" t="s">
        <v>130</v>
      </c>
      <c r="F30" s="31" t="s">
        <v>380</v>
      </c>
      <c r="G30" s="31" t="s">
        <v>50</v>
      </c>
      <c r="H30" s="32"/>
      <c r="I30" s="32"/>
      <c r="J30" s="32">
        <v>46267</v>
      </c>
      <c r="K30" s="31" t="s">
        <v>77</v>
      </c>
      <c r="L30" s="115" t="s">
        <v>381</v>
      </c>
      <c r="M30" s="3" t="str">
        <f t="shared" ca="1" si="4"/>
        <v>Fixed</v>
      </c>
      <c r="N30" t="s">
        <v>50</v>
      </c>
      <c r="P30" t="str">
        <f>'Combined Delivery Data'!B29</f>
        <v>RPT_02_CO Flue Warning Tag Control</v>
      </c>
      <c r="Q30">
        <f t="shared" si="5"/>
        <v>1</v>
      </c>
      <c r="R30">
        <f t="shared" si="6"/>
        <v>0</v>
      </c>
      <c r="S30" s="28">
        <f t="shared" si="7"/>
        <v>46238</v>
      </c>
      <c r="T30" t="str">
        <f t="shared" si="8"/>
        <v>QA -&gt; DB Dev</v>
      </c>
    </row>
    <row r="31" spans="1:20">
      <c r="A31" s="54" t="s">
        <v>186</v>
      </c>
      <c r="B31" s="32">
        <v>46267</v>
      </c>
      <c r="C31" s="31" t="s">
        <v>141</v>
      </c>
      <c r="D31" s="31" t="s">
        <v>154</v>
      </c>
      <c r="E31" s="31" t="s">
        <v>130</v>
      </c>
      <c r="F31" s="31" t="s">
        <v>382</v>
      </c>
      <c r="G31" s="31" t="s">
        <v>53</v>
      </c>
      <c r="H31" s="32"/>
      <c r="I31" s="32"/>
      <c r="J31" s="32"/>
      <c r="K31" s="31"/>
      <c r="L31" s="31"/>
      <c r="M31" s="3" t="str">
        <f t="shared" ca="1" si="4"/>
        <v>UNCLAIMED 1 d</v>
      </c>
      <c r="P31" t="str">
        <f>'Combined Delivery Data'!B30</f>
        <v>RPT_02_Warning Tag HEFPA</v>
      </c>
      <c r="Q31">
        <f t="shared" si="5"/>
        <v>3</v>
      </c>
      <c r="R31">
        <f t="shared" si="6"/>
        <v>0</v>
      </c>
      <c r="S31" s="28">
        <f t="shared" si="7"/>
        <v>46254</v>
      </c>
      <c r="T31" t="str">
        <f t="shared" si="8"/>
        <v>QA -&gt; DB Dev</v>
      </c>
    </row>
    <row r="32" spans="1:20">
      <c r="A32" s="31"/>
      <c r="B32" s="32"/>
      <c r="C32" s="31" t="s">
        <v>141</v>
      </c>
      <c r="D32" s="31"/>
      <c r="E32" s="31"/>
      <c r="F32" s="31"/>
      <c r="G32" s="31" t="s">
        <v>53</v>
      </c>
      <c r="H32" s="32"/>
      <c r="I32" s="32"/>
      <c r="J32" s="32"/>
      <c r="K32" s="31"/>
      <c r="L32" s="31"/>
      <c r="M32" s="3" t="str">
        <f t="shared" ca="1" si="4"/>
        <v/>
      </c>
      <c r="P32" t="str">
        <f>'Combined Delivery Data'!B31</f>
        <v>RPT_02_Warning tag Printout</v>
      </c>
      <c r="Q32">
        <f t="shared" si="5"/>
        <v>1</v>
      </c>
      <c r="R32">
        <f t="shared" si="6"/>
        <v>0</v>
      </c>
      <c r="S32" s="28">
        <f t="shared" si="7"/>
        <v>46267</v>
      </c>
      <c r="T32" t="str">
        <f t="shared" si="8"/>
        <v>QA -&gt; PBI Dev</v>
      </c>
    </row>
    <row r="33" spans="1:20">
      <c r="A33" s="31"/>
      <c r="B33" s="32"/>
      <c r="C33" s="31" t="s">
        <v>141</v>
      </c>
      <c r="D33" s="31"/>
      <c r="E33" s="31"/>
      <c r="F33" s="31"/>
      <c r="G33" s="31" t="s">
        <v>53</v>
      </c>
      <c r="H33" s="32"/>
      <c r="I33" s="32"/>
      <c r="J33" s="32"/>
      <c r="K33" s="31"/>
      <c r="L33" s="31"/>
      <c r="M33" s="3" t="str">
        <f t="shared" ca="1" si="4"/>
        <v/>
      </c>
      <c r="P33" t="str">
        <f>'Combined Delivery Data'!B32</f>
        <v>RPT_02_Corrosion</v>
      </c>
      <c r="Q33">
        <f t="shared" si="5"/>
        <v>2</v>
      </c>
      <c r="R33">
        <f t="shared" si="6"/>
        <v>0</v>
      </c>
      <c r="S33" s="28">
        <f t="shared" si="7"/>
        <v>46265</v>
      </c>
      <c r="T33" t="str">
        <f t="shared" si="8"/>
        <v>QA -&gt; DB Dev</v>
      </c>
    </row>
    <row r="34" spans="1:20">
      <c r="A34" s="31"/>
      <c r="B34" s="32"/>
      <c r="C34" s="31" t="s">
        <v>141</v>
      </c>
      <c r="D34" s="31"/>
      <c r="E34" s="31"/>
      <c r="F34" s="31"/>
      <c r="G34" s="31" t="s">
        <v>53</v>
      </c>
      <c r="H34" s="32"/>
      <c r="I34" s="32"/>
      <c r="J34" s="32"/>
      <c r="K34" s="31"/>
      <c r="L34" s="31"/>
      <c r="M34" s="3" t="str">
        <f t="shared" ca="1" si="4"/>
        <v/>
      </c>
      <c r="P34" t="str">
        <f>'Combined Delivery Data'!B33</f>
        <v>RPT_02_House Pipe Test Comment Control</v>
      </c>
      <c r="Q34">
        <f t="shared" si="5"/>
        <v>1</v>
      </c>
      <c r="R34">
        <f t="shared" si="6"/>
        <v>0</v>
      </c>
      <c r="S34" s="28">
        <f t="shared" si="7"/>
        <v>46234</v>
      </c>
      <c r="T34" t="str">
        <f t="shared" si="8"/>
        <v>QA -&gt; DB Dev</v>
      </c>
    </row>
    <row r="35" spans="1:20">
      <c r="A35" s="31"/>
      <c r="B35" s="32"/>
      <c r="C35" s="31" t="s">
        <v>141</v>
      </c>
      <c r="D35" s="31"/>
      <c r="E35" s="31"/>
      <c r="F35" s="31"/>
      <c r="G35" s="31" t="s">
        <v>53</v>
      </c>
      <c r="H35" s="32"/>
      <c r="I35" s="32"/>
      <c r="J35" s="32"/>
      <c r="K35" s="31"/>
      <c r="L35" s="31"/>
      <c r="M35" s="3" t="str">
        <f t="shared" ca="1" si="4"/>
        <v/>
      </c>
      <c r="P35" t="str">
        <f>'Combined Delivery Data'!B34</f>
        <v>RPT_02_Required Regulator Inspection Performed Control</v>
      </c>
      <c r="Q35">
        <f t="shared" si="5"/>
        <v>2</v>
      </c>
      <c r="R35">
        <f t="shared" si="6"/>
        <v>0</v>
      </c>
      <c r="S35" s="28">
        <f t="shared" si="7"/>
        <v>46237</v>
      </c>
      <c r="T35" t="str">
        <f t="shared" si="8"/>
        <v>QA -&gt; DB Dev</v>
      </c>
    </row>
    <row r="36" spans="1:20">
      <c r="A36" s="31"/>
      <c r="B36" s="32"/>
      <c r="C36" s="31" t="s">
        <v>141</v>
      </c>
      <c r="D36" s="31"/>
      <c r="E36" s="31"/>
      <c r="F36" s="31"/>
      <c r="G36" s="31" t="s">
        <v>53</v>
      </c>
      <c r="H36" s="32"/>
      <c r="I36" s="32"/>
      <c r="J36" s="32"/>
      <c r="K36" s="31"/>
      <c r="L36" s="31"/>
      <c r="M36" s="3" t="str">
        <f t="shared" ca="1" si="4"/>
        <v/>
      </c>
      <c r="P36" t="str">
        <f>'Combined Delivery Data'!B35</f>
        <v>RPT_02_Service Regulator Inspections</v>
      </c>
      <c r="Q36">
        <f t="shared" si="5"/>
        <v>3</v>
      </c>
      <c r="R36">
        <f t="shared" si="6"/>
        <v>0</v>
      </c>
      <c r="S36" s="28">
        <f t="shared" si="7"/>
        <v>46262</v>
      </c>
      <c r="T36" t="str">
        <f t="shared" si="8"/>
        <v>QA -&gt; PBI Dev</v>
      </c>
    </row>
    <row r="37" spans="1:20">
      <c r="A37" s="31"/>
      <c r="B37" s="32"/>
      <c r="C37" s="31" t="s">
        <v>141</v>
      </c>
      <c r="D37" s="31"/>
      <c r="E37" s="31"/>
      <c r="F37" s="31"/>
      <c r="G37" s="31" t="s">
        <v>53</v>
      </c>
      <c r="H37" s="32"/>
      <c r="I37" s="32"/>
      <c r="J37" s="32"/>
      <c r="K37" s="31"/>
      <c r="L37" s="31"/>
      <c r="M37" s="3" t="str">
        <f t="shared" ca="1" si="4"/>
        <v/>
      </c>
      <c r="P37" t="str">
        <f>'Combined Delivery Data'!B36</f>
        <v>RPT_02_Service Regulator Inspection Printout</v>
      </c>
      <c r="Q37">
        <f t="shared" si="5"/>
        <v>1</v>
      </c>
      <c r="R37">
        <f t="shared" si="6"/>
        <v>0</v>
      </c>
      <c r="S37" s="28">
        <f t="shared" si="7"/>
        <v>46258</v>
      </c>
      <c r="T37" t="str">
        <f t="shared" si="8"/>
        <v>QA -&gt; DB Dev</v>
      </c>
    </row>
    <row r="38" spans="1:20">
      <c r="A38" s="31"/>
      <c r="B38" s="32"/>
      <c r="C38" s="31" t="s">
        <v>141</v>
      </c>
      <c r="D38" s="31"/>
      <c r="E38" s="31"/>
      <c r="F38" s="31"/>
      <c r="G38" s="31" t="s">
        <v>53</v>
      </c>
      <c r="H38" s="32"/>
      <c r="I38" s="32"/>
      <c r="J38" s="32"/>
      <c r="K38" s="31"/>
      <c r="L38" s="31"/>
      <c r="M38" s="3" t="str">
        <f t="shared" ca="1" si="4"/>
        <v/>
      </c>
      <c r="P38" t="str">
        <f>'Combined Delivery Data'!B37</f>
        <v>RPT_02_20 Year Regulator Inspection</v>
      </c>
      <c r="Q38">
        <f t="shared" si="5"/>
        <v>1</v>
      </c>
      <c r="R38">
        <f t="shared" si="6"/>
        <v>0</v>
      </c>
      <c r="S38" s="28">
        <f t="shared" si="7"/>
        <v>46254</v>
      </c>
      <c r="T38" t="str">
        <f t="shared" si="8"/>
        <v>QA -&gt; DB Dev</v>
      </c>
    </row>
    <row r="39" spans="1:20">
      <c r="A39" s="31"/>
      <c r="B39" s="32"/>
      <c r="C39" s="31" t="s">
        <v>141</v>
      </c>
      <c r="D39" s="31"/>
      <c r="E39" s="31"/>
      <c r="F39" s="31"/>
      <c r="G39" s="31" t="s">
        <v>53</v>
      </c>
      <c r="H39" s="32"/>
      <c r="I39" s="32"/>
      <c r="J39" s="32"/>
      <c r="K39" s="31"/>
      <c r="L39" s="31"/>
      <c r="M39" s="3" t="str">
        <f t="shared" ca="1" si="4"/>
        <v/>
      </c>
      <c r="P39" t="str">
        <f>'Combined Delivery Data'!B38</f>
        <v>RPT_02_Fixed Factor</v>
      </c>
      <c r="Q39">
        <f t="shared" si="5"/>
        <v>2</v>
      </c>
      <c r="R39">
        <f t="shared" si="6"/>
        <v>0</v>
      </c>
      <c r="S39" s="28">
        <f t="shared" si="7"/>
        <v>46251</v>
      </c>
      <c r="T39" t="str">
        <f t="shared" si="8"/>
        <v>QA -&gt; DB Dev</v>
      </c>
    </row>
    <row r="40" spans="1:20">
      <c r="A40" s="31"/>
      <c r="B40" s="32"/>
      <c r="C40" s="31" t="s">
        <v>141</v>
      </c>
      <c r="D40" s="31"/>
      <c r="E40" s="31"/>
      <c r="F40" s="31"/>
      <c r="G40" s="31" t="s">
        <v>53</v>
      </c>
      <c r="H40" s="32"/>
      <c r="I40" s="32"/>
      <c r="J40" s="32"/>
      <c r="K40" s="31"/>
      <c r="L40" s="31"/>
      <c r="M40" s="3" t="str">
        <f t="shared" ca="1" si="4"/>
        <v/>
      </c>
      <c r="P40" t="str">
        <f>'Combined Delivery Data'!B39</f>
        <v>RPT_02_Fixed Factor Printout</v>
      </c>
      <c r="Q40">
        <f t="shared" si="5"/>
        <v>2</v>
      </c>
      <c r="R40">
        <f t="shared" si="6"/>
        <v>0</v>
      </c>
      <c r="S40" s="28">
        <f t="shared" si="7"/>
        <v>46267</v>
      </c>
      <c r="T40" t="str">
        <f t="shared" si="8"/>
        <v>QA -&gt; PBI Dev</v>
      </c>
    </row>
    <row r="41" spans="1:20">
      <c r="A41" s="31"/>
      <c r="B41" s="32"/>
      <c r="C41" s="31" t="s">
        <v>141</v>
      </c>
      <c r="D41" s="31"/>
      <c r="E41" s="31"/>
      <c r="F41" s="31"/>
      <c r="G41" s="31" t="s">
        <v>53</v>
      </c>
      <c r="H41" s="32"/>
      <c r="I41" s="32"/>
      <c r="J41" s="32"/>
      <c r="K41" s="31"/>
      <c r="L41" s="31"/>
      <c r="M41" s="3" t="str">
        <f t="shared" ca="1" si="4"/>
        <v/>
      </c>
      <c r="P41" t="str">
        <f>'Combined Delivery Data'!B40</f>
        <v>RPT_02_Work Order Completion Printout</v>
      </c>
      <c r="Q41">
        <f t="shared" si="5"/>
        <v>1</v>
      </c>
      <c r="R41">
        <f t="shared" si="6"/>
        <v>0</v>
      </c>
      <c r="S41" s="28">
        <f t="shared" si="7"/>
        <v>46267</v>
      </c>
      <c r="T41" t="str">
        <f t="shared" si="8"/>
        <v>QA -&gt; PBI Dev</v>
      </c>
    </row>
    <row r="42" spans="1:20">
      <c r="A42" s="31"/>
      <c r="B42" s="32"/>
      <c r="C42" s="31" t="s">
        <v>141</v>
      </c>
      <c r="D42" s="31"/>
      <c r="E42" s="31"/>
      <c r="F42" s="31"/>
      <c r="G42" s="31" t="s">
        <v>53</v>
      </c>
      <c r="H42" s="32"/>
      <c r="I42" s="32"/>
      <c r="J42" s="32"/>
      <c r="K42" s="31"/>
      <c r="L42" s="31"/>
      <c r="M42" s="3" t="str">
        <f t="shared" ca="1" si="4"/>
        <v/>
      </c>
      <c r="P42" t="str">
        <f>'Combined Delivery Data'!B41</f>
        <v>RPT_02_GRO Control</v>
      </c>
      <c r="Q42">
        <f t="shared" si="5"/>
        <v>0</v>
      </c>
      <c r="R42">
        <f t="shared" si="6"/>
        <v>0</v>
      </c>
      <c r="S42" s="28" t="str">
        <f t="shared" si="7"/>
        <v/>
      </c>
      <c r="T42" t="str">
        <f t="shared" si="8"/>
        <v/>
      </c>
    </row>
    <row r="43" spans="1:20">
      <c r="A43" s="31"/>
      <c r="B43" s="32"/>
      <c r="C43" s="31" t="s">
        <v>141</v>
      </c>
      <c r="D43" s="31"/>
      <c r="E43" s="31"/>
      <c r="F43" s="31"/>
      <c r="G43" s="31" t="s">
        <v>53</v>
      </c>
      <c r="H43" s="32"/>
      <c r="I43" s="32"/>
      <c r="J43" s="32"/>
      <c r="K43" s="31"/>
      <c r="L43" s="31"/>
      <c r="M43" s="3" t="str">
        <f t="shared" ca="1" si="4"/>
        <v/>
      </c>
      <c r="P43" t="str">
        <f>'Combined Delivery Data'!B42</f>
        <v>RPT_02_GRO Monitor</v>
      </c>
      <c r="Q43">
        <f t="shared" si="5"/>
        <v>0</v>
      </c>
      <c r="R43">
        <f t="shared" si="6"/>
        <v>0</v>
      </c>
      <c r="S43" s="28" t="str">
        <f t="shared" si="7"/>
        <v/>
      </c>
      <c r="T43" t="str">
        <f t="shared" si="8"/>
        <v/>
      </c>
    </row>
    <row r="44" spans="1:20">
      <c r="A44" s="31"/>
      <c r="B44" s="32"/>
      <c r="C44" s="31" t="s">
        <v>141</v>
      </c>
      <c r="D44" s="31"/>
      <c r="E44" s="31"/>
      <c r="F44" s="31"/>
      <c r="G44" s="31" t="s">
        <v>53</v>
      </c>
      <c r="H44" s="32"/>
      <c r="I44" s="32"/>
      <c r="J44" s="32"/>
      <c r="K44" s="31"/>
      <c r="L44" s="31"/>
      <c r="M44" s="3" t="str">
        <f t="shared" ca="1" si="4"/>
        <v/>
      </c>
      <c r="P44" t="str">
        <f>'Combined Delivery Data'!B43</f>
        <v>RPT_02_Public Buildings Inspection</v>
      </c>
      <c r="Q44">
        <f t="shared" si="5"/>
        <v>0</v>
      </c>
      <c r="R44">
        <f t="shared" si="6"/>
        <v>0</v>
      </c>
      <c r="S44" s="28" t="str">
        <f t="shared" si="7"/>
        <v/>
      </c>
      <c r="T44" t="str">
        <f t="shared" si="8"/>
        <v/>
      </c>
    </row>
    <row r="45" spans="1:20">
      <c r="A45" s="31"/>
      <c r="B45" s="32"/>
      <c r="C45" s="31" t="s">
        <v>141</v>
      </c>
      <c r="D45" s="31"/>
      <c r="E45" s="31"/>
      <c r="F45" s="31"/>
      <c r="G45" s="31" t="s">
        <v>53</v>
      </c>
      <c r="H45" s="32"/>
      <c r="I45" s="32"/>
      <c r="J45" s="32"/>
      <c r="K45" s="31"/>
      <c r="L45" s="31"/>
      <c r="M45" s="3" t="str">
        <f t="shared" ca="1" si="4"/>
        <v/>
      </c>
      <c r="P45" t="str">
        <f>'Combined Delivery Data'!B44</f>
        <v>RPT_02_Investigate Wall Check and Service Check</v>
      </c>
      <c r="Q45">
        <f t="shared" si="5"/>
        <v>3</v>
      </c>
      <c r="R45">
        <f t="shared" si="6"/>
        <v>0</v>
      </c>
      <c r="S45" s="28">
        <f t="shared" si="7"/>
        <v>46267</v>
      </c>
      <c r="T45" t="str">
        <f t="shared" si="8"/>
        <v>QA -&gt; PBI Dev</v>
      </c>
    </row>
    <row r="46" spans="1:20">
      <c r="A46" s="31"/>
      <c r="B46" s="32"/>
      <c r="C46" s="31" t="s">
        <v>141</v>
      </c>
      <c r="D46" s="31"/>
      <c r="E46" s="31"/>
      <c r="F46" s="31"/>
      <c r="G46" s="31" t="s">
        <v>53</v>
      </c>
      <c r="H46" s="32"/>
      <c r="I46" s="32"/>
      <c r="J46" s="32"/>
      <c r="K46" s="31"/>
      <c r="L46" s="31"/>
      <c r="M46" s="3" t="str">
        <f t="shared" ca="1" si="4"/>
        <v/>
      </c>
      <c r="P46" t="str">
        <f>'Combined Delivery Data'!B45</f>
        <v>RPT_02_Cut Out Orders</v>
      </c>
      <c r="Q46">
        <f t="shared" si="5"/>
        <v>0</v>
      </c>
      <c r="R46">
        <f t="shared" si="6"/>
        <v>0</v>
      </c>
      <c r="S46" s="28" t="str">
        <f t="shared" si="7"/>
        <v/>
      </c>
      <c r="T46" t="str">
        <f t="shared" si="8"/>
        <v/>
      </c>
    </row>
    <row r="47" spans="1:20">
      <c r="A47" s="31"/>
      <c r="B47" s="32"/>
      <c r="C47" s="31" t="s">
        <v>141</v>
      </c>
      <c r="D47" s="31"/>
      <c r="E47" s="31"/>
      <c r="F47" s="31"/>
      <c r="G47" s="31" t="s">
        <v>53</v>
      </c>
      <c r="H47" s="32"/>
      <c r="I47" s="32"/>
      <c r="J47" s="32"/>
      <c r="K47" s="31"/>
      <c r="L47" s="31"/>
      <c r="M47" s="3" t="str">
        <f t="shared" ca="1" si="4"/>
        <v/>
      </c>
      <c r="P47" t="str">
        <f>'Combined Delivery Data'!B46</f>
        <v>RPT_02_Gas Trouble</v>
      </c>
      <c r="Q47">
        <f t="shared" si="5"/>
        <v>1</v>
      </c>
      <c r="R47">
        <f t="shared" si="6"/>
        <v>0</v>
      </c>
      <c r="S47" s="28">
        <f t="shared" si="7"/>
        <v>46265</v>
      </c>
      <c r="T47" t="str">
        <f t="shared" si="8"/>
        <v>QA -&gt; DB Dev</v>
      </c>
    </row>
    <row r="48" spans="1:20">
      <c r="A48" s="31"/>
      <c r="B48" s="32"/>
      <c r="C48" s="31" t="s">
        <v>141</v>
      </c>
      <c r="D48" s="31"/>
      <c r="E48" s="31"/>
      <c r="F48" s="31"/>
      <c r="G48" s="31" t="s">
        <v>53</v>
      </c>
      <c r="H48" s="32"/>
      <c r="I48" s="32"/>
      <c r="J48" s="32"/>
      <c r="K48" s="31"/>
      <c r="L48" s="31"/>
      <c r="M48" s="3" t="str">
        <f t="shared" ca="1" si="4"/>
        <v/>
      </c>
      <c r="P48" t="str">
        <f>'Combined Delivery Data'!B47</f>
        <v>RPT_02_Wall Check Control</v>
      </c>
      <c r="Q48">
        <f t="shared" si="5"/>
        <v>0</v>
      </c>
      <c r="R48">
        <f t="shared" si="6"/>
        <v>0</v>
      </c>
      <c r="S48" s="28" t="str">
        <f t="shared" si="7"/>
        <v/>
      </c>
      <c r="T48" t="str">
        <f t="shared" si="8"/>
        <v/>
      </c>
    </row>
    <row r="49" spans="1:20">
      <c r="A49" s="31"/>
      <c r="B49" s="32"/>
      <c r="C49" s="31" t="s">
        <v>141</v>
      </c>
      <c r="D49" s="31"/>
      <c r="E49" s="31"/>
      <c r="F49" s="31"/>
      <c r="G49" s="31" t="s">
        <v>53</v>
      </c>
      <c r="H49" s="32"/>
      <c r="I49" s="32"/>
      <c r="J49" s="32"/>
      <c r="K49" s="31"/>
      <c r="L49" s="31"/>
      <c r="M49" s="3" t="str">
        <f t="shared" ca="1" si="4"/>
        <v/>
      </c>
      <c r="P49" t="str">
        <f>'Combined Delivery Data'!B48</f>
        <v>RPT_02_High Pressure Steel Inside Inspection</v>
      </c>
      <c r="Q49">
        <f t="shared" si="5"/>
        <v>0</v>
      </c>
      <c r="R49">
        <f t="shared" si="6"/>
        <v>0</v>
      </c>
      <c r="S49" s="28" t="str">
        <f t="shared" si="7"/>
        <v/>
      </c>
      <c r="T49" t="str">
        <f t="shared" si="8"/>
        <v/>
      </c>
    </row>
    <row r="50" spans="1:20">
      <c r="A50" s="31"/>
      <c r="B50" s="32"/>
      <c r="C50" s="31" t="s">
        <v>141</v>
      </c>
      <c r="D50" s="31"/>
      <c r="E50" s="31"/>
      <c r="F50" s="31"/>
      <c r="G50" s="31" t="s">
        <v>53</v>
      </c>
      <c r="H50" s="32"/>
      <c r="I50" s="32"/>
      <c r="J50" s="32"/>
      <c r="K50" s="31"/>
      <c r="L50" s="31"/>
      <c r="M50" s="3" t="str">
        <f t="shared" ca="1" si="4"/>
        <v/>
      </c>
      <c r="P50" t="str">
        <f>'Combined Delivery Data'!B49</f>
        <v>RPT_02_Large Gas Outage</v>
      </c>
      <c r="Q50">
        <f t="shared" si="5"/>
        <v>3</v>
      </c>
      <c r="R50">
        <f t="shared" si="6"/>
        <v>1</v>
      </c>
      <c r="S50" s="28">
        <f t="shared" si="7"/>
        <v>46267</v>
      </c>
      <c r="T50" t="str">
        <f t="shared" si="8"/>
        <v>QA -&gt; DB Dev</v>
      </c>
    </row>
    <row r="51" spans="1:20">
      <c r="A51" s="31"/>
      <c r="B51" s="32"/>
      <c r="C51" s="31" t="s">
        <v>141</v>
      </c>
      <c r="D51" s="31"/>
      <c r="E51" s="31"/>
      <c r="F51" s="31"/>
      <c r="G51" s="31" t="s">
        <v>53</v>
      </c>
      <c r="H51" s="32"/>
      <c r="I51" s="32"/>
      <c r="J51" s="32"/>
      <c r="K51" s="31"/>
      <c r="L51" s="31"/>
      <c r="M51" s="3" t="str">
        <f t="shared" ca="1" si="4"/>
        <v/>
      </c>
      <c r="P51" t="str">
        <f>'Combined Delivery Data'!B50</f>
        <v>RPT_02_Fitting Work</v>
      </c>
      <c r="Q51">
        <f t="shared" si="5"/>
        <v>0</v>
      </c>
      <c r="R51">
        <f t="shared" si="6"/>
        <v>0</v>
      </c>
      <c r="S51" s="28" t="str">
        <f t="shared" si="7"/>
        <v/>
      </c>
      <c r="T51" t="str">
        <f t="shared" si="8"/>
        <v/>
      </c>
    </row>
    <row r="52" spans="1:20">
      <c r="A52" s="31"/>
      <c r="B52" s="32"/>
      <c r="C52" s="31" t="s">
        <v>141</v>
      </c>
      <c r="D52" s="31"/>
      <c r="E52" s="31"/>
      <c r="F52" s="31"/>
      <c r="G52" s="31" t="s">
        <v>53</v>
      </c>
      <c r="H52" s="32"/>
      <c r="I52" s="32"/>
      <c r="J52" s="32"/>
      <c r="K52" s="31"/>
      <c r="L52" s="31"/>
      <c r="M52" s="3" t="str">
        <f t="shared" ca="1" si="4"/>
        <v/>
      </c>
      <c r="P52" t="str">
        <f>'Combined Delivery Data'!B51</f>
        <v>RPT_02_Field Collector Report</v>
      </c>
      <c r="Q52">
        <f t="shared" si="5"/>
        <v>0</v>
      </c>
      <c r="R52">
        <f t="shared" si="6"/>
        <v>0</v>
      </c>
      <c r="S52" s="28" t="str">
        <f t="shared" si="7"/>
        <v/>
      </c>
      <c r="T52" t="str">
        <f t="shared" si="8"/>
        <v/>
      </c>
    </row>
    <row r="53" spans="1:20">
      <c r="A53" s="31"/>
      <c r="B53" s="32"/>
      <c r="C53" s="31" t="s">
        <v>141</v>
      </c>
      <c r="D53" s="31"/>
      <c r="E53" s="31"/>
      <c r="F53" s="31"/>
      <c r="G53" s="31" t="s">
        <v>53</v>
      </c>
      <c r="H53" s="32"/>
      <c r="I53" s="32"/>
      <c r="J53" s="32"/>
      <c r="K53" s="31"/>
      <c r="L53" s="31"/>
      <c r="M53" s="3" t="str">
        <f t="shared" ca="1" si="4"/>
        <v/>
      </c>
      <c r="P53" t="str">
        <f>'Combined Delivery Data'!B52</f>
        <v>RPT_02_Turn On for Non-Payment</v>
      </c>
      <c r="Q53">
        <f t="shared" si="5"/>
        <v>1</v>
      </c>
      <c r="R53">
        <f t="shared" si="6"/>
        <v>0</v>
      </c>
      <c r="S53" s="28">
        <f t="shared" si="7"/>
        <v>46267</v>
      </c>
      <c r="T53" t="str">
        <f t="shared" si="8"/>
        <v>QA -&gt; PBI Dev</v>
      </c>
    </row>
    <row r="54" spans="1:20">
      <c r="A54" s="31"/>
      <c r="B54" s="32"/>
      <c r="C54" s="31" t="s">
        <v>141</v>
      </c>
      <c r="D54" s="31"/>
      <c r="E54" s="31"/>
      <c r="F54" s="31"/>
      <c r="G54" s="31" t="s">
        <v>53</v>
      </c>
      <c r="H54" s="32"/>
      <c r="I54" s="32"/>
      <c r="J54" s="32"/>
      <c r="K54" s="31"/>
      <c r="L54" s="31"/>
      <c r="M54" s="3" t="str">
        <f t="shared" ca="1" si="4"/>
        <v/>
      </c>
      <c r="P54" t="str">
        <f>'Combined Delivery Data'!B53</f>
        <v>RPT_02_Collector Payment Recap</v>
      </c>
      <c r="Q54">
        <f t="shared" si="5"/>
        <v>0</v>
      </c>
      <c r="R54">
        <f t="shared" si="6"/>
        <v>0</v>
      </c>
      <c r="S54" s="28" t="str">
        <f t="shared" si="7"/>
        <v/>
      </c>
      <c r="T54" t="str">
        <f t="shared" si="8"/>
        <v/>
      </c>
    </row>
    <row r="55" spans="1:20">
      <c r="A55" s="31"/>
      <c r="B55" s="32"/>
      <c r="C55" s="31" t="s">
        <v>141</v>
      </c>
      <c r="D55" s="31"/>
      <c r="E55" s="31"/>
      <c r="F55" s="31"/>
      <c r="G55" s="31" t="s">
        <v>53</v>
      </c>
      <c r="H55" s="32"/>
      <c r="I55" s="32"/>
      <c r="J55" s="32"/>
      <c r="K55" s="31"/>
      <c r="L55" s="31"/>
      <c r="M55" s="3" t="str">
        <f t="shared" ca="1" si="4"/>
        <v/>
      </c>
      <c r="P55" t="str">
        <f>'Combined Delivery Data'!B54</f>
        <v>RPT_02_Incentive Management</v>
      </c>
      <c r="Q55">
        <f t="shared" si="5"/>
        <v>0</v>
      </c>
      <c r="R55">
        <f t="shared" si="6"/>
        <v>0</v>
      </c>
      <c r="S55" s="28" t="str">
        <f t="shared" si="7"/>
        <v/>
      </c>
      <c r="T55" t="str">
        <f t="shared" si="8"/>
        <v/>
      </c>
    </row>
    <row r="56" spans="1:20">
      <c r="A56" s="31"/>
      <c r="B56" s="32"/>
      <c r="C56" s="31" t="s">
        <v>141</v>
      </c>
      <c r="D56" s="31"/>
      <c r="E56" s="31"/>
      <c r="F56" s="31"/>
      <c r="G56" s="31" t="s">
        <v>53</v>
      </c>
      <c r="H56" s="32"/>
      <c r="I56" s="32"/>
      <c r="J56" s="32"/>
      <c r="K56" s="31"/>
      <c r="L56" s="31"/>
      <c r="M56" s="3" t="str">
        <f t="shared" ca="1" si="4"/>
        <v/>
      </c>
      <c r="P56" t="str">
        <f>'Combined Delivery Data'!B55</f>
        <v>RPT_02_UTC Report</v>
      </c>
      <c r="Q56">
        <f t="shared" si="5"/>
        <v>0</v>
      </c>
      <c r="R56">
        <f t="shared" si="6"/>
        <v>0</v>
      </c>
      <c r="S56" s="28" t="str">
        <f t="shared" si="7"/>
        <v/>
      </c>
      <c r="T56" t="str">
        <f t="shared" si="8"/>
        <v/>
      </c>
    </row>
    <row r="57" spans="1:20">
      <c r="A57" s="31"/>
      <c r="B57" s="32"/>
      <c r="C57" s="31" t="s">
        <v>141</v>
      </c>
      <c r="D57" s="31"/>
      <c r="E57" s="31"/>
      <c r="F57" s="31"/>
      <c r="G57" s="31" t="s">
        <v>53</v>
      </c>
      <c r="H57" s="32"/>
      <c r="I57" s="32"/>
      <c r="J57" s="32"/>
      <c r="K57" s="31"/>
      <c r="L57" s="31"/>
      <c r="M57" s="3" t="str">
        <f t="shared" ca="1" si="4"/>
        <v/>
      </c>
      <c r="P57" t="str">
        <f>'Combined Delivery Data'!B56</f>
        <v>RPT_02_Adjacent Property Checks</v>
      </c>
      <c r="Q57">
        <f t="shared" si="5"/>
        <v>0</v>
      </c>
      <c r="R57">
        <f t="shared" si="6"/>
        <v>0</v>
      </c>
      <c r="S57" s="28" t="str">
        <f t="shared" si="7"/>
        <v/>
      </c>
      <c r="T57" t="str">
        <f t="shared" si="8"/>
        <v/>
      </c>
    </row>
    <row r="58" spans="1:20">
      <c r="A58" s="31"/>
      <c r="B58" s="32"/>
      <c r="C58" s="31" t="s">
        <v>141</v>
      </c>
      <c r="D58" s="31"/>
      <c r="E58" s="31"/>
      <c r="F58" s="31"/>
      <c r="G58" s="31" t="s">
        <v>53</v>
      </c>
      <c r="H58" s="32"/>
      <c r="I58" s="32"/>
      <c r="J58" s="32"/>
      <c r="K58" s="31"/>
      <c r="L58" s="31"/>
      <c r="M58" s="3" t="str">
        <f t="shared" ca="1" si="4"/>
        <v/>
      </c>
      <c r="P58" t="str">
        <f>'Combined Delivery Data'!B57</f>
        <v>RPT_02_High Bill Investigations</v>
      </c>
      <c r="Q58">
        <f t="shared" si="5"/>
        <v>0</v>
      </c>
      <c r="R58">
        <f t="shared" si="6"/>
        <v>0</v>
      </c>
      <c r="S58" s="28" t="str">
        <f t="shared" si="7"/>
        <v/>
      </c>
      <c r="T58" t="str">
        <f t="shared" si="8"/>
        <v/>
      </c>
    </row>
    <row r="59" spans="1:20">
      <c r="A59" s="31"/>
      <c r="B59" s="32"/>
      <c r="C59" s="31" t="s">
        <v>141</v>
      </c>
      <c r="D59" s="31"/>
      <c r="E59" s="31"/>
      <c r="F59" s="31"/>
      <c r="G59" s="31" t="s">
        <v>53</v>
      </c>
      <c r="H59" s="32"/>
      <c r="I59" s="32"/>
      <c r="J59" s="32"/>
      <c r="K59" s="31"/>
      <c r="L59" s="31"/>
      <c r="M59" s="3" t="str">
        <f t="shared" ca="1" si="4"/>
        <v/>
      </c>
      <c r="P59" t="str">
        <f>'Combined Delivery Data'!B58</f>
        <v>RPT_02_Emergency Order Type</v>
      </c>
      <c r="Q59">
        <f t="shared" si="5"/>
        <v>0</v>
      </c>
      <c r="R59">
        <f t="shared" si="6"/>
        <v>0</v>
      </c>
      <c r="S59" s="28" t="str">
        <f t="shared" si="7"/>
        <v/>
      </c>
      <c r="T59" t="str">
        <f t="shared" si="8"/>
        <v/>
      </c>
    </row>
    <row r="60" spans="1:20">
      <c r="A60" s="31"/>
      <c r="B60" s="32"/>
      <c r="C60" s="31" t="s">
        <v>141</v>
      </c>
      <c r="D60" s="31"/>
      <c r="E60" s="31"/>
      <c r="F60" s="31"/>
      <c r="G60" s="31" t="s">
        <v>53</v>
      </c>
      <c r="H60" s="32"/>
      <c r="I60" s="32"/>
      <c r="J60" s="32"/>
      <c r="K60" s="31"/>
      <c r="L60" s="31"/>
      <c r="M60" s="3" t="str">
        <f t="shared" ca="1" si="4"/>
        <v/>
      </c>
      <c r="P60" t="str">
        <f>'Combined Delivery Data'!B59</f>
        <v>RPT_02_Cut Out Curb Box</v>
      </c>
      <c r="Q60">
        <f t="shared" si="5"/>
        <v>0</v>
      </c>
      <c r="R60">
        <f t="shared" si="6"/>
        <v>0</v>
      </c>
      <c r="S60" s="28" t="str">
        <f t="shared" si="7"/>
        <v/>
      </c>
      <c r="T60" t="str">
        <f t="shared" si="8"/>
        <v/>
      </c>
    </row>
    <row r="61" spans="1:20">
      <c r="A61" s="31"/>
      <c r="B61" s="32"/>
      <c r="C61" s="31" t="s">
        <v>141</v>
      </c>
      <c r="D61" s="31"/>
      <c r="E61" s="31"/>
      <c r="F61" s="31"/>
      <c r="G61" s="31" t="s">
        <v>53</v>
      </c>
      <c r="H61" s="32"/>
      <c r="I61" s="32"/>
      <c r="J61" s="32"/>
      <c r="K61" s="31"/>
      <c r="L61" s="31"/>
      <c r="M61" s="3" t="str">
        <f t="shared" ca="1" si="4"/>
        <v/>
      </c>
      <c r="P61" t="str">
        <f>'Combined Delivery Data'!B60</f>
        <v>RPT_02_New York Incident</v>
      </c>
      <c r="Q61">
        <f t="shared" si="5"/>
        <v>0</v>
      </c>
      <c r="R61">
        <f t="shared" si="6"/>
        <v>0</v>
      </c>
      <c r="S61" s="28" t="str">
        <f t="shared" si="7"/>
        <v/>
      </c>
      <c r="T61" t="str">
        <f t="shared" si="8"/>
        <v/>
      </c>
    </row>
    <row r="62" spans="1:20">
      <c r="A62" s="31"/>
      <c r="B62" s="32"/>
      <c r="C62" s="31" t="s">
        <v>141</v>
      </c>
      <c r="D62" s="31"/>
      <c r="E62" s="31"/>
      <c r="F62" s="31"/>
      <c r="G62" s="31" t="s">
        <v>53</v>
      </c>
      <c r="H62" s="32"/>
      <c r="I62" s="32"/>
      <c r="J62" s="32"/>
      <c r="K62" s="31"/>
      <c r="L62" s="31"/>
      <c r="M62" s="3" t="str">
        <f t="shared" ca="1" si="4"/>
        <v/>
      </c>
      <c r="P62" t="str">
        <f>'Combined Delivery Data'!B61</f>
        <v>RPT_02_Outside Repeat Leaks</v>
      </c>
      <c r="Q62">
        <f t="shared" si="5"/>
        <v>0</v>
      </c>
      <c r="R62">
        <f t="shared" si="6"/>
        <v>0</v>
      </c>
      <c r="S62" s="28" t="str">
        <f t="shared" si="7"/>
        <v/>
      </c>
      <c r="T62" t="str">
        <f t="shared" si="8"/>
        <v/>
      </c>
    </row>
    <row r="63" spans="1:20">
      <c r="A63" s="31"/>
      <c r="B63" s="32"/>
      <c r="C63" s="31" t="s">
        <v>141</v>
      </c>
      <c r="D63" s="31"/>
      <c r="E63" s="31"/>
      <c r="F63" s="31"/>
      <c r="G63" s="31" t="s">
        <v>53</v>
      </c>
      <c r="H63" s="32"/>
      <c r="I63" s="32"/>
      <c r="J63" s="32"/>
      <c r="K63" s="31"/>
      <c r="L63" s="31"/>
      <c r="M63" s="3" t="str">
        <f t="shared" ca="1" si="4"/>
        <v/>
      </c>
      <c r="P63" t="str">
        <f>'Combined Delivery Data'!B62</f>
        <v>RPT_02_Meter Change</v>
      </c>
      <c r="Q63">
        <f t="shared" si="5"/>
        <v>0</v>
      </c>
      <c r="R63">
        <f t="shared" si="6"/>
        <v>0</v>
      </c>
      <c r="S63" s="28" t="str">
        <f t="shared" si="7"/>
        <v/>
      </c>
      <c r="T63" t="str">
        <f t="shared" si="8"/>
        <v/>
      </c>
    </row>
    <row r="64" spans="1:20">
      <c r="A64" s="31"/>
      <c r="B64" s="32"/>
      <c r="C64" s="31" t="s">
        <v>141</v>
      </c>
      <c r="D64" s="31"/>
      <c r="E64" s="31"/>
      <c r="F64" s="31"/>
      <c r="G64" s="31" t="s">
        <v>53</v>
      </c>
      <c r="H64" s="32"/>
      <c r="I64" s="32"/>
      <c r="J64" s="32"/>
      <c r="K64" s="31"/>
      <c r="L64" s="31"/>
      <c r="M64" s="3" t="str">
        <f t="shared" ca="1" si="4"/>
        <v/>
      </c>
      <c r="P64" t="str">
        <f>'Combined Delivery Data'!B63</f>
        <v>RPT_02_Field Order Value</v>
      </c>
      <c r="Q64">
        <f t="shared" si="5"/>
        <v>0</v>
      </c>
      <c r="R64">
        <f t="shared" si="6"/>
        <v>0</v>
      </c>
      <c r="S64" s="28" t="str">
        <f t="shared" si="7"/>
        <v/>
      </c>
      <c r="T64" t="str">
        <f t="shared" si="8"/>
        <v/>
      </c>
    </row>
    <row r="65" spans="1:20">
      <c r="A65" s="31"/>
      <c r="B65" s="32"/>
      <c r="C65" s="31" t="s">
        <v>141</v>
      </c>
      <c r="D65" s="31"/>
      <c r="E65" s="31"/>
      <c r="F65" s="31"/>
      <c r="G65" s="31" t="s">
        <v>53</v>
      </c>
      <c r="H65" s="32"/>
      <c r="I65" s="32"/>
      <c r="J65" s="32"/>
      <c r="K65" s="31"/>
      <c r="L65" s="31"/>
      <c r="M65" s="3" t="str">
        <f t="shared" ca="1" si="4"/>
        <v/>
      </c>
      <c r="P65" t="str">
        <f>'Combined Delivery Data'!B64</f>
        <v>RPT_02_Same Day Reconnect</v>
      </c>
      <c r="Q65">
        <f t="shared" si="5"/>
        <v>0</v>
      </c>
      <c r="R65">
        <f t="shared" si="6"/>
        <v>0</v>
      </c>
      <c r="S65" s="28" t="str">
        <f t="shared" si="7"/>
        <v/>
      </c>
      <c r="T65" t="str">
        <f t="shared" si="8"/>
        <v/>
      </c>
    </row>
    <row r="66" spans="1:20">
      <c r="A66" s="31"/>
      <c r="B66" s="32"/>
      <c r="C66" s="31" t="s">
        <v>141</v>
      </c>
      <c r="D66" s="31"/>
      <c r="E66" s="31"/>
      <c r="F66" s="31"/>
      <c r="G66" s="31" t="s">
        <v>53</v>
      </c>
      <c r="H66" s="32"/>
      <c r="I66" s="32"/>
      <c r="J66" s="32"/>
      <c r="K66" s="31"/>
      <c r="L66" s="31"/>
      <c r="M66" s="3" t="str">
        <f t="shared" ca="1" si="4"/>
        <v/>
      </c>
      <c r="P66" t="str">
        <f>'Combined Delivery Data'!B65</f>
        <v>RPT_02_Site Specific Analysis</v>
      </c>
      <c r="Q66">
        <f t="shared" si="5"/>
        <v>0</v>
      </c>
      <c r="R66">
        <f t="shared" si="6"/>
        <v>0</v>
      </c>
      <c r="S66" s="28" t="str">
        <f t="shared" si="7"/>
        <v/>
      </c>
      <c r="T66" t="str">
        <f t="shared" si="8"/>
        <v/>
      </c>
    </row>
    <row r="67" spans="1:20">
      <c r="A67" s="31"/>
      <c r="B67" s="32"/>
      <c r="C67" s="31" t="s">
        <v>141</v>
      </c>
      <c r="D67" s="31"/>
      <c r="E67" s="31"/>
      <c r="F67" s="31"/>
      <c r="G67" s="31" t="s">
        <v>53</v>
      </c>
      <c r="H67" s="32"/>
      <c r="I67" s="32"/>
      <c r="J67" s="32"/>
      <c r="K67" s="31"/>
      <c r="L67" s="31"/>
      <c r="M67" s="3" t="str">
        <f t="shared" ref="M67:M70" ca="1" si="9">IF($A67="","",IF($G67="Did not pass re-test","Sent back again",IF(NOT(ISNUMBER($B67)),"Missing sent-back date",IF($J67&lt;&gt;"","Fixed",IF($I67="","UNCLAIMED "&amp;(TODAY()-$B67)&amp;" d",IF(TODAY()&gt;$I67,(TODAY()-$I67)&amp;" d LATE","Open "&amp;(TODAY()-$B67)&amp;" d"))))))</f>
        <v/>
      </c>
      <c r="P67" t="str">
        <f>'Combined Delivery Data'!B66</f>
        <v>RPT_02_PSC Wire Down Response Time</v>
      </c>
      <c r="Q67">
        <f t="shared" si="5"/>
        <v>0</v>
      </c>
      <c r="R67">
        <f t="shared" si="6"/>
        <v>0</v>
      </c>
      <c r="S67" s="28" t="str">
        <f t="shared" si="7"/>
        <v/>
      </c>
      <c r="T67" t="str">
        <f t="shared" si="8"/>
        <v/>
      </c>
    </row>
    <row r="68" spans="1:20">
      <c r="A68" s="31"/>
      <c r="B68" s="32"/>
      <c r="C68" s="31" t="s">
        <v>141</v>
      </c>
      <c r="D68" s="31"/>
      <c r="E68" s="31"/>
      <c r="F68" s="31"/>
      <c r="G68" s="31" t="s">
        <v>53</v>
      </c>
      <c r="H68" s="32"/>
      <c r="I68" s="32"/>
      <c r="J68" s="32"/>
      <c r="K68" s="31"/>
      <c r="L68" s="31"/>
      <c r="M68" s="3" t="str">
        <f t="shared" ca="1" si="9"/>
        <v/>
      </c>
      <c r="P68" t="str">
        <f>'Combined Delivery Data'!B67</f>
        <v>RPT_02_Hazardous Above Ground Leak</v>
      </c>
      <c r="Q68">
        <f t="shared" si="5"/>
        <v>0</v>
      </c>
      <c r="R68">
        <f t="shared" si="6"/>
        <v>0</v>
      </c>
      <c r="S68" s="28" t="str">
        <f t="shared" si="7"/>
        <v/>
      </c>
      <c r="T68" t="str">
        <f t="shared" si="8"/>
        <v/>
      </c>
    </row>
    <row r="69" spans="1:20">
      <c r="A69" s="31"/>
      <c r="B69" s="32"/>
      <c r="C69" s="31" t="s">
        <v>141</v>
      </c>
      <c r="D69" s="31"/>
      <c r="E69" s="31"/>
      <c r="F69" s="31"/>
      <c r="G69" s="31" t="s">
        <v>53</v>
      </c>
      <c r="H69" s="32"/>
      <c r="I69" s="32"/>
      <c r="J69" s="32"/>
      <c r="K69" s="31"/>
      <c r="L69" s="31"/>
      <c r="M69" s="3" t="str">
        <f t="shared" ca="1" si="9"/>
        <v/>
      </c>
      <c r="P69" t="str">
        <f>'Combined Delivery Data'!B68</f>
        <v>RPT_02_AMI Contractor Completion Report</v>
      </c>
      <c r="Q69">
        <f t="shared" si="5"/>
        <v>0</v>
      </c>
      <c r="R69">
        <f t="shared" si="6"/>
        <v>0</v>
      </c>
      <c r="S69" s="28" t="str">
        <f t="shared" si="7"/>
        <v/>
      </c>
      <c r="T69" t="str">
        <f t="shared" si="8"/>
        <v/>
      </c>
    </row>
    <row r="70" spans="1:20">
      <c r="A70" s="31"/>
      <c r="B70" s="32"/>
      <c r="C70" s="31" t="s">
        <v>141</v>
      </c>
      <c r="D70" s="31"/>
      <c r="E70" s="31"/>
      <c r="F70" s="31"/>
      <c r="G70" s="31" t="s">
        <v>53</v>
      </c>
      <c r="H70" s="32"/>
      <c r="I70" s="32"/>
      <c r="J70" s="32"/>
      <c r="K70" s="31"/>
      <c r="L70" s="31"/>
      <c r="M70" s="3" t="str">
        <f t="shared" ca="1" si="9"/>
        <v/>
      </c>
      <c r="P70" t="str">
        <f>'Combined Delivery Data'!B69</f>
        <v>RPT_02_Collection Statistic</v>
      </c>
      <c r="Q70">
        <f t="shared" si="5"/>
        <v>0</v>
      </c>
      <c r="R70">
        <f t="shared" si="6"/>
        <v>0</v>
      </c>
      <c r="S70" s="28" t="str">
        <f t="shared" si="7"/>
        <v/>
      </c>
      <c r="T70" t="str">
        <f t="shared" si="8"/>
        <v/>
      </c>
    </row>
    <row r="71" spans="1:20">
      <c r="A71" s="31"/>
      <c r="B71" s="32"/>
      <c r="C71" s="31" t="s">
        <v>141</v>
      </c>
      <c r="D71" s="31"/>
      <c r="E71" s="31"/>
      <c r="F71" s="31"/>
      <c r="G71" s="31" t="s">
        <v>53</v>
      </c>
      <c r="H71" s="32"/>
      <c r="I71" s="32"/>
      <c r="J71" s="32"/>
      <c r="K71" s="31"/>
      <c r="L71" s="31"/>
      <c r="M71" s="3" t="str">
        <f t="shared" ref="M71:M129" ca="1" si="10">IF($A71="","",IF($G71="Did not pass re-test","Sent back again",IF(NOT(ISNUMBER($B71)),"Missing sent-back date",IF(ISNUMBER($J71),"Fixed in "&amp;($J71-$B71)&amp;" d",IF($I71="","UNCLAIMED "&amp;(TODAY()-$B71)&amp;" d",IF(TODAY()&gt;$I71,(TODAY()-$I71)&amp;" d LATE","Open "&amp;(TODAY()-$B71)&amp;" d"))))))</f>
        <v/>
      </c>
      <c r="P71" t="str">
        <f>'Combined Delivery Data'!B70</f>
        <v>RPT_02_First and Last Job</v>
      </c>
      <c r="Q71">
        <f t="shared" si="5"/>
        <v>0</v>
      </c>
      <c r="R71">
        <f t="shared" si="6"/>
        <v>0</v>
      </c>
      <c r="S71" s="28" t="str">
        <f t="shared" si="7"/>
        <v/>
      </c>
      <c r="T71" t="str">
        <f t="shared" si="8"/>
        <v/>
      </c>
    </row>
    <row r="72" spans="1:20">
      <c r="A72" s="31"/>
      <c r="B72" s="32"/>
      <c r="C72" s="31" t="s">
        <v>141</v>
      </c>
      <c r="D72" s="31"/>
      <c r="E72" s="31"/>
      <c r="F72" s="31"/>
      <c r="G72" s="31" t="s">
        <v>53</v>
      </c>
      <c r="H72" s="32"/>
      <c r="I72" s="32"/>
      <c r="J72" s="32"/>
      <c r="K72" s="31"/>
      <c r="L72" s="31"/>
      <c r="M72" s="3" t="str">
        <f t="shared" ca="1" si="10"/>
        <v/>
      </c>
      <c r="P72" t="str">
        <f>'Combined Delivery Data'!B71</f>
        <v>RPT_02_Rate Class</v>
      </c>
      <c r="Q72">
        <f t="shared" si="5"/>
        <v>0</v>
      </c>
      <c r="R72">
        <f t="shared" si="6"/>
        <v>0</v>
      </c>
      <c r="S72" s="28" t="str">
        <f t="shared" si="7"/>
        <v/>
      </c>
      <c r="T72" t="str">
        <f t="shared" si="8"/>
        <v/>
      </c>
    </row>
    <row r="73" spans="1:20">
      <c r="A73" s="31"/>
      <c r="B73" s="32"/>
      <c r="C73" s="31" t="s">
        <v>141</v>
      </c>
      <c r="D73" s="31"/>
      <c r="E73" s="31"/>
      <c r="F73" s="31"/>
      <c r="G73" s="31" t="s">
        <v>53</v>
      </c>
      <c r="H73" s="32"/>
      <c r="I73" s="32"/>
      <c r="J73" s="32"/>
      <c r="K73" s="31"/>
      <c r="L73" s="31"/>
      <c r="M73" s="3" t="str">
        <f t="shared" ca="1" si="10"/>
        <v/>
      </c>
      <c r="P73" t="str">
        <f>'Combined Delivery Data'!B72</f>
        <v>RPT_04_Leak Recheck Times</v>
      </c>
      <c r="Q73">
        <f t="shared" si="5"/>
        <v>0</v>
      </c>
      <c r="R73">
        <f t="shared" si="6"/>
        <v>0</v>
      </c>
      <c r="S73" s="28" t="str">
        <f t="shared" si="7"/>
        <v/>
      </c>
      <c r="T73" t="str">
        <f t="shared" si="8"/>
        <v/>
      </c>
    </row>
    <row r="74" spans="1:20">
      <c r="A74" s="31"/>
      <c r="B74" s="32"/>
      <c r="C74" s="31" t="s">
        <v>141</v>
      </c>
      <c r="D74" s="31"/>
      <c r="E74" s="31"/>
      <c r="F74" s="31"/>
      <c r="G74" s="31" t="s">
        <v>53</v>
      </c>
      <c r="H74" s="32"/>
      <c r="I74" s="32"/>
      <c r="J74" s="32"/>
      <c r="K74" s="31"/>
      <c r="L74" s="31"/>
      <c r="M74" s="3" t="str">
        <f t="shared" ca="1" si="10"/>
        <v/>
      </c>
      <c r="P74" t="str">
        <f>'Combined Delivery Data'!B73</f>
        <v>RPT_02_Service Resource Activity</v>
      </c>
      <c r="Q74">
        <f t="shared" si="5"/>
        <v>0</v>
      </c>
      <c r="R74">
        <f t="shared" si="6"/>
        <v>0</v>
      </c>
      <c r="S74" s="28" t="str">
        <f t="shared" si="7"/>
        <v/>
      </c>
      <c r="T74" t="str">
        <f t="shared" si="8"/>
        <v/>
      </c>
    </row>
    <row r="75" spans="1:20">
      <c r="A75" s="31"/>
      <c r="B75" s="32"/>
      <c r="C75" s="31" t="s">
        <v>141</v>
      </c>
      <c r="D75" s="31"/>
      <c r="E75" s="31"/>
      <c r="F75" s="31"/>
      <c r="G75" s="31" t="s">
        <v>53</v>
      </c>
      <c r="H75" s="32"/>
      <c r="I75" s="32"/>
      <c r="J75" s="32"/>
      <c r="K75" s="31"/>
      <c r="L75" s="31"/>
      <c r="M75" s="3" t="str">
        <f t="shared" ca="1" si="10"/>
        <v/>
      </c>
      <c r="P75" t="str">
        <f>'Combined Delivery Data'!B101</f>
        <v>RPT_05_Department of Transportation</v>
      </c>
      <c r="Q75">
        <f t="shared" si="5"/>
        <v>0</v>
      </c>
      <c r="R75">
        <f t="shared" si="6"/>
        <v>0</v>
      </c>
      <c r="S75" s="28" t="str">
        <f t="shared" si="7"/>
        <v/>
      </c>
      <c r="T75" t="str">
        <f t="shared" si="8"/>
        <v/>
      </c>
    </row>
    <row r="76" spans="1:20">
      <c r="A76" s="31"/>
      <c r="B76" s="32"/>
      <c r="C76" s="31" t="s">
        <v>141</v>
      </c>
      <c r="D76" s="31"/>
      <c r="E76" s="31"/>
      <c r="F76" s="31"/>
      <c r="G76" s="31" t="s">
        <v>53</v>
      </c>
      <c r="H76" s="32"/>
      <c r="I76" s="32"/>
      <c r="J76" s="32"/>
      <c r="K76" s="31"/>
      <c r="L76" s="31"/>
      <c r="M76" s="3" t="str">
        <f t="shared" ca="1" si="10"/>
        <v/>
      </c>
      <c r="P76" t="str">
        <f>'Combined Delivery Data'!B102</f>
        <v>RPT_05_ Inside Meter Relocation</v>
      </c>
      <c r="Q76">
        <f t="shared" si="5"/>
        <v>0</v>
      </c>
      <c r="R76">
        <f t="shared" si="6"/>
        <v>0</v>
      </c>
      <c r="S76" s="28" t="str">
        <f t="shared" si="7"/>
        <v/>
      </c>
      <c r="T76" t="str">
        <f t="shared" si="8"/>
        <v/>
      </c>
    </row>
    <row r="77" spans="1:20">
      <c r="A77" s="31"/>
      <c r="B77" s="32"/>
      <c r="C77" s="31" t="s">
        <v>141</v>
      </c>
      <c r="D77" s="31"/>
      <c r="E77" s="31"/>
      <c r="F77" s="31"/>
      <c r="G77" s="31" t="s">
        <v>53</v>
      </c>
      <c r="H77" s="32"/>
      <c r="I77" s="32"/>
      <c r="J77" s="32"/>
      <c r="K77" s="31"/>
      <c r="L77" s="31"/>
      <c r="M77" s="3" t="str">
        <f t="shared" ca="1" si="10"/>
        <v/>
      </c>
      <c r="P77" t="str">
        <f>'Combined Delivery Data'!B103</f>
        <v>RPT_05_Mapped Work Order Information</v>
      </c>
      <c r="Q77">
        <f t="shared" si="5"/>
        <v>0</v>
      </c>
      <c r="R77">
        <f t="shared" si="6"/>
        <v>0</v>
      </c>
      <c r="S77" s="28" t="str">
        <f t="shared" si="7"/>
        <v/>
      </c>
      <c r="T77" t="str">
        <f t="shared" si="8"/>
        <v/>
      </c>
    </row>
    <row r="78" spans="1:20">
      <c r="A78" s="31"/>
      <c r="B78" s="32"/>
      <c r="C78" s="31" t="s">
        <v>141</v>
      </c>
      <c r="D78" s="31"/>
      <c r="E78" s="31"/>
      <c r="F78" s="31"/>
      <c r="G78" s="31" t="s">
        <v>53</v>
      </c>
      <c r="H78" s="32"/>
      <c r="I78" s="32"/>
      <c r="J78" s="32"/>
      <c r="K78" s="31"/>
      <c r="L78" s="31"/>
      <c r="M78" s="3" t="str">
        <f t="shared" ca="1" si="10"/>
        <v/>
      </c>
      <c r="P78" t="str">
        <f>'Combined Delivery Data'!B104</f>
        <v>RPT_06_Retired Meters</v>
      </c>
      <c r="Q78">
        <f t="shared" si="5"/>
        <v>0</v>
      </c>
      <c r="R78">
        <f t="shared" si="6"/>
        <v>0</v>
      </c>
      <c r="S78" s="28" t="str">
        <f t="shared" si="7"/>
        <v/>
      </c>
      <c r="T78" t="str">
        <f t="shared" si="8"/>
        <v/>
      </c>
    </row>
    <row r="79" spans="1:20">
      <c r="A79" s="31"/>
      <c r="B79" s="32"/>
      <c r="C79" s="31" t="s">
        <v>141</v>
      </c>
      <c r="D79" s="31"/>
      <c r="E79" s="31"/>
      <c r="F79" s="31"/>
      <c r="G79" s="31" t="s">
        <v>53</v>
      </c>
      <c r="H79" s="32"/>
      <c r="I79" s="32"/>
      <c r="J79" s="32"/>
      <c r="K79" s="31"/>
      <c r="L79" s="31"/>
      <c r="M79" s="3" t="str">
        <f t="shared" ca="1" si="10"/>
        <v/>
      </c>
      <c r="P79" t="str">
        <f>'Combined Delivery Data'!B105</f>
        <v>RPT_13_Survey Book</v>
      </c>
      <c r="Q79">
        <f t="shared" si="5"/>
        <v>0</v>
      </c>
      <c r="R79">
        <f t="shared" si="6"/>
        <v>0</v>
      </c>
      <c r="S79" s="28" t="str">
        <f t="shared" si="7"/>
        <v/>
      </c>
      <c r="T79" t="str">
        <f t="shared" si="8"/>
        <v/>
      </c>
    </row>
    <row r="80" spans="1:20">
      <c r="A80" s="31"/>
      <c r="B80" s="32"/>
      <c r="C80" s="31" t="s">
        <v>141</v>
      </c>
      <c r="D80" s="31"/>
      <c r="E80" s="31"/>
      <c r="F80" s="31"/>
      <c r="G80" s="31" t="s">
        <v>53</v>
      </c>
      <c r="H80" s="32"/>
      <c r="I80" s="32"/>
      <c r="J80" s="32"/>
      <c r="K80" s="31"/>
      <c r="L80" s="31"/>
      <c r="M80" s="3" t="str">
        <f t="shared" ca="1" si="10"/>
        <v/>
      </c>
      <c r="P80" t="str">
        <f>'Combined Delivery Data'!B106</f>
        <v>RPT_05_Leak Survey Mains Summary</v>
      </c>
      <c r="Q80">
        <f t="shared" si="5"/>
        <v>0</v>
      </c>
      <c r="R80">
        <f t="shared" si="6"/>
        <v>0</v>
      </c>
      <c r="S80" s="28" t="str">
        <f t="shared" si="7"/>
        <v/>
      </c>
      <c r="T80" t="str">
        <f t="shared" si="8"/>
        <v/>
      </c>
    </row>
    <row r="81" spans="1:20">
      <c r="A81" s="31"/>
      <c r="B81" s="32"/>
      <c r="C81" s="31" t="s">
        <v>141</v>
      </c>
      <c r="D81" s="31"/>
      <c r="E81" s="31"/>
      <c r="F81" s="31"/>
      <c r="G81" s="31" t="s">
        <v>53</v>
      </c>
      <c r="H81" s="32"/>
      <c r="I81" s="32"/>
      <c r="J81" s="32"/>
      <c r="K81" s="31"/>
      <c r="L81" s="31"/>
      <c r="M81" s="3" t="str">
        <f t="shared" ca="1" si="10"/>
        <v/>
      </c>
      <c r="P81" t="str">
        <f>'Combined Delivery Data'!B107</f>
        <v>RPT_13_Customer Service Point</v>
      </c>
      <c r="Q81">
        <f t="shared" si="5"/>
        <v>0</v>
      </c>
      <c r="R81">
        <f t="shared" si="6"/>
        <v>0</v>
      </c>
      <c r="S81" s="28" t="str">
        <f t="shared" si="7"/>
        <v/>
      </c>
      <c r="T81" t="str">
        <f t="shared" si="8"/>
        <v/>
      </c>
    </row>
    <row r="82" spans="1:20">
      <c r="A82" s="31"/>
      <c r="B82" s="32"/>
      <c r="C82" s="31" t="s">
        <v>141</v>
      </c>
      <c r="D82" s="31"/>
      <c r="E82" s="31"/>
      <c r="F82" s="31"/>
      <c r="G82" s="31" t="s">
        <v>53</v>
      </c>
      <c r="H82" s="32"/>
      <c r="I82" s="32"/>
      <c r="J82" s="32"/>
      <c r="K82" s="31"/>
      <c r="L82" s="31"/>
      <c r="M82" s="3" t="str">
        <f t="shared" ca="1" si="10"/>
        <v/>
      </c>
      <c r="P82" t="str">
        <f>'Combined Delivery Data'!B108</f>
        <v>RPT_02_Emergency Operation Checklist</v>
      </c>
      <c r="Q82">
        <f t="shared" ref="Q82:Q145" si="11">IF($P82="","",COUNTIF($A$3:$A$499,$P82))</f>
        <v>0</v>
      </c>
      <c r="R82">
        <f t="shared" ref="R82:R145" si="12">IF($P82="","",SUMPRODUCT(($A$3:$A$499=$P82)*($G$3:$G$499&lt;&gt;"Yes")*($G$3:$G$499&lt;&gt;"Did not pass re-test")))</f>
        <v>0</v>
      </c>
      <c r="S82" s="28" t="str">
        <f t="shared" ref="S82:S145" si="13">IF($P82="","",IF(SUMPRODUCT(MAX(($A$3:$A$499=$P82)*ROW($A$3:$A$499)))=0,"",INDEX($B:$B,SUMPRODUCT(MAX(($A$3:$A$499=$P82)*ROW($A$3:$A$499))))))</f>
        <v/>
      </c>
      <c r="T82" t="str">
        <f t="shared" ref="T82:T145" si="14">IF($P82="","",IF(SUMPRODUCT(MAX(($A$3:$A$499=$P82)*ROW($A$3:$A$499)))=0,"",INDEX($C:$C,SUMPRODUCT(MAX(($A$3:$A$499=$P82)*ROW($A$3:$A$499))))&amp;" -&gt; "&amp;INDEX($D:$D,SUMPRODUCT(MAX(($A$3:$A$499=$P82)*ROW($A$3:$A$499))))))</f>
        <v/>
      </c>
    </row>
    <row r="83" spans="1:20">
      <c r="A83" s="31"/>
      <c r="B83" s="32"/>
      <c r="C83" s="31" t="s">
        <v>141</v>
      </c>
      <c r="D83" s="31"/>
      <c r="E83" s="31"/>
      <c r="F83" s="31"/>
      <c r="G83" s="31" t="s">
        <v>53</v>
      </c>
      <c r="H83" s="32"/>
      <c r="I83" s="32"/>
      <c r="J83" s="32"/>
      <c r="K83" s="31"/>
      <c r="L83" s="31"/>
      <c r="M83" s="3" t="str">
        <f t="shared" ca="1" si="10"/>
        <v/>
      </c>
      <c r="P83" t="str">
        <f>'Combined Delivery Data'!B109</f>
        <v>RPT_06_ERT List</v>
      </c>
      <c r="Q83">
        <f t="shared" si="11"/>
        <v>0</v>
      </c>
      <c r="R83">
        <f t="shared" si="12"/>
        <v>0</v>
      </c>
      <c r="S83" s="28" t="str">
        <f t="shared" si="13"/>
        <v/>
      </c>
      <c r="T83" t="str">
        <f t="shared" si="14"/>
        <v/>
      </c>
    </row>
    <row r="84" spans="1:20">
      <c r="A84" s="31"/>
      <c r="B84" s="32"/>
      <c r="C84" s="31" t="s">
        <v>141</v>
      </c>
      <c r="D84" s="31"/>
      <c r="E84" s="31"/>
      <c r="F84" s="31"/>
      <c r="G84" s="31" t="s">
        <v>53</v>
      </c>
      <c r="H84" s="32"/>
      <c r="I84" s="32"/>
      <c r="J84" s="32"/>
      <c r="K84" s="31"/>
      <c r="L84" s="31"/>
      <c r="M84" s="3" t="str">
        <f t="shared" ca="1" si="10"/>
        <v/>
      </c>
      <c r="P84" t="str">
        <f>'Combined Delivery Data'!B110</f>
        <v>RPT_13_Blue Card</v>
      </c>
      <c r="Q84">
        <f t="shared" si="11"/>
        <v>0</v>
      </c>
      <c r="R84">
        <f t="shared" si="12"/>
        <v>0</v>
      </c>
      <c r="S84" s="28" t="str">
        <f t="shared" si="13"/>
        <v/>
      </c>
      <c r="T84" t="str">
        <f t="shared" si="14"/>
        <v/>
      </c>
    </row>
    <row r="85" spans="1:20">
      <c r="A85" s="31"/>
      <c r="B85" s="32"/>
      <c r="C85" s="31" t="s">
        <v>141</v>
      </c>
      <c r="D85" s="31"/>
      <c r="E85" s="31"/>
      <c r="F85" s="31"/>
      <c r="G85" s="31" t="s">
        <v>53</v>
      </c>
      <c r="H85" s="32"/>
      <c r="I85" s="32"/>
      <c r="J85" s="32"/>
      <c r="K85" s="31"/>
      <c r="L85" s="31"/>
      <c r="M85" s="3" t="str">
        <f t="shared" ca="1" si="10"/>
        <v/>
      </c>
      <c r="P85" t="str">
        <f>'Combined Delivery Data'!B111</f>
        <v>RPT_06_Out of Route Meters Gas</v>
      </c>
      <c r="Q85">
        <f t="shared" si="11"/>
        <v>0</v>
      </c>
      <c r="R85">
        <f t="shared" si="12"/>
        <v>0</v>
      </c>
      <c r="S85" s="28" t="str">
        <f t="shared" si="13"/>
        <v/>
      </c>
      <c r="T85" t="str">
        <f t="shared" si="14"/>
        <v/>
      </c>
    </row>
    <row r="86" spans="1:20">
      <c r="A86" s="31"/>
      <c r="B86" s="32"/>
      <c r="C86" s="31" t="s">
        <v>141</v>
      </c>
      <c r="D86" s="31"/>
      <c r="E86" s="31"/>
      <c r="F86" s="31"/>
      <c r="G86" s="31" t="s">
        <v>53</v>
      </c>
      <c r="H86" s="32"/>
      <c r="I86" s="32"/>
      <c r="J86" s="32"/>
      <c r="K86" s="31"/>
      <c r="L86" s="31"/>
      <c r="M86" s="3" t="str">
        <f t="shared" ca="1" si="10"/>
        <v/>
      </c>
      <c r="P86" t="str">
        <f>'Combined Delivery Data'!B112</f>
        <v>RPT_06_Yard Meter Inventory</v>
      </c>
      <c r="Q86">
        <f t="shared" si="11"/>
        <v>0</v>
      </c>
      <c r="R86">
        <f t="shared" si="12"/>
        <v>0</v>
      </c>
      <c r="S86" s="28" t="str">
        <f t="shared" si="13"/>
        <v/>
      </c>
      <c r="T86" t="str">
        <f t="shared" si="14"/>
        <v/>
      </c>
    </row>
    <row r="87" spans="1:20">
      <c r="A87" s="31"/>
      <c r="B87" s="32"/>
      <c r="C87" s="31" t="s">
        <v>141</v>
      </c>
      <c r="D87" s="31"/>
      <c r="E87" s="31"/>
      <c r="F87" s="31"/>
      <c r="G87" s="31" t="s">
        <v>53</v>
      </c>
      <c r="H87" s="32"/>
      <c r="I87" s="32"/>
      <c r="J87" s="32"/>
      <c r="K87" s="31"/>
      <c r="L87" s="31"/>
      <c r="M87" s="3" t="str">
        <f t="shared" ca="1" si="10"/>
        <v/>
      </c>
      <c r="P87" t="str">
        <f>'Combined Delivery Data'!B113</f>
        <v>RPT_06_ERTtoEPSLoadReportbyReceiptNumber</v>
      </c>
      <c r="Q87">
        <f t="shared" si="11"/>
        <v>0</v>
      </c>
      <c r="R87">
        <f t="shared" si="12"/>
        <v>0</v>
      </c>
      <c r="S87" s="28" t="str">
        <f t="shared" si="13"/>
        <v/>
      </c>
      <c r="T87" t="str">
        <f t="shared" si="14"/>
        <v/>
      </c>
    </row>
    <row r="88" spans="1:20">
      <c r="A88" s="31"/>
      <c r="B88" s="32"/>
      <c r="C88" s="31" t="s">
        <v>141</v>
      </c>
      <c r="D88" s="31"/>
      <c r="E88" s="31"/>
      <c r="F88" s="31"/>
      <c r="G88" s="31" t="s">
        <v>53</v>
      </c>
      <c r="H88" s="32"/>
      <c r="I88" s="32"/>
      <c r="J88" s="32"/>
      <c r="K88" s="31"/>
      <c r="L88" s="31"/>
      <c r="M88" s="3" t="str">
        <f t="shared" ca="1" si="10"/>
        <v/>
      </c>
      <c r="P88" t="str">
        <f>'Combined Delivery Data'!B114</f>
        <v>RPT_06_Out of Route Meters Electric</v>
      </c>
      <c r="Q88">
        <f t="shared" si="11"/>
        <v>0</v>
      </c>
      <c r="R88">
        <f t="shared" si="12"/>
        <v>0</v>
      </c>
      <c r="S88" s="28" t="str">
        <f t="shared" si="13"/>
        <v/>
      </c>
      <c r="T88" t="str">
        <f t="shared" si="14"/>
        <v/>
      </c>
    </row>
    <row r="89" spans="1:20">
      <c r="A89" s="31"/>
      <c r="B89" s="32"/>
      <c r="C89" s="31" t="s">
        <v>141</v>
      </c>
      <c r="D89" s="31"/>
      <c r="E89" s="31"/>
      <c r="F89" s="31"/>
      <c r="G89" s="31" t="s">
        <v>53</v>
      </c>
      <c r="H89" s="32"/>
      <c r="I89" s="32"/>
      <c r="J89" s="32"/>
      <c r="K89" s="31"/>
      <c r="L89" s="31"/>
      <c r="M89" s="3" t="str">
        <f t="shared" ca="1" si="10"/>
        <v/>
      </c>
      <c r="P89" t="str">
        <f>'Combined Delivery Data'!B115</f>
        <v>RPT_06_Random Meter Sampling Testing Results</v>
      </c>
      <c r="Q89">
        <f t="shared" si="11"/>
        <v>0</v>
      </c>
      <c r="R89">
        <f t="shared" si="12"/>
        <v>0</v>
      </c>
      <c r="S89" s="28" t="str">
        <f t="shared" si="13"/>
        <v/>
      </c>
      <c r="T89" t="str">
        <f t="shared" si="14"/>
        <v/>
      </c>
    </row>
    <row r="90" spans="1:20">
      <c r="A90" s="31"/>
      <c r="B90" s="32"/>
      <c r="C90" s="31" t="s">
        <v>141</v>
      </c>
      <c r="D90" s="31"/>
      <c r="E90" s="31"/>
      <c r="F90" s="31"/>
      <c r="G90" s="31" t="s">
        <v>53</v>
      </c>
      <c r="H90" s="32"/>
      <c r="I90" s="32"/>
      <c r="J90" s="32"/>
      <c r="K90" s="31"/>
      <c r="L90" s="31"/>
      <c r="M90" s="3" t="str">
        <f t="shared" ca="1" si="10"/>
        <v/>
      </c>
      <c r="P90">
        <f>'Combined Delivery Data'!B116</f>
        <v>0</v>
      </c>
      <c r="Q90">
        <f t="shared" si="11"/>
        <v>0</v>
      </c>
      <c r="R90">
        <f t="shared" si="12"/>
        <v>468</v>
      </c>
      <c r="S90" s="28">
        <f t="shared" si="13"/>
        <v>0</v>
      </c>
      <c r="T90" t="str">
        <f t="shared" si="14"/>
        <v xml:space="preserve"> -&gt; </v>
      </c>
    </row>
    <row r="91" spans="1:20">
      <c r="A91" s="31"/>
      <c r="B91" s="32"/>
      <c r="C91" s="31" t="s">
        <v>141</v>
      </c>
      <c r="D91" s="31"/>
      <c r="E91" s="31"/>
      <c r="F91" s="31"/>
      <c r="G91" s="31" t="s">
        <v>53</v>
      </c>
      <c r="H91" s="32"/>
      <c r="I91" s="32"/>
      <c r="J91" s="32"/>
      <c r="K91" s="31"/>
      <c r="L91" s="31"/>
      <c r="M91" s="3" t="str">
        <f t="shared" ca="1" si="10"/>
        <v/>
      </c>
      <c r="P91">
        <f>'Combined Delivery Data'!B117</f>
        <v>0</v>
      </c>
      <c r="Q91">
        <f t="shared" si="11"/>
        <v>0</v>
      </c>
      <c r="R91">
        <f t="shared" si="12"/>
        <v>468</v>
      </c>
      <c r="S91" s="28">
        <f t="shared" si="13"/>
        <v>0</v>
      </c>
      <c r="T91" t="str">
        <f t="shared" si="14"/>
        <v xml:space="preserve"> -&gt; </v>
      </c>
    </row>
    <row r="92" spans="1:20">
      <c r="A92" s="31"/>
      <c r="B92" s="32"/>
      <c r="C92" s="31" t="s">
        <v>141</v>
      </c>
      <c r="D92" s="31"/>
      <c r="E92" s="31"/>
      <c r="F92" s="31"/>
      <c r="G92" s="31" t="s">
        <v>53</v>
      </c>
      <c r="H92" s="32"/>
      <c r="I92" s="32"/>
      <c r="J92" s="32"/>
      <c r="K92" s="31"/>
      <c r="L92" s="31"/>
      <c r="M92" s="3" t="str">
        <f t="shared" ca="1" si="10"/>
        <v/>
      </c>
      <c r="P92">
        <f>'Combined Delivery Data'!B118</f>
        <v>0</v>
      </c>
      <c r="Q92">
        <f t="shared" si="11"/>
        <v>0</v>
      </c>
      <c r="R92">
        <f t="shared" si="12"/>
        <v>468</v>
      </c>
      <c r="S92" s="28">
        <f t="shared" si="13"/>
        <v>0</v>
      </c>
      <c r="T92" t="str">
        <f t="shared" si="14"/>
        <v xml:space="preserve"> -&gt; </v>
      </c>
    </row>
    <row r="93" spans="1:20">
      <c r="A93" s="31"/>
      <c r="B93" s="32"/>
      <c r="C93" s="31" t="s">
        <v>141</v>
      </c>
      <c r="D93" s="31"/>
      <c r="E93" s="31"/>
      <c r="F93" s="31"/>
      <c r="G93" s="31" t="s">
        <v>53</v>
      </c>
      <c r="H93" s="32"/>
      <c r="I93" s="32"/>
      <c r="J93" s="32"/>
      <c r="K93" s="31"/>
      <c r="L93" s="31"/>
      <c r="M93" s="3" t="str">
        <f t="shared" ca="1" si="10"/>
        <v/>
      </c>
      <c r="P93">
        <f>'Combined Delivery Data'!B119</f>
        <v>0</v>
      </c>
      <c r="Q93">
        <f t="shared" si="11"/>
        <v>0</v>
      </c>
      <c r="R93">
        <f t="shared" si="12"/>
        <v>468</v>
      </c>
      <c r="S93" s="28">
        <f t="shared" si="13"/>
        <v>0</v>
      </c>
      <c r="T93" t="str">
        <f t="shared" si="14"/>
        <v xml:space="preserve"> -&gt; </v>
      </c>
    </row>
    <row r="94" spans="1:20">
      <c r="A94" s="31"/>
      <c r="B94" s="32"/>
      <c r="C94" s="31" t="s">
        <v>141</v>
      </c>
      <c r="D94" s="31"/>
      <c r="E94" s="31"/>
      <c r="F94" s="31"/>
      <c r="G94" s="31" t="s">
        <v>53</v>
      </c>
      <c r="H94" s="32"/>
      <c r="I94" s="32"/>
      <c r="J94" s="32"/>
      <c r="K94" s="31"/>
      <c r="L94" s="31"/>
      <c r="M94" s="3" t="str">
        <f t="shared" ca="1" si="10"/>
        <v/>
      </c>
      <c r="P94">
        <f>'Combined Delivery Data'!B120</f>
        <v>0</v>
      </c>
      <c r="Q94">
        <f t="shared" si="11"/>
        <v>0</v>
      </c>
      <c r="R94">
        <f t="shared" si="12"/>
        <v>468</v>
      </c>
      <c r="S94" s="28">
        <f t="shared" si="13"/>
        <v>0</v>
      </c>
      <c r="T94" t="str">
        <f t="shared" si="14"/>
        <v xml:space="preserve"> -&gt; </v>
      </c>
    </row>
    <row r="95" spans="1:20">
      <c r="A95" s="31"/>
      <c r="B95" s="32"/>
      <c r="C95" s="31" t="s">
        <v>141</v>
      </c>
      <c r="D95" s="31"/>
      <c r="E95" s="31"/>
      <c r="F95" s="31"/>
      <c r="G95" s="31" t="s">
        <v>53</v>
      </c>
      <c r="H95" s="32"/>
      <c r="I95" s="32"/>
      <c r="J95" s="32"/>
      <c r="K95" s="31"/>
      <c r="L95" s="31"/>
      <c r="M95" s="3" t="str">
        <f t="shared" ca="1" si="10"/>
        <v/>
      </c>
      <c r="P95">
        <f>'Combined Delivery Data'!B121</f>
        <v>0</v>
      </c>
      <c r="Q95">
        <f t="shared" si="11"/>
        <v>0</v>
      </c>
      <c r="R95">
        <f t="shared" si="12"/>
        <v>468</v>
      </c>
      <c r="S95" s="28">
        <f t="shared" si="13"/>
        <v>0</v>
      </c>
      <c r="T95" t="str">
        <f t="shared" si="14"/>
        <v xml:space="preserve"> -&gt; </v>
      </c>
    </row>
    <row r="96" spans="1:20">
      <c r="A96" s="31"/>
      <c r="B96" s="32"/>
      <c r="C96" s="31" t="s">
        <v>141</v>
      </c>
      <c r="D96" s="31"/>
      <c r="E96" s="31"/>
      <c r="F96" s="31"/>
      <c r="G96" s="31" t="s">
        <v>53</v>
      </c>
      <c r="H96" s="32"/>
      <c r="I96" s="32"/>
      <c r="J96" s="32"/>
      <c r="K96" s="31"/>
      <c r="L96" s="31"/>
      <c r="M96" s="3" t="str">
        <f t="shared" ca="1" si="10"/>
        <v/>
      </c>
      <c r="P96">
        <f>'Combined Delivery Data'!B122</f>
        <v>0</v>
      </c>
      <c r="Q96">
        <f t="shared" si="11"/>
        <v>0</v>
      </c>
      <c r="R96">
        <f t="shared" si="12"/>
        <v>468</v>
      </c>
      <c r="S96" s="28">
        <f t="shared" si="13"/>
        <v>0</v>
      </c>
      <c r="T96" t="str">
        <f t="shared" si="14"/>
        <v xml:space="preserve"> -&gt; </v>
      </c>
    </row>
    <row r="97" spans="1:20">
      <c r="A97" s="31"/>
      <c r="B97" s="32"/>
      <c r="C97" s="31" t="s">
        <v>141</v>
      </c>
      <c r="D97" s="31"/>
      <c r="E97" s="31"/>
      <c r="F97" s="31"/>
      <c r="G97" s="31" t="s">
        <v>53</v>
      </c>
      <c r="H97" s="32"/>
      <c r="I97" s="32"/>
      <c r="J97" s="32"/>
      <c r="K97" s="31"/>
      <c r="L97" s="31"/>
      <c r="M97" s="3" t="str">
        <f t="shared" ca="1" si="10"/>
        <v/>
      </c>
      <c r="P97">
        <f>'Combined Delivery Data'!B123</f>
        <v>0</v>
      </c>
      <c r="Q97">
        <f t="shared" si="11"/>
        <v>0</v>
      </c>
      <c r="R97">
        <f t="shared" si="12"/>
        <v>468</v>
      </c>
      <c r="S97" s="28">
        <f t="shared" si="13"/>
        <v>0</v>
      </c>
      <c r="T97" t="str">
        <f t="shared" si="14"/>
        <v xml:space="preserve"> -&gt; </v>
      </c>
    </row>
    <row r="98" spans="1:20">
      <c r="A98" s="31"/>
      <c r="B98" s="32"/>
      <c r="C98" s="31" t="s">
        <v>141</v>
      </c>
      <c r="D98" s="31"/>
      <c r="E98" s="31"/>
      <c r="F98" s="31"/>
      <c r="G98" s="31" t="s">
        <v>53</v>
      </c>
      <c r="H98" s="32"/>
      <c r="I98" s="32"/>
      <c r="J98" s="32"/>
      <c r="K98" s="31"/>
      <c r="L98" s="31"/>
      <c r="M98" s="3" t="str">
        <f t="shared" ca="1" si="10"/>
        <v/>
      </c>
      <c r="P98">
        <f>'Combined Delivery Data'!B124</f>
        <v>0</v>
      </c>
      <c r="Q98">
        <f t="shared" si="11"/>
        <v>0</v>
      </c>
      <c r="R98">
        <f t="shared" si="12"/>
        <v>468</v>
      </c>
      <c r="S98" s="28">
        <f t="shared" si="13"/>
        <v>0</v>
      </c>
      <c r="T98" t="str">
        <f t="shared" si="14"/>
        <v xml:space="preserve"> -&gt; </v>
      </c>
    </row>
    <row r="99" spans="1:20">
      <c r="A99" s="31"/>
      <c r="B99" s="32"/>
      <c r="C99" s="31" t="s">
        <v>141</v>
      </c>
      <c r="D99" s="31"/>
      <c r="E99" s="31"/>
      <c r="F99" s="31"/>
      <c r="G99" s="31" t="s">
        <v>53</v>
      </c>
      <c r="H99" s="32"/>
      <c r="I99" s="32"/>
      <c r="J99" s="32"/>
      <c r="K99" s="31"/>
      <c r="L99" s="31"/>
      <c r="M99" s="3" t="str">
        <f t="shared" ca="1" si="10"/>
        <v/>
      </c>
      <c r="P99">
        <f>'Combined Delivery Data'!B125</f>
        <v>0</v>
      </c>
      <c r="Q99">
        <f t="shared" si="11"/>
        <v>0</v>
      </c>
      <c r="R99">
        <f t="shared" si="12"/>
        <v>468</v>
      </c>
      <c r="S99" s="28">
        <f t="shared" si="13"/>
        <v>0</v>
      </c>
      <c r="T99" t="str">
        <f t="shared" si="14"/>
        <v xml:space="preserve"> -&gt; </v>
      </c>
    </row>
    <row r="100" spans="1:20">
      <c r="A100" s="31"/>
      <c r="B100" s="32"/>
      <c r="C100" s="31" t="s">
        <v>141</v>
      </c>
      <c r="D100" s="31"/>
      <c r="E100" s="31"/>
      <c r="F100" s="31"/>
      <c r="G100" s="31" t="s">
        <v>53</v>
      </c>
      <c r="H100" s="32"/>
      <c r="I100" s="32"/>
      <c r="J100" s="32"/>
      <c r="K100" s="31"/>
      <c r="L100" s="31"/>
      <c r="M100" s="3" t="str">
        <f t="shared" ca="1" si="10"/>
        <v/>
      </c>
      <c r="P100">
        <f>'Combined Delivery Data'!B126</f>
        <v>0</v>
      </c>
      <c r="Q100">
        <f t="shared" si="11"/>
        <v>0</v>
      </c>
      <c r="R100">
        <f t="shared" si="12"/>
        <v>468</v>
      </c>
      <c r="S100" s="28">
        <f t="shared" si="13"/>
        <v>0</v>
      </c>
      <c r="T100" t="str">
        <f t="shared" si="14"/>
        <v xml:space="preserve"> -&gt; </v>
      </c>
    </row>
    <row r="101" spans="1:20">
      <c r="A101" s="31"/>
      <c r="B101" s="32"/>
      <c r="C101" s="31" t="s">
        <v>141</v>
      </c>
      <c r="D101" s="31"/>
      <c r="E101" s="31"/>
      <c r="F101" s="31"/>
      <c r="G101" s="31" t="s">
        <v>53</v>
      </c>
      <c r="H101" s="32"/>
      <c r="I101" s="32"/>
      <c r="J101" s="32"/>
      <c r="K101" s="31"/>
      <c r="L101" s="31"/>
      <c r="M101" s="3" t="str">
        <f t="shared" ca="1" si="10"/>
        <v/>
      </c>
      <c r="P101">
        <f>'Combined Delivery Data'!B127</f>
        <v>0</v>
      </c>
      <c r="Q101">
        <f t="shared" si="11"/>
        <v>0</v>
      </c>
      <c r="R101">
        <f t="shared" si="12"/>
        <v>468</v>
      </c>
      <c r="S101" s="28">
        <f t="shared" si="13"/>
        <v>0</v>
      </c>
      <c r="T101" t="str">
        <f t="shared" si="14"/>
        <v xml:space="preserve"> -&gt; </v>
      </c>
    </row>
    <row r="102" spans="1:20">
      <c r="A102" s="31"/>
      <c r="B102" s="32"/>
      <c r="C102" s="31" t="s">
        <v>141</v>
      </c>
      <c r="D102" s="31"/>
      <c r="E102" s="31"/>
      <c r="F102" s="31"/>
      <c r="G102" s="31" t="s">
        <v>53</v>
      </c>
      <c r="H102" s="32"/>
      <c r="I102" s="32"/>
      <c r="J102" s="32"/>
      <c r="K102" s="31"/>
      <c r="L102" s="31"/>
      <c r="M102" s="3" t="str">
        <f t="shared" ca="1" si="10"/>
        <v/>
      </c>
      <c r="P102">
        <f>'Combined Delivery Data'!B128</f>
        <v>0</v>
      </c>
      <c r="Q102">
        <f t="shared" si="11"/>
        <v>0</v>
      </c>
      <c r="R102">
        <f t="shared" si="12"/>
        <v>468</v>
      </c>
      <c r="S102" s="28">
        <f t="shared" si="13"/>
        <v>0</v>
      </c>
      <c r="T102" t="str">
        <f t="shared" si="14"/>
        <v xml:space="preserve"> -&gt; </v>
      </c>
    </row>
    <row r="103" spans="1:20">
      <c r="A103" s="31"/>
      <c r="B103" s="32"/>
      <c r="C103" s="31" t="s">
        <v>141</v>
      </c>
      <c r="D103" s="31"/>
      <c r="E103" s="31"/>
      <c r="F103" s="31"/>
      <c r="G103" s="31" t="s">
        <v>53</v>
      </c>
      <c r="H103" s="32"/>
      <c r="I103" s="32"/>
      <c r="J103" s="32"/>
      <c r="K103" s="31"/>
      <c r="L103" s="31"/>
      <c r="M103" s="3" t="str">
        <f t="shared" ca="1" si="10"/>
        <v/>
      </c>
      <c r="P103">
        <f>'Combined Delivery Data'!B129</f>
        <v>0</v>
      </c>
      <c r="Q103">
        <f t="shared" si="11"/>
        <v>0</v>
      </c>
      <c r="R103">
        <f t="shared" si="12"/>
        <v>468</v>
      </c>
      <c r="S103" s="28">
        <f t="shared" si="13"/>
        <v>0</v>
      </c>
      <c r="T103" t="str">
        <f t="shared" si="14"/>
        <v xml:space="preserve"> -&gt; </v>
      </c>
    </row>
    <row r="104" spans="1:20">
      <c r="A104" s="31"/>
      <c r="B104" s="32"/>
      <c r="C104" s="31" t="s">
        <v>141</v>
      </c>
      <c r="D104" s="31"/>
      <c r="E104" s="31"/>
      <c r="F104" s="31"/>
      <c r="G104" s="31" t="s">
        <v>53</v>
      </c>
      <c r="H104" s="32"/>
      <c r="I104" s="32"/>
      <c r="J104" s="32"/>
      <c r="K104" s="31"/>
      <c r="L104" s="31"/>
      <c r="M104" s="3" t="str">
        <f t="shared" ca="1" si="10"/>
        <v/>
      </c>
      <c r="P104">
        <f>'Combined Delivery Data'!B130</f>
        <v>0</v>
      </c>
      <c r="Q104">
        <f t="shared" si="11"/>
        <v>0</v>
      </c>
      <c r="R104">
        <f t="shared" si="12"/>
        <v>468</v>
      </c>
      <c r="S104" s="28">
        <f t="shared" si="13"/>
        <v>0</v>
      </c>
      <c r="T104" t="str">
        <f t="shared" si="14"/>
        <v xml:space="preserve"> -&gt; </v>
      </c>
    </row>
    <row r="105" spans="1:20">
      <c r="A105" s="31"/>
      <c r="B105" s="32"/>
      <c r="C105" s="31" t="s">
        <v>141</v>
      </c>
      <c r="D105" s="31"/>
      <c r="E105" s="31"/>
      <c r="F105" s="31"/>
      <c r="G105" s="31" t="s">
        <v>53</v>
      </c>
      <c r="H105" s="32"/>
      <c r="I105" s="32"/>
      <c r="J105" s="32"/>
      <c r="K105" s="31"/>
      <c r="L105" s="31"/>
      <c r="M105" s="3" t="str">
        <f t="shared" ca="1" si="10"/>
        <v/>
      </c>
      <c r="P105">
        <f>'Combined Delivery Data'!B131</f>
        <v>0</v>
      </c>
      <c r="Q105">
        <f t="shared" si="11"/>
        <v>0</v>
      </c>
      <c r="R105">
        <f t="shared" si="12"/>
        <v>468</v>
      </c>
      <c r="S105" s="28">
        <f t="shared" si="13"/>
        <v>0</v>
      </c>
      <c r="T105" t="str">
        <f t="shared" si="14"/>
        <v xml:space="preserve"> -&gt; </v>
      </c>
    </row>
    <row r="106" spans="1:20">
      <c r="A106" s="31"/>
      <c r="B106" s="32"/>
      <c r="C106" s="31" t="s">
        <v>141</v>
      </c>
      <c r="D106" s="31"/>
      <c r="E106" s="31"/>
      <c r="F106" s="31"/>
      <c r="G106" s="31" t="s">
        <v>53</v>
      </c>
      <c r="H106" s="32"/>
      <c r="I106" s="32"/>
      <c r="J106" s="32"/>
      <c r="K106" s="31"/>
      <c r="L106" s="31"/>
      <c r="M106" s="3" t="str">
        <f t="shared" ca="1" si="10"/>
        <v/>
      </c>
      <c r="P106">
        <f>'Combined Delivery Data'!B133</f>
        <v>0</v>
      </c>
      <c r="Q106">
        <f t="shared" si="11"/>
        <v>0</v>
      </c>
      <c r="R106">
        <f t="shared" si="12"/>
        <v>468</v>
      </c>
      <c r="S106" s="28">
        <f t="shared" si="13"/>
        <v>0</v>
      </c>
      <c r="T106" t="str">
        <f t="shared" si="14"/>
        <v xml:space="preserve"> -&gt; </v>
      </c>
    </row>
    <row r="107" spans="1:20">
      <c r="A107" s="31"/>
      <c r="B107" s="32"/>
      <c r="C107" s="31" t="s">
        <v>141</v>
      </c>
      <c r="D107" s="31"/>
      <c r="E107" s="31"/>
      <c r="F107" s="31"/>
      <c r="G107" s="31" t="s">
        <v>53</v>
      </c>
      <c r="H107" s="32"/>
      <c r="I107" s="32"/>
      <c r="J107" s="32"/>
      <c r="K107" s="31"/>
      <c r="L107" s="31"/>
      <c r="M107" s="3" t="str">
        <f t="shared" ca="1" si="10"/>
        <v/>
      </c>
      <c r="P107">
        <f>'Combined Delivery Data'!B134</f>
        <v>0</v>
      </c>
      <c r="Q107">
        <f t="shared" si="11"/>
        <v>0</v>
      </c>
      <c r="R107">
        <f t="shared" si="12"/>
        <v>468</v>
      </c>
      <c r="S107" s="28">
        <f t="shared" si="13"/>
        <v>0</v>
      </c>
      <c r="T107" t="str">
        <f t="shared" si="14"/>
        <v xml:space="preserve"> -&gt; </v>
      </c>
    </row>
    <row r="108" spans="1:20">
      <c r="A108" s="31"/>
      <c r="B108" s="32"/>
      <c r="C108" s="31" t="s">
        <v>141</v>
      </c>
      <c r="D108" s="31"/>
      <c r="E108" s="31"/>
      <c r="F108" s="31"/>
      <c r="G108" s="31" t="s">
        <v>53</v>
      </c>
      <c r="H108" s="32"/>
      <c r="I108" s="32"/>
      <c r="J108" s="32"/>
      <c r="K108" s="31"/>
      <c r="L108" s="31"/>
      <c r="M108" s="3" t="str">
        <f t="shared" ca="1" si="10"/>
        <v/>
      </c>
      <c r="P108">
        <f>'Combined Delivery Data'!B135</f>
        <v>0</v>
      </c>
      <c r="Q108">
        <f t="shared" si="11"/>
        <v>0</v>
      </c>
      <c r="R108">
        <f t="shared" si="12"/>
        <v>468</v>
      </c>
      <c r="S108" s="28">
        <f t="shared" si="13"/>
        <v>0</v>
      </c>
      <c r="T108" t="str">
        <f t="shared" si="14"/>
        <v xml:space="preserve"> -&gt; </v>
      </c>
    </row>
    <row r="109" spans="1:20">
      <c r="A109" s="31"/>
      <c r="B109" s="32"/>
      <c r="C109" s="31" t="s">
        <v>141</v>
      </c>
      <c r="D109" s="31"/>
      <c r="E109" s="31"/>
      <c r="F109" s="31"/>
      <c r="G109" s="31" t="s">
        <v>53</v>
      </c>
      <c r="H109" s="32"/>
      <c r="I109" s="32"/>
      <c r="J109" s="32"/>
      <c r="K109" s="31"/>
      <c r="L109" s="31"/>
      <c r="M109" s="3" t="str">
        <f t="shared" ca="1" si="10"/>
        <v/>
      </c>
      <c r="P109">
        <f>'Combined Delivery Data'!B136</f>
        <v>0</v>
      </c>
      <c r="Q109">
        <f t="shared" si="11"/>
        <v>0</v>
      </c>
      <c r="R109">
        <f t="shared" si="12"/>
        <v>468</v>
      </c>
      <c r="S109" s="28">
        <f t="shared" si="13"/>
        <v>0</v>
      </c>
      <c r="T109" t="str">
        <f t="shared" si="14"/>
        <v xml:space="preserve"> -&gt; </v>
      </c>
    </row>
    <row r="110" spans="1:20">
      <c r="A110" s="31"/>
      <c r="B110" s="32"/>
      <c r="C110" s="31" t="s">
        <v>141</v>
      </c>
      <c r="D110" s="31"/>
      <c r="E110" s="31"/>
      <c r="F110" s="31"/>
      <c r="G110" s="31" t="s">
        <v>53</v>
      </c>
      <c r="H110" s="32"/>
      <c r="I110" s="32"/>
      <c r="J110" s="32"/>
      <c r="K110" s="31"/>
      <c r="L110" s="31"/>
      <c r="M110" s="3" t="str">
        <f t="shared" ca="1" si="10"/>
        <v/>
      </c>
      <c r="P110">
        <f>'Combined Delivery Data'!B137</f>
        <v>0</v>
      </c>
      <c r="Q110">
        <f t="shared" si="11"/>
        <v>0</v>
      </c>
      <c r="R110">
        <f t="shared" si="12"/>
        <v>468</v>
      </c>
      <c r="S110" s="28">
        <f t="shared" si="13"/>
        <v>0</v>
      </c>
      <c r="T110" t="str">
        <f t="shared" si="14"/>
        <v xml:space="preserve"> -&gt; </v>
      </c>
    </row>
    <row r="111" spans="1:20">
      <c r="A111" s="31"/>
      <c r="B111" s="32"/>
      <c r="C111" s="31" t="s">
        <v>141</v>
      </c>
      <c r="D111" s="31"/>
      <c r="E111" s="31"/>
      <c r="F111" s="31"/>
      <c r="G111" s="31" t="s">
        <v>53</v>
      </c>
      <c r="H111" s="32"/>
      <c r="I111" s="32"/>
      <c r="J111" s="32"/>
      <c r="K111" s="31"/>
      <c r="L111" s="31"/>
      <c r="M111" s="3" t="str">
        <f t="shared" ca="1" si="10"/>
        <v/>
      </c>
      <c r="P111">
        <f>'Combined Delivery Data'!B138</f>
        <v>0</v>
      </c>
      <c r="Q111">
        <f t="shared" si="11"/>
        <v>0</v>
      </c>
      <c r="R111">
        <f t="shared" si="12"/>
        <v>468</v>
      </c>
      <c r="S111" s="28">
        <f t="shared" si="13"/>
        <v>0</v>
      </c>
      <c r="T111" t="str">
        <f t="shared" si="14"/>
        <v xml:space="preserve"> -&gt; </v>
      </c>
    </row>
    <row r="112" spans="1:20">
      <c r="A112" s="31"/>
      <c r="B112" s="32"/>
      <c r="C112" s="31" t="s">
        <v>141</v>
      </c>
      <c r="D112" s="31"/>
      <c r="E112" s="31"/>
      <c r="F112" s="31"/>
      <c r="G112" s="31" t="s">
        <v>53</v>
      </c>
      <c r="H112" s="32"/>
      <c r="I112" s="32"/>
      <c r="J112" s="32"/>
      <c r="K112" s="31"/>
      <c r="L112" s="31"/>
      <c r="M112" s="3" t="str">
        <f t="shared" ca="1" si="10"/>
        <v/>
      </c>
      <c r="P112">
        <f>'Combined Delivery Data'!B139</f>
        <v>0</v>
      </c>
      <c r="Q112">
        <f t="shared" si="11"/>
        <v>0</v>
      </c>
      <c r="R112">
        <f t="shared" si="12"/>
        <v>468</v>
      </c>
      <c r="S112" s="28">
        <f t="shared" si="13"/>
        <v>0</v>
      </c>
      <c r="T112" t="str">
        <f t="shared" si="14"/>
        <v xml:space="preserve"> -&gt; </v>
      </c>
    </row>
    <row r="113" spans="1:20">
      <c r="A113" s="31"/>
      <c r="B113" s="32"/>
      <c r="C113" s="31" t="s">
        <v>141</v>
      </c>
      <c r="D113" s="31"/>
      <c r="E113" s="31"/>
      <c r="F113" s="31"/>
      <c r="G113" s="31" t="s">
        <v>53</v>
      </c>
      <c r="H113" s="32"/>
      <c r="I113" s="32"/>
      <c r="J113" s="32"/>
      <c r="K113" s="31"/>
      <c r="L113" s="31"/>
      <c r="M113" s="3" t="str">
        <f t="shared" ca="1" si="10"/>
        <v/>
      </c>
      <c r="P113">
        <f>'Combined Delivery Data'!B140</f>
        <v>0</v>
      </c>
      <c r="Q113">
        <f t="shared" si="11"/>
        <v>0</v>
      </c>
      <c r="R113">
        <f t="shared" si="12"/>
        <v>468</v>
      </c>
      <c r="S113" s="28">
        <f t="shared" si="13"/>
        <v>0</v>
      </c>
      <c r="T113" t="str">
        <f t="shared" si="14"/>
        <v xml:space="preserve"> -&gt; </v>
      </c>
    </row>
    <row r="114" spans="1:20">
      <c r="A114" s="31"/>
      <c r="B114" s="32"/>
      <c r="C114" s="31" t="s">
        <v>141</v>
      </c>
      <c r="D114" s="31"/>
      <c r="E114" s="31"/>
      <c r="F114" s="31"/>
      <c r="G114" s="31" t="s">
        <v>53</v>
      </c>
      <c r="H114" s="32"/>
      <c r="I114" s="32"/>
      <c r="J114" s="32"/>
      <c r="K114" s="31"/>
      <c r="L114" s="31"/>
      <c r="M114" s="3" t="str">
        <f t="shared" ca="1" si="10"/>
        <v/>
      </c>
      <c r="P114">
        <f>'Combined Delivery Data'!B141</f>
        <v>0</v>
      </c>
      <c r="Q114">
        <f t="shared" si="11"/>
        <v>0</v>
      </c>
      <c r="R114">
        <f t="shared" si="12"/>
        <v>468</v>
      </c>
      <c r="S114" s="28">
        <f t="shared" si="13"/>
        <v>0</v>
      </c>
      <c r="T114" t="str">
        <f t="shared" si="14"/>
        <v xml:space="preserve"> -&gt; </v>
      </c>
    </row>
    <row r="115" spans="1:20">
      <c r="A115" s="31"/>
      <c r="B115" s="32"/>
      <c r="C115" s="31" t="s">
        <v>141</v>
      </c>
      <c r="D115" s="31"/>
      <c r="E115" s="31"/>
      <c r="F115" s="31"/>
      <c r="G115" s="31" t="s">
        <v>53</v>
      </c>
      <c r="H115" s="32"/>
      <c r="I115" s="32"/>
      <c r="J115" s="32"/>
      <c r="K115" s="31"/>
      <c r="L115" s="31"/>
      <c r="M115" s="3" t="str">
        <f t="shared" ca="1" si="10"/>
        <v/>
      </c>
      <c r="P115">
        <f>'Combined Delivery Data'!B142</f>
        <v>0</v>
      </c>
      <c r="Q115">
        <f t="shared" si="11"/>
        <v>0</v>
      </c>
      <c r="R115">
        <f t="shared" si="12"/>
        <v>468</v>
      </c>
      <c r="S115" s="28">
        <f t="shared" si="13"/>
        <v>0</v>
      </c>
      <c r="T115" t="str">
        <f t="shared" si="14"/>
        <v xml:space="preserve"> -&gt; </v>
      </c>
    </row>
    <row r="116" spans="1:20">
      <c r="A116" s="31"/>
      <c r="B116" s="32"/>
      <c r="C116" s="31" t="s">
        <v>141</v>
      </c>
      <c r="D116" s="31"/>
      <c r="E116" s="31"/>
      <c r="F116" s="31"/>
      <c r="G116" s="31" t="s">
        <v>53</v>
      </c>
      <c r="H116" s="32"/>
      <c r="I116" s="32"/>
      <c r="J116" s="32"/>
      <c r="K116" s="31"/>
      <c r="L116" s="31"/>
      <c r="M116" s="3" t="str">
        <f t="shared" ca="1" si="10"/>
        <v/>
      </c>
      <c r="P116">
        <f>'Combined Delivery Data'!B143</f>
        <v>0</v>
      </c>
      <c r="Q116">
        <f t="shared" si="11"/>
        <v>0</v>
      </c>
      <c r="R116">
        <f t="shared" si="12"/>
        <v>468</v>
      </c>
      <c r="S116" s="28">
        <f t="shared" si="13"/>
        <v>0</v>
      </c>
      <c r="T116" t="str">
        <f t="shared" si="14"/>
        <v xml:space="preserve"> -&gt; </v>
      </c>
    </row>
    <row r="117" spans="1:20">
      <c r="A117" s="31"/>
      <c r="B117" s="32"/>
      <c r="C117" s="31" t="s">
        <v>141</v>
      </c>
      <c r="D117" s="31"/>
      <c r="E117" s="31"/>
      <c r="F117" s="31"/>
      <c r="G117" s="31" t="s">
        <v>53</v>
      </c>
      <c r="H117" s="32"/>
      <c r="I117" s="32"/>
      <c r="J117" s="32"/>
      <c r="K117" s="31"/>
      <c r="L117" s="31"/>
      <c r="M117" s="3" t="str">
        <f t="shared" ca="1" si="10"/>
        <v/>
      </c>
      <c r="P117">
        <f>'Combined Delivery Data'!B144</f>
        <v>0</v>
      </c>
      <c r="Q117">
        <f t="shared" si="11"/>
        <v>0</v>
      </c>
      <c r="R117">
        <f t="shared" si="12"/>
        <v>468</v>
      </c>
      <c r="S117" s="28">
        <f t="shared" si="13"/>
        <v>0</v>
      </c>
      <c r="T117" t="str">
        <f t="shared" si="14"/>
        <v xml:space="preserve"> -&gt; </v>
      </c>
    </row>
    <row r="118" spans="1:20">
      <c r="A118" s="31"/>
      <c r="B118" s="32"/>
      <c r="C118" s="31" t="s">
        <v>141</v>
      </c>
      <c r="D118" s="31"/>
      <c r="E118" s="31"/>
      <c r="F118" s="31"/>
      <c r="G118" s="31" t="s">
        <v>53</v>
      </c>
      <c r="H118" s="32"/>
      <c r="I118" s="32"/>
      <c r="J118" s="32"/>
      <c r="K118" s="31"/>
      <c r="L118" s="31"/>
      <c r="M118" s="3" t="str">
        <f t="shared" ca="1" si="10"/>
        <v/>
      </c>
      <c r="P118">
        <f>'Combined Delivery Data'!B145</f>
        <v>0</v>
      </c>
      <c r="Q118">
        <f t="shared" si="11"/>
        <v>0</v>
      </c>
      <c r="R118">
        <f t="shared" si="12"/>
        <v>468</v>
      </c>
      <c r="S118" s="28">
        <f t="shared" si="13"/>
        <v>0</v>
      </c>
      <c r="T118" t="str">
        <f t="shared" si="14"/>
        <v xml:space="preserve"> -&gt; </v>
      </c>
    </row>
    <row r="119" spans="1:20">
      <c r="A119" s="31"/>
      <c r="B119" s="32"/>
      <c r="C119" s="31" t="s">
        <v>141</v>
      </c>
      <c r="D119" s="31"/>
      <c r="E119" s="31"/>
      <c r="F119" s="31"/>
      <c r="G119" s="31" t="s">
        <v>53</v>
      </c>
      <c r="H119" s="32"/>
      <c r="I119" s="32"/>
      <c r="J119" s="32"/>
      <c r="K119" s="31"/>
      <c r="L119" s="31"/>
      <c r="M119" s="3" t="str">
        <f t="shared" ca="1" si="10"/>
        <v/>
      </c>
      <c r="P119">
        <f>'Combined Delivery Data'!B146</f>
        <v>0</v>
      </c>
      <c r="Q119">
        <f t="shared" si="11"/>
        <v>0</v>
      </c>
      <c r="R119">
        <f t="shared" si="12"/>
        <v>468</v>
      </c>
      <c r="S119" s="28">
        <f t="shared" si="13"/>
        <v>0</v>
      </c>
      <c r="T119" t="str">
        <f t="shared" si="14"/>
        <v xml:space="preserve"> -&gt; </v>
      </c>
    </row>
    <row r="120" spans="1:20">
      <c r="A120" s="31"/>
      <c r="B120" s="32"/>
      <c r="C120" s="31" t="s">
        <v>141</v>
      </c>
      <c r="D120" s="31"/>
      <c r="E120" s="31"/>
      <c r="F120" s="31"/>
      <c r="G120" s="31" t="s">
        <v>53</v>
      </c>
      <c r="H120" s="32"/>
      <c r="I120" s="32"/>
      <c r="J120" s="32"/>
      <c r="K120" s="31"/>
      <c r="L120" s="31"/>
      <c r="M120" s="3" t="str">
        <f t="shared" ca="1" si="10"/>
        <v/>
      </c>
      <c r="P120">
        <f>'Combined Delivery Data'!B147</f>
        <v>0</v>
      </c>
      <c r="Q120">
        <f t="shared" si="11"/>
        <v>0</v>
      </c>
      <c r="R120">
        <f t="shared" si="12"/>
        <v>468</v>
      </c>
      <c r="S120" s="28">
        <f t="shared" si="13"/>
        <v>0</v>
      </c>
      <c r="T120" t="str">
        <f t="shared" si="14"/>
        <v xml:space="preserve"> -&gt; </v>
      </c>
    </row>
    <row r="121" spans="1:20">
      <c r="A121" s="31"/>
      <c r="B121" s="32"/>
      <c r="C121" s="31" t="s">
        <v>141</v>
      </c>
      <c r="D121" s="31"/>
      <c r="E121" s="31"/>
      <c r="F121" s="31"/>
      <c r="G121" s="31" t="s">
        <v>53</v>
      </c>
      <c r="H121" s="32"/>
      <c r="I121" s="32"/>
      <c r="J121" s="32"/>
      <c r="K121" s="31"/>
      <c r="L121" s="31"/>
      <c r="M121" s="3" t="str">
        <f t="shared" ca="1" si="10"/>
        <v/>
      </c>
      <c r="P121">
        <f>'Combined Delivery Data'!B148</f>
        <v>0</v>
      </c>
      <c r="Q121">
        <f t="shared" si="11"/>
        <v>0</v>
      </c>
      <c r="R121">
        <f t="shared" si="12"/>
        <v>468</v>
      </c>
      <c r="S121" s="28">
        <f t="shared" si="13"/>
        <v>0</v>
      </c>
      <c r="T121" t="str">
        <f t="shared" si="14"/>
        <v xml:space="preserve"> -&gt; </v>
      </c>
    </row>
    <row r="122" spans="1:20">
      <c r="A122" s="31"/>
      <c r="B122" s="32"/>
      <c r="C122" s="31" t="s">
        <v>141</v>
      </c>
      <c r="D122" s="31"/>
      <c r="E122" s="31"/>
      <c r="F122" s="31"/>
      <c r="G122" s="31" t="s">
        <v>53</v>
      </c>
      <c r="H122" s="32"/>
      <c r="I122" s="32"/>
      <c r="J122" s="32"/>
      <c r="K122" s="31"/>
      <c r="L122" s="31"/>
      <c r="M122" s="3" t="str">
        <f t="shared" ca="1" si="10"/>
        <v/>
      </c>
      <c r="P122">
        <f>'Combined Delivery Data'!B149</f>
        <v>0</v>
      </c>
      <c r="Q122">
        <f t="shared" si="11"/>
        <v>0</v>
      </c>
      <c r="R122">
        <f t="shared" si="12"/>
        <v>468</v>
      </c>
      <c r="S122" s="28">
        <f t="shared" si="13"/>
        <v>0</v>
      </c>
      <c r="T122" t="str">
        <f t="shared" si="14"/>
        <v xml:space="preserve"> -&gt; </v>
      </c>
    </row>
    <row r="123" spans="1:20">
      <c r="A123" s="31"/>
      <c r="B123" s="32"/>
      <c r="C123" s="31" t="s">
        <v>141</v>
      </c>
      <c r="D123" s="31"/>
      <c r="E123" s="31"/>
      <c r="F123" s="31"/>
      <c r="G123" s="31" t="s">
        <v>53</v>
      </c>
      <c r="H123" s="32"/>
      <c r="I123" s="32"/>
      <c r="J123" s="32"/>
      <c r="K123" s="31"/>
      <c r="L123" s="31"/>
      <c r="M123" s="3" t="str">
        <f t="shared" ca="1" si="10"/>
        <v/>
      </c>
      <c r="P123">
        <f>'Combined Delivery Data'!B150</f>
        <v>0</v>
      </c>
      <c r="Q123">
        <f t="shared" si="11"/>
        <v>0</v>
      </c>
      <c r="R123">
        <f t="shared" si="12"/>
        <v>468</v>
      </c>
      <c r="S123" s="28">
        <f t="shared" si="13"/>
        <v>0</v>
      </c>
      <c r="T123" t="str">
        <f t="shared" si="14"/>
        <v xml:space="preserve"> -&gt; </v>
      </c>
    </row>
    <row r="124" spans="1:20">
      <c r="A124" s="31"/>
      <c r="B124" s="32"/>
      <c r="C124" s="31" t="s">
        <v>141</v>
      </c>
      <c r="D124" s="31"/>
      <c r="E124" s="31"/>
      <c r="F124" s="31"/>
      <c r="G124" s="31" t="s">
        <v>53</v>
      </c>
      <c r="H124" s="32"/>
      <c r="I124" s="32"/>
      <c r="J124" s="32"/>
      <c r="K124" s="31"/>
      <c r="L124" s="31"/>
      <c r="M124" s="3" t="str">
        <f t="shared" ca="1" si="10"/>
        <v/>
      </c>
      <c r="P124">
        <f>'Combined Delivery Data'!B151</f>
        <v>0</v>
      </c>
      <c r="Q124">
        <f t="shared" si="11"/>
        <v>0</v>
      </c>
      <c r="R124">
        <f t="shared" si="12"/>
        <v>468</v>
      </c>
      <c r="S124" s="28">
        <f t="shared" si="13"/>
        <v>0</v>
      </c>
      <c r="T124" t="str">
        <f t="shared" si="14"/>
        <v xml:space="preserve"> -&gt; </v>
      </c>
    </row>
    <row r="125" spans="1:20">
      <c r="A125" s="31"/>
      <c r="B125" s="32"/>
      <c r="C125" s="31" t="s">
        <v>141</v>
      </c>
      <c r="D125" s="31"/>
      <c r="E125" s="31"/>
      <c r="F125" s="31"/>
      <c r="G125" s="31" t="s">
        <v>53</v>
      </c>
      <c r="H125" s="32"/>
      <c r="I125" s="32"/>
      <c r="J125" s="32"/>
      <c r="K125" s="31"/>
      <c r="L125" s="31"/>
      <c r="M125" s="3" t="str">
        <f t="shared" ca="1" si="10"/>
        <v/>
      </c>
      <c r="P125">
        <f>'Combined Delivery Data'!B152</f>
        <v>0</v>
      </c>
      <c r="Q125">
        <f t="shared" si="11"/>
        <v>0</v>
      </c>
      <c r="R125">
        <f t="shared" si="12"/>
        <v>468</v>
      </c>
      <c r="S125" s="28">
        <f t="shared" si="13"/>
        <v>0</v>
      </c>
      <c r="T125" t="str">
        <f t="shared" si="14"/>
        <v xml:space="preserve"> -&gt; </v>
      </c>
    </row>
    <row r="126" spans="1:20">
      <c r="A126" s="31"/>
      <c r="B126" s="32"/>
      <c r="C126" s="31" t="s">
        <v>141</v>
      </c>
      <c r="D126" s="31"/>
      <c r="E126" s="31"/>
      <c r="F126" s="31"/>
      <c r="G126" s="31" t="s">
        <v>53</v>
      </c>
      <c r="H126" s="32"/>
      <c r="I126" s="32"/>
      <c r="J126" s="32"/>
      <c r="K126" s="31"/>
      <c r="L126" s="31"/>
      <c r="M126" s="3" t="str">
        <f t="shared" ca="1" si="10"/>
        <v/>
      </c>
      <c r="P126">
        <f>'Combined Delivery Data'!B153</f>
        <v>0</v>
      </c>
      <c r="Q126">
        <f t="shared" si="11"/>
        <v>0</v>
      </c>
      <c r="R126">
        <f t="shared" si="12"/>
        <v>468</v>
      </c>
      <c r="S126" s="28">
        <f t="shared" si="13"/>
        <v>0</v>
      </c>
      <c r="T126" t="str">
        <f t="shared" si="14"/>
        <v xml:space="preserve"> -&gt; </v>
      </c>
    </row>
    <row r="127" spans="1:20">
      <c r="A127" s="31"/>
      <c r="B127" s="32"/>
      <c r="C127" s="31" t="s">
        <v>141</v>
      </c>
      <c r="D127" s="31"/>
      <c r="E127" s="31"/>
      <c r="F127" s="31"/>
      <c r="G127" s="31" t="s">
        <v>53</v>
      </c>
      <c r="H127" s="32"/>
      <c r="I127" s="32"/>
      <c r="J127" s="32"/>
      <c r="K127" s="31"/>
      <c r="L127" s="31"/>
      <c r="M127" s="3" t="str">
        <f t="shared" ca="1" si="10"/>
        <v/>
      </c>
      <c r="P127">
        <f>'Combined Delivery Data'!B154</f>
        <v>0</v>
      </c>
      <c r="Q127">
        <f t="shared" si="11"/>
        <v>0</v>
      </c>
      <c r="R127">
        <f t="shared" si="12"/>
        <v>468</v>
      </c>
      <c r="S127" s="28">
        <f t="shared" si="13"/>
        <v>0</v>
      </c>
      <c r="T127" t="str">
        <f t="shared" si="14"/>
        <v xml:space="preserve"> -&gt; </v>
      </c>
    </row>
    <row r="128" spans="1:20">
      <c r="A128" s="31"/>
      <c r="B128" s="32"/>
      <c r="C128" s="31" t="s">
        <v>141</v>
      </c>
      <c r="D128" s="31"/>
      <c r="E128" s="31"/>
      <c r="F128" s="31"/>
      <c r="G128" s="31" t="s">
        <v>53</v>
      </c>
      <c r="H128" s="32"/>
      <c r="I128" s="32"/>
      <c r="J128" s="32"/>
      <c r="K128" s="31"/>
      <c r="L128" s="31"/>
      <c r="M128" s="3" t="str">
        <f t="shared" ca="1" si="10"/>
        <v/>
      </c>
      <c r="P128">
        <f>'Combined Delivery Data'!B155</f>
        <v>0</v>
      </c>
      <c r="Q128">
        <f t="shared" si="11"/>
        <v>0</v>
      </c>
      <c r="R128">
        <f t="shared" si="12"/>
        <v>468</v>
      </c>
      <c r="S128" s="28">
        <f t="shared" si="13"/>
        <v>0</v>
      </c>
      <c r="T128" t="str">
        <f t="shared" si="14"/>
        <v xml:space="preserve"> -&gt; </v>
      </c>
    </row>
    <row r="129" spans="1:20">
      <c r="A129" s="31"/>
      <c r="B129" s="32"/>
      <c r="C129" s="31" t="s">
        <v>141</v>
      </c>
      <c r="D129" s="31"/>
      <c r="E129" s="31"/>
      <c r="F129" s="31"/>
      <c r="G129" s="31" t="s">
        <v>53</v>
      </c>
      <c r="H129" s="32"/>
      <c r="I129" s="32"/>
      <c r="J129" s="32"/>
      <c r="K129" s="31"/>
      <c r="L129" s="31"/>
      <c r="M129" s="3" t="str">
        <f t="shared" ca="1" si="10"/>
        <v/>
      </c>
      <c r="P129">
        <f>'Combined Delivery Data'!B156</f>
        <v>0</v>
      </c>
      <c r="Q129">
        <f t="shared" si="11"/>
        <v>0</v>
      </c>
      <c r="R129">
        <f t="shared" si="12"/>
        <v>468</v>
      </c>
      <c r="S129" s="28">
        <f t="shared" si="13"/>
        <v>0</v>
      </c>
      <c r="T129" t="str">
        <f t="shared" si="14"/>
        <v xml:space="preserve"> -&gt; </v>
      </c>
    </row>
    <row r="130" spans="1:20">
      <c r="A130" s="31"/>
      <c r="B130" s="32"/>
      <c r="C130" s="31" t="s">
        <v>141</v>
      </c>
      <c r="D130" s="31"/>
      <c r="E130" s="31"/>
      <c r="F130" s="31"/>
      <c r="G130" s="31" t="s">
        <v>53</v>
      </c>
      <c r="H130" s="32"/>
      <c r="I130" s="32"/>
      <c r="J130" s="32"/>
      <c r="K130" s="31"/>
      <c r="L130" s="31"/>
      <c r="M130" s="3" t="str">
        <f t="shared" ref="M130:M193" ca="1" si="15">IF($A130="","",IF($G130="Did not pass re-test","Sent back again",IF(NOT(ISNUMBER($B130)),"Missing sent-back date",IF(ISNUMBER($J130),"Fixed in "&amp;($J130-$B130)&amp;" d",IF($I130="","UNCLAIMED "&amp;(TODAY()-$B130)&amp;" d",IF(TODAY()&gt;$I130,(TODAY()-$I130)&amp;" d LATE","Open "&amp;(TODAY()-$B130)&amp;" d"))))))</f>
        <v/>
      </c>
      <c r="P130">
        <f>'Combined Delivery Data'!B157</f>
        <v>0</v>
      </c>
      <c r="Q130">
        <f t="shared" si="11"/>
        <v>0</v>
      </c>
      <c r="R130">
        <f t="shared" si="12"/>
        <v>468</v>
      </c>
      <c r="S130" s="28">
        <f t="shared" si="13"/>
        <v>0</v>
      </c>
      <c r="T130" t="str">
        <f t="shared" si="14"/>
        <v xml:space="preserve"> -&gt; </v>
      </c>
    </row>
    <row r="131" spans="1:20">
      <c r="A131" s="31"/>
      <c r="B131" s="32"/>
      <c r="C131" s="31" t="s">
        <v>141</v>
      </c>
      <c r="D131" s="31"/>
      <c r="E131" s="31"/>
      <c r="F131" s="31"/>
      <c r="G131" s="31" t="s">
        <v>53</v>
      </c>
      <c r="H131" s="32"/>
      <c r="I131" s="32"/>
      <c r="J131" s="32"/>
      <c r="K131" s="31"/>
      <c r="L131" s="31"/>
      <c r="M131" s="3" t="str">
        <f t="shared" ca="1" si="15"/>
        <v/>
      </c>
      <c r="P131">
        <f>'Combined Delivery Data'!B158</f>
        <v>0</v>
      </c>
      <c r="Q131">
        <f t="shared" si="11"/>
        <v>0</v>
      </c>
      <c r="R131">
        <f t="shared" si="12"/>
        <v>468</v>
      </c>
      <c r="S131" s="28">
        <f t="shared" si="13"/>
        <v>0</v>
      </c>
      <c r="T131" t="str">
        <f t="shared" si="14"/>
        <v xml:space="preserve"> -&gt; </v>
      </c>
    </row>
    <row r="132" spans="1:20">
      <c r="A132" s="31"/>
      <c r="B132" s="32"/>
      <c r="C132" s="31" t="s">
        <v>141</v>
      </c>
      <c r="D132" s="31"/>
      <c r="E132" s="31"/>
      <c r="F132" s="31"/>
      <c r="G132" s="31" t="s">
        <v>53</v>
      </c>
      <c r="H132" s="32"/>
      <c r="I132" s="32"/>
      <c r="J132" s="32"/>
      <c r="K132" s="31"/>
      <c r="L132" s="31"/>
      <c r="M132" s="3" t="str">
        <f t="shared" ca="1" si="15"/>
        <v/>
      </c>
      <c r="P132">
        <f>'Combined Delivery Data'!B159</f>
        <v>0</v>
      </c>
      <c r="Q132">
        <f t="shared" si="11"/>
        <v>0</v>
      </c>
      <c r="R132">
        <f t="shared" si="12"/>
        <v>468</v>
      </c>
      <c r="S132" s="28">
        <f t="shared" si="13"/>
        <v>0</v>
      </c>
      <c r="T132" t="str">
        <f t="shared" si="14"/>
        <v xml:space="preserve"> -&gt; </v>
      </c>
    </row>
    <row r="133" spans="1:20">
      <c r="A133" s="31"/>
      <c r="B133" s="32"/>
      <c r="C133" s="31" t="s">
        <v>141</v>
      </c>
      <c r="D133" s="31"/>
      <c r="E133" s="31"/>
      <c r="F133" s="31"/>
      <c r="G133" s="31" t="s">
        <v>53</v>
      </c>
      <c r="H133" s="32"/>
      <c r="I133" s="32"/>
      <c r="J133" s="32"/>
      <c r="K133" s="31"/>
      <c r="L133" s="31"/>
      <c r="M133" s="3" t="str">
        <f t="shared" ca="1" si="15"/>
        <v/>
      </c>
      <c r="P133">
        <f>'Combined Delivery Data'!B160</f>
        <v>0</v>
      </c>
      <c r="Q133">
        <f t="shared" si="11"/>
        <v>0</v>
      </c>
      <c r="R133">
        <f t="shared" si="12"/>
        <v>468</v>
      </c>
      <c r="S133" s="28">
        <f t="shared" si="13"/>
        <v>0</v>
      </c>
      <c r="T133" t="str">
        <f t="shared" si="14"/>
        <v xml:space="preserve"> -&gt; </v>
      </c>
    </row>
    <row r="134" spans="1:20">
      <c r="A134" s="31"/>
      <c r="B134" s="32"/>
      <c r="C134" s="31" t="s">
        <v>141</v>
      </c>
      <c r="D134" s="31"/>
      <c r="E134" s="31"/>
      <c r="F134" s="31"/>
      <c r="G134" s="31" t="s">
        <v>53</v>
      </c>
      <c r="H134" s="32"/>
      <c r="I134" s="32"/>
      <c r="J134" s="32"/>
      <c r="K134" s="31"/>
      <c r="L134" s="31"/>
      <c r="M134" s="3" t="str">
        <f t="shared" ca="1" si="15"/>
        <v/>
      </c>
      <c r="P134">
        <f>'Combined Delivery Data'!B161</f>
        <v>0</v>
      </c>
      <c r="Q134">
        <f t="shared" si="11"/>
        <v>0</v>
      </c>
      <c r="R134">
        <f t="shared" si="12"/>
        <v>468</v>
      </c>
      <c r="S134" s="28">
        <f t="shared" si="13"/>
        <v>0</v>
      </c>
      <c r="T134" t="str">
        <f t="shared" si="14"/>
        <v xml:space="preserve"> -&gt; </v>
      </c>
    </row>
    <row r="135" spans="1:20">
      <c r="A135" s="31"/>
      <c r="B135" s="32"/>
      <c r="C135" s="31" t="s">
        <v>141</v>
      </c>
      <c r="D135" s="31"/>
      <c r="E135" s="31"/>
      <c r="F135" s="31"/>
      <c r="G135" s="31" t="s">
        <v>53</v>
      </c>
      <c r="H135" s="32"/>
      <c r="I135" s="32"/>
      <c r="J135" s="32"/>
      <c r="K135" s="31"/>
      <c r="L135" s="31"/>
      <c r="M135" s="3" t="str">
        <f t="shared" ca="1" si="15"/>
        <v/>
      </c>
      <c r="P135">
        <f>'Combined Delivery Data'!B162</f>
        <v>0</v>
      </c>
      <c r="Q135">
        <f t="shared" si="11"/>
        <v>0</v>
      </c>
      <c r="R135">
        <f t="shared" si="12"/>
        <v>468</v>
      </c>
      <c r="S135" s="28">
        <f t="shared" si="13"/>
        <v>0</v>
      </c>
      <c r="T135" t="str">
        <f t="shared" si="14"/>
        <v xml:space="preserve"> -&gt; </v>
      </c>
    </row>
    <row r="136" spans="1:20">
      <c r="A136" s="31"/>
      <c r="B136" s="32"/>
      <c r="C136" s="31" t="s">
        <v>141</v>
      </c>
      <c r="D136" s="31"/>
      <c r="E136" s="31"/>
      <c r="F136" s="31"/>
      <c r="G136" s="31" t="s">
        <v>53</v>
      </c>
      <c r="H136" s="32"/>
      <c r="I136" s="32"/>
      <c r="J136" s="32"/>
      <c r="K136" s="31"/>
      <c r="L136" s="31"/>
      <c r="M136" s="3" t="str">
        <f t="shared" ca="1" si="15"/>
        <v/>
      </c>
      <c r="P136">
        <f>'Combined Delivery Data'!B163</f>
        <v>0</v>
      </c>
      <c r="Q136">
        <f t="shared" si="11"/>
        <v>0</v>
      </c>
      <c r="R136">
        <f t="shared" si="12"/>
        <v>468</v>
      </c>
      <c r="S136" s="28">
        <f t="shared" si="13"/>
        <v>0</v>
      </c>
      <c r="T136" t="str">
        <f t="shared" si="14"/>
        <v xml:space="preserve"> -&gt; </v>
      </c>
    </row>
    <row r="137" spans="1:20">
      <c r="A137" s="31"/>
      <c r="B137" s="32"/>
      <c r="C137" s="31" t="s">
        <v>141</v>
      </c>
      <c r="D137" s="31"/>
      <c r="E137" s="31"/>
      <c r="F137" s="31"/>
      <c r="G137" s="31" t="s">
        <v>53</v>
      </c>
      <c r="H137" s="32"/>
      <c r="I137" s="32"/>
      <c r="J137" s="32"/>
      <c r="K137" s="31"/>
      <c r="L137" s="31"/>
      <c r="M137" s="3" t="str">
        <f t="shared" ca="1" si="15"/>
        <v/>
      </c>
      <c r="P137">
        <f>'Combined Delivery Data'!B164</f>
        <v>0</v>
      </c>
      <c r="Q137">
        <f t="shared" si="11"/>
        <v>0</v>
      </c>
      <c r="R137">
        <f t="shared" si="12"/>
        <v>468</v>
      </c>
      <c r="S137" s="28">
        <f t="shared" si="13"/>
        <v>0</v>
      </c>
      <c r="T137" t="str">
        <f t="shared" si="14"/>
        <v xml:space="preserve"> -&gt; </v>
      </c>
    </row>
    <row r="138" spans="1:20">
      <c r="A138" s="31"/>
      <c r="B138" s="32"/>
      <c r="C138" s="31" t="s">
        <v>141</v>
      </c>
      <c r="D138" s="31"/>
      <c r="E138" s="31"/>
      <c r="F138" s="31"/>
      <c r="G138" s="31" t="s">
        <v>53</v>
      </c>
      <c r="H138" s="32"/>
      <c r="I138" s="32"/>
      <c r="J138" s="32"/>
      <c r="K138" s="31"/>
      <c r="L138" s="31"/>
      <c r="M138" s="3" t="str">
        <f t="shared" ca="1" si="15"/>
        <v/>
      </c>
      <c r="P138">
        <f>'Combined Delivery Data'!B165</f>
        <v>0</v>
      </c>
      <c r="Q138">
        <f t="shared" si="11"/>
        <v>0</v>
      </c>
      <c r="R138">
        <f t="shared" si="12"/>
        <v>468</v>
      </c>
      <c r="S138" s="28">
        <f t="shared" si="13"/>
        <v>0</v>
      </c>
      <c r="T138" t="str">
        <f t="shared" si="14"/>
        <v xml:space="preserve"> -&gt; </v>
      </c>
    </row>
    <row r="139" spans="1:20">
      <c r="A139" s="31"/>
      <c r="B139" s="32"/>
      <c r="C139" s="31" t="s">
        <v>141</v>
      </c>
      <c r="D139" s="31"/>
      <c r="E139" s="31"/>
      <c r="F139" s="31"/>
      <c r="G139" s="31" t="s">
        <v>53</v>
      </c>
      <c r="H139" s="32"/>
      <c r="I139" s="32"/>
      <c r="J139" s="32"/>
      <c r="K139" s="31"/>
      <c r="L139" s="31"/>
      <c r="M139" s="3" t="str">
        <f t="shared" ca="1" si="15"/>
        <v/>
      </c>
      <c r="P139">
        <f>'Combined Delivery Data'!B166</f>
        <v>0</v>
      </c>
      <c r="Q139">
        <f t="shared" si="11"/>
        <v>0</v>
      </c>
      <c r="R139">
        <f t="shared" si="12"/>
        <v>468</v>
      </c>
      <c r="S139" s="28">
        <f t="shared" si="13"/>
        <v>0</v>
      </c>
      <c r="T139" t="str">
        <f t="shared" si="14"/>
        <v xml:space="preserve"> -&gt; </v>
      </c>
    </row>
    <row r="140" spans="1:20">
      <c r="A140" s="31"/>
      <c r="B140" s="32"/>
      <c r="C140" s="31" t="s">
        <v>141</v>
      </c>
      <c r="D140" s="31"/>
      <c r="E140" s="31"/>
      <c r="F140" s="31"/>
      <c r="G140" s="31" t="s">
        <v>53</v>
      </c>
      <c r="H140" s="32"/>
      <c r="I140" s="32"/>
      <c r="J140" s="32"/>
      <c r="K140" s="31"/>
      <c r="L140" s="31"/>
      <c r="M140" s="3" t="str">
        <f t="shared" ca="1" si="15"/>
        <v/>
      </c>
      <c r="P140">
        <f>'Combined Delivery Data'!B167</f>
        <v>0</v>
      </c>
      <c r="Q140">
        <f t="shared" si="11"/>
        <v>0</v>
      </c>
      <c r="R140">
        <f t="shared" si="12"/>
        <v>468</v>
      </c>
      <c r="S140" s="28">
        <f t="shared" si="13"/>
        <v>0</v>
      </c>
      <c r="T140" t="str">
        <f t="shared" si="14"/>
        <v xml:space="preserve"> -&gt; </v>
      </c>
    </row>
    <row r="141" spans="1:20">
      <c r="A141" s="31"/>
      <c r="B141" s="32"/>
      <c r="C141" s="31" t="s">
        <v>141</v>
      </c>
      <c r="D141" s="31"/>
      <c r="E141" s="31"/>
      <c r="F141" s="31"/>
      <c r="G141" s="31" t="s">
        <v>53</v>
      </c>
      <c r="H141" s="32"/>
      <c r="I141" s="32"/>
      <c r="J141" s="32"/>
      <c r="K141" s="31"/>
      <c r="L141" s="31"/>
      <c r="M141" s="3" t="str">
        <f t="shared" ca="1" si="15"/>
        <v/>
      </c>
      <c r="P141">
        <f>'Combined Delivery Data'!B168</f>
        <v>0</v>
      </c>
      <c r="Q141">
        <f t="shared" si="11"/>
        <v>0</v>
      </c>
      <c r="R141">
        <f t="shared" si="12"/>
        <v>468</v>
      </c>
      <c r="S141" s="28">
        <f t="shared" si="13"/>
        <v>0</v>
      </c>
      <c r="T141" t="str">
        <f t="shared" si="14"/>
        <v xml:space="preserve"> -&gt; </v>
      </c>
    </row>
    <row r="142" spans="1:20">
      <c r="A142" s="31"/>
      <c r="B142" s="32"/>
      <c r="C142" s="31" t="s">
        <v>141</v>
      </c>
      <c r="D142" s="31"/>
      <c r="E142" s="31"/>
      <c r="F142" s="31"/>
      <c r="G142" s="31" t="s">
        <v>53</v>
      </c>
      <c r="H142" s="32"/>
      <c r="I142" s="32"/>
      <c r="J142" s="32"/>
      <c r="K142" s="31"/>
      <c r="L142" s="31"/>
      <c r="M142" s="3" t="str">
        <f t="shared" ca="1" si="15"/>
        <v/>
      </c>
      <c r="P142">
        <f>'Combined Delivery Data'!B169</f>
        <v>0</v>
      </c>
      <c r="Q142">
        <f t="shared" si="11"/>
        <v>0</v>
      </c>
      <c r="R142">
        <f t="shared" si="12"/>
        <v>468</v>
      </c>
      <c r="S142" s="28">
        <f t="shared" si="13"/>
        <v>0</v>
      </c>
      <c r="T142" t="str">
        <f t="shared" si="14"/>
        <v xml:space="preserve"> -&gt; </v>
      </c>
    </row>
    <row r="143" spans="1:20">
      <c r="A143" s="31"/>
      <c r="B143" s="32"/>
      <c r="C143" s="31" t="s">
        <v>141</v>
      </c>
      <c r="D143" s="31"/>
      <c r="E143" s="31"/>
      <c r="F143" s="31"/>
      <c r="G143" s="31" t="s">
        <v>53</v>
      </c>
      <c r="H143" s="32"/>
      <c r="I143" s="32"/>
      <c r="J143" s="32"/>
      <c r="K143" s="31"/>
      <c r="L143" s="31"/>
      <c r="M143" s="3" t="str">
        <f t="shared" ca="1" si="15"/>
        <v/>
      </c>
      <c r="P143">
        <f>'Combined Delivery Data'!B170</f>
        <v>0</v>
      </c>
      <c r="Q143">
        <f t="shared" si="11"/>
        <v>0</v>
      </c>
      <c r="R143">
        <f t="shared" si="12"/>
        <v>468</v>
      </c>
      <c r="S143" s="28">
        <f t="shared" si="13"/>
        <v>0</v>
      </c>
      <c r="T143" t="str">
        <f t="shared" si="14"/>
        <v xml:space="preserve"> -&gt; </v>
      </c>
    </row>
    <row r="144" spans="1:20">
      <c r="A144" s="31"/>
      <c r="B144" s="32"/>
      <c r="C144" s="31" t="s">
        <v>141</v>
      </c>
      <c r="D144" s="31"/>
      <c r="E144" s="31"/>
      <c r="F144" s="31"/>
      <c r="G144" s="31" t="s">
        <v>53</v>
      </c>
      <c r="H144" s="32"/>
      <c r="I144" s="32"/>
      <c r="J144" s="32"/>
      <c r="K144" s="31"/>
      <c r="L144" s="31"/>
      <c r="M144" s="3" t="str">
        <f t="shared" ca="1" si="15"/>
        <v/>
      </c>
      <c r="P144">
        <f>'Combined Delivery Data'!B171</f>
        <v>0</v>
      </c>
      <c r="Q144">
        <f t="shared" si="11"/>
        <v>0</v>
      </c>
      <c r="R144">
        <f t="shared" si="12"/>
        <v>468</v>
      </c>
      <c r="S144" s="28">
        <f t="shared" si="13"/>
        <v>0</v>
      </c>
      <c r="T144" t="str">
        <f t="shared" si="14"/>
        <v xml:space="preserve"> -&gt; </v>
      </c>
    </row>
    <row r="145" spans="1:20">
      <c r="A145" s="31"/>
      <c r="B145" s="32"/>
      <c r="C145" s="31" t="s">
        <v>141</v>
      </c>
      <c r="D145" s="31"/>
      <c r="E145" s="31"/>
      <c r="F145" s="31"/>
      <c r="G145" s="31" t="s">
        <v>53</v>
      </c>
      <c r="H145" s="32"/>
      <c r="I145" s="32"/>
      <c r="J145" s="32"/>
      <c r="K145" s="31"/>
      <c r="L145" s="31"/>
      <c r="M145" s="3" t="str">
        <f t="shared" ca="1" si="15"/>
        <v/>
      </c>
      <c r="P145">
        <f>'Combined Delivery Data'!B172</f>
        <v>0</v>
      </c>
      <c r="Q145">
        <f t="shared" si="11"/>
        <v>0</v>
      </c>
      <c r="R145">
        <f t="shared" si="12"/>
        <v>468</v>
      </c>
      <c r="S145" s="28">
        <f t="shared" si="13"/>
        <v>0</v>
      </c>
      <c r="T145" t="str">
        <f t="shared" si="14"/>
        <v xml:space="preserve"> -&gt; </v>
      </c>
    </row>
    <row r="146" spans="1:20">
      <c r="A146" s="31"/>
      <c r="B146" s="32"/>
      <c r="C146" s="31" t="s">
        <v>141</v>
      </c>
      <c r="D146" s="31"/>
      <c r="E146" s="31"/>
      <c r="F146" s="31"/>
      <c r="G146" s="31" t="s">
        <v>53</v>
      </c>
      <c r="H146" s="32"/>
      <c r="I146" s="32"/>
      <c r="J146" s="32"/>
      <c r="K146" s="31"/>
      <c r="L146" s="31"/>
      <c r="M146" s="3" t="str">
        <f t="shared" ca="1" si="15"/>
        <v/>
      </c>
      <c r="P146">
        <f>'Combined Delivery Data'!B173</f>
        <v>0</v>
      </c>
      <c r="Q146">
        <f t="shared" ref="Q146:Q209" si="16">IF($P146="","",COUNTIF($A$3:$A$499,$P146))</f>
        <v>0</v>
      </c>
      <c r="R146">
        <f t="shared" ref="R146:R209" si="17">IF($P146="","",SUMPRODUCT(($A$3:$A$499=$P146)*($G$3:$G$499&lt;&gt;"Yes")*($G$3:$G$499&lt;&gt;"Did not pass re-test")))</f>
        <v>468</v>
      </c>
      <c r="S146" s="28">
        <f t="shared" ref="S146:S209" si="18">IF($P146="","",IF(SUMPRODUCT(MAX(($A$3:$A$499=$P146)*ROW($A$3:$A$499)))=0,"",INDEX($B:$B,SUMPRODUCT(MAX(($A$3:$A$499=$P146)*ROW($A$3:$A$499))))))</f>
        <v>0</v>
      </c>
      <c r="T146" t="str">
        <f t="shared" ref="T146:T209" si="19">IF($P146="","",IF(SUMPRODUCT(MAX(($A$3:$A$499=$P146)*ROW($A$3:$A$499)))=0,"",INDEX($C:$C,SUMPRODUCT(MAX(($A$3:$A$499=$P146)*ROW($A$3:$A$499))))&amp;" -&gt; "&amp;INDEX($D:$D,SUMPRODUCT(MAX(($A$3:$A$499=$P146)*ROW($A$3:$A$499))))))</f>
        <v xml:space="preserve"> -&gt; </v>
      </c>
    </row>
    <row r="147" spans="1:20">
      <c r="A147" s="31"/>
      <c r="B147" s="32"/>
      <c r="C147" s="31" t="s">
        <v>141</v>
      </c>
      <c r="D147" s="31"/>
      <c r="E147" s="31"/>
      <c r="F147" s="31"/>
      <c r="G147" s="31" t="s">
        <v>53</v>
      </c>
      <c r="H147" s="32"/>
      <c r="I147" s="32"/>
      <c r="J147" s="32"/>
      <c r="K147" s="31"/>
      <c r="L147" s="31"/>
      <c r="M147" s="3" t="str">
        <f t="shared" ca="1" si="15"/>
        <v/>
      </c>
      <c r="P147">
        <f>'Combined Delivery Data'!B174</f>
        <v>0</v>
      </c>
      <c r="Q147">
        <f t="shared" si="16"/>
        <v>0</v>
      </c>
      <c r="R147">
        <f t="shared" si="17"/>
        <v>468</v>
      </c>
      <c r="S147" s="28">
        <f t="shared" si="18"/>
        <v>0</v>
      </c>
      <c r="T147" t="str">
        <f t="shared" si="19"/>
        <v xml:space="preserve"> -&gt; </v>
      </c>
    </row>
    <row r="148" spans="1:20">
      <c r="A148" s="31"/>
      <c r="B148" s="32"/>
      <c r="C148" s="31" t="s">
        <v>141</v>
      </c>
      <c r="D148" s="31"/>
      <c r="E148" s="31"/>
      <c r="F148" s="31"/>
      <c r="G148" s="31" t="s">
        <v>53</v>
      </c>
      <c r="H148" s="32"/>
      <c r="I148" s="32"/>
      <c r="J148" s="32"/>
      <c r="K148" s="31"/>
      <c r="L148" s="31"/>
      <c r="M148" s="3" t="str">
        <f t="shared" ca="1" si="15"/>
        <v/>
      </c>
      <c r="P148">
        <f>'Combined Delivery Data'!B175</f>
        <v>0</v>
      </c>
      <c r="Q148">
        <f t="shared" si="16"/>
        <v>0</v>
      </c>
      <c r="R148">
        <f t="shared" si="17"/>
        <v>468</v>
      </c>
      <c r="S148" s="28">
        <f t="shared" si="18"/>
        <v>0</v>
      </c>
      <c r="T148" t="str">
        <f t="shared" si="19"/>
        <v xml:space="preserve"> -&gt; </v>
      </c>
    </row>
    <row r="149" spans="1:20">
      <c r="A149" s="31"/>
      <c r="B149" s="32"/>
      <c r="C149" s="31" t="s">
        <v>141</v>
      </c>
      <c r="D149" s="31"/>
      <c r="E149" s="31"/>
      <c r="F149" s="31"/>
      <c r="G149" s="31" t="s">
        <v>53</v>
      </c>
      <c r="H149" s="32"/>
      <c r="I149" s="32"/>
      <c r="J149" s="32"/>
      <c r="K149" s="31"/>
      <c r="L149" s="31"/>
      <c r="M149" s="3" t="str">
        <f t="shared" ca="1" si="15"/>
        <v/>
      </c>
      <c r="P149">
        <f>'Combined Delivery Data'!B176</f>
        <v>0</v>
      </c>
      <c r="Q149">
        <f t="shared" si="16"/>
        <v>0</v>
      </c>
      <c r="R149">
        <f t="shared" si="17"/>
        <v>468</v>
      </c>
      <c r="S149" s="28">
        <f t="shared" si="18"/>
        <v>0</v>
      </c>
      <c r="T149" t="str">
        <f t="shared" si="19"/>
        <v xml:space="preserve"> -&gt; </v>
      </c>
    </row>
    <row r="150" spans="1:20">
      <c r="A150" s="31"/>
      <c r="B150" s="32"/>
      <c r="C150" s="31" t="s">
        <v>141</v>
      </c>
      <c r="D150" s="31"/>
      <c r="E150" s="31"/>
      <c r="F150" s="31"/>
      <c r="G150" s="31" t="s">
        <v>53</v>
      </c>
      <c r="H150" s="32"/>
      <c r="I150" s="32"/>
      <c r="J150" s="32"/>
      <c r="K150" s="31"/>
      <c r="L150" s="31"/>
      <c r="M150" s="3" t="str">
        <f t="shared" ca="1" si="15"/>
        <v/>
      </c>
      <c r="P150">
        <f>'Combined Delivery Data'!B177</f>
        <v>0</v>
      </c>
      <c r="Q150">
        <f t="shared" si="16"/>
        <v>0</v>
      </c>
      <c r="R150">
        <f t="shared" si="17"/>
        <v>468</v>
      </c>
      <c r="S150" s="28">
        <f t="shared" si="18"/>
        <v>0</v>
      </c>
      <c r="T150" t="str">
        <f t="shared" si="19"/>
        <v xml:space="preserve"> -&gt; </v>
      </c>
    </row>
    <row r="151" spans="1:20">
      <c r="A151" s="31"/>
      <c r="B151" s="32"/>
      <c r="C151" s="31" t="s">
        <v>141</v>
      </c>
      <c r="D151" s="31"/>
      <c r="E151" s="31"/>
      <c r="F151" s="31"/>
      <c r="G151" s="31" t="s">
        <v>53</v>
      </c>
      <c r="H151" s="32"/>
      <c r="I151" s="32"/>
      <c r="J151" s="32"/>
      <c r="K151" s="31"/>
      <c r="L151" s="31"/>
      <c r="M151" s="3" t="str">
        <f t="shared" ca="1" si="15"/>
        <v/>
      </c>
      <c r="P151">
        <f>'Combined Delivery Data'!B178</f>
        <v>0</v>
      </c>
      <c r="Q151">
        <f t="shared" si="16"/>
        <v>0</v>
      </c>
      <c r="R151">
        <f t="shared" si="17"/>
        <v>468</v>
      </c>
      <c r="S151" s="28">
        <f t="shared" si="18"/>
        <v>0</v>
      </c>
      <c r="T151" t="str">
        <f t="shared" si="19"/>
        <v xml:space="preserve"> -&gt; </v>
      </c>
    </row>
    <row r="152" spans="1:20">
      <c r="A152" s="31"/>
      <c r="B152" s="32"/>
      <c r="C152" s="31" t="s">
        <v>141</v>
      </c>
      <c r="D152" s="31"/>
      <c r="E152" s="31"/>
      <c r="F152" s="31"/>
      <c r="G152" s="31" t="s">
        <v>53</v>
      </c>
      <c r="H152" s="32"/>
      <c r="I152" s="32"/>
      <c r="J152" s="32"/>
      <c r="K152" s="31"/>
      <c r="L152" s="31"/>
      <c r="M152" s="3" t="str">
        <f t="shared" ca="1" si="15"/>
        <v/>
      </c>
      <c r="P152">
        <f>'Combined Delivery Data'!B179</f>
        <v>0</v>
      </c>
      <c r="Q152">
        <f t="shared" si="16"/>
        <v>0</v>
      </c>
      <c r="R152">
        <f t="shared" si="17"/>
        <v>468</v>
      </c>
      <c r="S152" s="28">
        <f t="shared" si="18"/>
        <v>0</v>
      </c>
      <c r="T152" t="str">
        <f t="shared" si="19"/>
        <v xml:space="preserve"> -&gt; </v>
      </c>
    </row>
    <row r="153" spans="1:20">
      <c r="A153" s="31"/>
      <c r="B153" s="32"/>
      <c r="C153" s="31" t="s">
        <v>141</v>
      </c>
      <c r="D153" s="31"/>
      <c r="E153" s="31"/>
      <c r="F153" s="31"/>
      <c r="G153" s="31" t="s">
        <v>53</v>
      </c>
      <c r="H153" s="32"/>
      <c r="I153" s="32"/>
      <c r="J153" s="32"/>
      <c r="K153" s="31"/>
      <c r="L153" s="31"/>
      <c r="M153" s="3" t="str">
        <f t="shared" ca="1" si="15"/>
        <v/>
      </c>
      <c r="P153">
        <f>'Combined Delivery Data'!B180</f>
        <v>0</v>
      </c>
      <c r="Q153">
        <f t="shared" si="16"/>
        <v>0</v>
      </c>
      <c r="R153">
        <f t="shared" si="17"/>
        <v>468</v>
      </c>
      <c r="S153" s="28">
        <f t="shared" si="18"/>
        <v>0</v>
      </c>
      <c r="T153" t="str">
        <f t="shared" si="19"/>
        <v xml:space="preserve"> -&gt; </v>
      </c>
    </row>
    <row r="154" spans="1:20">
      <c r="A154" s="31"/>
      <c r="B154" s="32"/>
      <c r="C154" s="31" t="s">
        <v>141</v>
      </c>
      <c r="D154" s="31"/>
      <c r="E154" s="31"/>
      <c r="F154" s="31"/>
      <c r="G154" s="31" t="s">
        <v>53</v>
      </c>
      <c r="H154" s="32"/>
      <c r="I154" s="32"/>
      <c r="J154" s="32"/>
      <c r="K154" s="31"/>
      <c r="L154" s="31"/>
      <c r="M154" s="3" t="str">
        <f t="shared" ca="1" si="15"/>
        <v/>
      </c>
      <c r="P154">
        <f>'Combined Delivery Data'!B181</f>
        <v>0</v>
      </c>
      <c r="Q154">
        <f t="shared" si="16"/>
        <v>0</v>
      </c>
      <c r="R154">
        <f t="shared" si="17"/>
        <v>468</v>
      </c>
      <c r="S154" s="28">
        <f t="shared" si="18"/>
        <v>0</v>
      </c>
      <c r="T154" t="str">
        <f t="shared" si="19"/>
        <v xml:space="preserve"> -&gt; </v>
      </c>
    </row>
    <row r="155" spans="1:20">
      <c r="A155" s="31"/>
      <c r="B155" s="32"/>
      <c r="C155" s="31" t="s">
        <v>141</v>
      </c>
      <c r="D155" s="31"/>
      <c r="E155" s="31"/>
      <c r="F155" s="31"/>
      <c r="G155" s="31" t="s">
        <v>53</v>
      </c>
      <c r="H155" s="32"/>
      <c r="I155" s="32"/>
      <c r="J155" s="32"/>
      <c r="K155" s="31"/>
      <c r="L155" s="31"/>
      <c r="M155" s="3" t="str">
        <f t="shared" ca="1" si="15"/>
        <v/>
      </c>
      <c r="P155">
        <f>'Combined Delivery Data'!B182</f>
        <v>0</v>
      </c>
      <c r="Q155">
        <f t="shared" si="16"/>
        <v>0</v>
      </c>
      <c r="R155">
        <f t="shared" si="17"/>
        <v>468</v>
      </c>
      <c r="S155" s="28">
        <f t="shared" si="18"/>
        <v>0</v>
      </c>
      <c r="T155" t="str">
        <f t="shared" si="19"/>
        <v xml:space="preserve"> -&gt; </v>
      </c>
    </row>
    <row r="156" spans="1:20">
      <c r="A156" s="31"/>
      <c r="B156" s="32"/>
      <c r="C156" s="31" t="s">
        <v>141</v>
      </c>
      <c r="D156" s="31"/>
      <c r="E156" s="31"/>
      <c r="F156" s="31"/>
      <c r="G156" s="31" t="s">
        <v>53</v>
      </c>
      <c r="H156" s="32"/>
      <c r="I156" s="32"/>
      <c r="J156" s="32"/>
      <c r="K156" s="31"/>
      <c r="L156" s="31"/>
      <c r="M156" s="3" t="str">
        <f t="shared" ca="1" si="15"/>
        <v/>
      </c>
      <c r="P156">
        <f>'Combined Delivery Data'!B183</f>
        <v>0</v>
      </c>
      <c r="Q156">
        <f t="shared" si="16"/>
        <v>0</v>
      </c>
      <c r="R156">
        <f t="shared" si="17"/>
        <v>468</v>
      </c>
      <c r="S156" s="28">
        <f t="shared" si="18"/>
        <v>0</v>
      </c>
      <c r="T156" t="str">
        <f t="shared" si="19"/>
        <v xml:space="preserve"> -&gt; </v>
      </c>
    </row>
    <row r="157" spans="1:20">
      <c r="A157" s="31"/>
      <c r="B157" s="32"/>
      <c r="C157" s="31" t="s">
        <v>141</v>
      </c>
      <c r="D157" s="31"/>
      <c r="E157" s="31"/>
      <c r="F157" s="31"/>
      <c r="G157" s="31" t="s">
        <v>53</v>
      </c>
      <c r="H157" s="32"/>
      <c r="I157" s="32"/>
      <c r="J157" s="32"/>
      <c r="K157" s="31"/>
      <c r="L157" s="31"/>
      <c r="M157" s="3" t="str">
        <f t="shared" ca="1" si="15"/>
        <v/>
      </c>
      <c r="P157">
        <f>'Combined Delivery Data'!B184</f>
        <v>0</v>
      </c>
      <c r="Q157">
        <f t="shared" si="16"/>
        <v>0</v>
      </c>
      <c r="R157">
        <f t="shared" si="17"/>
        <v>468</v>
      </c>
      <c r="S157" s="28">
        <f t="shared" si="18"/>
        <v>0</v>
      </c>
      <c r="T157" t="str">
        <f t="shared" si="19"/>
        <v xml:space="preserve"> -&gt; </v>
      </c>
    </row>
    <row r="158" spans="1:20">
      <c r="A158" s="31"/>
      <c r="B158" s="32"/>
      <c r="C158" s="31" t="s">
        <v>141</v>
      </c>
      <c r="D158" s="31"/>
      <c r="E158" s="31"/>
      <c r="F158" s="31"/>
      <c r="G158" s="31" t="s">
        <v>53</v>
      </c>
      <c r="H158" s="32"/>
      <c r="I158" s="32"/>
      <c r="J158" s="32"/>
      <c r="K158" s="31"/>
      <c r="L158" s="31"/>
      <c r="M158" s="3" t="str">
        <f t="shared" ca="1" si="15"/>
        <v/>
      </c>
      <c r="P158">
        <f>'Combined Delivery Data'!B185</f>
        <v>0</v>
      </c>
      <c r="Q158">
        <f t="shared" si="16"/>
        <v>0</v>
      </c>
      <c r="R158">
        <f t="shared" si="17"/>
        <v>468</v>
      </c>
      <c r="S158" s="28">
        <f t="shared" si="18"/>
        <v>0</v>
      </c>
      <c r="T158" t="str">
        <f t="shared" si="19"/>
        <v xml:space="preserve"> -&gt; </v>
      </c>
    </row>
    <row r="159" spans="1:20">
      <c r="A159" s="31"/>
      <c r="B159" s="32"/>
      <c r="C159" s="31" t="s">
        <v>141</v>
      </c>
      <c r="D159" s="31"/>
      <c r="E159" s="31"/>
      <c r="F159" s="31"/>
      <c r="G159" s="31" t="s">
        <v>53</v>
      </c>
      <c r="H159" s="32"/>
      <c r="I159" s="32"/>
      <c r="J159" s="32"/>
      <c r="K159" s="31"/>
      <c r="L159" s="31"/>
      <c r="M159" s="3" t="str">
        <f t="shared" ca="1" si="15"/>
        <v/>
      </c>
      <c r="P159">
        <f>'Combined Delivery Data'!B186</f>
        <v>0</v>
      </c>
      <c r="Q159">
        <f t="shared" si="16"/>
        <v>0</v>
      </c>
      <c r="R159">
        <f t="shared" si="17"/>
        <v>468</v>
      </c>
      <c r="S159" s="28">
        <f t="shared" si="18"/>
        <v>0</v>
      </c>
      <c r="T159" t="str">
        <f t="shared" si="19"/>
        <v xml:space="preserve"> -&gt; </v>
      </c>
    </row>
    <row r="160" spans="1:20">
      <c r="A160" s="31"/>
      <c r="B160" s="32"/>
      <c r="C160" s="31" t="s">
        <v>141</v>
      </c>
      <c r="D160" s="31"/>
      <c r="E160" s="31"/>
      <c r="F160" s="31"/>
      <c r="G160" s="31" t="s">
        <v>53</v>
      </c>
      <c r="H160" s="32"/>
      <c r="I160" s="32"/>
      <c r="J160" s="32"/>
      <c r="K160" s="31"/>
      <c r="L160" s="31"/>
      <c r="M160" s="3" t="str">
        <f t="shared" ca="1" si="15"/>
        <v/>
      </c>
      <c r="P160">
        <f>'Combined Delivery Data'!B187</f>
        <v>0</v>
      </c>
      <c r="Q160">
        <f t="shared" si="16"/>
        <v>0</v>
      </c>
      <c r="R160">
        <f t="shared" si="17"/>
        <v>468</v>
      </c>
      <c r="S160" s="28">
        <f t="shared" si="18"/>
        <v>0</v>
      </c>
      <c r="T160" t="str">
        <f t="shared" si="19"/>
        <v xml:space="preserve"> -&gt; </v>
      </c>
    </row>
    <row r="161" spans="1:20">
      <c r="A161" s="31"/>
      <c r="B161" s="32"/>
      <c r="C161" s="31" t="s">
        <v>141</v>
      </c>
      <c r="D161" s="31"/>
      <c r="E161" s="31"/>
      <c r="F161" s="31"/>
      <c r="G161" s="31" t="s">
        <v>53</v>
      </c>
      <c r="H161" s="32"/>
      <c r="I161" s="32"/>
      <c r="J161" s="32"/>
      <c r="K161" s="31"/>
      <c r="L161" s="31"/>
      <c r="M161" s="3" t="str">
        <f t="shared" ca="1" si="15"/>
        <v/>
      </c>
      <c r="P161">
        <f>'Combined Delivery Data'!B188</f>
        <v>0</v>
      </c>
      <c r="Q161">
        <f t="shared" si="16"/>
        <v>0</v>
      </c>
      <c r="R161">
        <f t="shared" si="17"/>
        <v>468</v>
      </c>
      <c r="S161" s="28">
        <f t="shared" si="18"/>
        <v>0</v>
      </c>
      <c r="T161" t="str">
        <f t="shared" si="19"/>
        <v xml:space="preserve"> -&gt; </v>
      </c>
    </row>
    <row r="162" spans="1:20">
      <c r="A162" s="31"/>
      <c r="B162" s="32"/>
      <c r="C162" s="31" t="s">
        <v>141</v>
      </c>
      <c r="D162" s="31"/>
      <c r="E162" s="31"/>
      <c r="F162" s="31"/>
      <c r="G162" s="31" t="s">
        <v>53</v>
      </c>
      <c r="H162" s="32"/>
      <c r="I162" s="32"/>
      <c r="J162" s="32"/>
      <c r="K162" s="31"/>
      <c r="L162" s="31"/>
      <c r="M162" s="3" t="str">
        <f t="shared" ca="1" si="15"/>
        <v/>
      </c>
      <c r="P162">
        <f>'Combined Delivery Data'!B189</f>
        <v>0</v>
      </c>
      <c r="Q162">
        <f t="shared" si="16"/>
        <v>0</v>
      </c>
      <c r="R162">
        <f t="shared" si="17"/>
        <v>468</v>
      </c>
      <c r="S162" s="28">
        <f t="shared" si="18"/>
        <v>0</v>
      </c>
      <c r="T162" t="str">
        <f t="shared" si="19"/>
        <v xml:space="preserve"> -&gt; </v>
      </c>
    </row>
    <row r="163" spans="1:20">
      <c r="A163" s="31"/>
      <c r="B163" s="32"/>
      <c r="C163" s="31" t="s">
        <v>141</v>
      </c>
      <c r="D163" s="31"/>
      <c r="E163" s="31"/>
      <c r="F163" s="31"/>
      <c r="G163" s="31" t="s">
        <v>53</v>
      </c>
      <c r="H163" s="32"/>
      <c r="I163" s="32"/>
      <c r="J163" s="32"/>
      <c r="K163" s="31"/>
      <c r="L163" s="31"/>
      <c r="M163" s="3" t="str">
        <f t="shared" ca="1" si="15"/>
        <v/>
      </c>
      <c r="P163">
        <f>'Combined Delivery Data'!B190</f>
        <v>0</v>
      </c>
      <c r="Q163">
        <f t="shared" si="16"/>
        <v>0</v>
      </c>
      <c r="R163">
        <f t="shared" si="17"/>
        <v>468</v>
      </c>
      <c r="S163" s="28">
        <f t="shared" si="18"/>
        <v>0</v>
      </c>
      <c r="T163" t="str">
        <f t="shared" si="19"/>
        <v xml:space="preserve"> -&gt; </v>
      </c>
    </row>
    <row r="164" spans="1:20">
      <c r="A164" s="31"/>
      <c r="B164" s="32"/>
      <c r="C164" s="31" t="s">
        <v>141</v>
      </c>
      <c r="D164" s="31"/>
      <c r="E164" s="31"/>
      <c r="F164" s="31"/>
      <c r="G164" s="31" t="s">
        <v>53</v>
      </c>
      <c r="H164" s="32"/>
      <c r="I164" s="32"/>
      <c r="J164" s="32"/>
      <c r="K164" s="31"/>
      <c r="L164" s="31"/>
      <c r="M164" s="3" t="str">
        <f t="shared" ca="1" si="15"/>
        <v/>
      </c>
      <c r="P164">
        <f>'Combined Delivery Data'!B191</f>
        <v>0</v>
      </c>
      <c r="Q164">
        <f t="shared" si="16"/>
        <v>0</v>
      </c>
      <c r="R164">
        <f t="shared" si="17"/>
        <v>468</v>
      </c>
      <c r="S164" s="28">
        <f t="shared" si="18"/>
        <v>0</v>
      </c>
      <c r="T164" t="str">
        <f t="shared" si="19"/>
        <v xml:space="preserve"> -&gt; </v>
      </c>
    </row>
    <row r="165" spans="1:20">
      <c r="A165" s="31"/>
      <c r="B165" s="32"/>
      <c r="C165" s="31" t="s">
        <v>141</v>
      </c>
      <c r="D165" s="31"/>
      <c r="E165" s="31"/>
      <c r="F165" s="31"/>
      <c r="G165" s="31" t="s">
        <v>53</v>
      </c>
      <c r="H165" s="32"/>
      <c r="I165" s="32"/>
      <c r="J165" s="32"/>
      <c r="K165" s="31"/>
      <c r="L165" s="31"/>
      <c r="M165" s="3" t="str">
        <f t="shared" ca="1" si="15"/>
        <v/>
      </c>
      <c r="P165">
        <f>'Combined Delivery Data'!B192</f>
        <v>0</v>
      </c>
      <c r="Q165">
        <f t="shared" si="16"/>
        <v>0</v>
      </c>
      <c r="R165">
        <f t="shared" si="17"/>
        <v>468</v>
      </c>
      <c r="S165" s="28">
        <f t="shared" si="18"/>
        <v>0</v>
      </c>
      <c r="T165" t="str">
        <f t="shared" si="19"/>
        <v xml:space="preserve"> -&gt; </v>
      </c>
    </row>
    <row r="166" spans="1:20">
      <c r="A166" s="31"/>
      <c r="B166" s="32"/>
      <c r="C166" s="31" t="s">
        <v>141</v>
      </c>
      <c r="D166" s="31"/>
      <c r="E166" s="31"/>
      <c r="F166" s="31"/>
      <c r="G166" s="31" t="s">
        <v>53</v>
      </c>
      <c r="H166" s="32"/>
      <c r="I166" s="32"/>
      <c r="J166" s="32"/>
      <c r="K166" s="31"/>
      <c r="L166" s="31"/>
      <c r="M166" s="3" t="str">
        <f t="shared" ca="1" si="15"/>
        <v/>
      </c>
      <c r="P166">
        <f>'Combined Delivery Data'!B193</f>
        <v>0</v>
      </c>
      <c r="Q166">
        <f t="shared" si="16"/>
        <v>0</v>
      </c>
      <c r="R166">
        <f t="shared" si="17"/>
        <v>468</v>
      </c>
      <c r="S166" s="28">
        <f t="shared" si="18"/>
        <v>0</v>
      </c>
      <c r="T166" t="str">
        <f t="shared" si="19"/>
        <v xml:space="preserve"> -&gt; </v>
      </c>
    </row>
    <row r="167" spans="1:20">
      <c r="A167" s="31"/>
      <c r="B167" s="32"/>
      <c r="C167" s="31" t="s">
        <v>141</v>
      </c>
      <c r="D167" s="31"/>
      <c r="E167" s="31"/>
      <c r="F167" s="31"/>
      <c r="G167" s="31" t="s">
        <v>53</v>
      </c>
      <c r="H167" s="32"/>
      <c r="I167" s="32"/>
      <c r="J167" s="32"/>
      <c r="K167" s="31"/>
      <c r="L167" s="31"/>
      <c r="M167" s="3" t="str">
        <f t="shared" ca="1" si="15"/>
        <v/>
      </c>
      <c r="P167">
        <f>'Combined Delivery Data'!B194</f>
        <v>0</v>
      </c>
      <c r="Q167">
        <f t="shared" si="16"/>
        <v>0</v>
      </c>
      <c r="R167">
        <f t="shared" si="17"/>
        <v>468</v>
      </c>
      <c r="S167" s="28">
        <f t="shared" si="18"/>
        <v>0</v>
      </c>
      <c r="T167" t="str">
        <f t="shared" si="19"/>
        <v xml:space="preserve"> -&gt; </v>
      </c>
    </row>
    <row r="168" spans="1:20">
      <c r="A168" s="31"/>
      <c r="B168" s="32"/>
      <c r="C168" s="31" t="s">
        <v>141</v>
      </c>
      <c r="D168" s="31"/>
      <c r="E168" s="31"/>
      <c r="F168" s="31"/>
      <c r="G168" s="31" t="s">
        <v>53</v>
      </c>
      <c r="H168" s="32"/>
      <c r="I168" s="32"/>
      <c r="J168" s="32"/>
      <c r="K168" s="31"/>
      <c r="L168" s="31"/>
      <c r="M168" s="3" t="str">
        <f t="shared" ca="1" si="15"/>
        <v/>
      </c>
      <c r="P168">
        <f>'Combined Delivery Data'!B195</f>
        <v>0</v>
      </c>
      <c r="Q168">
        <f t="shared" si="16"/>
        <v>0</v>
      </c>
      <c r="R168">
        <f t="shared" si="17"/>
        <v>468</v>
      </c>
      <c r="S168" s="28">
        <f t="shared" si="18"/>
        <v>0</v>
      </c>
      <c r="T168" t="str">
        <f t="shared" si="19"/>
        <v xml:space="preserve"> -&gt; </v>
      </c>
    </row>
    <row r="169" spans="1:20">
      <c r="A169" s="31"/>
      <c r="B169" s="32"/>
      <c r="C169" s="31" t="s">
        <v>141</v>
      </c>
      <c r="D169" s="31"/>
      <c r="E169" s="31"/>
      <c r="F169" s="31"/>
      <c r="G169" s="31" t="s">
        <v>53</v>
      </c>
      <c r="H169" s="32"/>
      <c r="I169" s="32"/>
      <c r="J169" s="32"/>
      <c r="K169" s="31"/>
      <c r="L169" s="31"/>
      <c r="M169" s="3" t="str">
        <f t="shared" ca="1" si="15"/>
        <v/>
      </c>
      <c r="P169">
        <f>'Combined Delivery Data'!B196</f>
        <v>0</v>
      </c>
      <c r="Q169">
        <f t="shared" si="16"/>
        <v>0</v>
      </c>
      <c r="R169">
        <f t="shared" si="17"/>
        <v>468</v>
      </c>
      <c r="S169" s="28">
        <f t="shared" si="18"/>
        <v>0</v>
      </c>
      <c r="T169" t="str">
        <f t="shared" si="19"/>
        <v xml:space="preserve"> -&gt; </v>
      </c>
    </row>
    <row r="170" spans="1:20">
      <c r="A170" s="31"/>
      <c r="B170" s="32"/>
      <c r="C170" s="31" t="s">
        <v>141</v>
      </c>
      <c r="D170" s="31"/>
      <c r="E170" s="31"/>
      <c r="F170" s="31"/>
      <c r="G170" s="31" t="s">
        <v>53</v>
      </c>
      <c r="H170" s="32"/>
      <c r="I170" s="32"/>
      <c r="J170" s="32"/>
      <c r="K170" s="31"/>
      <c r="L170" s="31"/>
      <c r="M170" s="3" t="str">
        <f t="shared" ca="1" si="15"/>
        <v/>
      </c>
      <c r="P170">
        <f>'Combined Delivery Data'!B197</f>
        <v>0</v>
      </c>
      <c r="Q170">
        <f t="shared" si="16"/>
        <v>0</v>
      </c>
      <c r="R170">
        <f t="shared" si="17"/>
        <v>468</v>
      </c>
      <c r="S170" s="28">
        <f t="shared" si="18"/>
        <v>0</v>
      </c>
      <c r="T170" t="str">
        <f t="shared" si="19"/>
        <v xml:space="preserve"> -&gt; </v>
      </c>
    </row>
    <row r="171" spans="1:20">
      <c r="A171" s="31"/>
      <c r="B171" s="32"/>
      <c r="C171" s="31" t="s">
        <v>141</v>
      </c>
      <c r="D171" s="31"/>
      <c r="E171" s="31"/>
      <c r="F171" s="31"/>
      <c r="G171" s="31" t="s">
        <v>53</v>
      </c>
      <c r="H171" s="32"/>
      <c r="I171" s="32"/>
      <c r="J171" s="32"/>
      <c r="K171" s="31"/>
      <c r="L171" s="31"/>
      <c r="M171" s="3" t="str">
        <f t="shared" ca="1" si="15"/>
        <v/>
      </c>
      <c r="P171">
        <f>'Combined Delivery Data'!B198</f>
        <v>0</v>
      </c>
      <c r="Q171">
        <f t="shared" si="16"/>
        <v>0</v>
      </c>
      <c r="R171">
        <f t="shared" si="17"/>
        <v>468</v>
      </c>
      <c r="S171" s="28">
        <f t="shared" si="18"/>
        <v>0</v>
      </c>
      <c r="T171" t="str">
        <f t="shared" si="19"/>
        <v xml:space="preserve"> -&gt; </v>
      </c>
    </row>
    <row r="172" spans="1:20">
      <c r="A172" s="31"/>
      <c r="B172" s="32"/>
      <c r="C172" s="31" t="s">
        <v>141</v>
      </c>
      <c r="D172" s="31"/>
      <c r="E172" s="31"/>
      <c r="F172" s="31"/>
      <c r="G172" s="31" t="s">
        <v>53</v>
      </c>
      <c r="H172" s="32"/>
      <c r="I172" s="32"/>
      <c r="J172" s="32"/>
      <c r="K172" s="31"/>
      <c r="L172" s="31"/>
      <c r="M172" s="3" t="str">
        <f t="shared" ca="1" si="15"/>
        <v/>
      </c>
      <c r="P172">
        <f>'Combined Delivery Data'!B199</f>
        <v>0</v>
      </c>
      <c r="Q172">
        <f t="shared" si="16"/>
        <v>0</v>
      </c>
      <c r="R172">
        <f t="shared" si="17"/>
        <v>468</v>
      </c>
      <c r="S172" s="28">
        <f t="shared" si="18"/>
        <v>0</v>
      </c>
      <c r="T172" t="str">
        <f t="shared" si="19"/>
        <v xml:space="preserve"> -&gt; </v>
      </c>
    </row>
    <row r="173" spans="1:20">
      <c r="A173" s="31"/>
      <c r="B173" s="32"/>
      <c r="C173" s="31" t="s">
        <v>141</v>
      </c>
      <c r="D173" s="31"/>
      <c r="E173" s="31"/>
      <c r="F173" s="31"/>
      <c r="G173" s="31" t="s">
        <v>53</v>
      </c>
      <c r="H173" s="32"/>
      <c r="I173" s="32"/>
      <c r="J173" s="32"/>
      <c r="K173" s="31"/>
      <c r="L173" s="31"/>
      <c r="M173" s="3" t="str">
        <f t="shared" ca="1" si="15"/>
        <v/>
      </c>
      <c r="P173">
        <f>'Combined Delivery Data'!B200</f>
        <v>0</v>
      </c>
      <c r="Q173">
        <f t="shared" si="16"/>
        <v>0</v>
      </c>
      <c r="R173">
        <f t="shared" si="17"/>
        <v>468</v>
      </c>
      <c r="S173" s="28">
        <f t="shared" si="18"/>
        <v>0</v>
      </c>
      <c r="T173" t="str">
        <f t="shared" si="19"/>
        <v xml:space="preserve"> -&gt; </v>
      </c>
    </row>
    <row r="174" spans="1:20">
      <c r="A174" s="31"/>
      <c r="B174" s="32"/>
      <c r="C174" s="31" t="s">
        <v>141</v>
      </c>
      <c r="D174" s="31"/>
      <c r="E174" s="31"/>
      <c r="F174" s="31"/>
      <c r="G174" s="31" t="s">
        <v>53</v>
      </c>
      <c r="H174" s="32"/>
      <c r="I174" s="32"/>
      <c r="J174" s="32"/>
      <c r="K174" s="31"/>
      <c r="L174" s="31"/>
      <c r="M174" s="3" t="str">
        <f t="shared" ca="1" si="15"/>
        <v/>
      </c>
      <c r="P174">
        <f>'Combined Delivery Data'!B201</f>
        <v>0</v>
      </c>
      <c r="Q174">
        <f t="shared" si="16"/>
        <v>0</v>
      </c>
      <c r="R174">
        <f t="shared" si="17"/>
        <v>468</v>
      </c>
      <c r="S174" s="28">
        <f t="shared" si="18"/>
        <v>0</v>
      </c>
      <c r="T174" t="str">
        <f t="shared" si="19"/>
        <v xml:space="preserve"> -&gt; </v>
      </c>
    </row>
    <row r="175" spans="1:20">
      <c r="A175" s="31"/>
      <c r="B175" s="32"/>
      <c r="C175" s="31" t="s">
        <v>141</v>
      </c>
      <c r="D175" s="31"/>
      <c r="E175" s="31"/>
      <c r="F175" s="31"/>
      <c r="G175" s="31" t="s">
        <v>53</v>
      </c>
      <c r="H175" s="32"/>
      <c r="I175" s="32"/>
      <c r="J175" s="32"/>
      <c r="K175" s="31"/>
      <c r="L175" s="31"/>
      <c r="M175" s="3" t="str">
        <f t="shared" ca="1" si="15"/>
        <v/>
      </c>
      <c r="P175">
        <f>'Combined Delivery Data'!B202</f>
        <v>0</v>
      </c>
      <c r="Q175">
        <f t="shared" si="16"/>
        <v>0</v>
      </c>
      <c r="R175">
        <f t="shared" si="17"/>
        <v>468</v>
      </c>
      <c r="S175" s="28">
        <f t="shared" si="18"/>
        <v>0</v>
      </c>
      <c r="T175" t="str">
        <f t="shared" si="19"/>
        <v xml:space="preserve"> -&gt; </v>
      </c>
    </row>
    <row r="176" spans="1:20">
      <c r="A176" s="31"/>
      <c r="B176" s="32"/>
      <c r="C176" s="31" t="s">
        <v>141</v>
      </c>
      <c r="D176" s="31"/>
      <c r="E176" s="31"/>
      <c r="F176" s="31"/>
      <c r="G176" s="31" t="s">
        <v>53</v>
      </c>
      <c r="H176" s="32"/>
      <c r="I176" s="32"/>
      <c r="J176" s="32"/>
      <c r="K176" s="31"/>
      <c r="L176" s="31"/>
      <c r="M176" s="3" t="str">
        <f t="shared" ca="1" si="15"/>
        <v/>
      </c>
      <c r="P176">
        <f>'Combined Delivery Data'!B203</f>
        <v>0</v>
      </c>
      <c r="Q176">
        <f t="shared" si="16"/>
        <v>0</v>
      </c>
      <c r="R176">
        <f t="shared" si="17"/>
        <v>468</v>
      </c>
      <c r="S176" s="28">
        <f t="shared" si="18"/>
        <v>0</v>
      </c>
      <c r="T176" t="str">
        <f t="shared" si="19"/>
        <v xml:space="preserve"> -&gt; </v>
      </c>
    </row>
    <row r="177" spans="1:20">
      <c r="A177" s="31"/>
      <c r="B177" s="32"/>
      <c r="C177" s="31" t="s">
        <v>141</v>
      </c>
      <c r="D177" s="31"/>
      <c r="E177" s="31"/>
      <c r="F177" s="31"/>
      <c r="G177" s="31" t="s">
        <v>53</v>
      </c>
      <c r="H177" s="32"/>
      <c r="I177" s="32"/>
      <c r="J177" s="32"/>
      <c r="K177" s="31"/>
      <c r="L177" s="31"/>
      <c r="M177" s="3" t="str">
        <f t="shared" ca="1" si="15"/>
        <v/>
      </c>
      <c r="P177">
        <f>'Combined Delivery Data'!B204</f>
        <v>0</v>
      </c>
      <c r="Q177">
        <f t="shared" si="16"/>
        <v>0</v>
      </c>
      <c r="R177">
        <f t="shared" si="17"/>
        <v>468</v>
      </c>
      <c r="S177" s="28">
        <f t="shared" si="18"/>
        <v>0</v>
      </c>
      <c r="T177" t="str">
        <f t="shared" si="19"/>
        <v xml:space="preserve"> -&gt; </v>
      </c>
    </row>
    <row r="178" spans="1:20">
      <c r="A178" s="31"/>
      <c r="B178" s="32"/>
      <c r="C178" s="31" t="s">
        <v>141</v>
      </c>
      <c r="D178" s="31"/>
      <c r="E178" s="31"/>
      <c r="F178" s="31"/>
      <c r="G178" s="31" t="s">
        <v>53</v>
      </c>
      <c r="H178" s="32"/>
      <c r="I178" s="32"/>
      <c r="J178" s="32"/>
      <c r="K178" s="31"/>
      <c r="L178" s="31"/>
      <c r="M178" s="3" t="str">
        <f t="shared" ca="1" si="15"/>
        <v/>
      </c>
      <c r="P178">
        <f>'Combined Delivery Data'!B205</f>
        <v>0</v>
      </c>
      <c r="Q178">
        <f t="shared" si="16"/>
        <v>0</v>
      </c>
      <c r="R178">
        <f t="shared" si="17"/>
        <v>468</v>
      </c>
      <c r="S178" s="28">
        <f t="shared" si="18"/>
        <v>0</v>
      </c>
      <c r="T178" t="str">
        <f t="shared" si="19"/>
        <v xml:space="preserve"> -&gt; </v>
      </c>
    </row>
    <row r="179" spans="1:20">
      <c r="A179" s="31"/>
      <c r="B179" s="32"/>
      <c r="C179" s="31" t="s">
        <v>141</v>
      </c>
      <c r="D179" s="31"/>
      <c r="E179" s="31"/>
      <c r="F179" s="31"/>
      <c r="G179" s="31" t="s">
        <v>53</v>
      </c>
      <c r="H179" s="32"/>
      <c r="I179" s="32"/>
      <c r="J179" s="32"/>
      <c r="K179" s="31"/>
      <c r="L179" s="31"/>
      <c r="M179" s="3" t="str">
        <f t="shared" ca="1" si="15"/>
        <v/>
      </c>
      <c r="P179">
        <f>'Combined Delivery Data'!B206</f>
        <v>0</v>
      </c>
      <c r="Q179">
        <f t="shared" si="16"/>
        <v>0</v>
      </c>
      <c r="R179">
        <f t="shared" si="17"/>
        <v>468</v>
      </c>
      <c r="S179" s="28">
        <f t="shared" si="18"/>
        <v>0</v>
      </c>
      <c r="T179" t="str">
        <f t="shared" si="19"/>
        <v xml:space="preserve"> -&gt; </v>
      </c>
    </row>
    <row r="180" spans="1:20">
      <c r="A180" s="31"/>
      <c r="B180" s="32"/>
      <c r="C180" s="31" t="s">
        <v>141</v>
      </c>
      <c r="D180" s="31"/>
      <c r="E180" s="31"/>
      <c r="F180" s="31"/>
      <c r="G180" s="31" t="s">
        <v>53</v>
      </c>
      <c r="H180" s="32"/>
      <c r="I180" s="32"/>
      <c r="J180" s="32"/>
      <c r="K180" s="31"/>
      <c r="L180" s="31"/>
      <c r="M180" s="3" t="str">
        <f t="shared" ca="1" si="15"/>
        <v/>
      </c>
      <c r="P180">
        <f>'Combined Delivery Data'!B207</f>
        <v>0</v>
      </c>
      <c r="Q180">
        <f t="shared" si="16"/>
        <v>0</v>
      </c>
      <c r="R180">
        <f t="shared" si="17"/>
        <v>468</v>
      </c>
      <c r="S180" s="28">
        <f t="shared" si="18"/>
        <v>0</v>
      </c>
      <c r="T180" t="str">
        <f t="shared" si="19"/>
        <v xml:space="preserve"> -&gt; </v>
      </c>
    </row>
    <row r="181" spans="1:20">
      <c r="A181" s="31"/>
      <c r="B181" s="32"/>
      <c r="C181" s="31" t="s">
        <v>141</v>
      </c>
      <c r="D181" s="31"/>
      <c r="E181" s="31"/>
      <c r="F181" s="31"/>
      <c r="G181" s="31" t="s">
        <v>53</v>
      </c>
      <c r="H181" s="32"/>
      <c r="I181" s="32"/>
      <c r="J181" s="32"/>
      <c r="K181" s="31"/>
      <c r="L181" s="31"/>
      <c r="M181" s="3" t="str">
        <f t="shared" ca="1" si="15"/>
        <v/>
      </c>
      <c r="P181">
        <f>'Combined Delivery Data'!B208</f>
        <v>0</v>
      </c>
      <c r="Q181">
        <f t="shared" si="16"/>
        <v>0</v>
      </c>
      <c r="R181">
        <f t="shared" si="17"/>
        <v>468</v>
      </c>
      <c r="S181" s="28">
        <f t="shared" si="18"/>
        <v>0</v>
      </c>
      <c r="T181" t="str">
        <f t="shared" si="19"/>
        <v xml:space="preserve"> -&gt; </v>
      </c>
    </row>
    <row r="182" spans="1:20">
      <c r="A182" s="31"/>
      <c r="B182" s="32"/>
      <c r="C182" s="31" t="s">
        <v>141</v>
      </c>
      <c r="D182" s="31"/>
      <c r="E182" s="31"/>
      <c r="F182" s="31"/>
      <c r="G182" s="31" t="s">
        <v>53</v>
      </c>
      <c r="H182" s="32"/>
      <c r="I182" s="32"/>
      <c r="J182" s="32"/>
      <c r="K182" s="31"/>
      <c r="L182" s="31"/>
      <c r="M182" s="3" t="str">
        <f t="shared" ca="1" si="15"/>
        <v/>
      </c>
      <c r="P182">
        <f>'Combined Delivery Data'!B209</f>
        <v>0</v>
      </c>
      <c r="Q182">
        <f t="shared" si="16"/>
        <v>0</v>
      </c>
      <c r="R182">
        <f t="shared" si="17"/>
        <v>468</v>
      </c>
      <c r="S182" s="28">
        <f t="shared" si="18"/>
        <v>0</v>
      </c>
      <c r="T182" t="str">
        <f t="shared" si="19"/>
        <v xml:space="preserve"> -&gt; </v>
      </c>
    </row>
    <row r="183" spans="1:20">
      <c r="A183" s="31"/>
      <c r="B183" s="32"/>
      <c r="C183" s="31" t="s">
        <v>141</v>
      </c>
      <c r="D183" s="31"/>
      <c r="E183" s="31"/>
      <c r="F183" s="31"/>
      <c r="G183" s="31" t="s">
        <v>53</v>
      </c>
      <c r="H183" s="32"/>
      <c r="I183" s="32"/>
      <c r="J183" s="32"/>
      <c r="K183" s="31"/>
      <c r="L183" s="31"/>
      <c r="M183" s="3" t="str">
        <f t="shared" ca="1" si="15"/>
        <v/>
      </c>
      <c r="P183">
        <f>'Combined Delivery Data'!B210</f>
        <v>0</v>
      </c>
      <c r="Q183">
        <f t="shared" si="16"/>
        <v>0</v>
      </c>
      <c r="R183">
        <f t="shared" si="17"/>
        <v>468</v>
      </c>
      <c r="S183" s="28">
        <f t="shared" si="18"/>
        <v>0</v>
      </c>
      <c r="T183" t="str">
        <f t="shared" si="19"/>
        <v xml:space="preserve"> -&gt; </v>
      </c>
    </row>
    <row r="184" spans="1:20">
      <c r="A184" s="31"/>
      <c r="B184" s="32"/>
      <c r="C184" s="31" t="s">
        <v>141</v>
      </c>
      <c r="D184" s="31"/>
      <c r="E184" s="31"/>
      <c r="F184" s="31"/>
      <c r="G184" s="31" t="s">
        <v>53</v>
      </c>
      <c r="H184" s="32"/>
      <c r="I184" s="32"/>
      <c r="J184" s="32"/>
      <c r="K184" s="31"/>
      <c r="L184" s="31"/>
      <c r="M184" s="3" t="str">
        <f t="shared" ca="1" si="15"/>
        <v/>
      </c>
      <c r="P184">
        <f>'Combined Delivery Data'!B211</f>
        <v>0</v>
      </c>
      <c r="Q184">
        <f t="shared" si="16"/>
        <v>0</v>
      </c>
      <c r="R184">
        <f t="shared" si="17"/>
        <v>468</v>
      </c>
      <c r="S184" s="28">
        <f t="shared" si="18"/>
        <v>0</v>
      </c>
      <c r="T184" t="str">
        <f t="shared" si="19"/>
        <v xml:space="preserve"> -&gt; </v>
      </c>
    </row>
    <row r="185" spans="1:20">
      <c r="A185" s="31"/>
      <c r="B185" s="32"/>
      <c r="C185" s="31" t="s">
        <v>141</v>
      </c>
      <c r="D185" s="31"/>
      <c r="E185" s="31"/>
      <c r="F185" s="31"/>
      <c r="G185" s="31" t="s">
        <v>53</v>
      </c>
      <c r="H185" s="32"/>
      <c r="I185" s="32"/>
      <c r="J185" s="32"/>
      <c r="K185" s="31"/>
      <c r="L185" s="31"/>
      <c r="M185" s="3" t="str">
        <f t="shared" ca="1" si="15"/>
        <v/>
      </c>
      <c r="P185">
        <f>'Combined Delivery Data'!B212</f>
        <v>0</v>
      </c>
      <c r="Q185">
        <f t="shared" si="16"/>
        <v>0</v>
      </c>
      <c r="R185">
        <f t="shared" si="17"/>
        <v>468</v>
      </c>
      <c r="S185" s="28">
        <f t="shared" si="18"/>
        <v>0</v>
      </c>
      <c r="T185" t="str">
        <f t="shared" si="19"/>
        <v xml:space="preserve"> -&gt; </v>
      </c>
    </row>
    <row r="186" spans="1:20">
      <c r="A186" s="31"/>
      <c r="B186" s="32"/>
      <c r="C186" s="31" t="s">
        <v>141</v>
      </c>
      <c r="D186" s="31"/>
      <c r="E186" s="31"/>
      <c r="F186" s="31"/>
      <c r="G186" s="31" t="s">
        <v>53</v>
      </c>
      <c r="H186" s="32"/>
      <c r="I186" s="32"/>
      <c r="J186" s="32"/>
      <c r="K186" s="31"/>
      <c r="L186" s="31"/>
      <c r="M186" s="3" t="str">
        <f t="shared" ca="1" si="15"/>
        <v/>
      </c>
      <c r="P186">
        <f>'Combined Delivery Data'!B213</f>
        <v>0</v>
      </c>
      <c r="Q186">
        <f t="shared" si="16"/>
        <v>0</v>
      </c>
      <c r="R186">
        <f t="shared" si="17"/>
        <v>468</v>
      </c>
      <c r="S186" s="28">
        <f t="shared" si="18"/>
        <v>0</v>
      </c>
      <c r="T186" t="str">
        <f t="shared" si="19"/>
        <v xml:space="preserve"> -&gt; </v>
      </c>
    </row>
    <row r="187" spans="1:20">
      <c r="A187" s="31"/>
      <c r="B187" s="32"/>
      <c r="C187" s="31" t="s">
        <v>141</v>
      </c>
      <c r="D187" s="31"/>
      <c r="E187" s="31"/>
      <c r="F187" s="31"/>
      <c r="G187" s="31" t="s">
        <v>53</v>
      </c>
      <c r="H187" s="32"/>
      <c r="I187" s="32"/>
      <c r="J187" s="32"/>
      <c r="K187" s="31"/>
      <c r="L187" s="31"/>
      <c r="M187" s="3" t="str">
        <f t="shared" ca="1" si="15"/>
        <v/>
      </c>
      <c r="P187">
        <f>'Combined Delivery Data'!B214</f>
        <v>0</v>
      </c>
      <c r="Q187">
        <f t="shared" si="16"/>
        <v>0</v>
      </c>
      <c r="R187">
        <f t="shared" si="17"/>
        <v>468</v>
      </c>
      <c r="S187" s="28">
        <f t="shared" si="18"/>
        <v>0</v>
      </c>
      <c r="T187" t="str">
        <f t="shared" si="19"/>
        <v xml:space="preserve"> -&gt; </v>
      </c>
    </row>
    <row r="188" spans="1:20">
      <c r="A188" s="31"/>
      <c r="B188" s="32"/>
      <c r="C188" s="31" t="s">
        <v>141</v>
      </c>
      <c r="D188" s="31"/>
      <c r="E188" s="31"/>
      <c r="F188" s="31"/>
      <c r="G188" s="31" t="s">
        <v>53</v>
      </c>
      <c r="H188" s="32"/>
      <c r="I188" s="32"/>
      <c r="J188" s="32"/>
      <c r="K188" s="31"/>
      <c r="L188" s="31"/>
      <c r="M188" s="3" t="str">
        <f t="shared" ca="1" si="15"/>
        <v/>
      </c>
      <c r="P188">
        <f>'Combined Delivery Data'!B215</f>
        <v>0</v>
      </c>
      <c r="Q188">
        <f t="shared" si="16"/>
        <v>0</v>
      </c>
      <c r="R188">
        <f t="shared" si="17"/>
        <v>468</v>
      </c>
      <c r="S188" s="28">
        <f t="shared" si="18"/>
        <v>0</v>
      </c>
      <c r="T188" t="str">
        <f t="shared" si="19"/>
        <v xml:space="preserve"> -&gt; </v>
      </c>
    </row>
    <row r="189" spans="1:20">
      <c r="A189" s="31"/>
      <c r="B189" s="32"/>
      <c r="C189" s="31" t="s">
        <v>141</v>
      </c>
      <c r="D189" s="31"/>
      <c r="E189" s="31"/>
      <c r="F189" s="31"/>
      <c r="G189" s="31" t="s">
        <v>53</v>
      </c>
      <c r="H189" s="32"/>
      <c r="I189" s="32"/>
      <c r="J189" s="32"/>
      <c r="K189" s="31"/>
      <c r="L189" s="31"/>
      <c r="M189" s="3" t="str">
        <f t="shared" ca="1" si="15"/>
        <v/>
      </c>
      <c r="P189">
        <f>'Combined Delivery Data'!B216</f>
        <v>0</v>
      </c>
      <c r="Q189">
        <f t="shared" si="16"/>
        <v>0</v>
      </c>
      <c r="R189">
        <f t="shared" si="17"/>
        <v>468</v>
      </c>
      <c r="S189" s="28">
        <f t="shared" si="18"/>
        <v>0</v>
      </c>
      <c r="T189" t="str">
        <f t="shared" si="19"/>
        <v xml:space="preserve"> -&gt; </v>
      </c>
    </row>
    <row r="190" spans="1:20">
      <c r="A190" s="31"/>
      <c r="B190" s="32"/>
      <c r="C190" s="31" t="s">
        <v>141</v>
      </c>
      <c r="D190" s="31"/>
      <c r="E190" s="31"/>
      <c r="F190" s="31"/>
      <c r="G190" s="31" t="s">
        <v>53</v>
      </c>
      <c r="H190" s="32"/>
      <c r="I190" s="32"/>
      <c r="J190" s="32"/>
      <c r="K190" s="31"/>
      <c r="L190" s="31"/>
      <c r="M190" s="3" t="str">
        <f t="shared" ca="1" si="15"/>
        <v/>
      </c>
      <c r="P190">
        <f>'Combined Delivery Data'!B217</f>
        <v>0</v>
      </c>
      <c r="Q190">
        <f t="shared" si="16"/>
        <v>0</v>
      </c>
      <c r="R190">
        <f t="shared" si="17"/>
        <v>468</v>
      </c>
      <c r="S190" s="28">
        <f t="shared" si="18"/>
        <v>0</v>
      </c>
      <c r="T190" t="str">
        <f t="shared" si="19"/>
        <v xml:space="preserve"> -&gt; </v>
      </c>
    </row>
    <row r="191" spans="1:20">
      <c r="A191" s="31"/>
      <c r="B191" s="32"/>
      <c r="C191" s="31" t="s">
        <v>141</v>
      </c>
      <c r="D191" s="31"/>
      <c r="E191" s="31"/>
      <c r="F191" s="31"/>
      <c r="G191" s="31" t="s">
        <v>53</v>
      </c>
      <c r="H191" s="32"/>
      <c r="I191" s="32"/>
      <c r="J191" s="32"/>
      <c r="K191" s="31"/>
      <c r="L191" s="31"/>
      <c r="M191" s="3" t="str">
        <f t="shared" ca="1" si="15"/>
        <v/>
      </c>
      <c r="P191">
        <f>'Combined Delivery Data'!B218</f>
        <v>0</v>
      </c>
      <c r="Q191">
        <f t="shared" si="16"/>
        <v>0</v>
      </c>
      <c r="R191">
        <f t="shared" si="17"/>
        <v>468</v>
      </c>
      <c r="S191" s="28">
        <f t="shared" si="18"/>
        <v>0</v>
      </c>
      <c r="T191" t="str">
        <f t="shared" si="19"/>
        <v xml:space="preserve"> -&gt; </v>
      </c>
    </row>
    <row r="192" spans="1:20">
      <c r="A192" s="31"/>
      <c r="B192" s="32"/>
      <c r="C192" s="31" t="s">
        <v>141</v>
      </c>
      <c r="D192" s="31"/>
      <c r="E192" s="31"/>
      <c r="F192" s="31"/>
      <c r="G192" s="31" t="s">
        <v>53</v>
      </c>
      <c r="H192" s="32"/>
      <c r="I192" s="32"/>
      <c r="J192" s="32"/>
      <c r="K192" s="31"/>
      <c r="L192" s="31"/>
      <c r="M192" s="3" t="str">
        <f t="shared" ca="1" si="15"/>
        <v/>
      </c>
      <c r="P192">
        <f>'Combined Delivery Data'!B219</f>
        <v>0</v>
      </c>
      <c r="Q192">
        <f t="shared" si="16"/>
        <v>0</v>
      </c>
      <c r="R192">
        <f t="shared" si="17"/>
        <v>468</v>
      </c>
      <c r="S192" s="28">
        <f t="shared" si="18"/>
        <v>0</v>
      </c>
      <c r="T192" t="str">
        <f t="shared" si="19"/>
        <v xml:space="preserve"> -&gt; </v>
      </c>
    </row>
    <row r="193" spans="1:20">
      <c r="A193" s="31"/>
      <c r="B193" s="32"/>
      <c r="C193" s="31" t="s">
        <v>141</v>
      </c>
      <c r="D193" s="31"/>
      <c r="E193" s="31"/>
      <c r="F193" s="31"/>
      <c r="G193" s="31" t="s">
        <v>53</v>
      </c>
      <c r="H193" s="32"/>
      <c r="I193" s="32"/>
      <c r="J193" s="32"/>
      <c r="K193" s="31"/>
      <c r="L193" s="31"/>
      <c r="M193" s="3" t="str">
        <f t="shared" ca="1" si="15"/>
        <v/>
      </c>
      <c r="P193">
        <f>'Combined Delivery Data'!B220</f>
        <v>0</v>
      </c>
      <c r="Q193">
        <f t="shared" si="16"/>
        <v>0</v>
      </c>
      <c r="R193">
        <f t="shared" si="17"/>
        <v>468</v>
      </c>
      <c r="S193" s="28">
        <f t="shared" si="18"/>
        <v>0</v>
      </c>
      <c r="T193" t="str">
        <f t="shared" si="19"/>
        <v xml:space="preserve"> -&gt; </v>
      </c>
    </row>
    <row r="194" spans="1:20">
      <c r="A194" s="31"/>
      <c r="B194" s="32"/>
      <c r="C194" s="31" t="s">
        <v>141</v>
      </c>
      <c r="D194" s="31"/>
      <c r="E194" s="31"/>
      <c r="F194" s="31"/>
      <c r="G194" s="31" t="s">
        <v>53</v>
      </c>
      <c r="H194" s="32"/>
      <c r="I194" s="32"/>
      <c r="J194" s="32"/>
      <c r="K194" s="31"/>
      <c r="L194" s="31"/>
      <c r="M194" s="3" t="str">
        <f t="shared" ref="M194:M257" ca="1" si="20">IF($A194="","",IF($G194="Did not pass re-test","Sent back again",IF(NOT(ISNUMBER($B194)),"Missing sent-back date",IF(ISNUMBER($J194),"Fixed in "&amp;($J194-$B194)&amp;" d",IF($I194="","UNCLAIMED "&amp;(TODAY()-$B194)&amp;" d",IF(TODAY()&gt;$I194,(TODAY()-$I194)&amp;" d LATE","Open "&amp;(TODAY()-$B194)&amp;" d"))))))</f>
        <v/>
      </c>
      <c r="P194">
        <f>'Combined Delivery Data'!B221</f>
        <v>0</v>
      </c>
      <c r="Q194">
        <f t="shared" si="16"/>
        <v>0</v>
      </c>
      <c r="R194">
        <f t="shared" si="17"/>
        <v>468</v>
      </c>
      <c r="S194" s="28">
        <f t="shared" si="18"/>
        <v>0</v>
      </c>
      <c r="T194" t="str">
        <f t="shared" si="19"/>
        <v xml:space="preserve"> -&gt; </v>
      </c>
    </row>
    <row r="195" spans="1:20">
      <c r="A195" s="31"/>
      <c r="B195" s="32"/>
      <c r="C195" s="31" t="s">
        <v>141</v>
      </c>
      <c r="D195" s="31"/>
      <c r="E195" s="31"/>
      <c r="F195" s="31"/>
      <c r="G195" s="31" t="s">
        <v>53</v>
      </c>
      <c r="H195" s="32"/>
      <c r="I195" s="32"/>
      <c r="J195" s="32"/>
      <c r="K195" s="31"/>
      <c r="L195" s="31"/>
      <c r="M195" s="3" t="str">
        <f t="shared" ca="1" si="20"/>
        <v/>
      </c>
      <c r="P195">
        <f>'Combined Delivery Data'!B222</f>
        <v>0</v>
      </c>
      <c r="Q195">
        <f t="shared" si="16"/>
        <v>0</v>
      </c>
      <c r="R195">
        <f t="shared" si="17"/>
        <v>468</v>
      </c>
      <c r="S195" s="28">
        <f t="shared" si="18"/>
        <v>0</v>
      </c>
      <c r="T195" t="str">
        <f t="shared" si="19"/>
        <v xml:space="preserve"> -&gt; </v>
      </c>
    </row>
    <row r="196" spans="1:20">
      <c r="A196" s="31"/>
      <c r="B196" s="32"/>
      <c r="C196" s="31" t="s">
        <v>141</v>
      </c>
      <c r="D196" s="31"/>
      <c r="E196" s="31"/>
      <c r="F196" s="31"/>
      <c r="G196" s="31" t="s">
        <v>53</v>
      </c>
      <c r="H196" s="32"/>
      <c r="I196" s="32"/>
      <c r="J196" s="32"/>
      <c r="K196" s="31"/>
      <c r="L196" s="31"/>
      <c r="M196" s="3" t="str">
        <f t="shared" ca="1" si="20"/>
        <v/>
      </c>
      <c r="P196">
        <f>'Combined Delivery Data'!B223</f>
        <v>0</v>
      </c>
      <c r="Q196">
        <f t="shared" si="16"/>
        <v>0</v>
      </c>
      <c r="R196">
        <f t="shared" si="17"/>
        <v>468</v>
      </c>
      <c r="S196" s="28">
        <f t="shared" si="18"/>
        <v>0</v>
      </c>
      <c r="T196" t="str">
        <f t="shared" si="19"/>
        <v xml:space="preserve"> -&gt; </v>
      </c>
    </row>
    <row r="197" spans="1:20">
      <c r="A197" s="31"/>
      <c r="B197" s="32"/>
      <c r="C197" s="31" t="s">
        <v>141</v>
      </c>
      <c r="D197" s="31"/>
      <c r="E197" s="31"/>
      <c r="F197" s="31"/>
      <c r="G197" s="31" t="s">
        <v>53</v>
      </c>
      <c r="H197" s="32"/>
      <c r="I197" s="32"/>
      <c r="J197" s="32"/>
      <c r="K197" s="31"/>
      <c r="L197" s="31"/>
      <c r="M197" s="3" t="str">
        <f t="shared" ca="1" si="20"/>
        <v/>
      </c>
      <c r="P197">
        <f>'Combined Delivery Data'!B224</f>
        <v>0</v>
      </c>
      <c r="Q197">
        <f t="shared" si="16"/>
        <v>0</v>
      </c>
      <c r="R197">
        <f t="shared" si="17"/>
        <v>468</v>
      </c>
      <c r="S197" s="28">
        <f t="shared" si="18"/>
        <v>0</v>
      </c>
      <c r="T197" t="str">
        <f t="shared" si="19"/>
        <v xml:space="preserve"> -&gt; </v>
      </c>
    </row>
    <row r="198" spans="1:20">
      <c r="A198" s="31"/>
      <c r="B198" s="32"/>
      <c r="C198" s="31" t="s">
        <v>141</v>
      </c>
      <c r="D198" s="31"/>
      <c r="E198" s="31"/>
      <c r="F198" s="31"/>
      <c r="G198" s="31" t="s">
        <v>53</v>
      </c>
      <c r="H198" s="32"/>
      <c r="I198" s="32"/>
      <c r="J198" s="32"/>
      <c r="K198" s="31"/>
      <c r="L198" s="31"/>
      <c r="M198" s="3" t="str">
        <f t="shared" ca="1" si="20"/>
        <v/>
      </c>
      <c r="P198">
        <f>'Combined Delivery Data'!B225</f>
        <v>0</v>
      </c>
      <c r="Q198">
        <f t="shared" si="16"/>
        <v>0</v>
      </c>
      <c r="R198">
        <f t="shared" si="17"/>
        <v>468</v>
      </c>
      <c r="S198" s="28">
        <f t="shared" si="18"/>
        <v>0</v>
      </c>
      <c r="T198" t="str">
        <f t="shared" si="19"/>
        <v xml:space="preserve"> -&gt; </v>
      </c>
    </row>
    <row r="199" spans="1:20">
      <c r="A199" s="31"/>
      <c r="B199" s="32"/>
      <c r="C199" s="31" t="s">
        <v>141</v>
      </c>
      <c r="D199" s="31"/>
      <c r="E199" s="31"/>
      <c r="F199" s="31"/>
      <c r="G199" s="31" t="s">
        <v>53</v>
      </c>
      <c r="H199" s="32"/>
      <c r="I199" s="32"/>
      <c r="J199" s="32"/>
      <c r="K199" s="31"/>
      <c r="L199" s="31"/>
      <c r="M199" s="3" t="str">
        <f t="shared" ca="1" si="20"/>
        <v/>
      </c>
      <c r="P199">
        <f>'Combined Delivery Data'!B226</f>
        <v>0</v>
      </c>
      <c r="Q199">
        <f t="shared" si="16"/>
        <v>0</v>
      </c>
      <c r="R199">
        <f t="shared" si="17"/>
        <v>468</v>
      </c>
      <c r="S199" s="28">
        <f t="shared" si="18"/>
        <v>0</v>
      </c>
      <c r="T199" t="str">
        <f t="shared" si="19"/>
        <v xml:space="preserve"> -&gt; </v>
      </c>
    </row>
    <row r="200" spans="1:20">
      <c r="A200" s="31"/>
      <c r="B200" s="32"/>
      <c r="C200" s="31"/>
      <c r="D200" s="31"/>
      <c r="E200" s="31"/>
      <c r="F200" s="31"/>
      <c r="G200" s="31"/>
      <c r="H200" s="32"/>
      <c r="I200" s="32"/>
      <c r="J200" s="32"/>
      <c r="K200" s="31"/>
      <c r="L200" s="31"/>
      <c r="M200" s="3" t="str">
        <f t="shared" ca="1" si="20"/>
        <v/>
      </c>
      <c r="P200">
        <f>'Combined Delivery Data'!B227</f>
        <v>0</v>
      </c>
      <c r="Q200">
        <f t="shared" si="16"/>
        <v>0</v>
      </c>
      <c r="R200">
        <f t="shared" si="17"/>
        <v>468</v>
      </c>
      <c r="S200" s="28">
        <f t="shared" si="18"/>
        <v>0</v>
      </c>
      <c r="T200" t="str">
        <f t="shared" si="19"/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20"/>
        <v/>
      </c>
      <c r="P201">
        <f>'Combined Delivery Data'!B228</f>
        <v>0</v>
      </c>
      <c r="Q201">
        <f t="shared" si="16"/>
        <v>0</v>
      </c>
      <c r="R201">
        <f t="shared" si="17"/>
        <v>468</v>
      </c>
      <c r="S201" s="28">
        <f t="shared" si="18"/>
        <v>0</v>
      </c>
      <c r="T201" t="str">
        <f t="shared" si="19"/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20"/>
        <v/>
      </c>
      <c r="P202">
        <f>'Combined Delivery Data'!B229</f>
        <v>0</v>
      </c>
      <c r="Q202">
        <f t="shared" si="16"/>
        <v>0</v>
      </c>
      <c r="R202">
        <f t="shared" si="17"/>
        <v>468</v>
      </c>
      <c r="S202" s="28">
        <f t="shared" si="18"/>
        <v>0</v>
      </c>
      <c r="T202" t="str">
        <f t="shared" si="19"/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20"/>
        <v/>
      </c>
      <c r="P203">
        <f>'Combined Delivery Data'!B230</f>
        <v>0</v>
      </c>
      <c r="Q203">
        <f t="shared" si="16"/>
        <v>0</v>
      </c>
      <c r="R203">
        <f t="shared" si="17"/>
        <v>468</v>
      </c>
      <c r="S203" s="28">
        <f t="shared" si="18"/>
        <v>0</v>
      </c>
      <c r="T203" t="str">
        <f t="shared" si="19"/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20"/>
        <v/>
      </c>
      <c r="P204">
        <f>'Combined Delivery Data'!B231</f>
        <v>0</v>
      </c>
      <c r="Q204">
        <f t="shared" si="16"/>
        <v>0</v>
      </c>
      <c r="R204">
        <f t="shared" si="17"/>
        <v>468</v>
      </c>
      <c r="S204" s="28">
        <f t="shared" si="18"/>
        <v>0</v>
      </c>
      <c r="T204" t="str">
        <f t="shared" si="19"/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20"/>
        <v/>
      </c>
      <c r="P205">
        <f>'Combined Delivery Data'!B232</f>
        <v>0</v>
      </c>
      <c r="Q205">
        <f t="shared" si="16"/>
        <v>0</v>
      </c>
      <c r="R205">
        <f t="shared" si="17"/>
        <v>468</v>
      </c>
      <c r="S205" s="28">
        <f t="shared" si="18"/>
        <v>0</v>
      </c>
      <c r="T205" t="str">
        <f t="shared" si="19"/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20"/>
        <v/>
      </c>
      <c r="P206">
        <f>'Combined Delivery Data'!B233</f>
        <v>0</v>
      </c>
      <c r="Q206">
        <f t="shared" si="16"/>
        <v>0</v>
      </c>
      <c r="R206">
        <f t="shared" si="17"/>
        <v>468</v>
      </c>
      <c r="S206" s="28">
        <f t="shared" si="18"/>
        <v>0</v>
      </c>
      <c r="T206" t="str">
        <f t="shared" si="19"/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20"/>
        <v/>
      </c>
      <c r="P207">
        <f>'Combined Delivery Data'!B234</f>
        <v>0</v>
      </c>
      <c r="Q207">
        <f t="shared" si="16"/>
        <v>0</v>
      </c>
      <c r="R207">
        <f t="shared" si="17"/>
        <v>468</v>
      </c>
      <c r="S207" s="28">
        <f t="shared" si="18"/>
        <v>0</v>
      </c>
      <c r="T207" t="str">
        <f t="shared" si="19"/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20"/>
        <v/>
      </c>
      <c r="P208">
        <f>'Combined Delivery Data'!B235</f>
        <v>0</v>
      </c>
      <c r="Q208">
        <f t="shared" si="16"/>
        <v>0</v>
      </c>
      <c r="R208">
        <f t="shared" si="17"/>
        <v>468</v>
      </c>
      <c r="S208" s="28">
        <f t="shared" si="18"/>
        <v>0</v>
      </c>
      <c r="T208" t="str">
        <f t="shared" si="19"/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20"/>
        <v/>
      </c>
      <c r="P209">
        <f>'Combined Delivery Data'!B236</f>
        <v>0</v>
      </c>
      <c r="Q209">
        <f t="shared" si="16"/>
        <v>0</v>
      </c>
      <c r="R209">
        <f t="shared" si="17"/>
        <v>468</v>
      </c>
      <c r="S209" s="28">
        <f t="shared" si="18"/>
        <v>0</v>
      </c>
      <c r="T209" t="str">
        <f t="shared" si="19"/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20"/>
        <v/>
      </c>
      <c r="P210">
        <f>'Combined Delivery Data'!B237</f>
        <v>0</v>
      </c>
      <c r="Q210">
        <f t="shared" ref="Q210:Q273" si="21">IF($P210="","",COUNTIF($A$3:$A$499,$P210))</f>
        <v>0</v>
      </c>
      <c r="R210">
        <f t="shared" ref="R210:R273" si="22">IF($P210="","",SUMPRODUCT(($A$3:$A$499=$P210)*($G$3:$G$499&lt;&gt;"Yes")*($G$3:$G$499&lt;&gt;"Did not pass re-test")))</f>
        <v>468</v>
      </c>
      <c r="S210" s="28">
        <f t="shared" ref="S210:S273" si="23">IF($P210="","",IF(SUMPRODUCT(MAX(($A$3:$A$499=$P210)*ROW($A$3:$A$499)))=0,"",INDEX($B:$B,SUMPRODUCT(MAX(($A$3:$A$499=$P210)*ROW($A$3:$A$499))))))</f>
        <v>0</v>
      </c>
      <c r="T210" t="str">
        <f t="shared" ref="T210:T273" si="24">IF($P210="","",IF(SUMPRODUCT(MAX(($A$3:$A$499=$P210)*ROW($A$3:$A$499)))=0,"",INDEX($C:$C,SUMPRODUCT(MAX(($A$3:$A$499=$P210)*ROW($A$3:$A$499))))&amp;" -&gt; "&amp;INDEX($D:$D,SUMPRODUCT(MAX(($A$3:$A$499=$P210)*ROW($A$3:$A$499))))))</f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20"/>
        <v/>
      </c>
      <c r="P211">
        <f>'Combined Delivery Data'!B238</f>
        <v>0</v>
      </c>
      <c r="Q211">
        <f t="shared" si="21"/>
        <v>0</v>
      </c>
      <c r="R211">
        <f t="shared" si="22"/>
        <v>468</v>
      </c>
      <c r="S211" s="28">
        <f t="shared" si="23"/>
        <v>0</v>
      </c>
      <c r="T211" t="str">
        <f t="shared" si="24"/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20"/>
        <v/>
      </c>
      <c r="P212">
        <f>'Combined Delivery Data'!B239</f>
        <v>0</v>
      </c>
      <c r="Q212">
        <f t="shared" si="21"/>
        <v>0</v>
      </c>
      <c r="R212">
        <f t="shared" si="22"/>
        <v>468</v>
      </c>
      <c r="S212" s="28">
        <f t="shared" si="23"/>
        <v>0</v>
      </c>
      <c r="T212" t="str">
        <f t="shared" si="24"/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20"/>
        <v/>
      </c>
      <c r="P213">
        <f>'Combined Delivery Data'!B240</f>
        <v>0</v>
      </c>
      <c r="Q213">
        <f t="shared" si="21"/>
        <v>0</v>
      </c>
      <c r="R213">
        <f t="shared" si="22"/>
        <v>468</v>
      </c>
      <c r="S213" s="28">
        <f t="shared" si="23"/>
        <v>0</v>
      </c>
      <c r="T213" t="str">
        <f t="shared" si="24"/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20"/>
        <v/>
      </c>
      <c r="P214">
        <f>'Combined Delivery Data'!B241</f>
        <v>0</v>
      </c>
      <c r="Q214">
        <f t="shared" si="21"/>
        <v>0</v>
      </c>
      <c r="R214">
        <f t="shared" si="22"/>
        <v>468</v>
      </c>
      <c r="S214" s="28">
        <f t="shared" si="23"/>
        <v>0</v>
      </c>
      <c r="T214" t="str">
        <f t="shared" si="24"/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20"/>
        <v/>
      </c>
      <c r="P215">
        <f>'Combined Delivery Data'!B242</f>
        <v>0</v>
      </c>
      <c r="Q215">
        <f t="shared" si="21"/>
        <v>0</v>
      </c>
      <c r="R215">
        <f t="shared" si="22"/>
        <v>468</v>
      </c>
      <c r="S215" s="28">
        <f t="shared" si="23"/>
        <v>0</v>
      </c>
      <c r="T215" t="str">
        <f t="shared" si="24"/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20"/>
        <v/>
      </c>
      <c r="P216">
        <f>'Combined Delivery Data'!B243</f>
        <v>0</v>
      </c>
      <c r="Q216">
        <f t="shared" si="21"/>
        <v>0</v>
      </c>
      <c r="R216">
        <f t="shared" si="22"/>
        <v>468</v>
      </c>
      <c r="S216" s="28">
        <f t="shared" si="23"/>
        <v>0</v>
      </c>
      <c r="T216" t="str">
        <f t="shared" si="24"/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20"/>
        <v/>
      </c>
      <c r="P217">
        <f>'Combined Delivery Data'!B244</f>
        <v>0</v>
      </c>
      <c r="Q217">
        <f t="shared" si="21"/>
        <v>0</v>
      </c>
      <c r="R217">
        <f t="shared" si="22"/>
        <v>468</v>
      </c>
      <c r="S217" s="28">
        <f t="shared" si="23"/>
        <v>0</v>
      </c>
      <c r="T217" t="str">
        <f t="shared" si="24"/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20"/>
        <v/>
      </c>
      <c r="P218">
        <f>'Combined Delivery Data'!B245</f>
        <v>0</v>
      </c>
      <c r="Q218">
        <f t="shared" si="21"/>
        <v>0</v>
      </c>
      <c r="R218">
        <f t="shared" si="22"/>
        <v>468</v>
      </c>
      <c r="S218" s="28">
        <f t="shared" si="23"/>
        <v>0</v>
      </c>
      <c r="T218" t="str">
        <f t="shared" si="24"/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20"/>
        <v/>
      </c>
      <c r="P219">
        <f>'Combined Delivery Data'!B246</f>
        <v>0</v>
      </c>
      <c r="Q219">
        <f t="shared" si="21"/>
        <v>0</v>
      </c>
      <c r="R219">
        <f t="shared" si="22"/>
        <v>468</v>
      </c>
      <c r="S219" s="28">
        <f t="shared" si="23"/>
        <v>0</v>
      </c>
      <c r="T219" t="str">
        <f t="shared" si="24"/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20"/>
        <v/>
      </c>
      <c r="P220">
        <f>'Combined Delivery Data'!B247</f>
        <v>0</v>
      </c>
      <c r="Q220">
        <f t="shared" si="21"/>
        <v>0</v>
      </c>
      <c r="R220">
        <f t="shared" si="22"/>
        <v>468</v>
      </c>
      <c r="S220" s="28">
        <f t="shared" si="23"/>
        <v>0</v>
      </c>
      <c r="T220" t="str">
        <f t="shared" si="24"/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20"/>
        <v/>
      </c>
      <c r="P221">
        <f>'Combined Delivery Data'!B248</f>
        <v>0</v>
      </c>
      <c r="Q221">
        <f t="shared" si="21"/>
        <v>0</v>
      </c>
      <c r="R221">
        <f t="shared" si="22"/>
        <v>468</v>
      </c>
      <c r="S221" s="28">
        <f t="shared" si="23"/>
        <v>0</v>
      </c>
      <c r="T221" t="str">
        <f t="shared" si="24"/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20"/>
        <v/>
      </c>
      <c r="P222">
        <f>'Combined Delivery Data'!B249</f>
        <v>0</v>
      </c>
      <c r="Q222">
        <f t="shared" si="21"/>
        <v>0</v>
      </c>
      <c r="R222">
        <f t="shared" si="22"/>
        <v>468</v>
      </c>
      <c r="S222" s="28">
        <f t="shared" si="23"/>
        <v>0</v>
      </c>
      <c r="T222" t="str">
        <f t="shared" si="24"/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20"/>
        <v/>
      </c>
      <c r="P223">
        <f>'Combined Delivery Data'!B250</f>
        <v>0</v>
      </c>
      <c r="Q223">
        <f t="shared" si="21"/>
        <v>0</v>
      </c>
      <c r="R223">
        <f t="shared" si="22"/>
        <v>468</v>
      </c>
      <c r="S223" s="28">
        <f t="shared" si="23"/>
        <v>0</v>
      </c>
      <c r="T223" t="str">
        <f t="shared" si="24"/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20"/>
        <v/>
      </c>
      <c r="P224">
        <f>'Combined Delivery Data'!B251</f>
        <v>0</v>
      </c>
      <c r="Q224">
        <f t="shared" si="21"/>
        <v>0</v>
      </c>
      <c r="R224">
        <f t="shared" si="22"/>
        <v>468</v>
      </c>
      <c r="S224" s="28">
        <f t="shared" si="23"/>
        <v>0</v>
      </c>
      <c r="T224" t="str">
        <f t="shared" si="24"/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20"/>
        <v/>
      </c>
      <c r="P225">
        <f>'Combined Delivery Data'!B252</f>
        <v>0</v>
      </c>
      <c r="Q225">
        <f t="shared" si="21"/>
        <v>0</v>
      </c>
      <c r="R225">
        <f t="shared" si="22"/>
        <v>468</v>
      </c>
      <c r="S225" s="28">
        <f t="shared" si="23"/>
        <v>0</v>
      </c>
      <c r="T225" t="str">
        <f t="shared" si="24"/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20"/>
        <v/>
      </c>
      <c r="P226">
        <f>'Combined Delivery Data'!B253</f>
        <v>0</v>
      </c>
      <c r="Q226">
        <f t="shared" si="21"/>
        <v>0</v>
      </c>
      <c r="R226">
        <f t="shared" si="22"/>
        <v>468</v>
      </c>
      <c r="S226" s="28">
        <f t="shared" si="23"/>
        <v>0</v>
      </c>
      <c r="T226" t="str">
        <f t="shared" si="24"/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20"/>
        <v/>
      </c>
      <c r="P227">
        <f>'Combined Delivery Data'!B254</f>
        <v>0</v>
      </c>
      <c r="Q227">
        <f t="shared" si="21"/>
        <v>0</v>
      </c>
      <c r="R227">
        <f t="shared" si="22"/>
        <v>468</v>
      </c>
      <c r="S227" s="28">
        <f t="shared" si="23"/>
        <v>0</v>
      </c>
      <c r="T227" t="str">
        <f t="shared" si="24"/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20"/>
        <v/>
      </c>
      <c r="P228">
        <f>'Combined Delivery Data'!B255</f>
        <v>0</v>
      </c>
      <c r="Q228">
        <f t="shared" si="21"/>
        <v>0</v>
      </c>
      <c r="R228">
        <f t="shared" si="22"/>
        <v>468</v>
      </c>
      <c r="S228" s="28">
        <f t="shared" si="23"/>
        <v>0</v>
      </c>
      <c r="T228" t="str">
        <f t="shared" si="24"/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20"/>
        <v/>
      </c>
      <c r="P229">
        <f>'Combined Delivery Data'!B256</f>
        <v>0</v>
      </c>
      <c r="Q229">
        <f t="shared" si="21"/>
        <v>0</v>
      </c>
      <c r="R229">
        <f t="shared" si="22"/>
        <v>468</v>
      </c>
      <c r="S229" s="28">
        <f t="shared" si="23"/>
        <v>0</v>
      </c>
      <c r="T229" t="str">
        <f t="shared" si="24"/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20"/>
        <v/>
      </c>
      <c r="P230">
        <f>'Combined Delivery Data'!B257</f>
        <v>0</v>
      </c>
      <c r="Q230">
        <f t="shared" si="21"/>
        <v>0</v>
      </c>
      <c r="R230">
        <f t="shared" si="22"/>
        <v>468</v>
      </c>
      <c r="S230" s="28">
        <f t="shared" si="23"/>
        <v>0</v>
      </c>
      <c r="T230" t="str">
        <f t="shared" si="24"/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20"/>
        <v/>
      </c>
      <c r="P231">
        <f>'Combined Delivery Data'!B258</f>
        <v>0</v>
      </c>
      <c r="Q231">
        <f t="shared" si="21"/>
        <v>0</v>
      </c>
      <c r="R231">
        <f t="shared" si="22"/>
        <v>468</v>
      </c>
      <c r="S231" s="28">
        <f t="shared" si="23"/>
        <v>0</v>
      </c>
      <c r="T231" t="str">
        <f t="shared" si="24"/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20"/>
        <v/>
      </c>
      <c r="P232">
        <f>'Combined Delivery Data'!B259</f>
        <v>0</v>
      </c>
      <c r="Q232">
        <f t="shared" si="21"/>
        <v>0</v>
      </c>
      <c r="R232">
        <f t="shared" si="22"/>
        <v>468</v>
      </c>
      <c r="S232" s="28">
        <f t="shared" si="23"/>
        <v>0</v>
      </c>
      <c r="T232" t="str">
        <f t="shared" si="24"/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20"/>
        <v/>
      </c>
      <c r="P233">
        <f>'Combined Delivery Data'!B260</f>
        <v>0</v>
      </c>
      <c r="Q233">
        <f t="shared" si="21"/>
        <v>0</v>
      </c>
      <c r="R233">
        <f t="shared" si="22"/>
        <v>468</v>
      </c>
      <c r="S233" s="28">
        <f t="shared" si="23"/>
        <v>0</v>
      </c>
      <c r="T233" t="str">
        <f t="shared" si="24"/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20"/>
        <v/>
      </c>
      <c r="P234">
        <f>'Combined Delivery Data'!B261</f>
        <v>0</v>
      </c>
      <c r="Q234">
        <f t="shared" si="21"/>
        <v>0</v>
      </c>
      <c r="R234">
        <f t="shared" si="22"/>
        <v>468</v>
      </c>
      <c r="S234" s="28">
        <f t="shared" si="23"/>
        <v>0</v>
      </c>
      <c r="T234" t="str">
        <f t="shared" si="24"/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20"/>
        <v/>
      </c>
      <c r="P235">
        <f>'Combined Delivery Data'!B262</f>
        <v>0</v>
      </c>
      <c r="Q235">
        <f t="shared" si="21"/>
        <v>0</v>
      </c>
      <c r="R235">
        <f t="shared" si="22"/>
        <v>468</v>
      </c>
      <c r="S235" s="28">
        <f t="shared" si="23"/>
        <v>0</v>
      </c>
      <c r="T235" t="str">
        <f t="shared" si="24"/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20"/>
        <v/>
      </c>
      <c r="P236">
        <f>'Combined Delivery Data'!B263</f>
        <v>0</v>
      </c>
      <c r="Q236">
        <f t="shared" si="21"/>
        <v>0</v>
      </c>
      <c r="R236">
        <f t="shared" si="22"/>
        <v>468</v>
      </c>
      <c r="S236" s="28">
        <f t="shared" si="23"/>
        <v>0</v>
      </c>
      <c r="T236" t="str">
        <f t="shared" si="24"/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20"/>
        <v/>
      </c>
      <c r="P237">
        <f>'Combined Delivery Data'!B264</f>
        <v>0</v>
      </c>
      <c r="Q237">
        <f t="shared" si="21"/>
        <v>0</v>
      </c>
      <c r="R237">
        <f t="shared" si="22"/>
        <v>468</v>
      </c>
      <c r="S237" s="28">
        <f t="shared" si="23"/>
        <v>0</v>
      </c>
      <c r="T237" t="str">
        <f t="shared" si="24"/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20"/>
        <v/>
      </c>
      <c r="P238">
        <f>'Combined Delivery Data'!B265</f>
        <v>0</v>
      </c>
      <c r="Q238">
        <f t="shared" si="21"/>
        <v>0</v>
      </c>
      <c r="R238">
        <f t="shared" si="22"/>
        <v>468</v>
      </c>
      <c r="S238" s="28">
        <f t="shared" si="23"/>
        <v>0</v>
      </c>
      <c r="T238" t="str">
        <f t="shared" si="24"/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20"/>
        <v/>
      </c>
      <c r="P239">
        <f>'Combined Delivery Data'!B266</f>
        <v>0</v>
      </c>
      <c r="Q239">
        <f t="shared" si="21"/>
        <v>0</v>
      </c>
      <c r="R239">
        <f t="shared" si="22"/>
        <v>468</v>
      </c>
      <c r="S239" s="28">
        <f t="shared" si="23"/>
        <v>0</v>
      </c>
      <c r="T239" t="str">
        <f t="shared" si="24"/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20"/>
        <v/>
      </c>
      <c r="P240">
        <f>'Combined Delivery Data'!B267</f>
        <v>0</v>
      </c>
      <c r="Q240">
        <f t="shared" si="21"/>
        <v>0</v>
      </c>
      <c r="R240">
        <f t="shared" si="22"/>
        <v>468</v>
      </c>
      <c r="S240" s="28">
        <f t="shared" si="23"/>
        <v>0</v>
      </c>
      <c r="T240" t="str">
        <f t="shared" si="24"/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20"/>
        <v/>
      </c>
      <c r="P241">
        <f>'Combined Delivery Data'!B268</f>
        <v>0</v>
      </c>
      <c r="Q241">
        <f t="shared" si="21"/>
        <v>0</v>
      </c>
      <c r="R241">
        <f t="shared" si="22"/>
        <v>468</v>
      </c>
      <c r="S241" s="28">
        <f t="shared" si="23"/>
        <v>0</v>
      </c>
      <c r="T241" t="str">
        <f t="shared" si="24"/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20"/>
        <v/>
      </c>
      <c r="P242">
        <f>'Combined Delivery Data'!B269</f>
        <v>0</v>
      </c>
      <c r="Q242">
        <f t="shared" si="21"/>
        <v>0</v>
      </c>
      <c r="R242">
        <f t="shared" si="22"/>
        <v>468</v>
      </c>
      <c r="S242" s="28">
        <f t="shared" si="23"/>
        <v>0</v>
      </c>
      <c r="T242" t="str">
        <f t="shared" si="24"/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20"/>
        <v/>
      </c>
      <c r="P243">
        <f>'Combined Delivery Data'!B270</f>
        <v>0</v>
      </c>
      <c r="Q243">
        <f t="shared" si="21"/>
        <v>0</v>
      </c>
      <c r="R243">
        <f t="shared" si="22"/>
        <v>468</v>
      </c>
      <c r="S243" s="28">
        <f t="shared" si="23"/>
        <v>0</v>
      </c>
      <c r="T243" t="str">
        <f t="shared" si="24"/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20"/>
        <v/>
      </c>
      <c r="P244">
        <f>'Combined Delivery Data'!B271</f>
        <v>0</v>
      </c>
      <c r="Q244">
        <f t="shared" si="21"/>
        <v>0</v>
      </c>
      <c r="R244">
        <f t="shared" si="22"/>
        <v>468</v>
      </c>
      <c r="S244" s="28">
        <f t="shared" si="23"/>
        <v>0</v>
      </c>
      <c r="T244" t="str">
        <f t="shared" si="24"/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20"/>
        <v/>
      </c>
      <c r="P245">
        <f>'Combined Delivery Data'!B272</f>
        <v>0</v>
      </c>
      <c r="Q245">
        <f t="shared" si="21"/>
        <v>0</v>
      </c>
      <c r="R245">
        <f t="shared" si="22"/>
        <v>468</v>
      </c>
      <c r="S245" s="28">
        <f t="shared" si="23"/>
        <v>0</v>
      </c>
      <c r="T245" t="str">
        <f t="shared" si="24"/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20"/>
        <v/>
      </c>
      <c r="P246">
        <f>'Combined Delivery Data'!B273</f>
        <v>0</v>
      </c>
      <c r="Q246">
        <f t="shared" si="21"/>
        <v>0</v>
      </c>
      <c r="R246">
        <f t="shared" si="22"/>
        <v>468</v>
      </c>
      <c r="S246" s="28">
        <f t="shared" si="23"/>
        <v>0</v>
      </c>
      <c r="T246" t="str">
        <f t="shared" si="24"/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20"/>
        <v/>
      </c>
      <c r="P247">
        <f>'Combined Delivery Data'!B274</f>
        <v>0</v>
      </c>
      <c r="Q247">
        <f t="shared" si="21"/>
        <v>0</v>
      </c>
      <c r="R247">
        <f t="shared" si="22"/>
        <v>468</v>
      </c>
      <c r="S247" s="28">
        <f t="shared" si="23"/>
        <v>0</v>
      </c>
      <c r="T247" t="str">
        <f t="shared" si="24"/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20"/>
        <v/>
      </c>
      <c r="P248">
        <f>'Combined Delivery Data'!B275</f>
        <v>0</v>
      </c>
      <c r="Q248">
        <f t="shared" si="21"/>
        <v>0</v>
      </c>
      <c r="R248">
        <f t="shared" si="22"/>
        <v>468</v>
      </c>
      <c r="S248" s="28">
        <f t="shared" si="23"/>
        <v>0</v>
      </c>
      <c r="T248" t="str">
        <f t="shared" si="24"/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20"/>
        <v/>
      </c>
      <c r="P249">
        <f>'Combined Delivery Data'!B276</f>
        <v>0</v>
      </c>
      <c r="Q249">
        <f t="shared" si="21"/>
        <v>0</v>
      </c>
      <c r="R249">
        <f t="shared" si="22"/>
        <v>468</v>
      </c>
      <c r="S249" s="28">
        <f t="shared" si="23"/>
        <v>0</v>
      </c>
      <c r="T249" t="str">
        <f t="shared" si="24"/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20"/>
        <v/>
      </c>
      <c r="P250">
        <f>'Combined Delivery Data'!B277</f>
        <v>0</v>
      </c>
      <c r="Q250">
        <f t="shared" si="21"/>
        <v>0</v>
      </c>
      <c r="R250">
        <f t="shared" si="22"/>
        <v>468</v>
      </c>
      <c r="S250" s="28">
        <f t="shared" si="23"/>
        <v>0</v>
      </c>
      <c r="T250" t="str">
        <f t="shared" si="24"/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20"/>
        <v/>
      </c>
      <c r="P251">
        <f>'Combined Delivery Data'!B278</f>
        <v>0</v>
      </c>
      <c r="Q251">
        <f t="shared" si="21"/>
        <v>0</v>
      </c>
      <c r="R251">
        <f t="shared" si="22"/>
        <v>468</v>
      </c>
      <c r="S251" s="28">
        <f t="shared" si="23"/>
        <v>0</v>
      </c>
      <c r="T251" t="str">
        <f t="shared" si="24"/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20"/>
        <v/>
      </c>
      <c r="P252">
        <f>'Combined Delivery Data'!B279</f>
        <v>0</v>
      </c>
      <c r="Q252">
        <f t="shared" si="21"/>
        <v>0</v>
      </c>
      <c r="R252">
        <f t="shared" si="22"/>
        <v>468</v>
      </c>
      <c r="S252" s="28">
        <f t="shared" si="23"/>
        <v>0</v>
      </c>
      <c r="T252" t="str">
        <f t="shared" si="24"/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20"/>
        <v/>
      </c>
      <c r="P253">
        <f>'Combined Delivery Data'!B280</f>
        <v>0</v>
      </c>
      <c r="Q253">
        <f t="shared" si="21"/>
        <v>0</v>
      </c>
      <c r="R253">
        <f t="shared" si="22"/>
        <v>468</v>
      </c>
      <c r="S253" s="28">
        <f t="shared" si="23"/>
        <v>0</v>
      </c>
      <c r="T253" t="str">
        <f t="shared" si="24"/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20"/>
        <v/>
      </c>
      <c r="P254">
        <f>'Combined Delivery Data'!B281</f>
        <v>0</v>
      </c>
      <c r="Q254">
        <f t="shared" si="21"/>
        <v>0</v>
      </c>
      <c r="R254">
        <f t="shared" si="22"/>
        <v>468</v>
      </c>
      <c r="S254" s="28">
        <f t="shared" si="23"/>
        <v>0</v>
      </c>
      <c r="T254" t="str">
        <f t="shared" si="24"/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20"/>
        <v/>
      </c>
      <c r="P255">
        <f>'Combined Delivery Data'!B282</f>
        <v>0</v>
      </c>
      <c r="Q255">
        <f t="shared" si="21"/>
        <v>0</v>
      </c>
      <c r="R255">
        <f t="shared" si="22"/>
        <v>468</v>
      </c>
      <c r="S255" s="28">
        <f t="shared" si="23"/>
        <v>0</v>
      </c>
      <c r="T255" t="str">
        <f t="shared" si="24"/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20"/>
        <v/>
      </c>
      <c r="P256">
        <f>'Combined Delivery Data'!B283</f>
        <v>0</v>
      </c>
      <c r="Q256">
        <f t="shared" si="21"/>
        <v>0</v>
      </c>
      <c r="R256">
        <f t="shared" si="22"/>
        <v>468</v>
      </c>
      <c r="S256" s="28">
        <f t="shared" si="23"/>
        <v>0</v>
      </c>
      <c r="T256" t="str">
        <f t="shared" si="24"/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20"/>
        <v/>
      </c>
      <c r="P257">
        <f>'Combined Delivery Data'!B284</f>
        <v>0</v>
      </c>
      <c r="Q257">
        <f t="shared" si="21"/>
        <v>0</v>
      </c>
      <c r="R257">
        <f t="shared" si="22"/>
        <v>468</v>
      </c>
      <c r="S257" s="28">
        <f t="shared" si="23"/>
        <v>0</v>
      </c>
      <c r="T257" t="str">
        <f t="shared" si="24"/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ref="M258:M321" ca="1" si="25">IF($A258="","",IF($G258="Did not pass re-test","Sent back again",IF(NOT(ISNUMBER($B258)),"Missing sent-back date",IF(ISNUMBER($J258),"Fixed in "&amp;($J258-$B258)&amp;" d",IF($I258="","UNCLAIMED "&amp;(TODAY()-$B258)&amp;" d",IF(TODAY()&gt;$I258,(TODAY()-$I258)&amp;" d LATE","Open "&amp;(TODAY()-$B258)&amp;" d"))))))</f>
        <v/>
      </c>
      <c r="P258">
        <f>'Combined Delivery Data'!B285</f>
        <v>0</v>
      </c>
      <c r="Q258">
        <f t="shared" si="21"/>
        <v>0</v>
      </c>
      <c r="R258">
        <f t="shared" si="22"/>
        <v>468</v>
      </c>
      <c r="S258" s="28">
        <f t="shared" si="23"/>
        <v>0</v>
      </c>
      <c r="T258" t="str">
        <f t="shared" si="24"/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ca="1" si="25"/>
        <v/>
      </c>
      <c r="P259">
        <f>'Combined Delivery Data'!B286</f>
        <v>0</v>
      </c>
      <c r="Q259">
        <f t="shared" si="21"/>
        <v>0</v>
      </c>
      <c r="R259">
        <f t="shared" si="22"/>
        <v>468</v>
      </c>
      <c r="S259" s="28">
        <f t="shared" si="23"/>
        <v>0</v>
      </c>
      <c r="T259" t="str">
        <f t="shared" si="24"/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25"/>
        <v/>
      </c>
      <c r="P260">
        <f>'Combined Delivery Data'!B287</f>
        <v>0</v>
      </c>
      <c r="Q260">
        <f t="shared" si="21"/>
        <v>0</v>
      </c>
      <c r="R260">
        <f t="shared" si="22"/>
        <v>468</v>
      </c>
      <c r="S260" s="28">
        <f t="shared" si="23"/>
        <v>0</v>
      </c>
      <c r="T260" t="str">
        <f t="shared" si="24"/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25"/>
        <v/>
      </c>
      <c r="P261">
        <f>'Combined Delivery Data'!B288</f>
        <v>0</v>
      </c>
      <c r="Q261">
        <f t="shared" si="21"/>
        <v>0</v>
      </c>
      <c r="R261">
        <f t="shared" si="22"/>
        <v>468</v>
      </c>
      <c r="S261" s="28">
        <f t="shared" si="23"/>
        <v>0</v>
      </c>
      <c r="T261" t="str">
        <f t="shared" si="24"/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25"/>
        <v/>
      </c>
      <c r="P262">
        <f>'Combined Delivery Data'!B289</f>
        <v>0</v>
      </c>
      <c r="Q262">
        <f t="shared" si="21"/>
        <v>0</v>
      </c>
      <c r="R262">
        <f t="shared" si="22"/>
        <v>468</v>
      </c>
      <c r="S262" s="28">
        <f t="shared" si="23"/>
        <v>0</v>
      </c>
      <c r="T262" t="str">
        <f t="shared" si="24"/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25"/>
        <v/>
      </c>
      <c r="P263">
        <f>'Combined Delivery Data'!B290</f>
        <v>0</v>
      </c>
      <c r="Q263">
        <f t="shared" si="21"/>
        <v>0</v>
      </c>
      <c r="R263">
        <f t="shared" si="22"/>
        <v>468</v>
      </c>
      <c r="S263" s="28">
        <f t="shared" si="23"/>
        <v>0</v>
      </c>
      <c r="T263" t="str">
        <f t="shared" si="24"/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25"/>
        <v/>
      </c>
      <c r="P264">
        <f>'Combined Delivery Data'!B291</f>
        <v>0</v>
      </c>
      <c r="Q264">
        <f t="shared" si="21"/>
        <v>0</v>
      </c>
      <c r="R264">
        <f t="shared" si="22"/>
        <v>468</v>
      </c>
      <c r="S264" s="28">
        <f t="shared" si="23"/>
        <v>0</v>
      </c>
      <c r="T264" t="str">
        <f t="shared" si="24"/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25"/>
        <v/>
      </c>
      <c r="P265">
        <f>'Combined Delivery Data'!B292</f>
        <v>0</v>
      </c>
      <c r="Q265">
        <f t="shared" si="21"/>
        <v>0</v>
      </c>
      <c r="R265">
        <f t="shared" si="22"/>
        <v>468</v>
      </c>
      <c r="S265" s="28">
        <f t="shared" si="23"/>
        <v>0</v>
      </c>
      <c r="T265" t="str">
        <f t="shared" si="24"/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25"/>
        <v/>
      </c>
      <c r="P266">
        <f>'Combined Delivery Data'!B293</f>
        <v>0</v>
      </c>
      <c r="Q266">
        <f t="shared" si="21"/>
        <v>0</v>
      </c>
      <c r="R266">
        <f t="shared" si="22"/>
        <v>468</v>
      </c>
      <c r="S266" s="28">
        <f t="shared" si="23"/>
        <v>0</v>
      </c>
      <c r="T266" t="str">
        <f t="shared" si="24"/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25"/>
        <v/>
      </c>
      <c r="P267">
        <f>'Combined Delivery Data'!B294</f>
        <v>0</v>
      </c>
      <c r="Q267">
        <f t="shared" si="21"/>
        <v>0</v>
      </c>
      <c r="R267">
        <f t="shared" si="22"/>
        <v>468</v>
      </c>
      <c r="S267" s="28">
        <f t="shared" si="23"/>
        <v>0</v>
      </c>
      <c r="T267" t="str">
        <f t="shared" si="24"/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25"/>
        <v/>
      </c>
      <c r="P268">
        <f>'Combined Delivery Data'!B295</f>
        <v>0</v>
      </c>
      <c r="Q268">
        <f t="shared" si="21"/>
        <v>0</v>
      </c>
      <c r="R268">
        <f t="shared" si="22"/>
        <v>468</v>
      </c>
      <c r="S268" s="28">
        <f t="shared" si="23"/>
        <v>0</v>
      </c>
      <c r="T268" t="str">
        <f t="shared" si="24"/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25"/>
        <v/>
      </c>
      <c r="P269">
        <f>'Combined Delivery Data'!B296</f>
        <v>0</v>
      </c>
      <c r="Q269">
        <f t="shared" si="21"/>
        <v>0</v>
      </c>
      <c r="R269">
        <f t="shared" si="22"/>
        <v>468</v>
      </c>
      <c r="S269" s="28">
        <f t="shared" si="23"/>
        <v>0</v>
      </c>
      <c r="T269" t="str">
        <f t="shared" si="24"/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25"/>
        <v/>
      </c>
      <c r="P270">
        <f>'Combined Delivery Data'!B297</f>
        <v>0</v>
      </c>
      <c r="Q270">
        <f t="shared" si="21"/>
        <v>0</v>
      </c>
      <c r="R270">
        <f t="shared" si="22"/>
        <v>468</v>
      </c>
      <c r="S270" s="28">
        <f t="shared" si="23"/>
        <v>0</v>
      </c>
      <c r="T270" t="str">
        <f t="shared" si="24"/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25"/>
        <v/>
      </c>
      <c r="P271">
        <f>'Combined Delivery Data'!B298</f>
        <v>0</v>
      </c>
      <c r="Q271">
        <f t="shared" si="21"/>
        <v>0</v>
      </c>
      <c r="R271">
        <f t="shared" si="22"/>
        <v>468</v>
      </c>
      <c r="S271" s="28">
        <f t="shared" si="23"/>
        <v>0</v>
      </c>
      <c r="T271" t="str">
        <f t="shared" si="24"/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25"/>
        <v/>
      </c>
      <c r="P272">
        <f>'Combined Delivery Data'!B299</f>
        <v>0</v>
      </c>
      <c r="Q272">
        <f t="shared" si="21"/>
        <v>0</v>
      </c>
      <c r="R272">
        <f t="shared" si="22"/>
        <v>468</v>
      </c>
      <c r="S272" s="28">
        <f t="shared" si="23"/>
        <v>0</v>
      </c>
      <c r="T272" t="str">
        <f t="shared" si="24"/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25"/>
        <v/>
      </c>
      <c r="P273">
        <f>'Combined Delivery Data'!B300</f>
        <v>0</v>
      </c>
      <c r="Q273">
        <f t="shared" si="21"/>
        <v>0</v>
      </c>
      <c r="R273">
        <f t="shared" si="22"/>
        <v>468</v>
      </c>
      <c r="S273" s="28">
        <f t="shared" si="23"/>
        <v>0</v>
      </c>
      <c r="T273" t="str">
        <f t="shared" si="24"/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25"/>
        <v/>
      </c>
      <c r="P274">
        <f>'Combined Delivery Data'!B301</f>
        <v>0</v>
      </c>
      <c r="Q274">
        <f t="shared" ref="Q274:Q337" si="26">IF($P274="","",COUNTIF($A$3:$A$499,$P274))</f>
        <v>0</v>
      </c>
      <c r="R274">
        <f t="shared" ref="R274:R337" si="27">IF($P274="","",SUMPRODUCT(($A$3:$A$499=$P274)*($G$3:$G$499&lt;&gt;"Yes")*($G$3:$G$499&lt;&gt;"Did not pass re-test")))</f>
        <v>468</v>
      </c>
      <c r="S274" s="28">
        <f t="shared" ref="S274:S337" si="28">IF($P274="","",IF(SUMPRODUCT(MAX(($A$3:$A$499=$P274)*ROW($A$3:$A$499)))=0,"",INDEX($B:$B,SUMPRODUCT(MAX(($A$3:$A$499=$P274)*ROW($A$3:$A$499))))))</f>
        <v>0</v>
      </c>
      <c r="T274" t="str">
        <f t="shared" ref="T274:T337" si="29">IF($P274="","",IF(SUMPRODUCT(MAX(($A$3:$A$499=$P274)*ROW($A$3:$A$499)))=0,"",INDEX($C:$C,SUMPRODUCT(MAX(($A$3:$A$499=$P274)*ROW($A$3:$A$499))))&amp;" -&gt; "&amp;INDEX($D:$D,SUMPRODUCT(MAX(($A$3:$A$499=$P274)*ROW($A$3:$A$499))))))</f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25"/>
        <v/>
      </c>
      <c r="P275">
        <f>'Combined Delivery Data'!B302</f>
        <v>0</v>
      </c>
      <c r="Q275">
        <f t="shared" si="26"/>
        <v>0</v>
      </c>
      <c r="R275">
        <f t="shared" si="27"/>
        <v>468</v>
      </c>
      <c r="S275" s="28">
        <f t="shared" si="28"/>
        <v>0</v>
      </c>
      <c r="T275" t="str">
        <f t="shared" si="29"/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25"/>
        <v/>
      </c>
      <c r="P276">
        <f>'Combined Delivery Data'!B303</f>
        <v>0</v>
      </c>
      <c r="Q276">
        <f t="shared" si="26"/>
        <v>0</v>
      </c>
      <c r="R276">
        <f t="shared" si="27"/>
        <v>468</v>
      </c>
      <c r="S276" s="28">
        <f t="shared" si="28"/>
        <v>0</v>
      </c>
      <c r="T276" t="str">
        <f t="shared" si="29"/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25"/>
        <v/>
      </c>
      <c r="P277">
        <f>'Combined Delivery Data'!B304</f>
        <v>0</v>
      </c>
      <c r="Q277">
        <f t="shared" si="26"/>
        <v>0</v>
      </c>
      <c r="R277">
        <f t="shared" si="27"/>
        <v>468</v>
      </c>
      <c r="S277" s="28">
        <f t="shared" si="28"/>
        <v>0</v>
      </c>
      <c r="T277" t="str">
        <f t="shared" si="29"/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25"/>
        <v/>
      </c>
      <c r="P278">
        <f>'Combined Delivery Data'!B305</f>
        <v>0</v>
      </c>
      <c r="Q278">
        <f t="shared" si="26"/>
        <v>0</v>
      </c>
      <c r="R278">
        <f t="shared" si="27"/>
        <v>468</v>
      </c>
      <c r="S278" s="28">
        <f t="shared" si="28"/>
        <v>0</v>
      </c>
      <c r="T278" t="str">
        <f t="shared" si="29"/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25"/>
        <v/>
      </c>
      <c r="P279">
        <f>'Combined Delivery Data'!B306</f>
        <v>0</v>
      </c>
      <c r="Q279">
        <f t="shared" si="26"/>
        <v>0</v>
      </c>
      <c r="R279">
        <f t="shared" si="27"/>
        <v>468</v>
      </c>
      <c r="S279" s="28">
        <f t="shared" si="28"/>
        <v>0</v>
      </c>
      <c r="T279" t="str">
        <f t="shared" si="29"/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25"/>
        <v/>
      </c>
      <c r="P280">
        <f>'Combined Delivery Data'!B307</f>
        <v>0</v>
      </c>
      <c r="Q280">
        <f t="shared" si="26"/>
        <v>0</v>
      </c>
      <c r="R280">
        <f t="shared" si="27"/>
        <v>468</v>
      </c>
      <c r="S280" s="28">
        <f t="shared" si="28"/>
        <v>0</v>
      </c>
      <c r="T280" t="str">
        <f t="shared" si="29"/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25"/>
        <v/>
      </c>
      <c r="P281">
        <f>'Combined Delivery Data'!B308</f>
        <v>0</v>
      </c>
      <c r="Q281">
        <f t="shared" si="26"/>
        <v>0</v>
      </c>
      <c r="R281">
        <f t="shared" si="27"/>
        <v>468</v>
      </c>
      <c r="S281" s="28">
        <f t="shared" si="28"/>
        <v>0</v>
      </c>
      <c r="T281" t="str">
        <f t="shared" si="29"/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25"/>
        <v/>
      </c>
      <c r="P282">
        <f>'Combined Delivery Data'!B309</f>
        <v>0</v>
      </c>
      <c r="Q282">
        <f t="shared" si="26"/>
        <v>0</v>
      </c>
      <c r="R282">
        <f t="shared" si="27"/>
        <v>468</v>
      </c>
      <c r="S282" s="28">
        <f t="shared" si="28"/>
        <v>0</v>
      </c>
      <c r="T282" t="str">
        <f t="shared" si="29"/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25"/>
        <v/>
      </c>
      <c r="P283">
        <f>'Combined Delivery Data'!B310</f>
        <v>0</v>
      </c>
      <c r="Q283">
        <f t="shared" si="26"/>
        <v>0</v>
      </c>
      <c r="R283">
        <f t="shared" si="27"/>
        <v>468</v>
      </c>
      <c r="S283" s="28">
        <f t="shared" si="28"/>
        <v>0</v>
      </c>
      <c r="T283" t="str">
        <f t="shared" si="29"/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25"/>
        <v/>
      </c>
      <c r="P284">
        <f>'Combined Delivery Data'!B311</f>
        <v>0</v>
      </c>
      <c r="Q284">
        <f t="shared" si="26"/>
        <v>0</v>
      </c>
      <c r="R284">
        <f t="shared" si="27"/>
        <v>468</v>
      </c>
      <c r="S284" s="28">
        <f t="shared" si="28"/>
        <v>0</v>
      </c>
      <c r="T284" t="str">
        <f t="shared" si="29"/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25"/>
        <v/>
      </c>
      <c r="P285">
        <f>'Combined Delivery Data'!B312</f>
        <v>0</v>
      </c>
      <c r="Q285">
        <f t="shared" si="26"/>
        <v>0</v>
      </c>
      <c r="R285">
        <f t="shared" si="27"/>
        <v>468</v>
      </c>
      <c r="S285" s="28">
        <f t="shared" si="28"/>
        <v>0</v>
      </c>
      <c r="T285" t="str">
        <f t="shared" si="29"/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25"/>
        <v/>
      </c>
      <c r="P286">
        <f>'Combined Delivery Data'!B313</f>
        <v>0</v>
      </c>
      <c r="Q286">
        <f t="shared" si="26"/>
        <v>0</v>
      </c>
      <c r="R286">
        <f t="shared" si="27"/>
        <v>468</v>
      </c>
      <c r="S286" s="28">
        <f t="shared" si="28"/>
        <v>0</v>
      </c>
      <c r="T286" t="str">
        <f t="shared" si="29"/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25"/>
        <v/>
      </c>
      <c r="P287">
        <f>'Combined Delivery Data'!B314</f>
        <v>0</v>
      </c>
      <c r="Q287">
        <f t="shared" si="26"/>
        <v>0</v>
      </c>
      <c r="R287">
        <f t="shared" si="27"/>
        <v>468</v>
      </c>
      <c r="S287" s="28">
        <f t="shared" si="28"/>
        <v>0</v>
      </c>
      <c r="T287" t="str">
        <f t="shared" si="29"/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25"/>
        <v/>
      </c>
      <c r="P288">
        <f>'Combined Delivery Data'!B315</f>
        <v>0</v>
      </c>
      <c r="Q288">
        <f t="shared" si="26"/>
        <v>0</v>
      </c>
      <c r="R288">
        <f t="shared" si="27"/>
        <v>468</v>
      </c>
      <c r="S288" s="28">
        <f t="shared" si="28"/>
        <v>0</v>
      </c>
      <c r="T288" t="str">
        <f t="shared" si="29"/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25"/>
        <v/>
      </c>
      <c r="P289">
        <f>'Combined Delivery Data'!B316</f>
        <v>0</v>
      </c>
      <c r="Q289">
        <f t="shared" si="26"/>
        <v>0</v>
      </c>
      <c r="R289">
        <f t="shared" si="27"/>
        <v>468</v>
      </c>
      <c r="S289" s="28">
        <f t="shared" si="28"/>
        <v>0</v>
      </c>
      <c r="T289" t="str">
        <f t="shared" si="29"/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25"/>
        <v/>
      </c>
      <c r="P290">
        <f>'Combined Delivery Data'!B317</f>
        <v>0</v>
      </c>
      <c r="Q290">
        <f t="shared" si="26"/>
        <v>0</v>
      </c>
      <c r="R290">
        <f t="shared" si="27"/>
        <v>468</v>
      </c>
      <c r="S290" s="28">
        <f t="shared" si="28"/>
        <v>0</v>
      </c>
      <c r="T290" t="str">
        <f t="shared" si="29"/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25"/>
        <v/>
      </c>
      <c r="P291">
        <f>'Combined Delivery Data'!B318</f>
        <v>0</v>
      </c>
      <c r="Q291">
        <f t="shared" si="26"/>
        <v>0</v>
      </c>
      <c r="R291">
        <f t="shared" si="27"/>
        <v>468</v>
      </c>
      <c r="S291" s="28">
        <f t="shared" si="28"/>
        <v>0</v>
      </c>
      <c r="T291" t="str">
        <f t="shared" si="29"/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25"/>
        <v/>
      </c>
      <c r="P292">
        <f>'Combined Delivery Data'!B319</f>
        <v>0</v>
      </c>
      <c r="Q292">
        <f t="shared" si="26"/>
        <v>0</v>
      </c>
      <c r="R292">
        <f t="shared" si="27"/>
        <v>468</v>
      </c>
      <c r="S292" s="28">
        <f t="shared" si="28"/>
        <v>0</v>
      </c>
      <c r="T292" t="str">
        <f t="shared" si="29"/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25"/>
        <v/>
      </c>
      <c r="P293">
        <f>'Combined Delivery Data'!B320</f>
        <v>0</v>
      </c>
      <c r="Q293">
        <f t="shared" si="26"/>
        <v>0</v>
      </c>
      <c r="R293">
        <f t="shared" si="27"/>
        <v>468</v>
      </c>
      <c r="S293" s="28">
        <f t="shared" si="28"/>
        <v>0</v>
      </c>
      <c r="T293" t="str">
        <f t="shared" si="29"/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25"/>
        <v/>
      </c>
      <c r="P294">
        <f>'Combined Delivery Data'!B321</f>
        <v>0</v>
      </c>
      <c r="Q294">
        <f t="shared" si="26"/>
        <v>0</v>
      </c>
      <c r="R294">
        <f t="shared" si="27"/>
        <v>468</v>
      </c>
      <c r="S294" s="28">
        <f t="shared" si="28"/>
        <v>0</v>
      </c>
      <c r="T294" t="str">
        <f t="shared" si="29"/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25"/>
        <v/>
      </c>
      <c r="P295">
        <f>'Combined Delivery Data'!B322</f>
        <v>0</v>
      </c>
      <c r="Q295">
        <f t="shared" si="26"/>
        <v>0</v>
      </c>
      <c r="R295">
        <f t="shared" si="27"/>
        <v>468</v>
      </c>
      <c r="S295" s="28">
        <f t="shared" si="28"/>
        <v>0</v>
      </c>
      <c r="T295" t="str">
        <f t="shared" si="29"/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25"/>
        <v/>
      </c>
      <c r="P296">
        <f>'Combined Delivery Data'!B323</f>
        <v>0</v>
      </c>
      <c r="Q296">
        <f t="shared" si="26"/>
        <v>0</v>
      </c>
      <c r="R296">
        <f t="shared" si="27"/>
        <v>468</v>
      </c>
      <c r="S296" s="28">
        <f t="shared" si="28"/>
        <v>0</v>
      </c>
      <c r="T296" t="str">
        <f t="shared" si="29"/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25"/>
        <v/>
      </c>
      <c r="P297">
        <f>'Combined Delivery Data'!B324</f>
        <v>0</v>
      </c>
      <c r="Q297">
        <f t="shared" si="26"/>
        <v>0</v>
      </c>
      <c r="R297">
        <f t="shared" si="27"/>
        <v>468</v>
      </c>
      <c r="S297" s="28">
        <f t="shared" si="28"/>
        <v>0</v>
      </c>
      <c r="T297" t="str">
        <f t="shared" si="29"/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25"/>
        <v/>
      </c>
      <c r="P298">
        <f>'Combined Delivery Data'!B325</f>
        <v>0</v>
      </c>
      <c r="Q298">
        <f t="shared" si="26"/>
        <v>0</v>
      </c>
      <c r="R298">
        <f t="shared" si="27"/>
        <v>468</v>
      </c>
      <c r="S298" s="28">
        <f t="shared" si="28"/>
        <v>0</v>
      </c>
      <c r="T298" t="str">
        <f t="shared" si="29"/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25"/>
        <v/>
      </c>
      <c r="P299">
        <f>'Combined Delivery Data'!B326</f>
        <v>0</v>
      </c>
      <c r="Q299">
        <f t="shared" si="26"/>
        <v>0</v>
      </c>
      <c r="R299">
        <f t="shared" si="27"/>
        <v>468</v>
      </c>
      <c r="S299" s="28">
        <f t="shared" si="28"/>
        <v>0</v>
      </c>
      <c r="T299" t="str">
        <f t="shared" si="29"/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25"/>
        <v/>
      </c>
      <c r="P300">
        <f>'Combined Delivery Data'!B327</f>
        <v>0</v>
      </c>
      <c r="Q300">
        <f t="shared" si="26"/>
        <v>0</v>
      </c>
      <c r="R300">
        <f t="shared" si="27"/>
        <v>468</v>
      </c>
      <c r="S300" s="28">
        <f t="shared" si="28"/>
        <v>0</v>
      </c>
      <c r="T300" t="str">
        <f t="shared" si="29"/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25"/>
        <v/>
      </c>
      <c r="P301">
        <f>'Combined Delivery Data'!B328</f>
        <v>0</v>
      </c>
      <c r="Q301">
        <f t="shared" si="26"/>
        <v>0</v>
      </c>
      <c r="R301">
        <f t="shared" si="27"/>
        <v>468</v>
      </c>
      <c r="S301" s="28">
        <f t="shared" si="28"/>
        <v>0</v>
      </c>
      <c r="T301" t="str">
        <f t="shared" si="29"/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25"/>
        <v/>
      </c>
      <c r="P302">
        <f>'Combined Delivery Data'!B329</f>
        <v>0</v>
      </c>
      <c r="Q302">
        <f t="shared" si="26"/>
        <v>0</v>
      </c>
      <c r="R302">
        <f t="shared" si="27"/>
        <v>468</v>
      </c>
      <c r="S302" s="28">
        <f t="shared" si="28"/>
        <v>0</v>
      </c>
      <c r="T302" t="str">
        <f t="shared" si="29"/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25"/>
        <v/>
      </c>
      <c r="P303">
        <f>'Combined Delivery Data'!B330</f>
        <v>0</v>
      </c>
      <c r="Q303">
        <f t="shared" si="26"/>
        <v>0</v>
      </c>
      <c r="R303">
        <f t="shared" si="27"/>
        <v>468</v>
      </c>
      <c r="S303" s="28">
        <f t="shared" si="28"/>
        <v>0</v>
      </c>
      <c r="T303" t="str">
        <f t="shared" si="29"/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25"/>
        <v/>
      </c>
      <c r="P304">
        <f>'Combined Delivery Data'!B331</f>
        <v>0</v>
      </c>
      <c r="Q304">
        <f t="shared" si="26"/>
        <v>0</v>
      </c>
      <c r="R304">
        <f t="shared" si="27"/>
        <v>468</v>
      </c>
      <c r="S304" s="28">
        <f t="shared" si="28"/>
        <v>0</v>
      </c>
      <c r="T304" t="str">
        <f t="shared" si="29"/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25"/>
        <v/>
      </c>
      <c r="P305">
        <f>'Combined Delivery Data'!B332</f>
        <v>0</v>
      </c>
      <c r="Q305">
        <f t="shared" si="26"/>
        <v>0</v>
      </c>
      <c r="R305">
        <f t="shared" si="27"/>
        <v>468</v>
      </c>
      <c r="S305" s="28">
        <f t="shared" si="28"/>
        <v>0</v>
      </c>
      <c r="T305" t="str">
        <f t="shared" si="29"/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25"/>
        <v/>
      </c>
      <c r="P306">
        <f>'Combined Delivery Data'!B333</f>
        <v>0</v>
      </c>
      <c r="Q306">
        <f t="shared" si="26"/>
        <v>0</v>
      </c>
      <c r="R306">
        <f t="shared" si="27"/>
        <v>468</v>
      </c>
      <c r="S306" s="28">
        <f t="shared" si="28"/>
        <v>0</v>
      </c>
      <c r="T306" t="str">
        <f t="shared" si="29"/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25"/>
        <v/>
      </c>
      <c r="P307">
        <f>'Combined Delivery Data'!B334</f>
        <v>0</v>
      </c>
      <c r="Q307">
        <f t="shared" si="26"/>
        <v>0</v>
      </c>
      <c r="R307">
        <f t="shared" si="27"/>
        <v>468</v>
      </c>
      <c r="S307" s="28">
        <f t="shared" si="28"/>
        <v>0</v>
      </c>
      <c r="T307" t="str">
        <f t="shared" si="29"/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25"/>
        <v/>
      </c>
      <c r="P308">
        <f>'Combined Delivery Data'!B335</f>
        <v>0</v>
      </c>
      <c r="Q308">
        <f t="shared" si="26"/>
        <v>0</v>
      </c>
      <c r="R308">
        <f t="shared" si="27"/>
        <v>468</v>
      </c>
      <c r="S308" s="28">
        <f t="shared" si="28"/>
        <v>0</v>
      </c>
      <c r="T308" t="str">
        <f t="shared" si="29"/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25"/>
        <v/>
      </c>
      <c r="P309">
        <f>'Combined Delivery Data'!B336</f>
        <v>0</v>
      </c>
      <c r="Q309">
        <f t="shared" si="26"/>
        <v>0</v>
      </c>
      <c r="R309">
        <f t="shared" si="27"/>
        <v>468</v>
      </c>
      <c r="S309" s="28">
        <f t="shared" si="28"/>
        <v>0</v>
      </c>
      <c r="T309" t="str">
        <f t="shared" si="29"/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25"/>
        <v/>
      </c>
      <c r="P310">
        <f>'Combined Delivery Data'!B337</f>
        <v>0</v>
      </c>
      <c r="Q310">
        <f t="shared" si="26"/>
        <v>0</v>
      </c>
      <c r="R310">
        <f t="shared" si="27"/>
        <v>468</v>
      </c>
      <c r="S310" s="28">
        <f t="shared" si="28"/>
        <v>0</v>
      </c>
      <c r="T310" t="str">
        <f t="shared" si="29"/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25"/>
        <v/>
      </c>
      <c r="P311">
        <f>'Combined Delivery Data'!B338</f>
        <v>0</v>
      </c>
      <c r="Q311">
        <f t="shared" si="26"/>
        <v>0</v>
      </c>
      <c r="R311">
        <f t="shared" si="27"/>
        <v>468</v>
      </c>
      <c r="S311" s="28">
        <f t="shared" si="28"/>
        <v>0</v>
      </c>
      <c r="T311" t="str">
        <f t="shared" si="29"/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25"/>
        <v/>
      </c>
      <c r="P312">
        <f>'Combined Delivery Data'!B339</f>
        <v>0</v>
      </c>
      <c r="Q312">
        <f t="shared" si="26"/>
        <v>0</v>
      </c>
      <c r="R312">
        <f t="shared" si="27"/>
        <v>468</v>
      </c>
      <c r="S312" s="28">
        <f t="shared" si="28"/>
        <v>0</v>
      </c>
      <c r="T312" t="str">
        <f t="shared" si="29"/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25"/>
        <v/>
      </c>
      <c r="P313">
        <f>'Combined Delivery Data'!B340</f>
        <v>0</v>
      </c>
      <c r="Q313">
        <f t="shared" si="26"/>
        <v>0</v>
      </c>
      <c r="R313">
        <f t="shared" si="27"/>
        <v>468</v>
      </c>
      <c r="S313" s="28">
        <f t="shared" si="28"/>
        <v>0</v>
      </c>
      <c r="T313" t="str">
        <f t="shared" si="29"/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25"/>
        <v/>
      </c>
      <c r="P314">
        <f>'Combined Delivery Data'!B341</f>
        <v>0</v>
      </c>
      <c r="Q314">
        <f t="shared" si="26"/>
        <v>0</v>
      </c>
      <c r="R314">
        <f t="shared" si="27"/>
        <v>468</v>
      </c>
      <c r="S314" s="28">
        <f t="shared" si="28"/>
        <v>0</v>
      </c>
      <c r="T314" t="str">
        <f t="shared" si="29"/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25"/>
        <v/>
      </c>
      <c r="P315">
        <f>'Combined Delivery Data'!B342</f>
        <v>0</v>
      </c>
      <c r="Q315">
        <f t="shared" si="26"/>
        <v>0</v>
      </c>
      <c r="R315">
        <f t="shared" si="27"/>
        <v>468</v>
      </c>
      <c r="S315" s="28">
        <f t="shared" si="28"/>
        <v>0</v>
      </c>
      <c r="T315" t="str">
        <f t="shared" si="29"/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25"/>
        <v/>
      </c>
      <c r="P316">
        <f>'Combined Delivery Data'!B343</f>
        <v>0</v>
      </c>
      <c r="Q316">
        <f t="shared" si="26"/>
        <v>0</v>
      </c>
      <c r="R316">
        <f t="shared" si="27"/>
        <v>468</v>
      </c>
      <c r="S316" s="28">
        <f t="shared" si="28"/>
        <v>0</v>
      </c>
      <c r="T316" t="str">
        <f t="shared" si="29"/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25"/>
        <v/>
      </c>
      <c r="P317">
        <f>'Combined Delivery Data'!B344</f>
        <v>0</v>
      </c>
      <c r="Q317">
        <f t="shared" si="26"/>
        <v>0</v>
      </c>
      <c r="R317">
        <f t="shared" si="27"/>
        <v>468</v>
      </c>
      <c r="S317" s="28">
        <f t="shared" si="28"/>
        <v>0</v>
      </c>
      <c r="T317" t="str">
        <f t="shared" si="29"/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25"/>
        <v/>
      </c>
      <c r="P318">
        <f>'Combined Delivery Data'!B345</f>
        <v>0</v>
      </c>
      <c r="Q318">
        <f t="shared" si="26"/>
        <v>0</v>
      </c>
      <c r="R318">
        <f t="shared" si="27"/>
        <v>468</v>
      </c>
      <c r="S318" s="28">
        <f t="shared" si="28"/>
        <v>0</v>
      </c>
      <c r="T318" t="str">
        <f t="shared" si="29"/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25"/>
        <v/>
      </c>
      <c r="P319">
        <f>'Combined Delivery Data'!B346</f>
        <v>0</v>
      </c>
      <c r="Q319">
        <f t="shared" si="26"/>
        <v>0</v>
      </c>
      <c r="R319">
        <f t="shared" si="27"/>
        <v>468</v>
      </c>
      <c r="S319" s="28">
        <f t="shared" si="28"/>
        <v>0</v>
      </c>
      <c r="T319" t="str">
        <f t="shared" si="29"/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25"/>
        <v/>
      </c>
      <c r="P320">
        <f>'Combined Delivery Data'!B347</f>
        <v>0</v>
      </c>
      <c r="Q320">
        <f t="shared" si="26"/>
        <v>0</v>
      </c>
      <c r="R320">
        <f t="shared" si="27"/>
        <v>468</v>
      </c>
      <c r="S320" s="28">
        <f t="shared" si="28"/>
        <v>0</v>
      </c>
      <c r="T320" t="str">
        <f t="shared" si="29"/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25"/>
        <v/>
      </c>
      <c r="P321">
        <f>'Combined Delivery Data'!B348</f>
        <v>0</v>
      </c>
      <c r="Q321">
        <f t="shared" si="26"/>
        <v>0</v>
      </c>
      <c r="R321">
        <f t="shared" si="27"/>
        <v>468</v>
      </c>
      <c r="S321" s="28">
        <f t="shared" si="28"/>
        <v>0</v>
      </c>
      <c r="T321" t="str">
        <f t="shared" si="29"/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ref="M322:M385" ca="1" si="30">IF($A322="","",IF($G322="Did not pass re-test","Sent back again",IF(NOT(ISNUMBER($B322)),"Missing sent-back date",IF(ISNUMBER($J322),"Fixed in "&amp;($J322-$B322)&amp;" d",IF($I322="","UNCLAIMED "&amp;(TODAY()-$B322)&amp;" d",IF(TODAY()&gt;$I322,(TODAY()-$I322)&amp;" d LATE","Open "&amp;(TODAY()-$B322)&amp;" d"))))))</f>
        <v/>
      </c>
      <c r="P322">
        <f>'Combined Delivery Data'!B349</f>
        <v>0</v>
      </c>
      <c r="Q322">
        <f t="shared" si="26"/>
        <v>0</v>
      </c>
      <c r="R322">
        <f t="shared" si="27"/>
        <v>468</v>
      </c>
      <c r="S322" s="28">
        <f t="shared" si="28"/>
        <v>0</v>
      </c>
      <c r="T322" t="str">
        <f t="shared" si="29"/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ca="1" si="30"/>
        <v/>
      </c>
      <c r="P323">
        <f>'Combined Delivery Data'!B350</f>
        <v>0</v>
      </c>
      <c r="Q323">
        <f t="shared" si="26"/>
        <v>0</v>
      </c>
      <c r="R323">
        <f t="shared" si="27"/>
        <v>468</v>
      </c>
      <c r="S323" s="28">
        <f t="shared" si="28"/>
        <v>0</v>
      </c>
      <c r="T323" t="str">
        <f t="shared" si="29"/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30"/>
        <v/>
      </c>
      <c r="P324">
        <f>'Combined Delivery Data'!B351</f>
        <v>0</v>
      </c>
      <c r="Q324">
        <f t="shared" si="26"/>
        <v>0</v>
      </c>
      <c r="R324">
        <f t="shared" si="27"/>
        <v>468</v>
      </c>
      <c r="S324" s="28">
        <f t="shared" si="28"/>
        <v>0</v>
      </c>
      <c r="T324" t="str">
        <f t="shared" si="29"/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30"/>
        <v/>
      </c>
      <c r="P325">
        <f>'Combined Delivery Data'!B352</f>
        <v>0</v>
      </c>
      <c r="Q325">
        <f t="shared" si="26"/>
        <v>0</v>
      </c>
      <c r="R325">
        <f t="shared" si="27"/>
        <v>468</v>
      </c>
      <c r="S325" s="28">
        <f t="shared" si="28"/>
        <v>0</v>
      </c>
      <c r="T325" t="str">
        <f t="shared" si="29"/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30"/>
        <v/>
      </c>
      <c r="P326">
        <f>'Combined Delivery Data'!B353</f>
        <v>0</v>
      </c>
      <c r="Q326">
        <f t="shared" si="26"/>
        <v>0</v>
      </c>
      <c r="R326">
        <f t="shared" si="27"/>
        <v>468</v>
      </c>
      <c r="S326" s="28">
        <f t="shared" si="28"/>
        <v>0</v>
      </c>
      <c r="T326" t="str">
        <f t="shared" si="29"/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30"/>
        <v/>
      </c>
      <c r="P327">
        <f>'Combined Delivery Data'!B354</f>
        <v>0</v>
      </c>
      <c r="Q327">
        <f t="shared" si="26"/>
        <v>0</v>
      </c>
      <c r="R327">
        <f t="shared" si="27"/>
        <v>468</v>
      </c>
      <c r="S327" s="28">
        <f t="shared" si="28"/>
        <v>0</v>
      </c>
      <c r="T327" t="str">
        <f t="shared" si="29"/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30"/>
        <v/>
      </c>
      <c r="P328">
        <f>'Combined Delivery Data'!B355</f>
        <v>0</v>
      </c>
      <c r="Q328">
        <f t="shared" si="26"/>
        <v>0</v>
      </c>
      <c r="R328">
        <f t="shared" si="27"/>
        <v>468</v>
      </c>
      <c r="S328" s="28">
        <f t="shared" si="28"/>
        <v>0</v>
      </c>
      <c r="T328" t="str">
        <f t="shared" si="29"/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30"/>
        <v/>
      </c>
      <c r="P329">
        <f>'Combined Delivery Data'!B356</f>
        <v>0</v>
      </c>
      <c r="Q329">
        <f t="shared" si="26"/>
        <v>0</v>
      </c>
      <c r="R329">
        <f t="shared" si="27"/>
        <v>468</v>
      </c>
      <c r="S329" s="28">
        <f t="shared" si="28"/>
        <v>0</v>
      </c>
      <c r="T329" t="str">
        <f t="shared" si="29"/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30"/>
        <v/>
      </c>
      <c r="P330">
        <f>'Combined Delivery Data'!B357</f>
        <v>0</v>
      </c>
      <c r="Q330">
        <f t="shared" si="26"/>
        <v>0</v>
      </c>
      <c r="R330">
        <f t="shared" si="27"/>
        <v>468</v>
      </c>
      <c r="S330" s="28">
        <f t="shared" si="28"/>
        <v>0</v>
      </c>
      <c r="T330" t="str">
        <f t="shared" si="29"/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30"/>
        <v/>
      </c>
      <c r="P331">
        <f>'Combined Delivery Data'!B358</f>
        <v>0</v>
      </c>
      <c r="Q331">
        <f t="shared" si="26"/>
        <v>0</v>
      </c>
      <c r="R331">
        <f t="shared" si="27"/>
        <v>468</v>
      </c>
      <c r="S331" s="28">
        <f t="shared" si="28"/>
        <v>0</v>
      </c>
      <c r="T331" t="str">
        <f t="shared" si="29"/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30"/>
        <v/>
      </c>
      <c r="P332">
        <f>'Combined Delivery Data'!B359</f>
        <v>0</v>
      </c>
      <c r="Q332">
        <f t="shared" si="26"/>
        <v>0</v>
      </c>
      <c r="R332">
        <f t="shared" si="27"/>
        <v>468</v>
      </c>
      <c r="S332" s="28">
        <f t="shared" si="28"/>
        <v>0</v>
      </c>
      <c r="T332" t="str">
        <f t="shared" si="29"/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30"/>
        <v/>
      </c>
      <c r="P333">
        <f>'Combined Delivery Data'!B360</f>
        <v>0</v>
      </c>
      <c r="Q333">
        <f t="shared" si="26"/>
        <v>0</v>
      </c>
      <c r="R333">
        <f t="shared" si="27"/>
        <v>468</v>
      </c>
      <c r="S333" s="28">
        <f t="shared" si="28"/>
        <v>0</v>
      </c>
      <c r="T333" t="str">
        <f t="shared" si="29"/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30"/>
        <v/>
      </c>
      <c r="P334">
        <f>'Combined Delivery Data'!B361</f>
        <v>0</v>
      </c>
      <c r="Q334">
        <f t="shared" si="26"/>
        <v>0</v>
      </c>
      <c r="R334">
        <f t="shared" si="27"/>
        <v>468</v>
      </c>
      <c r="S334" s="28">
        <f t="shared" si="28"/>
        <v>0</v>
      </c>
      <c r="T334" t="str">
        <f t="shared" si="29"/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30"/>
        <v/>
      </c>
      <c r="P335">
        <f>'Combined Delivery Data'!B362</f>
        <v>0</v>
      </c>
      <c r="Q335">
        <f t="shared" si="26"/>
        <v>0</v>
      </c>
      <c r="R335">
        <f t="shared" si="27"/>
        <v>468</v>
      </c>
      <c r="S335" s="28">
        <f t="shared" si="28"/>
        <v>0</v>
      </c>
      <c r="T335" t="str">
        <f t="shared" si="29"/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30"/>
        <v/>
      </c>
      <c r="P336">
        <f>'Combined Delivery Data'!B363</f>
        <v>0</v>
      </c>
      <c r="Q336">
        <f t="shared" si="26"/>
        <v>0</v>
      </c>
      <c r="R336">
        <f t="shared" si="27"/>
        <v>468</v>
      </c>
      <c r="S336" s="28">
        <f t="shared" si="28"/>
        <v>0</v>
      </c>
      <c r="T336" t="str">
        <f t="shared" si="29"/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30"/>
        <v/>
      </c>
      <c r="P337">
        <f>'Combined Delivery Data'!B364</f>
        <v>0</v>
      </c>
      <c r="Q337">
        <f t="shared" si="26"/>
        <v>0</v>
      </c>
      <c r="R337">
        <f t="shared" si="27"/>
        <v>468</v>
      </c>
      <c r="S337" s="28">
        <f t="shared" si="28"/>
        <v>0</v>
      </c>
      <c r="T337" t="str">
        <f t="shared" si="29"/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30"/>
        <v/>
      </c>
      <c r="P338">
        <f>'Combined Delivery Data'!B365</f>
        <v>0</v>
      </c>
      <c r="Q338">
        <f t="shared" ref="Q338:Q401" si="31">IF($P338="","",COUNTIF($A$3:$A$499,$P338))</f>
        <v>0</v>
      </c>
      <c r="R338">
        <f t="shared" ref="R338:R401" si="32">IF($P338="","",SUMPRODUCT(($A$3:$A$499=$P338)*($G$3:$G$499&lt;&gt;"Yes")*($G$3:$G$499&lt;&gt;"Did not pass re-test")))</f>
        <v>468</v>
      </c>
      <c r="S338" s="28">
        <f t="shared" ref="S338:S401" si="33">IF($P338="","",IF(SUMPRODUCT(MAX(($A$3:$A$499=$P338)*ROW($A$3:$A$499)))=0,"",INDEX($B:$B,SUMPRODUCT(MAX(($A$3:$A$499=$P338)*ROW($A$3:$A$499))))))</f>
        <v>0</v>
      </c>
      <c r="T338" t="str">
        <f t="shared" ref="T338:T401" si="34">IF($P338="","",IF(SUMPRODUCT(MAX(($A$3:$A$499=$P338)*ROW($A$3:$A$499)))=0,"",INDEX($C:$C,SUMPRODUCT(MAX(($A$3:$A$499=$P338)*ROW($A$3:$A$499))))&amp;" -&gt; "&amp;INDEX($D:$D,SUMPRODUCT(MAX(($A$3:$A$499=$P338)*ROW($A$3:$A$499))))))</f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30"/>
        <v/>
      </c>
      <c r="P339">
        <f>'Combined Delivery Data'!B366</f>
        <v>0</v>
      </c>
      <c r="Q339">
        <f t="shared" si="31"/>
        <v>0</v>
      </c>
      <c r="R339">
        <f t="shared" si="32"/>
        <v>468</v>
      </c>
      <c r="S339" s="28">
        <f t="shared" si="33"/>
        <v>0</v>
      </c>
      <c r="T339" t="str">
        <f t="shared" si="34"/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30"/>
        <v/>
      </c>
      <c r="P340">
        <f>'Combined Delivery Data'!B367</f>
        <v>0</v>
      </c>
      <c r="Q340">
        <f t="shared" si="31"/>
        <v>0</v>
      </c>
      <c r="R340">
        <f t="shared" si="32"/>
        <v>468</v>
      </c>
      <c r="S340" s="28">
        <f t="shared" si="33"/>
        <v>0</v>
      </c>
      <c r="T340" t="str">
        <f t="shared" si="34"/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30"/>
        <v/>
      </c>
      <c r="P341">
        <f>'Combined Delivery Data'!B368</f>
        <v>0</v>
      </c>
      <c r="Q341">
        <f t="shared" si="31"/>
        <v>0</v>
      </c>
      <c r="R341">
        <f t="shared" si="32"/>
        <v>468</v>
      </c>
      <c r="S341" s="28">
        <f t="shared" si="33"/>
        <v>0</v>
      </c>
      <c r="T341" t="str">
        <f t="shared" si="34"/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30"/>
        <v/>
      </c>
      <c r="P342">
        <f>'Combined Delivery Data'!B369</f>
        <v>0</v>
      </c>
      <c r="Q342">
        <f t="shared" si="31"/>
        <v>0</v>
      </c>
      <c r="R342">
        <f t="shared" si="32"/>
        <v>468</v>
      </c>
      <c r="S342" s="28">
        <f t="shared" si="33"/>
        <v>0</v>
      </c>
      <c r="T342" t="str">
        <f t="shared" si="34"/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30"/>
        <v/>
      </c>
      <c r="P343">
        <f>'Combined Delivery Data'!B370</f>
        <v>0</v>
      </c>
      <c r="Q343">
        <f t="shared" si="31"/>
        <v>0</v>
      </c>
      <c r="R343">
        <f t="shared" si="32"/>
        <v>468</v>
      </c>
      <c r="S343" s="28">
        <f t="shared" si="33"/>
        <v>0</v>
      </c>
      <c r="T343" t="str">
        <f t="shared" si="34"/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30"/>
        <v/>
      </c>
      <c r="P344">
        <f>'Combined Delivery Data'!B371</f>
        <v>0</v>
      </c>
      <c r="Q344">
        <f t="shared" si="31"/>
        <v>0</v>
      </c>
      <c r="R344">
        <f t="shared" si="32"/>
        <v>468</v>
      </c>
      <c r="S344" s="28">
        <f t="shared" si="33"/>
        <v>0</v>
      </c>
      <c r="T344" t="str">
        <f t="shared" si="34"/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30"/>
        <v/>
      </c>
      <c r="P345">
        <f>'Combined Delivery Data'!B372</f>
        <v>0</v>
      </c>
      <c r="Q345">
        <f t="shared" si="31"/>
        <v>0</v>
      </c>
      <c r="R345">
        <f t="shared" si="32"/>
        <v>468</v>
      </c>
      <c r="S345" s="28">
        <f t="shared" si="33"/>
        <v>0</v>
      </c>
      <c r="T345" t="str">
        <f t="shared" si="34"/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30"/>
        <v/>
      </c>
      <c r="P346">
        <f>'Combined Delivery Data'!B373</f>
        <v>0</v>
      </c>
      <c r="Q346">
        <f t="shared" si="31"/>
        <v>0</v>
      </c>
      <c r="R346">
        <f t="shared" si="32"/>
        <v>468</v>
      </c>
      <c r="S346" s="28">
        <f t="shared" si="33"/>
        <v>0</v>
      </c>
      <c r="T346" t="str">
        <f t="shared" si="34"/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30"/>
        <v/>
      </c>
      <c r="P347">
        <f>'Combined Delivery Data'!B374</f>
        <v>0</v>
      </c>
      <c r="Q347">
        <f t="shared" si="31"/>
        <v>0</v>
      </c>
      <c r="R347">
        <f t="shared" si="32"/>
        <v>468</v>
      </c>
      <c r="S347" s="28">
        <f t="shared" si="33"/>
        <v>0</v>
      </c>
      <c r="T347" t="str">
        <f t="shared" si="34"/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30"/>
        <v/>
      </c>
      <c r="P348">
        <f>'Combined Delivery Data'!B375</f>
        <v>0</v>
      </c>
      <c r="Q348">
        <f t="shared" si="31"/>
        <v>0</v>
      </c>
      <c r="R348">
        <f t="shared" si="32"/>
        <v>468</v>
      </c>
      <c r="S348" s="28">
        <f t="shared" si="33"/>
        <v>0</v>
      </c>
      <c r="T348" t="str">
        <f t="shared" si="34"/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30"/>
        <v/>
      </c>
      <c r="P349">
        <f>'Combined Delivery Data'!B376</f>
        <v>0</v>
      </c>
      <c r="Q349">
        <f t="shared" si="31"/>
        <v>0</v>
      </c>
      <c r="R349">
        <f t="shared" si="32"/>
        <v>468</v>
      </c>
      <c r="S349" s="28">
        <f t="shared" si="33"/>
        <v>0</v>
      </c>
      <c r="T349" t="str">
        <f t="shared" si="34"/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30"/>
        <v/>
      </c>
      <c r="P350">
        <f>'Combined Delivery Data'!B377</f>
        <v>0</v>
      </c>
      <c r="Q350">
        <f t="shared" si="31"/>
        <v>0</v>
      </c>
      <c r="R350">
        <f t="shared" si="32"/>
        <v>468</v>
      </c>
      <c r="S350" s="28">
        <f t="shared" si="33"/>
        <v>0</v>
      </c>
      <c r="T350" t="str">
        <f t="shared" si="34"/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30"/>
        <v/>
      </c>
      <c r="P351">
        <f>'Combined Delivery Data'!B378</f>
        <v>0</v>
      </c>
      <c r="Q351">
        <f t="shared" si="31"/>
        <v>0</v>
      </c>
      <c r="R351">
        <f t="shared" si="32"/>
        <v>468</v>
      </c>
      <c r="S351" s="28">
        <f t="shared" si="33"/>
        <v>0</v>
      </c>
      <c r="T351" t="str">
        <f t="shared" si="34"/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30"/>
        <v/>
      </c>
      <c r="P352">
        <f>'Combined Delivery Data'!B379</f>
        <v>0</v>
      </c>
      <c r="Q352">
        <f t="shared" si="31"/>
        <v>0</v>
      </c>
      <c r="R352">
        <f t="shared" si="32"/>
        <v>468</v>
      </c>
      <c r="S352" s="28">
        <f t="shared" si="33"/>
        <v>0</v>
      </c>
      <c r="T352" t="str">
        <f t="shared" si="34"/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30"/>
        <v/>
      </c>
      <c r="P353">
        <f>'Combined Delivery Data'!B380</f>
        <v>0</v>
      </c>
      <c r="Q353">
        <f t="shared" si="31"/>
        <v>0</v>
      </c>
      <c r="R353">
        <f t="shared" si="32"/>
        <v>468</v>
      </c>
      <c r="S353" s="28">
        <f t="shared" si="33"/>
        <v>0</v>
      </c>
      <c r="T353" t="str">
        <f t="shared" si="34"/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30"/>
        <v/>
      </c>
      <c r="P354">
        <f>'Combined Delivery Data'!B381</f>
        <v>0</v>
      </c>
      <c r="Q354">
        <f t="shared" si="31"/>
        <v>0</v>
      </c>
      <c r="R354">
        <f t="shared" si="32"/>
        <v>468</v>
      </c>
      <c r="S354" s="28">
        <f t="shared" si="33"/>
        <v>0</v>
      </c>
      <c r="T354" t="str">
        <f t="shared" si="34"/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30"/>
        <v/>
      </c>
      <c r="P355">
        <f>'Combined Delivery Data'!B382</f>
        <v>0</v>
      </c>
      <c r="Q355">
        <f t="shared" si="31"/>
        <v>0</v>
      </c>
      <c r="R355">
        <f t="shared" si="32"/>
        <v>468</v>
      </c>
      <c r="S355" s="28">
        <f t="shared" si="33"/>
        <v>0</v>
      </c>
      <c r="T355" t="str">
        <f t="shared" si="34"/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30"/>
        <v/>
      </c>
      <c r="P356">
        <f>'Combined Delivery Data'!B383</f>
        <v>0</v>
      </c>
      <c r="Q356">
        <f t="shared" si="31"/>
        <v>0</v>
      </c>
      <c r="R356">
        <f t="shared" si="32"/>
        <v>468</v>
      </c>
      <c r="S356" s="28">
        <f t="shared" si="33"/>
        <v>0</v>
      </c>
      <c r="T356" t="str">
        <f t="shared" si="34"/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30"/>
        <v/>
      </c>
      <c r="P357">
        <f>'Combined Delivery Data'!B384</f>
        <v>0</v>
      </c>
      <c r="Q357">
        <f t="shared" si="31"/>
        <v>0</v>
      </c>
      <c r="R357">
        <f t="shared" si="32"/>
        <v>468</v>
      </c>
      <c r="S357" s="28">
        <f t="shared" si="33"/>
        <v>0</v>
      </c>
      <c r="T357" t="str">
        <f t="shared" si="34"/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30"/>
        <v/>
      </c>
      <c r="P358">
        <f>'Combined Delivery Data'!B385</f>
        <v>0</v>
      </c>
      <c r="Q358">
        <f t="shared" si="31"/>
        <v>0</v>
      </c>
      <c r="R358">
        <f t="shared" si="32"/>
        <v>468</v>
      </c>
      <c r="S358" s="28">
        <f t="shared" si="33"/>
        <v>0</v>
      </c>
      <c r="T358" t="str">
        <f t="shared" si="34"/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30"/>
        <v/>
      </c>
      <c r="P359">
        <f>'Combined Delivery Data'!B386</f>
        <v>0</v>
      </c>
      <c r="Q359">
        <f t="shared" si="31"/>
        <v>0</v>
      </c>
      <c r="R359">
        <f t="shared" si="32"/>
        <v>468</v>
      </c>
      <c r="S359" s="28">
        <f t="shared" si="33"/>
        <v>0</v>
      </c>
      <c r="T359" t="str">
        <f t="shared" si="34"/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30"/>
        <v/>
      </c>
      <c r="P360">
        <f>'Combined Delivery Data'!B387</f>
        <v>0</v>
      </c>
      <c r="Q360">
        <f t="shared" si="31"/>
        <v>0</v>
      </c>
      <c r="R360">
        <f t="shared" si="32"/>
        <v>468</v>
      </c>
      <c r="S360" s="28">
        <f t="shared" si="33"/>
        <v>0</v>
      </c>
      <c r="T360" t="str">
        <f t="shared" si="34"/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30"/>
        <v/>
      </c>
      <c r="P361">
        <f>'Combined Delivery Data'!B388</f>
        <v>0</v>
      </c>
      <c r="Q361">
        <f t="shared" si="31"/>
        <v>0</v>
      </c>
      <c r="R361">
        <f t="shared" si="32"/>
        <v>468</v>
      </c>
      <c r="S361" s="28">
        <f t="shared" si="33"/>
        <v>0</v>
      </c>
      <c r="T361" t="str">
        <f t="shared" si="34"/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30"/>
        <v/>
      </c>
      <c r="P362">
        <f>'Combined Delivery Data'!B389</f>
        <v>0</v>
      </c>
      <c r="Q362">
        <f t="shared" si="31"/>
        <v>0</v>
      </c>
      <c r="R362">
        <f t="shared" si="32"/>
        <v>468</v>
      </c>
      <c r="S362" s="28">
        <f t="shared" si="33"/>
        <v>0</v>
      </c>
      <c r="T362" t="str">
        <f t="shared" si="34"/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30"/>
        <v/>
      </c>
      <c r="P363">
        <f>'Combined Delivery Data'!B390</f>
        <v>0</v>
      </c>
      <c r="Q363">
        <f t="shared" si="31"/>
        <v>0</v>
      </c>
      <c r="R363">
        <f t="shared" si="32"/>
        <v>468</v>
      </c>
      <c r="S363" s="28">
        <f t="shared" si="33"/>
        <v>0</v>
      </c>
      <c r="T363" t="str">
        <f t="shared" si="34"/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30"/>
        <v/>
      </c>
      <c r="P364">
        <f>'Combined Delivery Data'!B391</f>
        <v>0</v>
      </c>
      <c r="Q364">
        <f t="shared" si="31"/>
        <v>0</v>
      </c>
      <c r="R364">
        <f t="shared" si="32"/>
        <v>468</v>
      </c>
      <c r="S364" s="28">
        <f t="shared" si="33"/>
        <v>0</v>
      </c>
      <c r="T364" t="str">
        <f t="shared" si="34"/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30"/>
        <v/>
      </c>
      <c r="P365">
        <f>'Combined Delivery Data'!B392</f>
        <v>0</v>
      </c>
      <c r="Q365">
        <f t="shared" si="31"/>
        <v>0</v>
      </c>
      <c r="R365">
        <f t="shared" si="32"/>
        <v>468</v>
      </c>
      <c r="S365" s="28">
        <f t="shared" si="33"/>
        <v>0</v>
      </c>
      <c r="T365" t="str">
        <f t="shared" si="34"/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30"/>
        <v/>
      </c>
      <c r="P366">
        <f>'Combined Delivery Data'!B393</f>
        <v>0</v>
      </c>
      <c r="Q366">
        <f t="shared" si="31"/>
        <v>0</v>
      </c>
      <c r="R366">
        <f t="shared" si="32"/>
        <v>468</v>
      </c>
      <c r="S366" s="28">
        <f t="shared" si="33"/>
        <v>0</v>
      </c>
      <c r="T366" t="str">
        <f t="shared" si="34"/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30"/>
        <v/>
      </c>
      <c r="P367">
        <f>'Combined Delivery Data'!B394</f>
        <v>0</v>
      </c>
      <c r="Q367">
        <f t="shared" si="31"/>
        <v>0</v>
      </c>
      <c r="R367">
        <f t="shared" si="32"/>
        <v>468</v>
      </c>
      <c r="S367" s="28">
        <f t="shared" si="33"/>
        <v>0</v>
      </c>
      <c r="T367" t="str">
        <f t="shared" si="34"/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30"/>
        <v/>
      </c>
      <c r="P368">
        <f>'Combined Delivery Data'!B395</f>
        <v>0</v>
      </c>
      <c r="Q368">
        <f t="shared" si="31"/>
        <v>0</v>
      </c>
      <c r="R368">
        <f t="shared" si="32"/>
        <v>468</v>
      </c>
      <c r="S368" s="28">
        <f t="shared" si="33"/>
        <v>0</v>
      </c>
      <c r="T368" t="str">
        <f t="shared" si="34"/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30"/>
        <v/>
      </c>
      <c r="P369">
        <f>'Combined Delivery Data'!B396</f>
        <v>0</v>
      </c>
      <c r="Q369">
        <f t="shared" si="31"/>
        <v>0</v>
      </c>
      <c r="R369">
        <f t="shared" si="32"/>
        <v>468</v>
      </c>
      <c r="S369" s="28">
        <f t="shared" si="33"/>
        <v>0</v>
      </c>
      <c r="T369" t="str">
        <f t="shared" si="34"/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30"/>
        <v/>
      </c>
      <c r="P370">
        <f>'Combined Delivery Data'!B397</f>
        <v>0</v>
      </c>
      <c r="Q370">
        <f t="shared" si="31"/>
        <v>0</v>
      </c>
      <c r="R370">
        <f t="shared" si="32"/>
        <v>468</v>
      </c>
      <c r="S370" s="28">
        <f t="shared" si="33"/>
        <v>0</v>
      </c>
      <c r="T370" t="str">
        <f t="shared" si="34"/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30"/>
        <v/>
      </c>
      <c r="P371">
        <f>'Combined Delivery Data'!B398</f>
        <v>0</v>
      </c>
      <c r="Q371">
        <f t="shared" si="31"/>
        <v>0</v>
      </c>
      <c r="R371">
        <f t="shared" si="32"/>
        <v>468</v>
      </c>
      <c r="S371" s="28">
        <f t="shared" si="33"/>
        <v>0</v>
      </c>
      <c r="T371" t="str">
        <f t="shared" si="34"/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30"/>
        <v/>
      </c>
      <c r="P372">
        <f>'Combined Delivery Data'!B399</f>
        <v>0</v>
      </c>
      <c r="Q372">
        <f t="shared" si="31"/>
        <v>0</v>
      </c>
      <c r="R372">
        <f t="shared" si="32"/>
        <v>468</v>
      </c>
      <c r="S372" s="28">
        <f t="shared" si="33"/>
        <v>0</v>
      </c>
      <c r="T372" t="str">
        <f t="shared" si="34"/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30"/>
        <v/>
      </c>
      <c r="P373">
        <f>'Combined Delivery Data'!B400</f>
        <v>0</v>
      </c>
      <c r="Q373">
        <f t="shared" si="31"/>
        <v>0</v>
      </c>
      <c r="R373">
        <f t="shared" si="32"/>
        <v>468</v>
      </c>
      <c r="S373" s="28">
        <f t="shared" si="33"/>
        <v>0</v>
      </c>
      <c r="T373" t="str">
        <f t="shared" si="34"/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30"/>
        <v/>
      </c>
      <c r="P374">
        <f>'Combined Delivery Data'!B401</f>
        <v>0</v>
      </c>
      <c r="Q374">
        <f t="shared" si="31"/>
        <v>0</v>
      </c>
      <c r="R374">
        <f t="shared" si="32"/>
        <v>468</v>
      </c>
      <c r="S374" s="28">
        <f t="shared" si="33"/>
        <v>0</v>
      </c>
      <c r="T374" t="str">
        <f t="shared" si="34"/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30"/>
        <v/>
      </c>
      <c r="P375">
        <f>'Combined Delivery Data'!B402</f>
        <v>0</v>
      </c>
      <c r="Q375">
        <f t="shared" si="31"/>
        <v>0</v>
      </c>
      <c r="R375">
        <f t="shared" si="32"/>
        <v>468</v>
      </c>
      <c r="S375" s="28">
        <f t="shared" si="33"/>
        <v>0</v>
      </c>
      <c r="T375" t="str">
        <f t="shared" si="34"/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30"/>
        <v/>
      </c>
      <c r="P376">
        <f>'Combined Delivery Data'!B403</f>
        <v>0</v>
      </c>
      <c r="Q376">
        <f t="shared" si="31"/>
        <v>0</v>
      </c>
      <c r="R376">
        <f t="shared" si="32"/>
        <v>468</v>
      </c>
      <c r="S376" s="28">
        <f t="shared" si="33"/>
        <v>0</v>
      </c>
      <c r="T376" t="str">
        <f t="shared" si="34"/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30"/>
        <v/>
      </c>
      <c r="P377">
        <f>'Combined Delivery Data'!B404</f>
        <v>0</v>
      </c>
      <c r="Q377">
        <f t="shared" si="31"/>
        <v>0</v>
      </c>
      <c r="R377">
        <f t="shared" si="32"/>
        <v>468</v>
      </c>
      <c r="S377" s="28">
        <f t="shared" si="33"/>
        <v>0</v>
      </c>
      <c r="T377" t="str">
        <f t="shared" si="34"/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30"/>
        <v/>
      </c>
      <c r="P378">
        <f>'Combined Delivery Data'!B405</f>
        <v>0</v>
      </c>
      <c r="Q378">
        <f t="shared" si="31"/>
        <v>0</v>
      </c>
      <c r="R378">
        <f t="shared" si="32"/>
        <v>468</v>
      </c>
      <c r="S378" s="28">
        <f t="shared" si="33"/>
        <v>0</v>
      </c>
      <c r="T378" t="str">
        <f t="shared" si="34"/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30"/>
        <v/>
      </c>
      <c r="P379">
        <f>'Combined Delivery Data'!B406</f>
        <v>0</v>
      </c>
      <c r="Q379">
        <f t="shared" si="31"/>
        <v>0</v>
      </c>
      <c r="R379">
        <f t="shared" si="32"/>
        <v>468</v>
      </c>
      <c r="S379" s="28">
        <f t="shared" si="33"/>
        <v>0</v>
      </c>
      <c r="T379" t="str">
        <f t="shared" si="34"/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30"/>
        <v/>
      </c>
      <c r="P380">
        <f>'Combined Delivery Data'!B407</f>
        <v>0</v>
      </c>
      <c r="Q380">
        <f t="shared" si="31"/>
        <v>0</v>
      </c>
      <c r="R380">
        <f t="shared" si="32"/>
        <v>468</v>
      </c>
      <c r="S380" s="28">
        <f t="shared" si="33"/>
        <v>0</v>
      </c>
      <c r="T380" t="str">
        <f t="shared" si="34"/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30"/>
        <v/>
      </c>
      <c r="P381">
        <f>'Combined Delivery Data'!B408</f>
        <v>0</v>
      </c>
      <c r="Q381">
        <f t="shared" si="31"/>
        <v>0</v>
      </c>
      <c r="R381">
        <f t="shared" si="32"/>
        <v>468</v>
      </c>
      <c r="S381" s="28">
        <f t="shared" si="33"/>
        <v>0</v>
      </c>
      <c r="T381" t="str">
        <f t="shared" si="34"/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30"/>
        <v/>
      </c>
      <c r="P382">
        <f>'Combined Delivery Data'!B409</f>
        <v>0</v>
      </c>
      <c r="Q382">
        <f t="shared" si="31"/>
        <v>0</v>
      </c>
      <c r="R382">
        <f t="shared" si="32"/>
        <v>468</v>
      </c>
      <c r="S382" s="28">
        <f t="shared" si="33"/>
        <v>0</v>
      </c>
      <c r="T382" t="str">
        <f t="shared" si="34"/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30"/>
        <v/>
      </c>
      <c r="P383">
        <f>'Combined Delivery Data'!B410</f>
        <v>0</v>
      </c>
      <c r="Q383">
        <f t="shared" si="31"/>
        <v>0</v>
      </c>
      <c r="R383">
        <f t="shared" si="32"/>
        <v>468</v>
      </c>
      <c r="S383" s="28">
        <f t="shared" si="33"/>
        <v>0</v>
      </c>
      <c r="T383" t="str">
        <f t="shared" si="34"/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30"/>
        <v/>
      </c>
      <c r="P384">
        <f>'Combined Delivery Data'!B411</f>
        <v>0</v>
      </c>
      <c r="Q384">
        <f t="shared" si="31"/>
        <v>0</v>
      </c>
      <c r="R384">
        <f t="shared" si="32"/>
        <v>468</v>
      </c>
      <c r="S384" s="28">
        <f t="shared" si="33"/>
        <v>0</v>
      </c>
      <c r="T384" t="str">
        <f t="shared" si="34"/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30"/>
        <v/>
      </c>
      <c r="P385">
        <f>'Combined Delivery Data'!B412</f>
        <v>0</v>
      </c>
      <c r="Q385">
        <f t="shared" si="31"/>
        <v>0</v>
      </c>
      <c r="R385">
        <f t="shared" si="32"/>
        <v>468</v>
      </c>
      <c r="S385" s="28">
        <f t="shared" si="33"/>
        <v>0</v>
      </c>
      <c r="T385" t="str">
        <f t="shared" si="34"/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ref="M386:M449" ca="1" si="35">IF($A386="","",IF($G386="Did not pass re-test","Sent back again",IF(NOT(ISNUMBER($B386)),"Missing sent-back date",IF(ISNUMBER($J386),"Fixed in "&amp;($J386-$B386)&amp;" d",IF($I386="","UNCLAIMED "&amp;(TODAY()-$B386)&amp;" d",IF(TODAY()&gt;$I386,(TODAY()-$I386)&amp;" d LATE","Open "&amp;(TODAY()-$B386)&amp;" d"))))))</f>
        <v/>
      </c>
      <c r="P386">
        <f>'Combined Delivery Data'!B413</f>
        <v>0</v>
      </c>
      <c r="Q386">
        <f t="shared" si="31"/>
        <v>0</v>
      </c>
      <c r="R386">
        <f t="shared" si="32"/>
        <v>468</v>
      </c>
      <c r="S386" s="28">
        <f t="shared" si="33"/>
        <v>0</v>
      </c>
      <c r="T386" t="str">
        <f t="shared" si="34"/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ca="1" si="35"/>
        <v/>
      </c>
      <c r="P387">
        <f>'Combined Delivery Data'!B414</f>
        <v>0</v>
      </c>
      <c r="Q387">
        <f t="shared" si="31"/>
        <v>0</v>
      </c>
      <c r="R387">
        <f t="shared" si="32"/>
        <v>468</v>
      </c>
      <c r="S387" s="28">
        <f t="shared" si="33"/>
        <v>0</v>
      </c>
      <c r="T387" t="str">
        <f t="shared" si="34"/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35"/>
        <v/>
      </c>
      <c r="P388">
        <f>'Combined Delivery Data'!B415</f>
        <v>0</v>
      </c>
      <c r="Q388">
        <f t="shared" si="31"/>
        <v>0</v>
      </c>
      <c r="R388">
        <f t="shared" si="32"/>
        <v>468</v>
      </c>
      <c r="S388" s="28">
        <f t="shared" si="33"/>
        <v>0</v>
      </c>
      <c r="T388" t="str">
        <f t="shared" si="34"/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35"/>
        <v/>
      </c>
      <c r="P389">
        <f>'Combined Delivery Data'!B416</f>
        <v>0</v>
      </c>
      <c r="Q389">
        <f t="shared" si="31"/>
        <v>0</v>
      </c>
      <c r="R389">
        <f t="shared" si="32"/>
        <v>468</v>
      </c>
      <c r="S389" s="28">
        <f t="shared" si="33"/>
        <v>0</v>
      </c>
      <c r="T389" t="str">
        <f t="shared" si="34"/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35"/>
        <v/>
      </c>
      <c r="P390">
        <f>'Combined Delivery Data'!B417</f>
        <v>0</v>
      </c>
      <c r="Q390">
        <f t="shared" si="31"/>
        <v>0</v>
      </c>
      <c r="R390">
        <f t="shared" si="32"/>
        <v>468</v>
      </c>
      <c r="S390" s="28">
        <f t="shared" si="33"/>
        <v>0</v>
      </c>
      <c r="T390" t="str">
        <f t="shared" si="34"/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35"/>
        <v/>
      </c>
      <c r="P391">
        <f>'Combined Delivery Data'!B418</f>
        <v>0</v>
      </c>
      <c r="Q391">
        <f t="shared" si="31"/>
        <v>0</v>
      </c>
      <c r="R391">
        <f t="shared" si="32"/>
        <v>468</v>
      </c>
      <c r="S391" s="28">
        <f t="shared" si="33"/>
        <v>0</v>
      </c>
      <c r="T391" t="str">
        <f t="shared" si="34"/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35"/>
        <v/>
      </c>
      <c r="P392">
        <f>'Combined Delivery Data'!B419</f>
        <v>0</v>
      </c>
      <c r="Q392">
        <f t="shared" si="31"/>
        <v>0</v>
      </c>
      <c r="R392">
        <f t="shared" si="32"/>
        <v>468</v>
      </c>
      <c r="S392" s="28">
        <f t="shared" si="33"/>
        <v>0</v>
      </c>
      <c r="T392" t="str">
        <f t="shared" si="34"/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35"/>
        <v/>
      </c>
      <c r="P393">
        <f>'Combined Delivery Data'!B420</f>
        <v>0</v>
      </c>
      <c r="Q393">
        <f t="shared" si="31"/>
        <v>0</v>
      </c>
      <c r="R393">
        <f t="shared" si="32"/>
        <v>468</v>
      </c>
      <c r="S393" s="28">
        <f t="shared" si="33"/>
        <v>0</v>
      </c>
      <c r="T393" t="str">
        <f t="shared" si="34"/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35"/>
        <v/>
      </c>
      <c r="P394">
        <f>'Combined Delivery Data'!B421</f>
        <v>0</v>
      </c>
      <c r="Q394">
        <f t="shared" si="31"/>
        <v>0</v>
      </c>
      <c r="R394">
        <f t="shared" si="32"/>
        <v>468</v>
      </c>
      <c r="S394" s="28">
        <f t="shared" si="33"/>
        <v>0</v>
      </c>
      <c r="T394" t="str">
        <f t="shared" si="34"/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35"/>
        <v/>
      </c>
      <c r="P395">
        <f>'Combined Delivery Data'!B422</f>
        <v>0</v>
      </c>
      <c r="Q395">
        <f t="shared" si="31"/>
        <v>0</v>
      </c>
      <c r="R395">
        <f t="shared" si="32"/>
        <v>468</v>
      </c>
      <c r="S395" s="28">
        <f t="shared" si="33"/>
        <v>0</v>
      </c>
      <c r="T395" t="str">
        <f t="shared" si="34"/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35"/>
        <v/>
      </c>
      <c r="P396">
        <f>'Combined Delivery Data'!B423</f>
        <v>0</v>
      </c>
      <c r="Q396">
        <f t="shared" si="31"/>
        <v>0</v>
      </c>
      <c r="R396">
        <f t="shared" si="32"/>
        <v>468</v>
      </c>
      <c r="S396" s="28">
        <f t="shared" si="33"/>
        <v>0</v>
      </c>
      <c r="T396" t="str">
        <f t="shared" si="34"/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35"/>
        <v/>
      </c>
      <c r="P397">
        <f>'Combined Delivery Data'!B424</f>
        <v>0</v>
      </c>
      <c r="Q397">
        <f t="shared" si="31"/>
        <v>0</v>
      </c>
      <c r="R397">
        <f t="shared" si="32"/>
        <v>468</v>
      </c>
      <c r="S397" s="28">
        <f t="shared" si="33"/>
        <v>0</v>
      </c>
      <c r="T397" t="str">
        <f t="shared" si="34"/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35"/>
        <v/>
      </c>
      <c r="P398">
        <f>'Combined Delivery Data'!B425</f>
        <v>0</v>
      </c>
      <c r="Q398">
        <f t="shared" si="31"/>
        <v>0</v>
      </c>
      <c r="R398">
        <f t="shared" si="32"/>
        <v>468</v>
      </c>
      <c r="S398" s="28">
        <f t="shared" si="33"/>
        <v>0</v>
      </c>
      <c r="T398" t="str">
        <f t="shared" si="34"/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35"/>
        <v/>
      </c>
      <c r="P399">
        <f>'Combined Delivery Data'!B426</f>
        <v>0</v>
      </c>
      <c r="Q399">
        <f t="shared" si="31"/>
        <v>0</v>
      </c>
      <c r="R399">
        <f t="shared" si="32"/>
        <v>468</v>
      </c>
      <c r="S399" s="28">
        <f t="shared" si="33"/>
        <v>0</v>
      </c>
      <c r="T399" t="str">
        <f t="shared" si="34"/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35"/>
        <v/>
      </c>
      <c r="P400">
        <f>'Combined Delivery Data'!B427</f>
        <v>0</v>
      </c>
      <c r="Q400">
        <f t="shared" si="31"/>
        <v>0</v>
      </c>
      <c r="R400">
        <f t="shared" si="32"/>
        <v>468</v>
      </c>
      <c r="S400" s="28">
        <f t="shared" si="33"/>
        <v>0</v>
      </c>
      <c r="T400" t="str">
        <f t="shared" si="34"/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35"/>
        <v/>
      </c>
      <c r="P401">
        <f>'Combined Delivery Data'!B428</f>
        <v>0</v>
      </c>
      <c r="Q401">
        <f t="shared" si="31"/>
        <v>0</v>
      </c>
      <c r="R401">
        <f t="shared" si="32"/>
        <v>468</v>
      </c>
      <c r="S401" s="28">
        <f t="shared" si="33"/>
        <v>0</v>
      </c>
      <c r="T401" t="str">
        <f t="shared" si="34"/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35"/>
        <v/>
      </c>
      <c r="P402">
        <f>'Combined Delivery Data'!B429</f>
        <v>0</v>
      </c>
      <c r="Q402">
        <f t="shared" ref="Q402:Q465" si="36">IF($P402="","",COUNTIF($A$3:$A$499,$P402))</f>
        <v>0</v>
      </c>
      <c r="R402">
        <f t="shared" ref="R402:R465" si="37">IF($P402="","",SUMPRODUCT(($A$3:$A$499=$P402)*($G$3:$G$499&lt;&gt;"Yes")*($G$3:$G$499&lt;&gt;"Did not pass re-test")))</f>
        <v>468</v>
      </c>
      <c r="S402" s="28">
        <f t="shared" ref="S402:S465" si="38">IF($P402="","",IF(SUMPRODUCT(MAX(($A$3:$A$499=$P402)*ROW($A$3:$A$499)))=0,"",INDEX($B:$B,SUMPRODUCT(MAX(($A$3:$A$499=$P402)*ROW($A$3:$A$499))))))</f>
        <v>0</v>
      </c>
      <c r="T402" t="str">
        <f t="shared" ref="T402:T465" si="39">IF($P402="","",IF(SUMPRODUCT(MAX(($A$3:$A$499=$P402)*ROW($A$3:$A$499)))=0,"",INDEX($C:$C,SUMPRODUCT(MAX(($A$3:$A$499=$P402)*ROW($A$3:$A$499))))&amp;" -&gt; "&amp;INDEX($D:$D,SUMPRODUCT(MAX(($A$3:$A$499=$P402)*ROW($A$3:$A$499))))))</f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35"/>
        <v/>
      </c>
      <c r="P403">
        <f>'Combined Delivery Data'!B430</f>
        <v>0</v>
      </c>
      <c r="Q403">
        <f t="shared" si="36"/>
        <v>0</v>
      </c>
      <c r="R403">
        <f t="shared" si="37"/>
        <v>468</v>
      </c>
      <c r="S403" s="28">
        <f t="shared" si="38"/>
        <v>0</v>
      </c>
      <c r="T403" t="str">
        <f t="shared" si="39"/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35"/>
        <v/>
      </c>
      <c r="P404">
        <f>'Combined Delivery Data'!B431</f>
        <v>0</v>
      </c>
      <c r="Q404">
        <f t="shared" si="36"/>
        <v>0</v>
      </c>
      <c r="R404">
        <f t="shared" si="37"/>
        <v>468</v>
      </c>
      <c r="S404" s="28">
        <f t="shared" si="38"/>
        <v>0</v>
      </c>
      <c r="T404" t="str">
        <f t="shared" si="39"/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35"/>
        <v/>
      </c>
      <c r="P405">
        <f>'Combined Delivery Data'!B432</f>
        <v>0</v>
      </c>
      <c r="Q405">
        <f t="shared" si="36"/>
        <v>0</v>
      </c>
      <c r="R405">
        <f t="shared" si="37"/>
        <v>468</v>
      </c>
      <c r="S405" s="28">
        <f t="shared" si="38"/>
        <v>0</v>
      </c>
      <c r="T405" t="str">
        <f t="shared" si="39"/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35"/>
        <v/>
      </c>
      <c r="P406">
        <f>'Combined Delivery Data'!B433</f>
        <v>0</v>
      </c>
      <c r="Q406">
        <f t="shared" si="36"/>
        <v>0</v>
      </c>
      <c r="R406">
        <f t="shared" si="37"/>
        <v>468</v>
      </c>
      <c r="S406" s="28">
        <f t="shared" si="38"/>
        <v>0</v>
      </c>
      <c r="T406" t="str">
        <f t="shared" si="39"/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35"/>
        <v/>
      </c>
      <c r="P407">
        <f>'Combined Delivery Data'!B434</f>
        <v>0</v>
      </c>
      <c r="Q407">
        <f t="shared" si="36"/>
        <v>0</v>
      </c>
      <c r="R407">
        <f t="shared" si="37"/>
        <v>468</v>
      </c>
      <c r="S407" s="28">
        <f t="shared" si="38"/>
        <v>0</v>
      </c>
      <c r="T407" t="str">
        <f t="shared" si="39"/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35"/>
        <v/>
      </c>
      <c r="P408">
        <f>'Combined Delivery Data'!B435</f>
        <v>0</v>
      </c>
      <c r="Q408">
        <f t="shared" si="36"/>
        <v>0</v>
      </c>
      <c r="R408">
        <f t="shared" si="37"/>
        <v>468</v>
      </c>
      <c r="S408" s="28">
        <f t="shared" si="38"/>
        <v>0</v>
      </c>
      <c r="T408" t="str">
        <f t="shared" si="39"/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35"/>
        <v/>
      </c>
      <c r="P409">
        <f>'Combined Delivery Data'!B436</f>
        <v>0</v>
      </c>
      <c r="Q409">
        <f t="shared" si="36"/>
        <v>0</v>
      </c>
      <c r="R409">
        <f t="shared" si="37"/>
        <v>468</v>
      </c>
      <c r="S409" s="28">
        <f t="shared" si="38"/>
        <v>0</v>
      </c>
      <c r="T409" t="str">
        <f t="shared" si="39"/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35"/>
        <v/>
      </c>
      <c r="P410">
        <f>'Combined Delivery Data'!B437</f>
        <v>0</v>
      </c>
      <c r="Q410">
        <f t="shared" si="36"/>
        <v>0</v>
      </c>
      <c r="R410">
        <f t="shared" si="37"/>
        <v>468</v>
      </c>
      <c r="S410" s="28">
        <f t="shared" si="38"/>
        <v>0</v>
      </c>
      <c r="T410" t="str">
        <f t="shared" si="39"/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35"/>
        <v/>
      </c>
      <c r="P411">
        <f>'Combined Delivery Data'!B438</f>
        <v>0</v>
      </c>
      <c r="Q411">
        <f t="shared" si="36"/>
        <v>0</v>
      </c>
      <c r="R411">
        <f t="shared" si="37"/>
        <v>468</v>
      </c>
      <c r="S411" s="28">
        <f t="shared" si="38"/>
        <v>0</v>
      </c>
      <c r="T411" t="str">
        <f t="shared" si="39"/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35"/>
        <v/>
      </c>
      <c r="P412">
        <f>'Combined Delivery Data'!B439</f>
        <v>0</v>
      </c>
      <c r="Q412">
        <f t="shared" si="36"/>
        <v>0</v>
      </c>
      <c r="R412">
        <f t="shared" si="37"/>
        <v>468</v>
      </c>
      <c r="S412" s="28">
        <f t="shared" si="38"/>
        <v>0</v>
      </c>
      <c r="T412" t="str">
        <f t="shared" si="39"/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35"/>
        <v/>
      </c>
      <c r="P413">
        <f>'Combined Delivery Data'!B440</f>
        <v>0</v>
      </c>
      <c r="Q413">
        <f t="shared" si="36"/>
        <v>0</v>
      </c>
      <c r="R413">
        <f t="shared" si="37"/>
        <v>468</v>
      </c>
      <c r="S413" s="28">
        <f t="shared" si="38"/>
        <v>0</v>
      </c>
      <c r="T413" t="str">
        <f t="shared" si="39"/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35"/>
        <v/>
      </c>
      <c r="P414">
        <f>'Combined Delivery Data'!B441</f>
        <v>0</v>
      </c>
      <c r="Q414">
        <f t="shared" si="36"/>
        <v>0</v>
      </c>
      <c r="R414">
        <f t="shared" si="37"/>
        <v>468</v>
      </c>
      <c r="S414" s="28">
        <f t="shared" si="38"/>
        <v>0</v>
      </c>
      <c r="T414" t="str">
        <f t="shared" si="39"/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35"/>
        <v/>
      </c>
      <c r="P415">
        <f>'Combined Delivery Data'!B442</f>
        <v>0</v>
      </c>
      <c r="Q415">
        <f t="shared" si="36"/>
        <v>0</v>
      </c>
      <c r="R415">
        <f t="shared" si="37"/>
        <v>468</v>
      </c>
      <c r="S415" s="28">
        <f t="shared" si="38"/>
        <v>0</v>
      </c>
      <c r="T415" t="str">
        <f t="shared" si="39"/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35"/>
        <v/>
      </c>
      <c r="P416">
        <f>'Combined Delivery Data'!B443</f>
        <v>0</v>
      </c>
      <c r="Q416">
        <f t="shared" si="36"/>
        <v>0</v>
      </c>
      <c r="R416">
        <f t="shared" si="37"/>
        <v>468</v>
      </c>
      <c r="S416" s="28">
        <f t="shared" si="38"/>
        <v>0</v>
      </c>
      <c r="T416" t="str">
        <f t="shared" si="39"/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35"/>
        <v/>
      </c>
      <c r="P417">
        <f>'Combined Delivery Data'!B444</f>
        <v>0</v>
      </c>
      <c r="Q417">
        <f t="shared" si="36"/>
        <v>0</v>
      </c>
      <c r="R417">
        <f t="shared" si="37"/>
        <v>468</v>
      </c>
      <c r="S417" s="28">
        <f t="shared" si="38"/>
        <v>0</v>
      </c>
      <c r="T417" t="str">
        <f t="shared" si="39"/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35"/>
        <v/>
      </c>
      <c r="P418">
        <f>'Combined Delivery Data'!B445</f>
        <v>0</v>
      </c>
      <c r="Q418">
        <f t="shared" si="36"/>
        <v>0</v>
      </c>
      <c r="R418">
        <f t="shared" si="37"/>
        <v>468</v>
      </c>
      <c r="S418" s="28">
        <f t="shared" si="38"/>
        <v>0</v>
      </c>
      <c r="T418" t="str">
        <f t="shared" si="39"/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35"/>
        <v/>
      </c>
      <c r="P419">
        <f>'Combined Delivery Data'!B446</f>
        <v>0</v>
      </c>
      <c r="Q419">
        <f t="shared" si="36"/>
        <v>0</v>
      </c>
      <c r="R419">
        <f t="shared" si="37"/>
        <v>468</v>
      </c>
      <c r="S419" s="28">
        <f t="shared" si="38"/>
        <v>0</v>
      </c>
      <c r="T419" t="str">
        <f t="shared" si="39"/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35"/>
        <v/>
      </c>
      <c r="P420">
        <f>'Combined Delivery Data'!B447</f>
        <v>0</v>
      </c>
      <c r="Q420">
        <f t="shared" si="36"/>
        <v>0</v>
      </c>
      <c r="R420">
        <f t="shared" si="37"/>
        <v>468</v>
      </c>
      <c r="S420" s="28">
        <f t="shared" si="38"/>
        <v>0</v>
      </c>
      <c r="T420" t="str">
        <f t="shared" si="39"/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35"/>
        <v/>
      </c>
      <c r="P421">
        <f>'Combined Delivery Data'!B448</f>
        <v>0</v>
      </c>
      <c r="Q421">
        <f t="shared" si="36"/>
        <v>0</v>
      </c>
      <c r="R421">
        <f t="shared" si="37"/>
        <v>468</v>
      </c>
      <c r="S421" s="28">
        <f t="shared" si="38"/>
        <v>0</v>
      </c>
      <c r="T421" t="str">
        <f t="shared" si="39"/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35"/>
        <v/>
      </c>
      <c r="P422">
        <f>'Combined Delivery Data'!B449</f>
        <v>0</v>
      </c>
      <c r="Q422">
        <f t="shared" si="36"/>
        <v>0</v>
      </c>
      <c r="R422">
        <f t="shared" si="37"/>
        <v>468</v>
      </c>
      <c r="S422" s="28">
        <f t="shared" si="38"/>
        <v>0</v>
      </c>
      <c r="T422" t="str">
        <f t="shared" si="39"/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35"/>
        <v/>
      </c>
      <c r="P423">
        <f>'Combined Delivery Data'!B450</f>
        <v>0</v>
      </c>
      <c r="Q423">
        <f t="shared" si="36"/>
        <v>0</v>
      </c>
      <c r="R423">
        <f t="shared" si="37"/>
        <v>468</v>
      </c>
      <c r="S423" s="28">
        <f t="shared" si="38"/>
        <v>0</v>
      </c>
      <c r="T423" t="str">
        <f t="shared" si="39"/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35"/>
        <v/>
      </c>
      <c r="P424">
        <f>'Combined Delivery Data'!B451</f>
        <v>0</v>
      </c>
      <c r="Q424">
        <f t="shared" si="36"/>
        <v>0</v>
      </c>
      <c r="R424">
        <f t="shared" si="37"/>
        <v>468</v>
      </c>
      <c r="S424" s="28">
        <f t="shared" si="38"/>
        <v>0</v>
      </c>
      <c r="T424" t="str">
        <f t="shared" si="39"/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35"/>
        <v/>
      </c>
      <c r="P425">
        <f>'Combined Delivery Data'!B452</f>
        <v>0</v>
      </c>
      <c r="Q425">
        <f t="shared" si="36"/>
        <v>0</v>
      </c>
      <c r="R425">
        <f t="shared" si="37"/>
        <v>468</v>
      </c>
      <c r="S425" s="28">
        <f t="shared" si="38"/>
        <v>0</v>
      </c>
      <c r="T425" t="str">
        <f t="shared" si="39"/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35"/>
        <v/>
      </c>
      <c r="P426">
        <f>'Combined Delivery Data'!B453</f>
        <v>0</v>
      </c>
      <c r="Q426">
        <f t="shared" si="36"/>
        <v>0</v>
      </c>
      <c r="R426">
        <f t="shared" si="37"/>
        <v>468</v>
      </c>
      <c r="S426" s="28">
        <f t="shared" si="38"/>
        <v>0</v>
      </c>
      <c r="T426" t="str">
        <f t="shared" si="39"/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35"/>
        <v/>
      </c>
      <c r="P427">
        <f>'Combined Delivery Data'!B454</f>
        <v>0</v>
      </c>
      <c r="Q427">
        <f t="shared" si="36"/>
        <v>0</v>
      </c>
      <c r="R427">
        <f t="shared" si="37"/>
        <v>468</v>
      </c>
      <c r="S427" s="28">
        <f t="shared" si="38"/>
        <v>0</v>
      </c>
      <c r="T427" t="str">
        <f t="shared" si="39"/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35"/>
        <v/>
      </c>
      <c r="P428">
        <f>'Combined Delivery Data'!B455</f>
        <v>0</v>
      </c>
      <c r="Q428">
        <f t="shared" si="36"/>
        <v>0</v>
      </c>
      <c r="R428">
        <f t="shared" si="37"/>
        <v>468</v>
      </c>
      <c r="S428" s="28">
        <f t="shared" si="38"/>
        <v>0</v>
      </c>
      <c r="T428" t="str">
        <f t="shared" si="39"/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35"/>
        <v/>
      </c>
      <c r="P429">
        <f>'Combined Delivery Data'!B456</f>
        <v>0</v>
      </c>
      <c r="Q429">
        <f t="shared" si="36"/>
        <v>0</v>
      </c>
      <c r="R429">
        <f t="shared" si="37"/>
        <v>468</v>
      </c>
      <c r="S429" s="28">
        <f t="shared" si="38"/>
        <v>0</v>
      </c>
      <c r="T429" t="str">
        <f t="shared" si="39"/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35"/>
        <v/>
      </c>
      <c r="P430">
        <f>'Combined Delivery Data'!B457</f>
        <v>0</v>
      </c>
      <c r="Q430">
        <f t="shared" si="36"/>
        <v>0</v>
      </c>
      <c r="R430">
        <f t="shared" si="37"/>
        <v>468</v>
      </c>
      <c r="S430" s="28">
        <f t="shared" si="38"/>
        <v>0</v>
      </c>
      <c r="T430" t="str">
        <f t="shared" si="39"/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35"/>
        <v/>
      </c>
      <c r="P431">
        <f>'Combined Delivery Data'!B458</f>
        <v>0</v>
      </c>
      <c r="Q431">
        <f t="shared" si="36"/>
        <v>0</v>
      </c>
      <c r="R431">
        <f t="shared" si="37"/>
        <v>468</v>
      </c>
      <c r="S431" s="28">
        <f t="shared" si="38"/>
        <v>0</v>
      </c>
      <c r="T431" t="str">
        <f t="shared" si="39"/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35"/>
        <v/>
      </c>
      <c r="P432">
        <f>'Combined Delivery Data'!B459</f>
        <v>0</v>
      </c>
      <c r="Q432">
        <f t="shared" si="36"/>
        <v>0</v>
      </c>
      <c r="R432">
        <f t="shared" si="37"/>
        <v>468</v>
      </c>
      <c r="S432" s="28">
        <f t="shared" si="38"/>
        <v>0</v>
      </c>
      <c r="T432" t="str">
        <f t="shared" si="39"/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35"/>
        <v/>
      </c>
      <c r="P433">
        <f>'Combined Delivery Data'!B460</f>
        <v>0</v>
      </c>
      <c r="Q433">
        <f t="shared" si="36"/>
        <v>0</v>
      </c>
      <c r="R433">
        <f t="shared" si="37"/>
        <v>468</v>
      </c>
      <c r="S433" s="28">
        <f t="shared" si="38"/>
        <v>0</v>
      </c>
      <c r="T433" t="str">
        <f t="shared" si="39"/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35"/>
        <v/>
      </c>
      <c r="P434">
        <f>'Combined Delivery Data'!B461</f>
        <v>0</v>
      </c>
      <c r="Q434">
        <f t="shared" si="36"/>
        <v>0</v>
      </c>
      <c r="R434">
        <f t="shared" si="37"/>
        <v>468</v>
      </c>
      <c r="S434" s="28">
        <f t="shared" si="38"/>
        <v>0</v>
      </c>
      <c r="T434" t="str">
        <f t="shared" si="39"/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35"/>
        <v/>
      </c>
      <c r="P435">
        <f>'Combined Delivery Data'!B462</f>
        <v>0</v>
      </c>
      <c r="Q435">
        <f t="shared" si="36"/>
        <v>0</v>
      </c>
      <c r="R435">
        <f t="shared" si="37"/>
        <v>468</v>
      </c>
      <c r="S435" s="28">
        <f t="shared" si="38"/>
        <v>0</v>
      </c>
      <c r="T435" t="str">
        <f t="shared" si="39"/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35"/>
        <v/>
      </c>
      <c r="P436">
        <f>'Combined Delivery Data'!B463</f>
        <v>0</v>
      </c>
      <c r="Q436">
        <f t="shared" si="36"/>
        <v>0</v>
      </c>
      <c r="R436">
        <f t="shared" si="37"/>
        <v>468</v>
      </c>
      <c r="S436" s="28">
        <f t="shared" si="38"/>
        <v>0</v>
      </c>
      <c r="T436" t="str">
        <f t="shared" si="39"/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35"/>
        <v/>
      </c>
      <c r="P437">
        <f>'Combined Delivery Data'!B464</f>
        <v>0</v>
      </c>
      <c r="Q437">
        <f t="shared" si="36"/>
        <v>0</v>
      </c>
      <c r="R437">
        <f t="shared" si="37"/>
        <v>468</v>
      </c>
      <c r="S437" s="28">
        <f t="shared" si="38"/>
        <v>0</v>
      </c>
      <c r="T437" t="str">
        <f t="shared" si="39"/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35"/>
        <v/>
      </c>
      <c r="P438">
        <f>'Combined Delivery Data'!B465</f>
        <v>0</v>
      </c>
      <c r="Q438">
        <f t="shared" si="36"/>
        <v>0</v>
      </c>
      <c r="R438">
        <f t="shared" si="37"/>
        <v>468</v>
      </c>
      <c r="S438" s="28">
        <f t="shared" si="38"/>
        <v>0</v>
      </c>
      <c r="T438" t="str">
        <f t="shared" si="39"/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35"/>
        <v/>
      </c>
      <c r="P439">
        <f>'Combined Delivery Data'!B466</f>
        <v>0</v>
      </c>
      <c r="Q439">
        <f t="shared" si="36"/>
        <v>0</v>
      </c>
      <c r="R439">
        <f t="shared" si="37"/>
        <v>468</v>
      </c>
      <c r="S439" s="28">
        <f t="shared" si="38"/>
        <v>0</v>
      </c>
      <c r="T439" t="str">
        <f t="shared" si="39"/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35"/>
        <v/>
      </c>
      <c r="P440">
        <f>'Combined Delivery Data'!B467</f>
        <v>0</v>
      </c>
      <c r="Q440">
        <f t="shared" si="36"/>
        <v>0</v>
      </c>
      <c r="R440">
        <f t="shared" si="37"/>
        <v>468</v>
      </c>
      <c r="S440" s="28">
        <f t="shared" si="38"/>
        <v>0</v>
      </c>
      <c r="T440" t="str">
        <f t="shared" si="39"/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35"/>
        <v/>
      </c>
      <c r="P441">
        <f>'Combined Delivery Data'!B468</f>
        <v>0</v>
      </c>
      <c r="Q441">
        <f t="shared" si="36"/>
        <v>0</v>
      </c>
      <c r="R441">
        <f t="shared" si="37"/>
        <v>468</v>
      </c>
      <c r="S441" s="28">
        <f t="shared" si="38"/>
        <v>0</v>
      </c>
      <c r="T441" t="str">
        <f t="shared" si="39"/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35"/>
        <v/>
      </c>
      <c r="P442">
        <f>'Combined Delivery Data'!B469</f>
        <v>0</v>
      </c>
      <c r="Q442">
        <f t="shared" si="36"/>
        <v>0</v>
      </c>
      <c r="R442">
        <f t="shared" si="37"/>
        <v>468</v>
      </c>
      <c r="S442" s="28">
        <f t="shared" si="38"/>
        <v>0</v>
      </c>
      <c r="T442" t="str">
        <f t="shared" si="39"/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35"/>
        <v/>
      </c>
      <c r="P443">
        <f>'Combined Delivery Data'!B470</f>
        <v>0</v>
      </c>
      <c r="Q443">
        <f t="shared" si="36"/>
        <v>0</v>
      </c>
      <c r="R443">
        <f t="shared" si="37"/>
        <v>468</v>
      </c>
      <c r="S443" s="28">
        <f t="shared" si="38"/>
        <v>0</v>
      </c>
      <c r="T443" t="str">
        <f t="shared" si="39"/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35"/>
        <v/>
      </c>
      <c r="P444">
        <f>'Combined Delivery Data'!B471</f>
        <v>0</v>
      </c>
      <c r="Q444">
        <f t="shared" si="36"/>
        <v>0</v>
      </c>
      <c r="R444">
        <f t="shared" si="37"/>
        <v>468</v>
      </c>
      <c r="S444" s="28">
        <f t="shared" si="38"/>
        <v>0</v>
      </c>
      <c r="T444" t="str">
        <f t="shared" si="39"/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35"/>
        <v/>
      </c>
      <c r="P445">
        <f>'Combined Delivery Data'!B472</f>
        <v>0</v>
      </c>
      <c r="Q445">
        <f t="shared" si="36"/>
        <v>0</v>
      </c>
      <c r="R445">
        <f t="shared" si="37"/>
        <v>468</v>
      </c>
      <c r="S445" s="28">
        <f t="shared" si="38"/>
        <v>0</v>
      </c>
      <c r="T445" t="str">
        <f t="shared" si="39"/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35"/>
        <v/>
      </c>
      <c r="P446">
        <f>'Combined Delivery Data'!B473</f>
        <v>0</v>
      </c>
      <c r="Q446">
        <f t="shared" si="36"/>
        <v>0</v>
      </c>
      <c r="R446">
        <f t="shared" si="37"/>
        <v>468</v>
      </c>
      <c r="S446" s="28">
        <f t="shared" si="38"/>
        <v>0</v>
      </c>
      <c r="T446" t="str">
        <f t="shared" si="39"/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35"/>
        <v/>
      </c>
      <c r="P447">
        <f>'Combined Delivery Data'!B474</f>
        <v>0</v>
      </c>
      <c r="Q447">
        <f t="shared" si="36"/>
        <v>0</v>
      </c>
      <c r="R447">
        <f t="shared" si="37"/>
        <v>468</v>
      </c>
      <c r="S447" s="28">
        <f t="shared" si="38"/>
        <v>0</v>
      </c>
      <c r="T447" t="str">
        <f t="shared" si="39"/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35"/>
        <v/>
      </c>
      <c r="P448">
        <f>'Combined Delivery Data'!B475</f>
        <v>0</v>
      </c>
      <c r="Q448">
        <f t="shared" si="36"/>
        <v>0</v>
      </c>
      <c r="R448">
        <f t="shared" si="37"/>
        <v>468</v>
      </c>
      <c r="S448" s="28">
        <f t="shared" si="38"/>
        <v>0</v>
      </c>
      <c r="T448" t="str">
        <f t="shared" si="39"/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35"/>
        <v/>
      </c>
      <c r="P449">
        <f>'Combined Delivery Data'!B476</f>
        <v>0</v>
      </c>
      <c r="Q449">
        <f t="shared" si="36"/>
        <v>0</v>
      </c>
      <c r="R449">
        <f t="shared" si="37"/>
        <v>468</v>
      </c>
      <c r="S449" s="28">
        <f t="shared" si="38"/>
        <v>0</v>
      </c>
      <c r="T449" t="str">
        <f t="shared" si="39"/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ref="M450:M499" ca="1" si="40">IF($A450="","",IF($G450="Did not pass re-test","Sent back again",IF(NOT(ISNUMBER($B450)),"Missing sent-back date",IF(ISNUMBER($J450),"Fixed in "&amp;($J450-$B450)&amp;" d",IF($I450="","UNCLAIMED "&amp;(TODAY()-$B450)&amp;" d",IF(TODAY()&gt;$I450,(TODAY()-$I450)&amp;" d LATE","Open "&amp;(TODAY()-$B450)&amp;" d"))))))</f>
        <v/>
      </c>
      <c r="P450">
        <f>'Combined Delivery Data'!B477</f>
        <v>0</v>
      </c>
      <c r="Q450">
        <f t="shared" si="36"/>
        <v>0</v>
      </c>
      <c r="R450">
        <f t="shared" si="37"/>
        <v>468</v>
      </c>
      <c r="S450" s="28">
        <f t="shared" si="38"/>
        <v>0</v>
      </c>
      <c r="T450" t="str">
        <f t="shared" si="39"/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ca="1" si="40"/>
        <v/>
      </c>
      <c r="P451">
        <f>'Combined Delivery Data'!B478</f>
        <v>0</v>
      </c>
      <c r="Q451">
        <f t="shared" si="36"/>
        <v>0</v>
      </c>
      <c r="R451">
        <f t="shared" si="37"/>
        <v>468</v>
      </c>
      <c r="S451" s="28">
        <f t="shared" si="38"/>
        <v>0</v>
      </c>
      <c r="T451" t="str">
        <f t="shared" si="39"/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40"/>
        <v/>
      </c>
      <c r="P452">
        <f>'Combined Delivery Data'!B479</f>
        <v>0</v>
      </c>
      <c r="Q452">
        <f t="shared" si="36"/>
        <v>0</v>
      </c>
      <c r="R452">
        <f t="shared" si="37"/>
        <v>468</v>
      </c>
      <c r="S452" s="28">
        <f t="shared" si="38"/>
        <v>0</v>
      </c>
      <c r="T452" t="str">
        <f t="shared" si="39"/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40"/>
        <v/>
      </c>
      <c r="P453">
        <f>'Combined Delivery Data'!B480</f>
        <v>0</v>
      </c>
      <c r="Q453">
        <f t="shared" si="36"/>
        <v>0</v>
      </c>
      <c r="R453">
        <f t="shared" si="37"/>
        <v>468</v>
      </c>
      <c r="S453" s="28">
        <f t="shared" si="38"/>
        <v>0</v>
      </c>
      <c r="T453" t="str">
        <f t="shared" si="39"/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40"/>
        <v/>
      </c>
      <c r="P454">
        <f>'Combined Delivery Data'!B481</f>
        <v>0</v>
      </c>
      <c r="Q454">
        <f t="shared" si="36"/>
        <v>0</v>
      </c>
      <c r="R454">
        <f t="shared" si="37"/>
        <v>468</v>
      </c>
      <c r="S454" s="28">
        <f t="shared" si="38"/>
        <v>0</v>
      </c>
      <c r="T454" t="str">
        <f t="shared" si="39"/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40"/>
        <v/>
      </c>
      <c r="P455">
        <f>'Combined Delivery Data'!B482</f>
        <v>0</v>
      </c>
      <c r="Q455">
        <f t="shared" si="36"/>
        <v>0</v>
      </c>
      <c r="R455">
        <f t="shared" si="37"/>
        <v>468</v>
      </c>
      <c r="S455" s="28">
        <f t="shared" si="38"/>
        <v>0</v>
      </c>
      <c r="T455" t="str">
        <f t="shared" si="39"/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40"/>
        <v/>
      </c>
      <c r="P456">
        <f>'Combined Delivery Data'!B483</f>
        <v>0</v>
      </c>
      <c r="Q456">
        <f t="shared" si="36"/>
        <v>0</v>
      </c>
      <c r="R456">
        <f t="shared" si="37"/>
        <v>468</v>
      </c>
      <c r="S456" s="28">
        <f t="shared" si="38"/>
        <v>0</v>
      </c>
      <c r="T456" t="str">
        <f t="shared" si="39"/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40"/>
        <v/>
      </c>
      <c r="P457">
        <f>'Combined Delivery Data'!B484</f>
        <v>0</v>
      </c>
      <c r="Q457">
        <f t="shared" si="36"/>
        <v>0</v>
      </c>
      <c r="R457">
        <f t="shared" si="37"/>
        <v>468</v>
      </c>
      <c r="S457" s="28">
        <f t="shared" si="38"/>
        <v>0</v>
      </c>
      <c r="T457" t="str">
        <f t="shared" si="39"/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40"/>
        <v/>
      </c>
      <c r="P458">
        <f>'Combined Delivery Data'!B485</f>
        <v>0</v>
      </c>
      <c r="Q458">
        <f t="shared" si="36"/>
        <v>0</v>
      </c>
      <c r="R458">
        <f t="shared" si="37"/>
        <v>468</v>
      </c>
      <c r="S458" s="28">
        <f t="shared" si="38"/>
        <v>0</v>
      </c>
      <c r="T458" t="str">
        <f t="shared" si="39"/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40"/>
        <v/>
      </c>
      <c r="P459">
        <f>'Combined Delivery Data'!B486</f>
        <v>0</v>
      </c>
      <c r="Q459">
        <f t="shared" si="36"/>
        <v>0</v>
      </c>
      <c r="R459">
        <f t="shared" si="37"/>
        <v>468</v>
      </c>
      <c r="S459" s="28">
        <f t="shared" si="38"/>
        <v>0</v>
      </c>
      <c r="T459" t="str">
        <f t="shared" si="39"/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40"/>
        <v/>
      </c>
      <c r="P460">
        <f>'Combined Delivery Data'!B487</f>
        <v>0</v>
      </c>
      <c r="Q460">
        <f t="shared" si="36"/>
        <v>0</v>
      </c>
      <c r="R460">
        <f t="shared" si="37"/>
        <v>468</v>
      </c>
      <c r="S460" s="28">
        <f t="shared" si="38"/>
        <v>0</v>
      </c>
      <c r="T460" t="str">
        <f t="shared" si="39"/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40"/>
        <v/>
      </c>
      <c r="P461">
        <f>'Combined Delivery Data'!B488</f>
        <v>0</v>
      </c>
      <c r="Q461">
        <f t="shared" si="36"/>
        <v>0</v>
      </c>
      <c r="R461">
        <f t="shared" si="37"/>
        <v>468</v>
      </c>
      <c r="S461" s="28">
        <f t="shared" si="38"/>
        <v>0</v>
      </c>
      <c r="T461" t="str">
        <f t="shared" si="39"/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40"/>
        <v/>
      </c>
      <c r="P462">
        <f>'Combined Delivery Data'!B489</f>
        <v>0</v>
      </c>
      <c r="Q462">
        <f t="shared" si="36"/>
        <v>0</v>
      </c>
      <c r="R462">
        <f t="shared" si="37"/>
        <v>468</v>
      </c>
      <c r="S462" s="28">
        <f t="shared" si="38"/>
        <v>0</v>
      </c>
      <c r="T462" t="str">
        <f t="shared" si="39"/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40"/>
        <v/>
      </c>
      <c r="P463">
        <f>'Combined Delivery Data'!B490</f>
        <v>0</v>
      </c>
      <c r="Q463">
        <f t="shared" si="36"/>
        <v>0</v>
      </c>
      <c r="R463">
        <f t="shared" si="37"/>
        <v>468</v>
      </c>
      <c r="S463" s="28">
        <f t="shared" si="38"/>
        <v>0</v>
      </c>
      <c r="T463" t="str">
        <f t="shared" si="39"/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40"/>
        <v/>
      </c>
      <c r="P464">
        <f>'Combined Delivery Data'!B491</f>
        <v>0</v>
      </c>
      <c r="Q464">
        <f t="shared" si="36"/>
        <v>0</v>
      </c>
      <c r="R464">
        <f t="shared" si="37"/>
        <v>468</v>
      </c>
      <c r="S464" s="28">
        <f t="shared" si="38"/>
        <v>0</v>
      </c>
      <c r="T464" t="str">
        <f t="shared" si="39"/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40"/>
        <v/>
      </c>
      <c r="P465">
        <f>'Combined Delivery Data'!B492</f>
        <v>0</v>
      </c>
      <c r="Q465">
        <f t="shared" si="36"/>
        <v>0</v>
      </c>
      <c r="R465">
        <f t="shared" si="37"/>
        <v>468</v>
      </c>
      <c r="S465" s="28">
        <f t="shared" si="38"/>
        <v>0</v>
      </c>
      <c r="T465" t="str">
        <f t="shared" si="39"/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40"/>
        <v/>
      </c>
      <c r="P466">
        <f>'Combined Delivery Data'!B493</f>
        <v>0</v>
      </c>
      <c r="Q466">
        <f t="shared" ref="Q466:Q499" si="41">IF($P466="","",COUNTIF($A$3:$A$499,$P466))</f>
        <v>0</v>
      </c>
      <c r="R466">
        <f t="shared" ref="R466:R499" si="42">IF($P466="","",SUMPRODUCT(($A$3:$A$499=$P466)*($G$3:$G$499&lt;&gt;"Yes")*($G$3:$G$499&lt;&gt;"Did not pass re-test")))</f>
        <v>468</v>
      </c>
      <c r="S466" s="28">
        <f t="shared" ref="S466:S499" si="43">IF($P466="","",IF(SUMPRODUCT(MAX(($A$3:$A$499=$P466)*ROW($A$3:$A$499)))=0,"",INDEX($B:$B,SUMPRODUCT(MAX(($A$3:$A$499=$P466)*ROW($A$3:$A$499))))))</f>
        <v>0</v>
      </c>
      <c r="T466" t="str">
        <f t="shared" ref="T466:T499" si="44">IF($P466="","",IF(SUMPRODUCT(MAX(($A$3:$A$499=$P466)*ROW($A$3:$A$499)))=0,"",INDEX($C:$C,SUMPRODUCT(MAX(($A$3:$A$499=$P466)*ROW($A$3:$A$499))))&amp;" -&gt; "&amp;INDEX($D:$D,SUMPRODUCT(MAX(($A$3:$A$499=$P466)*ROW($A$3:$A$499))))))</f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40"/>
        <v/>
      </c>
      <c r="P467">
        <f>'Combined Delivery Data'!B494</f>
        <v>0</v>
      </c>
      <c r="Q467">
        <f t="shared" si="41"/>
        <v>0</v>
      </c>
      <c r="R467">
        <f t="shared" si="42"/>
        <v>468</v>
      </c>
      <c r="S467" s="28">
        <f t="shared" si="43"/>
        <v>0</v>
      </c>
      <c r="T467" t="str">
        <f t="shared" si="44"/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40"/>
        <v/>
      </c>
      <c r="P468">
        <f>'Combined Delivery Data'!B495</f>
        <v>0</v>
      </c>
      <c r="Q468">
        <f t="shared" si="41"/>
        <v>0</v>
      </c>
      <c r="R468">
        <f t="shared" si="42"/>
        <v>468</v>
      </c>
      <c r="S468" s="28">
        <f t="shared" si="43"/>
        <v>0</v>
      </c>
      <c r="T468" t="str">
        <f t="shared" si="44"/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40"/>
        <v/>
      </c>
      <c r="P469">
        <f>'Combined Delivery Data'!B496</f>
        <v>0</v>
      </c>
      <c r="Q469">
        <f t="shared" si="41"/>
        <v>0</v>
      </c>
      <c r="R469">
        <f t="shared" si="42"/>
        <v>468</v>
      </c>
      <c r="S469" s="28">
        <f t="shared" si="43"/>
        <v>0</v>
      </c>
      <c r="T469" t="str">
        <f t="shared" si="44"/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40"/>
        <v/>
      </c>
      <c r="P470">
        <f>'Combined Delivery Data'!B497</f>
        <v>0</v>
      </c>
      <c r="Q470">
        <f t="shared" si="41"/>
        <v>0</v>
      </c>
      <c r="R470">
        <f t="shared" si="42"/>
        <v>468</v>
      </c>
      <c r="S470" s="28">
        <f t="shared" si="43"/>
        <v>0</v>
      </c>
      <c r="T470" t="str">
        <f t="shared" si="44"/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40"/>
        <v/>
      </c>
      <c r="P471">
        <f>'Combined Delivery Data'!B498</f>
        <v>0</v>
      </c>
      <c r="Q471">
        <f t="shared" si="41"/>
        <v>0</v>
      </c>
      <c r="R471">
        <f t="shared" si="42"/>
        <v>468</v>
      </c>
      <c r="S471" s="28">
        <f t="shared" si="43"/>
        <v>0</v>
      </c>
      <c r="T471" t="str">
        <f t="shared" si="44"/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40"/>
        <v/>
      </c>
      <c r="P472">
        <f>'Combined Delivery Data'!B499</f>
        <v>0</v>
      </c>
      <c r="Q472">
        <f t="shared" si="41"/>
        <v>0</v>
      </c>
      <c r="R472">
        <f t="shared" si="42"/>
        <v>468</v>
      </c>
      <c r="S472" s="28">
        <f t="shared" si="43"/>
        <v>0</v>
      </c>
      <c r="T472" t="str">
        <f t="shared" si="44"/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40"/>
        <v/>
      </c>
      <c r="P473">
        <f>'Combined Delivery Data'!B500</f>
        <v>0</v>
      </c>
      <c r="Q473">
        <f t="shared" si="41"/>
        <v>0</v>
      </c>
      <c r="R473">
        <f t="shared" si="42"/>
        <v>468</v>
      </c>
      <c r="S473" s="28">
        <f t="shared" si="43"/>
        <v>0</v>
      </c>
      <c r="T473" t="str">
        <f t="shared" si="44"/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40"/>
        <v/>
      </c>
      <c r="P474">
        <f>'Combined Delivery Data'!B501</f>
        <v>0</v>
      </c>
      <c r="Q474">
        <f t="shared" si="41"/>
        <v>0</v>
      </c>
      <c r="R474">
        <f t="shared" si="42"/>
        <v>468</v>
      </c>
      <c r="S474" s="28">
        <f t="shared" si="43"/>
        <v>0</v>
      </c>
      <c r="T474" t="str">
        <f t="shared" si="44"/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40"/>
        <v/>
      </c>
      <c r="P475">
        <f>'Combined Delivery Data'!B502</f>
        <v>0</v>
      </c>
      <c r="Q475">
        <f t="shared" si="41"/>
        <v>0</v>
      </c>
      <c r="R475">
        <f t="shared" si="42"/>
        <v>468</v>
      </c>
      <c r="S475" s="28">
        <f t="shared" si="43"/>
        <v>0</v>
      </c>
      <c r="T475" t="str">
        <f t="shared" si="44"/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40"/>
        <v/>
      </c>
      <c r="P476">
        <f>'Combined Delivery Data'!B503</f>
        <v>0</v>
      </c>
      <c r="Q476">
        <f t="shared" si="41"/>
        <v>0</v>
      </c>
      <c r="R476">
        <f t="shared" si="42"/>
        <v>468</v>
      </c>
      <c r="S476" s="28">
        <f t="shared" si="43"/>
        <v>0</v>
      </c>
      <c r="T476" t="str">
        <f t="shared" si="44"/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40"/>
        <v/>
      </c>
      <c r="P477">
        <f>'Combined Delivery Data'!B504</f>
        <v>0</v>
      </c>
      <c r="Q477">
        <f t="shared" si="41"/>
        <v>0</v>
      </c>
      <c r="R477">
        <f t="shared" si="42"/>
        <v>468</v>
      </c>
      <c r="S477" s="28">
        <f t="shared" si="43"/>
        <v>0</v>
      </c>
      <c r="T477" t="str">
        <f t="shared" si="44"/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40"/>
        <v/>
      </c>
      <c r="P478">
        <f>'Combined Delivery Data'!B505</f>
        <v>0</v>
      </c>
      <c r="Q478">
        <f t="shared" si="41"/>
        <v>0</v>
      </c>
      <c r="R478">
        <f t="shared" si="42"/>
        <v>468</v>
      </c>
      <c r="S478" s="28">
        <f t="shared" si="43"/>
        <v>0</v>
      </c>
      <c r="T478" t="str">
        <f t="shared" si="44"/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40"/>
        <v/>
      </c>
      <c r="P479">
        <f>'Combined Delivery Data'!B506</f>
        <v>0</v>
      </c>
      <c r="Q479">
        <f t="shared" si="41"/>
        <v>0</v>
      </c>
      <c r="R479">
        <f t="shared" si="42"/>
        <v>468</v>
      </c>
      <c r="S479" s="28">
        <f t="shared" si="43"/>
        <v>0</v>
      </c>
      <c r="T479" t="str">
        <f t="shared" si="44"/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40"/>
        <v/>
      </c>
      <c r="P480">
        <f>'Combined Delivery Data'!B507</f>
        <v>0</v>
      </c>
      <c r="Q480">
        <f t="shared" si="41"/>
        <v>0</v>
      </c>
      <c r="R480">
        <f t="shared" si="42"/>
        <v>468</v>
      </c>
      <c r="S480" s="28">
        <f t="shared" si="43"/>
        <v>0</v>
      </c>
      <c r="T480" t="str">
        <f t="shared" si="44"/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40"/>
        <v/>
      </c>
      <c r="P481">
        <f>'Combined Delivery Data'!B508</f>
        <v>0</v>
      </c>
      <c r="Q481">
        <f t="shared" si="41"/>
        <v>0</v>
      </c>
      <c r="R481">
        <f t="shared" si="42"/>
        <v>468</v>
      </c>
      <c r="S481" s="28">
        <f t="shared" si="43"/>
        <v>0</v>
      </c>
      <c r="T481" t="str">
        <f t="shared" si="44"/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40"/>
        <v/>
      </c>
      <c r="P482">
        <f>'Combined Delivery Data'!B509</f>
        <v>0</v>
      </c>
      <c r="Q482">
        <f t="shared" si="41"/>
        <v>0</v>
      </c>
      <c r="R482">
        <f t="shared" si="42"/>
        <v>468</v>
      </c>
      <c r="S482" s="28">
        <f t="shared" si="43"/>
        <v>0</v>
      </c>
      <c r="T482" t="str">
        <f t="shared" si="44"/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40"/>
        <v/>
      </c>
      <c r="P483">
        <f>'Combined Delivery Data'!B510</f>
        <v>0</v>
      </c>
      <c r="Q483">
        <f t="shared" si="41"/>
        <v>0</v>
      </c>
      <c r="R483">
        <f t="shared" si="42"/>
        <v>468</v>
      </c>
      <c r="S483" s="28">
        <f t="shared" si="43"/>
        <v>0</v>
      </c>
      <c r="T483" t="str">
        <f t="shared" si="44"/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40"/>
        <v/>
      </c>
      <c r="P484">
        <f>'Combined Delivery Data'!B511</f>
        <v>0</v>
      </c>
      <c r="Q484">
        <f t="shared" si="41"/>
        <v>0</v>
      </c>
      <c r="R484">
        <f t="shared" si="42"/>
        <v>468</v>
      </c>
      <c r="S484" s="28">
        <f t="shared" si="43"/>
        <v>0</v>
      </c>
      <c r="T484" t="str">
        <f t="shared" si="44"/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40"/>
        <v/>
      </c>
      <c r="P485">
        <f>'Combined Delivery Data'!B512</f>
        <v>0</v>
      </c>
      <c r="Q485">
        <f t="shared" si="41"/>
        <v>0</v>
      </c>
      <c r="R485">
        <f t="shared" si="42"/>
        <v>468</v>
      </c>
      <c r="S485" s="28">
        <f t="shared" si="43"/>
        <v>0</v>
      </c>
      <c r="T485" t="str">
        <f t="shared" si="44"/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40"/>
        <v/>
      </c>
      <c r="P486">
        <f>'Combined Delivery Data'!B513</f>
        <v>0</v>
      </c>
      <c r="Q486">
        <f t="shared" si="41"/>
        <v>0</v>
      </c>
      <c r="R486">
        <f t="shared" si="42"/>
        <v>468</v>
      </c>
      <c r="S486" s="28">
        <f t="shared" si="43"/>
        <v>0</v>
      </c>
      <c r="T486" t="str">
        <f t="shared" si="44"/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40"/>
        <v/>
      </c>
      <c r="P487">
        <f>'Combined Delivery Data'!B514</f>
        <v>0</v>
      </c>
      <c r="Q487">
        <f t="shared" si="41"/>
        <v>0</v>
      </c>
      <c r="R487">
        <f t="shared" si="42"/>
        <v>468</v>
      </c>
      <c r="S487" s="28">
        <f t="shared" si="43"/>
        <v>0</v>
      </c>
      <c r="T487" t="str">
        <f t="shared" si="44"/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40"/>
        <v/>
      </c>
      <c r="P488">
        <f>'Combined Delivery Data'!B515</f>
        <v>0</v>
      </c>
      <c r="Q488">
        <f t="shared" si="41"/>
        <v>0</v>
      </c>
      <c r="R488">
        <f t="shared" si="42"/>
        <v>468</v>
      </c>
      <c r="S488" s="28">
        <f t="shared" si="43"/>
        <v>0</v>
      </c>
      <c r="T488" t="str">
        <f t="shared" si="44"/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40"/>
        <v/>
      </c>
      <c r="P489">
        <f>'Combined Delivery Data'!B516</f>
        <v>0</v>
      </c>
      <c r="Q489">
        <f t="shared" si="41"/>
        <v>0</v>
      </c>
      <c r="R489">
        <f t="shared" si="42"/>
        <v>468</v>
      </c>
      <c r="S489" s="28">
        <f t="shared" si="43"/>
        <v>0</v>
      </c>
      <c r="T489" t="str">
        <f t="shared" si="44"/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40"/>
        <v/>
      </c>
      <c r="P490">
        <f>'Combined Delivery Data'!B517</f>
        <v>0</v>
      </c>
      <c r="Q490">
        <f t="shared" si="41"/>
        <v>0</v>
      </c>
      <c r="R490">
        <f t="shared" si="42"/>
        <v>468</v>
      </c>
      <c r="S490" s="28">
        <f t="shared" si="43"/>
        <v>0</v>
      </c>
      <c r="T490" t="str">
        <f t="shared" si="44"/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40"/>
        <v/>
      </c>
      <c r="P491">
        <f>'Combined Delivery Data'!B518</f>
        <v>0</v>
      </c>
      <c r="Q491">
        <f t="shared" si="41"/>
        <v>0</v>
      </c>
      <c r="R491">
        <f t="shared" si="42"/>
        <v>468</v>
      </c>
      <c r="S491" s="28">
        <f t="shared" si="43"/>
        <v>0</v>
      </c>
      <c r="T491" t="str">
        <f t="shared" si="44"/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40"/>
        <v/>
      </c>
      <c r="P492">
        <f>'Combined Delivery Data'!B519</f>
        <v>0</v>
      </c>
      <c r="Q492">
        <f t="shared" si="41"/>
        <v>0</v>
      </c>
      <c r="R492">
        <f t="shared" si="42"/>
        <v>468</v>
      </c>
      <c r="S492" s="28">
        <f t="shared" si="43"/>
        <v>0</v>
      </c>
      <c r="T492" t="str">
        <f t="shared" si="44"/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40"/>
        <v/>
      </c>
      <c r="P493">
        <f>'Combined Delivery Data'!B520</f>
        <v>0</v>
      </c>
      <c r="Q493">
        <f t="shared" si="41"/>
        <v>0</v>
      </c>
      <c r="R493">
        <f t="shared" si="42"/>
        <v>468</v>
      </c>
      <c r="S493" s="28">
        <f t="shared" si="43"/>
        <v>0</v>
      </c>
      <c r="T493" t="str">
        <f t="shared" si="44"/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40"/>
        <v/>
      </c>
      <c r="P494">
        <f>'Combined Delivery Data'!B521</f>
        <v>0</v>
      </c>
      <c r="Q494">
        <f t="shared" si="41"/>
        <v>0</v>
      </c>
      <c r="R494">
        <f t="shared" si="42"/>
        <v>468</v>
      </c>
      <c r="S494" s="28">
        <f t="shared" si="43"/>
        <v>0</v>
      </c>
      <c r="T494" t="str">
        <f t="shared" si="44"/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40"/>
        <v/>
      </c>
      <c r="P495">
        <f>'Combined Delivery Data'!B522</f>
        <v>0</v>
      </c>
      <c r="Q495">
        <f t="shared" si="41"/>
        <v>0</v>
      </c>
      <c r="R495">
        <f t="shared" si="42"/>
        <v>468</v>
      </c>
      <c r="S495" s="28">
        <f t="shared" si="43"/>
        <v>0</v>
      </c>
      <c r="T495" t="str">
        <f t="shared" si="44"/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40"/>
        <v/>
      </c>
      <c r="P496">
        <f>'Combined Delivery Data'!B523</f>
        <v>0</v>
      </c>
      <c r="Q496">
        <f t="shared" si="41"/>
        <v>0</v>
      </c>
      <c r="R496">
        <f t="shared" si="42"/>
        <v>468</v>
      </c>
      <c r="S496" s="28">
        <f t="shared" si="43"/>
        <v>0</v>
      </c>
      <c r="T496" t="str">
        <f t="shared" si="44"/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40"/>
        <v/>
      </c>
      <c r="P497">
        <f>'Combined Delivery Data'!B524</f>
        <v>0</v>
      </c>
      <c r="Q497">
        <f t="shared" si="41"/>
        <v>0</v>
      </c>
      <c r="R497">
        <f t="shared" si="42"/>
        <v>468</v>
      </c>
      <c r="S497" s="28">
        <f t="shared" si="43"/>
        <v>0</v>
      </c>
      <c r="T497" t="str">
        <f t="shared" si="44"/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40"/>
        <v/>
      </c>
      <c r="P498">
        <f>'Combined Delivery Data'!B525</f>
        <v>0</v>
      </c>
      <c r="Q498">
        <f t="shared" si="41"/>
        <v>0</v>
      </c>
      <c r="R498">
        <f t="shared" si="42"/>
        <v>468</v>
      </c>
      <c r="S498" s="28">
        <f t="shared" si="43"/>
        <v>0</v>
      </c>
      <c r="T498" t="str">
        <f t="shared" si="44"/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40"/>
        <v/>
      </c>
      <c r="P499">
        <f>'Combined Delivery Data'!B526</f>
        <v>0</v>
      </c>
      <c r="Q499">
        <f t="shared" si="41"/>
        <v>0</v>
      </c>
      <c r="R499">
        <f t="shared" si="42"/>
        <v>468</v>
      </c>
      <c r="S499" s="28">
        <f t="shared" si="43"/>
        <v>0</v>
      </c>
      <c r="T499" t="str">
        <f t="shared" si="44"/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8">
    <cfRule type="expression" dxfId="16" priority="10">
      <formula>AND($B5&lt;&gt;"",MOD(ROW(),2)=0)</formula>
    </cfRule>
  </conditionalFormatting>
  <conditionalFormatting sqref="A11:A13">
    <cfRule type="expression" dxfId="15" priority="7">
      <formula>AND($B11&lt;&gt;"",MOD(ROW(),2)=0)</formula>
    </cfRule>
  </conditionalFormatting>
  <conditionalFormatting sqref="A18">
    <cfRule type="expression" dxfId="14" priority="6">
      <formula>AND($B18&lt;&gt;"",MOD(ROW(),2)=0)</formula>
    </cfRule>
  </conditionalFormatting>
  <conditionalFormatting sqref="A22">
    <cfRule type="expression" dxfId="13" priority="4">
      <formula>AND($B22&lt;&gt;"",MOD(ROW(),2)=0)</formula>
    </cfRule>
  </conditionalFormatting>
  <conditionalFormatting sqref="A26:A27">
    <cfRule type="expression" dxfId="12" priority="2">
      <formula>AND($B26&lt;&gt;"",MOD(ROW(),2)=0)</formula>
    </cfRule>
  </conditionalFormatting>
  <conditionalFormatting sqref="A31">
    <cfRule type="expression" dxfId="11" priority="1">
      <formula>AND($B31&lt;&gt;"",MOD(ROW(),2)=0)</formula>
    </cfRule>
  </conditionalFormatting>
  <conditionalFormatting sqref="A3:H3 K3:M3 A4:M4 M4:M11 B5:M8 A9:M10 B11:M13 A14:M17 B18:M18 A19:M21 B22:M22 A23:M25 B26:M27 A28:M28 A29:K30 M29:M30 B31:M31 A32:M499">
    <cfRule type="expression" dxfId="10" priority="20">
      <formula>AND($A3&lt;&gt;"",$G3="Yes")</formula>
    </cfRule>
    <cfRule type="expression" dxfId="9" priority="21">
      <formula>AND($A3&lt;&gt;"",$J3&lt;&gt;"")</formula>
    </cfRule>
    <cfRule type="expression" dxfId="8" priority="22">
      <formula>$A3&lt;&gt;""</formula>
    </cfRule>
  </conditionalFormatting>
  <conditionalFormatting sqref="C3:C199 G3:G199">
    <cfRule type="expression" dxfId="7" priority="23">
      <formula>$A3=""</formula>
    </cfRule>
  </conditionalFormatting>
  <conditionalFormatting sqref="K3:M3 A4:M4 M4:M11 B5:M8 A9:M10 B11:M13 A14:M17 B18:M18 A19:M21 B22:M22 A23:M25 B26:M27 A28:M28 M29:M30 B31:M31 A32:M499 A3:H3 A29:K30">
    <cfRule type="expression" dxfId="6" priority="19">
      <formula>AND($A3&lt;&gt;"",$G3="Did not pass re-test")</formula>
    </cfRule>
  </conditionalFormatting>
  <conditionalFormatting sqref="M3:M499">
    <cfRule type="expression" dxfId="5" priority="13">
      <formula>ISNUMBER(SEARCH("Sent back again",$M3))</formula>
    </cfRule>
    <cfRule type="expression" dxfId="4" priority="14">
      <formula>ISNUMBER(SEARCH("LATE",$M3))</formula>
    </cfRule>
    <cfRule type="expression" dxfId="3" priority="15">
      <formula>ISNUMBER(SEARCH("UNCLAIMED",$M3))</formula>
    </cfRule>
    <cfRule type="expression" dxfId="2" priority="16">
      <formula>ISNUMBER(SEARCH("Missing",$M3))</formula>
    </cfRule>
    <cfRule type="expression" dxfId="1" priority="17">
      <formula>ISNUMBER(SEARCH("Fixed in",$M3))</formula>
    </cfRule>
    <cfRule type="expression" dxfId="0" priority="18">
      <formula>ISNUMBER(SEARCH("Open",$M3))</formula>
    </cfRule>
  </conditionalFormatting>
  <dataValidations count="5">
    <dataValidation type="date" operator="greaterThanOrEqual" allowBlank="1" showInputMessage="1" showErrorMessage="1" errorTitle="Real date only" error="This column only accepts real dates." promptTitle="Date Sent Back" prompt="Ctrl+; enters today." sqref="I5:J5 B3:B499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499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499" xr:uid="{00000000-0002-0000-0300-000009000000}">
      <formula1>DATE(2020,1,1)</formula1>
    </dataValidation>
    <dataValidation type="list" allowBlank="1" showInputMessage="1" promptTitle="Fixed By" prompt="Pick the To Stage first - list shows that stage's people." sqref="K3:K499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499" xr:uid="{00000000-0002-0000-0300-000007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Data'!$B$2:$B$527</xm:f>
          </x14:formula1>
          <xm:sqref>A3:A4 A9:A10 A19:A21 A14:A17 A12 A23:A25 A28:A30 A32:A499</xm:sqref>
        </x14:dataValidation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C3:C499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D3:D499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E3:E499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G3:G499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126" t="s">
        <v>383</v>
      </c>
      <c r="B1" s="121"/>
      <c r="C1" s="121"/>
      <c r="D1" s="121"/>
      <c r="E1" s="121"/>
      <c r="F1" s="121"/>
      <c r="G1" s="121"/>
      <c r="H1" s="121"/>
      <c r="I1" s="121"/>
      <c r="J1" s="121"/>
    </row>
    <row r="2" spans="1:10" ht="27" customHeight="1">
      <c r="A2" s="8" t="s">
        <v>0</v>
      </c>
      <c r="B2" s="8" t="s">
        <v>384</v>
      </c>
      <c r="C2" s="8" t="s">
        <v>1</v>
      </c>
      <c r="D2" s="8" t="s">
        <v>385</v>
      </c>
      <c r="E2" s="8" t="s">
        <v>386</v>
      </c>
      <c r="F2" s="8" t="s">
        <v>6</v>
      </c>
      <c r="G2" s="8" t="s">
        <v>5</v>
      </c>
      <c r="H2" s="8" t="s">
        <v>387</v>
      </c>
      <c r="I2" s="8" t="s">
        <v>388</v>
      </c>
      <c r="J2" s="8" t="s">
        <v>389</v>
      </c>
    </row>
    <row r="3" spans="1:10" ht="14.25" customHeight="1">
      <c r="A3" s="9" t="s">
        <v>40</v>
      </c>
      <c r="B3" s="9" t="s">
        <v>154</v>
      </c>
      <c r="C3" s="9" t="s">
        <v>41</v>
      </c>
      <c r="D3" s="9" t="s">
        <v>44</v>
      </c>
      <c r="E3" s="9" t="s">
        <v>46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40</v>
      </c>
      <c r="B4" s="9" t="s">
        <v>150</v>
      </c>
      <c r="C4" s="9" t="s">
        <v>41</v>
      </c>
      <c r="D4" s="9" t="s">
        <v>44</v>
      </c>
      <c r="E4" s="9" t="s">
        <v>46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40</v>
      </c>
      <c r="B5" s="9" t="s">
        <v>141</v>
      </c>
      <c r="C5" s="9" t="s">
        <v>41</v>
      </c>
      <c r="D5" s="9" t="s">
        <v>44</v>
      </c>
      <c r="E5" s="9" t="s">
        <v>46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40</v>
      </c>
      <c r="B6" s="9" t="s">
        <v>129</v>
      </c>
      <c r="C6" s="9" t="s">
        <v>41</v>
      </c>
      <c r="D6" s="9" t="s">
        <v>44</v>
      </c>
      <c r="E6" s="9" t="s">
        <v>46</v>
      </c>
      <c r="F6" s="9"/>
      <c r="G6" s="9"/>
      <c r="H6" s="10">
        <v>46122</v>
      </c>
      <c r="I6" s="10"/>
      <c r="J6" s="10"/>
    </row>
    <row r="7" spans="1:10" ht="14.25" customHeight="1">
      <c r="A7" s="9" t="s">
        <v>40</v>
      </c>
      <c r="B7" s="9" t="s">
        <v>42</v>
      </c>
      <c r="C7" s="9" t="s">
        <v>41</v>
      </c>
      <c r="D7" s="9" t="s">
        <v>44</v>
      </c>
      <c r="E7" s="9" t="s">
        <v>46</v>
      </c>
      <c r="F7" s="9"/>
      <c r="G7" s="9"/>
      <c r="H7" s="9"/>
      <c r="I7" s="10"/>
      <c r="J7" s="10"/>
    </row>
    <row r="8" spans="1:10" ht="14.25" customHeight="1">
      <c r="A8" s="9" t="s">
        <v>40</v>
      </c>
      <c r="B8" s="9" t="s">
        <v>154</v>
      </c>
      <c r="C8" s="9" t="s">
        <v>55</v>
      </c>
      <c r="D8" s="9" t="s">
        <v>44</v>
      </c>
      <c r="E8" s="9" t="s">
        <v>46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40</v>
      </c>
      <c r="B9" s="9" t="s">
        <v>150</v>
      </c>
      <c r="C9" s="9" t="s">
        <v>55</v>
      </c>
      <c r="D9" s="9" t="s">
        <v>44</v>
      </c>
      <c r="E9" s="9" t="s">
        <v>46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40</v>
      </c>
      <c r="B10" s="9" t="s">
        <v>141</v>
      </c>
      <c r="C10" s="9" t="s">
        <v>55</v>
      </c>
      <c r="D10" s="9" t="s">
        <v>44</v>
      </c>
      <c r="E10" s="9" t="s">
        <v>46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40</v>
      </c>
      <c r="B11" s="9" t="s">
        <v>129</v>
      </c>
      <c r="C11" s="9" t="s">
        <v>55</v>
      </c>
      <c r="D11" s="9" t="s">
        <v>44</v>
      </c>
      <c r="E11" s="9" t="s">
        <v>46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40</v>
      </c>
      <c r="B12" s="9" t="s">
        <v>42</v>
      </c>
      <c r="C12" s="9" t="s">
        <v>55</v>
      </c>
      <c r="D12" s="9" t="s">
        <v>44</v>
      </c>
      <c r="E12" s="9" t="s">
        <v>46</v>
      </c>
      <c r="F12" s="9"/>
      <c r="G12" s="9"/>
      <c r="H12" s="10"/>
      <c r="I12" s="10"/>
      <c r="J12" s="10"/>
    </row>
    <row r="13" spans="1:10" ht="14.25" customHeight="1">
      <c r="A13" s="9" t="s">
        <v>40</v>
      </c>
      <c r="B13" s="9" t="s">
        <v>154</v>
      </c>
      <c r="C13" s="9" t="s">
        <v>390</v>
      </c>
      <c r="D13" s="9" t="s">
        <v>65</v>
      </c>
      <c r="E13" s="9" t="s">
        <v>46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40</v>
      </c>
      <c r="B14" s="9" t="s">
        <v>150</v>
      </c>
      <c r="C14" s="9" t="s">
        <v>390</v>
      </c>
      <c r="D14" s="9" t="s">
        <v>65</v>
      </c>
      <c r="E14" s="9" t="s">
        <v>46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40</v>
      </c>
      <c r="B15" s="9" t="s">
        <v>141</v>
      </c>
      <c r="C15" s="9" t="s">
        <v>390</v>
      </c>
      <c r="D15" s="9" t="s">
        <v>65</v>
      </c>
      <c r="E15" s="9" t="s">
        <v>46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40</v>
      </c>
      <c r="B16" s="9" t="s">
        <v>129</v>
      </c>
      <c r="C16" s="9" t="s">
        <v>390</v>
      </c>
      <c r="D16" s="9" t="s">
        <v>65</v>
      </c>
      <c r="E16" s="9" t="s">
        <v>46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40</v>
      </c>
      <c r="B17" s="9" t="s">
        <v>42</v>
      </c>
      <c r="C17" s="9" t="s">
        <v>390</v>
      </c>
      <c r="D17" s="9" t="s">
        <v>65</v>
      </c>
      <c r="E17" s="9" t="s">
        <v>46</v>
      </c>
      <c r="F17" s="9"/>
      <c r="G17" s="9"/>
      <c r="H17" s="10"/>
      <c r="I17" s="10"/>
      <c r="J17" s="10"/>
    </row>
    <row r="18" spans="1:10" ht="14.25" customHeight="1">
      <c r="A18" s="9" t="s">
        <v>40</v>
      </c>
      <c r="B18" s="9" t="s">
        <v>154</v>
      </c>
      <c r="C18" s="9" t="s">
        <v>58</v>
      </c>
      <c r="D18" s="9" t="s">
        <v>59</v>
      </c>
      <c r="E18" s="9" t="s">
        <v>60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40</v>
      </c>
      <c r="B19" s="9" t="s">
        <v>150</v>
      </c>
      <c r="C19" s="9" t="s">
        <v>58</v>
      </c>
      <c r="D19" s="9" t="s">
        <v>59</v>
      </c>
      <c r="E19" s="9" t="s">
        <v>60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40</v>
      </c>
      <c r="B20" s="9" t="s">
        <v>141</v>
      </c>
      <c r="C20" s="9" t="s">
        <v>58</v>
      </c>
      <c r="D20" s="9" t="s">
        <v>59</v>
      </c>
      <c r="E20" s="9" t="s">
        <v>60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40</v>
      </c>
      <c r="B21" s="9" t="s">
        <v>129</v>
      </c>
      <c r="C21" s="9" t="s">
        <v>58</v>
      </c>
      <c r="D21" s="9" t="s">
        <v>59</v>
      </c>
      <c r="E21" s="9" t="s">
        <v>60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40</v>
      </c>
      <c r="B22" s="9" t="s">
        <v>42</v>
      </c>
      <c r="C22" s="9" t="s">
        <v>58</v>
      </c>
      <c r="D22" s="9" t="s">
        <v>59</v>
      </c>
      <c r="E22" s="9" t="s">
        <v>60</v>
      </c>
      <c r="F22" s="9"/>
      <c r="G22" s="9"/>
      <c r="H22" s="9"/>
      <c r="I22" s="10"/>
      <c r="J22" s="10"/>
    </row>
    <row r="23" spans="1:10" ht="14.25" customHeight="1">
      <c r="A23" s="9" t="s">
        <v>40</v>
      </c>
      <c r="B23" s="9" t="s">
        <v>154</v>
      </c>
      <c r="C23" s="9" t="s">
        <v>64</v>
      </c>
      <c r="D23" s="9" t="s">
        <v>65</v>
      </c>
      <c r="E23" s="9" t="s">
        <v>46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40</v>
      </c>
      <c r="B24" s="9" t="s">
        <v>150</v>
      </c>
      <c r="C24" s="9" t="s">
        <v>64</v>
      </c>
      <c r="D24" s="9" t="s">
        <v>65</v>
      </c>
      <c r="E24" s="9" t="s">
        <v>46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40</v>
      </c>
      <c r="B25" s="9" t="s">
        <v>141</v>
      </c>
      <c r="C25" s="9" t="s">
        <v>64</v>
      </c>
      <c r="D25" s="9" t="s">
        <v>65</v>
      </c>
      <c r="E25" s="9" t="s">
        <v>46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40</v>
      </c>
      <c r="B26" s="9" t="s">
        <v>129</v>
      </c>
      <c r="C26" s="9" t="s">
        <v>64</v>
      </c>
      <c r="D26" s="9" t="s">
        <v>65</v>
      </c>
      <c r="E26" s="9" t="s">
        <v>46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40</v>
      </c>
      <c r="B27" s="9" t="s">
        <v>42</v>
      </c>
      <c r="C27" s="9" t="s">
        <v>64</v>
      </c>
      <c r="D27" s="9" t="s">
        <v>65</v>
      </c>
      <c r="E27" s="9" t="s">
        <v>46</v>
      </c>
      <c r="F27" s="9"/>
      <c r="G27" s="9"/>
      <c r="H27" s="10"/>
      <c r="I27" s="10"/>
      <c r="J27" s="10"/>
    </row>
    <row r="28" spans="1:10" ht="14.25" customHeight="1">
      <c r="A28" s="9" t="s">
        <v>40</v>
      </c>
      <c r="B28" s="9" t="s">
        <v>154</v>
      </c>
      <c r="C28" s="9" t="s">
        <v>69</v>
      </c>
      <c r="D28" s="9" t="s">
        <v>76</v>
      </c>
      <c r="E28" s="9" t="s">
        <v>60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40</v>
      </c>
      <c r="B29" s="9" t="s">
        <v>150</v>
      </c>
      <c r="C29" s="9" t="s">
        <v>69</v>
      </c>
      <c r="D29" s="9" t="s">
        <v>76</v>
      </c>
      <c r="E29" s="9" t="s">
        <v>60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40</v>
      </c>
      <c r="B30" s="9" t="s">
        <v>141</v>
      </c>
      <c r="C30" s="9" t="s">
        <v>69</v>
      </c>
      <c r="D30" s="9" t="s">
        <v>76</v>
      </c>
      <c r="E30" s="9" t="s">
        <v>60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40</v>
      </c>
      <c r="B31" s="9" t="s">
        <v>129</v>
      </c>
      <c r="C31" s="9" t="s">
        <v>69</v>
      </c>
      <c r="D31" s="9" t="s">
        <v>76</v>
      </c>
      <c r="E31" s="9" t="s">
        <v>60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40</v>
      </c>
      <c r="B32" s="9" t="s">
        <v>42</v>
      </c>
      <c r="C32" s="9" t="s">
        <v>69</v>
      </c>
      <c r="D32" s="9" t="s">
        <v>76</v>
      </c>
      <c r="E32" s="9" t="s">
        <v>60</v>
      </c>
      <c r="F32" s="9"/>
      <c r="G32" s="9"/>
      <c r="H32" s="10"/>
      <c r="I32" s="10"/>
      <c r="J32" s="10"/>
    </row>
    <row r="33" spans="1:10" ht="14.25" customHeight="1">
      <c r="A33" s="9" t="s">
        <v>40</v>
      </c>
      <c r="B33" s="9" t="s">
        <v>154</v>
      </c>
      <c r="C33" s="9" t="s">
        <v>70</v>
      </c>
      <c r="D33" s="9" t="s">
        <v>65</v>
      </c>
      <c r="E33" s="9" t="s">
        <v>60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40</v>
      </c>
      <c r="B34" s="9" t="s">
        <v>150</v>
      </c>
      <c r="C34" s="9" t="s">
        <v>70</v>
      </c>
      <c r="D34" s="9" t="s">
        <v>65</v>
      </c>
      <c r="E34" s="9" t="s">
        <v>60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40</v>
      </c>
      <c r="B35" s="9" t="s">
        <v>141</v>
      </c>
      <c r="C35" s="9" t="s">
        <v>70</v>
      </c>
      <c r="D35" s="9" t="s">
        <v>65</v>
      </c>
      <c r="E35" s="9" t="s">
        <v>60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40</v>
      </c>
      <c r="B36" s="9" t="s">
        <v>129</v>
      </c>
      <c r="C36" s="9" t="s">
        <v>70</v>
      </c>
      <c r="D36" s="9" t="s">
        <v>65</v>
      </c>
      <c r="E36" s="9" t="s">
        <v>60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40</v>
      </c>
      <c r="B37" s="9" t="s">
        <v>42</v>
      </c>
      <c r="C37" s="9" t="s">
        <v>70</v>
      </c>
      <c r="D37" s="9" t="s">
        <v>65</v>
      </c>
      <c r="E37" s="9" t="s">
        <v>60</v>
      </c>
      <c r="F37" s="9"/>
      <c r="G37" s="9"/>
      <c r="H37" s="10"/>
      <c r="I37" s="10"/>
      <c r="J37" s="10"/>
    </row>
    <row r="38" spans="1:10" ht="14.25" customHeight="1">
      <c r="A38" s="9" t="s">
        <v>40</v>
      </c>
      <c r="B38" s="9" t="s">
        <v>154</v>
      </c>
      <c r="C38" s="9" t="s">
        <v>71</v>
      </c>
      <c r="D38" s="9" t="s">
        <v>84</v>
      </c>
      <c r="E38" s="9" t="s">
        <v>60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40</v>
      </c>
      <c r="B39" s="9" t="s">
        <v>150</v>
      </c>
      <c r="C39" s="9" t="s">
        <v>71</v>
      </c>
      <c r="D39" s="9" t="s">
        <v>84</v>
      </c>
      <c r="E39" s="9" t="s">
        <v>60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40</v>
      </c>
      <c r="B40" s="9" t="s">
        <v>141</v>
      </c>
      <c r="C40" s="9" t="s">
        <v>71</v>
      </c>
      <c r="D40" s="9" t="s">
        <v>84</v>
      </c>
      <c r="E40" s="9" t="s">
        <v>60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40</v>
      </c>
      <c r="B41" s="9" t="s">
        <v>129</v>
      </c>
      <c r="C41" s="9" t="s">
        <v>71</v>
      </c>
      <c r="D41" s="9" t="s">
        <v>84</v>
      </c>
      <c r="E41" s="9" t="s">
        <v>60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40</v>
      </c>
      <c r="B42" s="9" t="s">
        <v>42</v>
      </c>
      <c r="C42" s="9" t="s">
        <v>71</v>
      </c>
      <c r="D42" s="9" t="s">
        <v>84</v>
      </c>
      <c r="E42" s="9" t="s">
        <v>60</v>
      </c>
      <c r="F42" s="9"/>
      <c r="G42" s="9"/>
      <c r="H42" s="9"/>
      <c r="I42" s="10"/>
      <c r="J42" s="10"/>
    </row>
    <row r="43" spans="1:10" ht="14.25" customHeight="1">
      <c r="A43" s="9" t="s">
        <v>40</v>
      </c>
      <c r="B43" s="9" t="s">
        <v>154</v>
      </c>
      <c r="C43" s="9" t="s">
        <v>73</v>
      </c>
      <c r="D43" s="9" t="s">
        <v>59</v>
      </c>
      <c r="E43" s="9" t="s">
        <v>60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40</v>
      </c>
      <c r="B44" s="9" t="s">
        <v>150</v>
      </c>
      <c r="C44" s="9" t="s">
        <v>73</v>
      </c>
      <c r="D44" s="9" t="s">
        <v>59</v>
      </c>
      <c r="E44" s="9" t="s">
        <v>60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40</v>
      </c>
      <c r="B45" s="9" t="s">
        <v>141</v>
      </c>
      <c r="C45" s="9" t="s">
        <v>73</v>
      </c>
      <c r="D45" s="9" t="s">
        <v>59</v>
      </c>
      <c r="E45" s="9" t="s">
        <v>60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40</v>
      </c>
      <c r="B46" s="9" t="s">
        <v>129</v>
      </c>
      <c r="C46" s="9" t="s">
        <v>73</v>
      </c>
      <c r="D46" s="9" t="s">
        <v>59</v>
      </c>
      <c r="E46" s="9" t="s">
        <v>60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40</v>
      </c>
      <c r="B47" s="9" t="s">
        <v>42</v>
      </c>
      <c r="C47" s="9" t="s">
        <v>73</v>
      </c>
      <c r="D47" s="9" t="s">
        <v>59</v>
      </c>
      <c r="E47" s="9" t="s">
        <v>60</v>
      </c>
      <c r="F47" s="9"/>
      <c r="G47" s="9"/>
      <c r="H47" s="10"/>
      <c r="I47" s="10"/>
      <c r="J47" s="10"/>
    </row>
    <row r="48" spans="1:10" ht="14.25" customHeight="1">
      <c r="A48" s="9" t="s">
        <v>40</v>
      </c>
      <c r="B48" s="9" t="s">
        <v>154</v>
      </c>
      <c r="C48" s="9" t="s">
        <v>97</v>
      </c>
      <c r="D48" s="9" t="s">
        <v>65</v>
      </c>
      <c r="E48" s="9" t="s">
        <v>60</v>
      </c>
      <c r="F48" s="9"/>
      <c r="G48" s="9"/>
      <c r="H48" s="10"/>
      <c r="I48" s="10"/>
      <c r="J48" s="10"/>
    </row>
    <row r="49" spans="1:10" ht="14.25" customHeight="1">
      <c r="A49" s="9" t="s">
        <v>40</v>
      </c>
      <c r="B49" s="9" t="s">
        <v>150</v>
      </c>
      <c r="C49" s="9" t="s">
        <v>97</v>
      </c>
      <c r="D49" s="9" t="s">
        <v>65</v>
      </c>
      <c r="E49" s="9" t="s">
        <v>60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40</v>
      </c>
      <c r="B50" s="9" t="s">
        <v>141</v>
      </c>
      <c r="C50" s="9" t="s">
        <v>97</v>
      </c>
      <c r="D50" s="9" t="s">
        <v>65</v>
      </c>
      <c r="E50" s="9" t="s">
        <v>60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40</v>
      </c>
      <c r="B51" s="9" t="s">
        <v>129</v>
      </c>
      <c r="C51" s="9" t="s">
        <v>97</v>
      </c>
      <c r="D51" s="9" t="s">
        <v>65</v>
      </c>
      <c r="E51" s="9" t="s">
        <v>60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40</v>
      </c>
      <c r="B52" s="9" t="s">
        <v>42</v>
      </c>
      <c r="C52" s="9" t="s">
        <v>97</v>
      </c>
      <c r="D52" s="9" t="s">
        <v>65</v>
      </c>
      <c r="E52" s="9" t="s">
        <v>60</v>
      </c>
      <c r="F52" s="9"/>
      <c r="G52" s="9"/>
      <c r="H52" s="10"/>
      <c r="I52" s="10"/>
      <c r="J52" s="10"/>
    </row>
    <row r="53" spans="1:10" ht="14.25" customHeight="1">
      <c r="A53" s="9" t="s">
        <v>40</v>
      </c>
      <c r="B53" s="9" t="s">
        <v>154</v>
      </c>
      <c r="C53" s="9" t="s">
        <v>98</v>
      </c>
      <c r="D53" s="9" t="s">
        <v>65</v>
      </c>
      <c r="E53" s="9" t="s">
        <v>60</v>
      </c>
      <c r="F53" s="9"/>
      <c r="G53" s="9"/>
      <c r="H53" s="10"/>
      <c r="I53" s="10"/>
      <c r="J53" s="10"/>
    </row>
    <row r="54" spans="1:10" ht="14.25" customHeight="1">
      <c r="A54" s="9" t="s">
        <v>40</v>
      </c>
      <c r="B54" s="9" t="s">
        <v>150</v>
      </c>
      <c r="C54" s="9" t="s">
        <v>98</v>
      </c>
      <c r="D54" s="9" t="s">
        <v>65</v>
      </c>
      <c r="E54" s="9" t="s">
        <v>60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40</v>
      </c>
      <c r="B55" s="9" t="s">
        <v>141</v>
      </c>
      <c r="C55" s="9" t="s">
        <v>98</v>
      </c>
      <c r="D55" s="9" t="s">
        <v>65</v>
      </c>
      <c r="E55" s="9" t="s">
        <v>60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40</v>
      </c>
      <c r="B56" s="9" t="s">
        <v>129</v>
      </c>
      <c r="C56" s="9" t="s">
        <v>98</v>
      </c>
      <c r="D56" s="9" t="s">
        <v>65</v>
      </c>
      <c r="E56" s="9" t="s">
        <v>60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40</v>
      </c>
      <c r="B57" s="9" t="s">
        <v>42</v>
      </c>
      <c r="C57" s="9" t="s">
        <v>98</v>
      </c>
      <c r="D57" s="9" t="s">
        <v>65</v>
      </c>
      <c r="E57" s="9" t="s">
        <v>60</v>
      </c>
      <c r="F57" s="9"/>
      <c r="G57" s="9"/>
      <c r="H57" s="10"/>
      <c r="I57" s="10"/>
      <c r="J57" s="10"/>
    </row>
    <row r="58" spans="1:10" ht="14.25" customHeight="1">
      <c r="A58" s="9" t="s">
        <v>40</v>
      </c>
      <c r="B58" s="9" t="s">
        <v>154</v>
      </c>
      <c r="C58" s="9" t="s">
        <v>99</v>
      </c>
      <c r="D58" s="9" t="s">
        <v>65</v>
      </c>
      <c r="E58" s="9" t="s">
        <v>46</v>
      </c>
      <c r="F58" s="9"/>
      <c r="G58" s="9"/>
      <c r="H58" s="9"/>
      <c r="I58" s="10"/>
      <c r="J58" s="10"/>
    </row>
    <row r="59" spans="1:10" ht="14.25" customHeight="1">
      <c r="A59" s="9" t="s">
        <v>40</v>
      </c>
      <c r="B59" s="9" t="s">
        <v>150</v>
      </c>
      <c r="C59" s="9" t="s">
        <v>99</v>
      </c>
      <c r="D59" s="9" t="s">
        <v>65</v>
      </c>
      <c r="E59" s="9" t="s">
        <v>46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40</v>
      </c>
      <c r="B60" s="9" t="s">
        <v>141</v>
      </c>
      <c r="C60" s="9" t="s">
        <v>99</v>
      </c>
      <c r="D60" s="9" t="s">
        <v>65</v>
      </c>
      <c r="E60" s="9" t="s">
        <v>46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40</v>
      </c>
      <c r="B61" s="9" t="s">
        <v>129</v>
      </c>
      <c r="C61" s="9" t="s">
        <v>99</v>
      </c>
      <c r="D61" s="9" t="s">
        <v>65</v>
      </c>
      <c r="E61" s="9" t="s">
        <v>46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40</v>
      </c>
      <c r="B62" s="9" t="s">
        <v>42</v>
      </c>
      <c r="C62" s="9" t="s">
        <v>99</v>
      </c>
      <c r="D62" s="9" t="s">
        <v>65</v>
      </c>
      <c r="E62" s="9" t="s">
        <v>46</v>
      </c>
      <c r="F62" s="9"/>
      <c r="G62" s="9"/>
      <c r="H62" s="9"/>
      <c r="I62" s="10"/>
      <c r="J62" s="10"/>
    </row>
    <row r="63" spans="1:10" ht="14.25" customHeight="1">
      <c r="A63" s="9" t="s">
        <v>40</v>
      </c>
      <c r="B63" s="9" t="s">
        <v>154</v>
      </c>
      <c r="C63" s="9" t="s">
        <v>100</v>
      </c>
      <c r="D63" s="9" t="s">
        <v>103</v>
      </c>
      <c r="E63" s="9" t="s">
        <v>46</v>
      </c>
      <c r="F63" s="9"/>
      <c r="G63" s="9"/>
      <c r="H63" s="10"/>
      <c r="I63" s="10"/>
      <c r="J63" s="10"/>
    </row>
    <row r="64" spans="1:10" ht="14.25" customHeight="1">
      <c r="A64" s="9" t="s">
        <v>40</v>
      </c>
      <c r="B64" s="9" t="s">
        <v>150</v>
      </c>
      <c r="C64" s="9" t="s">
        <v>100</v>
      </c>
      <c r="D64" s="9" t="s">
        <v>103</v>
      </c>
      <c r="E64" s="9" t="s">
        <v>46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40</v>
      </c>
      <c r="B65" s="9" t="s">
        <v>141</v>
      </c>
      <c r="C65" s="9" t="s">
        <v>100</v>
      </c>
      <c r="D65" s="9" t="s">
        <v>103</v>
      </c>
      <c r="E65" s="9" t="s">
        <v>46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40</v>
      </c>
      <c r="B66" s="9" t="s">
        <v>129</v>
      </c>
      <c r="C66" s="9" t="s">
        <v>100</v>
      </c>
      <c r="D66" s="9" t="s">
        <v>103</v>
      </c>
      <c r="E66" s="9" t="s">
        <v>46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40</v>
      </c>
      <c r="B67" s="9" t="s">
        <v>42</v>
      </c>
      <c r="C67" s="9" t="s">
        <v>100</v>
      </c>
      <c r="D67" s="9" t="s">
        <v>103</v>
      </c>
      <c r="E67" s="9" t="s">
        <v>46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40</v>
      </c>
      <c r="B68" s="9" t="s">
        <v>154</v>
      </c>
      <c r="C68" s="9" t="s">
        <v>74</v>
      </c>
      <c r="D68" s="9" t="s">
        <v>76</v>
      </c>
      <c r="E68" s="9" t="s">
        <v>77</v>
      </c>
      <c r="F68" s="9"/>
      <c r="G68" s="9"/>
      <c r="H68" s="10"/>
      <c r="I68" s="10"/>
      <c r="J68" s="9"/>
    </row>
    <row r="69" spans="1:10" ht="14.25" customHeight="1">
      <c r="A69" s="9" t="s">
        <v>40</v>
      </c>
      <c r="B69" s="9" t="s">
        <v>150</v>
      </c>
      <c r="C69" s="9" t="s">
        <v>74</v>
      </c>
      <c r="D69" s="9" t="s">
        <v>76</v>
      </c>
      <c r="E69" s="9" t="s">
        <v>77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40</v>
      </c>
      <c r="B70" s="9" t="s">
        <v>141</v>
      </c>
      <c r="C70" s="9" t="s">
        <v>74</v>
      </c>
      <c r="D70" s="9" t="s">
        <v>76</v>
      </c>
      <c r="E70" s="9" t="s">
        <v>77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40</v>
      </c>
      <c r="B71" s="9" t="s">
        <v>129</v>
      </c>
      <c r="C71" s="9" t="s">
        <v>74</v>
      </c>
      <c r="D71" s="9" t="s">
        <v>76</v>
      </c>
      <c r="E71" s="9" t="s">
        <v>77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40</v>
      </c>
      <c r="B72" s="9" t="s">
        <v>42</v>
      </c>
      <c r="C72" s="9" t="s">
        <v>74</v>
      </c>
      <c r="D72" s="9" t="s">
        <v>76</v>
      </c>
      <c r="E72" s="9" t="s">
        <v>77</v>
      </c>
      <c r="F72" s="9"/>
      <c r="G72" s="9"/>
      <c r="H72" s="10"/>
      <c r="I72" s="10"/>
      <c r="J72" s="10"/>
    </row>
    <row r="73" spans="1:10" ht="14.25" customHeight="1">
      <c r="A73" s="9" t="s">
        <v>40</v>
      </c>
      <c r="B73" s="9" t="s">
        <v>154</v>
      </c>
      <c r="C73" s="9" t="s">
        <v>80</v>
      </c>
      <c r="D73" s="9" t="s">
        <v>59</v>
      </c>
      <c r="E73" s="9" t="s">
        <v>77</v>
      </c>
      <c r="F73" s="9"/>
      <c r="G73" s="9"/>
      <c r="H73" s="9"/>
      <c r="I73" s="10"/>
      <c r="J73" s="10"/>
    </row>
    <row r="74" spans="1:10" ht="14.25" customHeight="1">
      <c r="A74" s="9" t="s">
        <v>40</v>
      </c>
      <c r="B74" s="9" t="s">
        <v>150</v>
      </c>
      <c r="C74" s="9" t="s">
        <v>80</v>
      </c>
      <c r="D74" s="9" t="s">
        <v>59</v>
      </c>
      <c r="E74" s="9" t="s">
        <v>77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40</v>
      </c>
      <c r="B75" s="9" t="s">
        <v>141</v>
      </c>
      <c r="C75" s="9" t="s">
        <v>80</v>
      </c>
      <c r="D75" s="9" t="s">
        <v>59</v>
      </c>
      <c r="E75" s="9" t="s">
        <v>77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40</v>
      </c>
      <c r="B76" s="9" t="s">
        <v>129</v>
      </c>
      <c r="C76" s="9" t="s">
        <v>80</v>
      </c>
      <c r="D76" s="9" t="s">
        <v>59</v>
      </c>
      <c r="E76" s="9" t="s">
        <v>77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40</v>
      </c>
      <c r="B77" s="9" t="s">
        <v>42</v>
      </c>
      <c r="C77" s="9" t="s">
        <v>80</v>
      </c>
      <c r="D77" s="9" t="s">
        <v>59</v>
      </c>
      <c r="E77" s="9" t="s">
        <v>77</v>
      </c>
      <c r="F77" s="9"/>
      <c r="G77" s="9"/>
      <c r="H77" s="9"/>
      <c r="I77" s="10"/>
      <c r="J77" s="10"/>
    </row>
    <row r="78" spans="1:10" ht="14.25" customHeight="1">
      <c r="A78" s="9" t="s">
        <v>40</v>
      </c>
      <c r="B78" s="9" t="s">
        <v>154</v>
      </c>
      <c r="C78" s="9" t="s">
        <v>83</v>
      </c>
      <c r="D78" s="9" t="s">
        <v>84</v>
      </c>
      <c r="E78" s="9" t="s">
        <v>60</v>
      </c>
      <c r="F78" s="9"/>
      <c r="G78" s="9"/>
      <c r="H78" s="10"/>
      <c r="I78" s="10"/>
      <c r="J78" s="9"/>
    </row>
    <row r="79" spans="1:10" ht="14.25" customHeight="1">
      <c r="A79" s="9" t="s">
        <v>40</v>
      </c>
      <c r="B79" s="9" t="s">
        <v>150</v>
      </c>
      <c r="C79" s="9" t="s">
        <v>83</v>
      </c>
      <c r="D79" s="9" t="s">
        <v>84</v>
      </c>
      <c r="E79" s="9" t="s">
        <v>60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40</v>
      </c>
      <c r="B80" s="9" t="s">
        <v>141</v>
      </c>
      <c r="C80" s="9" t="s">
        <v>83</v>
      </c>
      <c r="D80" s="9" t="s">
        <v>84</v>
      </c>
      <c r="E80" s="9" t="s">
        <v>60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40</v>
      </c>
      <c r="B81" s="9" t="s">
        <v>129</v>
      </c>
      <c r="C81" s="9" t="s">
        <v>83</v>
      </c>
      <c r="D81" s="9" t="s">
        <v>84</v>
      </c>
      <c r="E81" s="9" t="s">
        <v>60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40</v>
      </c>
      <c r="B82" s="9" t="s">
        <v>42</v>
      </c>
      <c r="C82" s="9" t="s">
        <v>83</v>
      </c>
      <c r="D82" s="9" t="s">
        <v>84</v>
      </c>
      <c r="E82" s="9" t="s">
        <v>60</v>
      </c>
      <c r="F82" s="9"/>
      <c r="G82" s="9"/>
      <c r="H82" s="10"/>
      <c r="I82" s="10"/>
      <c r="J82" s="9"/>
    </row>
    <row r="83" spans="1:10" ht="14.25" customHeight="1">
      <c r="A83" s="9" t="s">
        <v>40</v>
      </c>
      <c r="B83" s="9" t="s">
        <v>154</v>
      </c>
      <c r="C83" s="9" t="s">
        <v>87</v>
      </c>
      <c r="D83" s="9" t="s">
        <v>84</v>
      </c>
      <c r="E83" s="9" t="s">
        <v>46</v>
      </c>
      <c r="F83" s="9"/>
      <c r="G83" s="9"/>
      <c r="H83" s="9"/>
      <c r="I83" s="10"/>
      <c r="J83" s="10"/>
    </row>
    <row r="84" spans="1:10" ht="14.25" customHeight="1">
      <c r="A84" s="9" t="s">
        <v>40</v>
      </c>
      <c r="B84" s="9" t="s">
        <v>150</v>
      </c>
      <c r="C84" s="9" t="s">
        <v>87</v>
      </c>
      <c r="D84" s="9" t="s">
        <v>84</v>
      </c>
      <c r="E84" s="9" t="s">
        <v>46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40</v>
      </c>
      <c r="B85" s="9" t="s">
        <v>141</v>
      </c>
      <c r="C85" s="9" t="s">
        <v>87</v>
      </c>
      <c r="D85" s="9" t="s">
        <v>84</v>
      </c>
      <c r="E85" s="9" t="s">
        <v>46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40</v>
      </c>
      <c r="B86" s="9" t="s">
        <v>129</v>
      </c>
      <c r="C86" s="9" t="s">
        <v>87</v>
      </c>
      <c r="D86" s="9" t="s">
        <v>84</v>
      </c>
      <c r="E86" s="9" t="s">
        <v>46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40</v>
      </c>
      <c r="B87" s="9" t="s">
        <v>42</v>
      </c>
      <c r="C87" s="9" t="s">
        <v>87</v>
      </c>
      <c r="D87" s="9" t="s">
        <v>84</v>
      </c>
      <c r="E87" s="9" t="s">
        <v>46</v>
      </c>
      <c r="F87" s="9"/>
      <c r="G87" s="9"/>
      <c r="H87" s="9"/>
      <c r="I87" s="10"/>
      <c r="J87" s="10"/>
    </row>
    <row r="88" spans="1:10" ht="14.25" customHeight="1">
      <c r="A88" s="9" t="s">
        <v>40</v>
      </c>
      <c r="B88" s="9" t="s">
        <v>154</v>
      </c>
      <c r="C88" s="9" t="s">
        <v>90</v>
      </c>
      <c r="D88" s="9" t="s">
        <v>44</v>
      </c>
      <c r="E88" s="9" t="s">
        <v>60</v>
      </c>
      <c r="F88" s="9"/>
      <c r="G88" s="9"/>
      <c r="H88" s="10"/>
      <c r="I88" s="10"/>
      <c r="J88" s="9"/>
    </row>
    <row r="89" spans="1:10" ht="14.25" customHeight="1">
      <c r="A89" s="9" t="s">
        <v>40</v>
      </c>
      <c r="B89" s="9" t="s">
        <v>150</v>
      </c>
      <c r="C89" s="9" t="s">
        <v>90</v>
      </c>
      <c r="D89" s="9" t="s">
        <v>44</v>
      </c>
      <c r="E89" s="9" t="s">
        <v>60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40</v>
      </c>
      <c r="B90" s="9" t="s">
        <v>141</v>
      </c>
      <c r="C90" s="9" t="s">
        <v>90</v>
      </c>
      <c r="D90" s="9" t="s">
        <v>44</v>
      </c>
      <c r="E90" s="9" t="s">
        <v>60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40</v>
      </c>
      <c r="B91" s="9" t="s">
        <v>129</v>
      </c>
      <c r="C91" s="9" t="s">
        <v>90</v>
      </c>
      <c r="D91" s="9" t="s">
        <v>44</v>
      </c>
      <c r="E91" s="9" t="s">
        <v>60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40</v>
      </c>
      <c r="B92" s="9" t="s">
        <v>42</v>
      </c>
      <c r="C92" s="9" t="s">
        <v>90</v>
      </c>
      <c r="D92" s="9" t="s">
        <v>44</v>
      </c>
      <c r="E92" s="9" t="s">
        <v>60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40</v>
      </c>
      <c r="B93" s="9" t="s">
        <v>154</v>
      </c>
      <c r="C93" s="9" t="s">
        <v>93</v>
      </c>
      <c r="D93" s="9" t="s">
        <v>44</v>
      </c>
      <c r="E93" s="9" t="s">
        <v>77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40</v>
      </c>
      <c r="B94" s="9" t="s">
        <v>150</v>
      </c>
      <c r="C94" s="9" t="s">
        <v>93</v>
      </c>
      <c r="D94" s="9" t="s">
        <v>44</v>
      </c>
      <c r="E94" s="9" t="s">
        <v>77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40</v>
      </c>
      <c r="B95" s="9" t="s">
        <v>141</v>
      </c>
      <c r="C95" s="9" t="s">
        <v>93</v>
      </c>
      <c r="D95" s="9" t="s">
        <v>44</v>
      </c>
      <c r="E95" s="9" t="s">
        <v>77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40</v>
      </c>
      <c r="B96" s="9" t="s">
        <v>129</v>
      </c>
      <c r="C96" s="9" t="s">
        <v>93</v>
      </c>
      <c r="D96" s="9" t="s">
        <v>44</v>
      </c>
      <c r="E96" s="9" t="s">
        <v>77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40</v>
      </c>
      <c r="B97" s="9" t="s">
        <v>42</v>
      </c>
      <c r="C97" s="9" t="s">
        <v>93</v>
      </c>
      <c r="D97" s="9" t="s">
        <v>44</v>
      </c>
      <c r="E97" s="9" t="s">
        <v>77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40</v>
      </c>
      <c r="B98" s="9" t="s">
        <v>154</v>
      </c>
      <c r="C98" s="9" t="s">
        <v>101</v>
      </c>
      <c r="D98" s="9" t="s">
        <v>103</v>
      </c>
      <c r="E98" s="9" t="s">
        <v>60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40</v>
      </c>
      <c r="B99" s="9" t="s">
        <v>150</v>
      </c>
      <c r="C99" s="9" t="s">
        <v>101</v>
      </c>
      <c r="D99" s="9" t="s">
        <v>103</v>
      </c>
      <c r="E99" s="9" t="s">
        <v>60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40</v>
      </c>
      <c r="B100" s="9" t="s">
        <v>141</v>
      </c>
      <c r="C100" s="9" t="s">
        <v>101</v>
      </c>
      <c r="D100" s="9" t="s">
        <v>103</v>
      </c>
      <c r="E100" s="9" t="s">
        <v>60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40</v>
      </c>
      <c r="B101" s="9" t="s">
        <v>129</v>
      </c>
      <c r="C101" s="9" t="s">
        <v>101</v>
      </c>
      <c r="D101" s="9" t="s">
        <v>103</v>
      </c>
      <c r="E101" s="9" t="s">
        <v>60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40</v>
      </c>
      <c r="B102" s="9" t="s">
        <v>42</v>
      </c>
      <c r="C102" s="9" t="s">
        <v>101</v>
      </c>
      <c r="D102" s="9" t="s">
        <v>103</v>
      </c>
      <c r="E102" s="9" t="s">
        <v>60</v>
      </c>
      <c r="F102" s="9"/>
      <c r="G102" s="9"/>
      <c r="H102" s="10"/>
      <c r="I102" s="10"/>
      <c r="J102" s="9"/>
    </row>
    <row r="103" spans="1:10" ht="14.25" customHeight="1">
      <c r="A103" s="9" t="s">
        <v>40</v>
      </c>
      <c r="B103" s="9" t="s">
        <v>154</v>
      </c>
      <c r="C103" s="9" t="s">
        <v>105</v>
      </c>
      <c r="D103" s="9" t="s">
        <v>103</v>
      </c>
      <c r="E103" s="9" t="s">
        <v>77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40</v>
      </c>
      <c r="B104" s="9" t="s">
        <v>150</v>
      </c>
      <c r="C104" s="9" t="s">
        <v>105</v>
      </c>
      <c r="D104" s="9" t="s">
        <v>103</v>
      </c>
      <c r="E104" s="9" t="s">
        <v>77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40</v>
      </c>
      <c r="B105" s="9" t="s">
        <v>141</v>
      </c>
      <c r="C105" s="9" t="s">
        <v>105</v>
      </c>
      <c r="D105" s="9" t="s">
        <v>103</v>
      </c>
      <c r="E105" s="9" t="s">
        <v>77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40</v>
      </c>
      <c r="B106" s="9" t="s">
        <v>129</v>
      </c>
      <c r="C106" s="9" t="s">
        <v>105</v>
      </c>
      <c r="D106" s="9" t="s">
        <v>103</v>
      </c>
      <c r="E106" s="9" t="s">
        <v>77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40</v>
      </c>
      <c r="B107" s="9" t="s">
        <v>42</v>
      </c>
      <c r="C107" s="9" t="s">
        <v>105</v>
      </c>
      <c r="D107" s="9" t="s">
        <v>103</v>
      </c>
      <c r="E107" s="9" t="s">
        <v>77</v>
      </c>
      <c r="F107" s="9"/>
      <c r="G107" s="9"/>
      <c r="H107" s="9"/>
      <c r="I107" s="10"/>
      <c r="J107" s="10"/>
    </row>
    <row r="108" spans="1:10" ht="14.25" customHeight="1">
      <c r="A108" s="9" t="s">
        <v>40</v>
      </c>
      <c r="B108" s="9" t="s">
        <v>154</v>
      </c>
      <c r="C108" s="9" t="s">
        <v>108</v>
      </c>
      <c r="D108" s="9" t="s">
        <v>44</v>
      </c>
      <c r="E108" s="9" t="s">
        <v>60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40</v>
      </c>
      <c r="B109" s="9" t="s">
        <v>150</v>
      </c>
      <c r="C109" s="9" t="s">
        <v>108</v>
      </c>
      <c r="D109" s="9" t="s">
        <v>44</v>
      </c>
      <c r="E109" s="9" t="s">
        <v>60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40</v>
      </c>
      <c r="B110" s="9" t="s">
        <v>141</v>
      </c>
      <c r="C110" s="9" t="s">
        <v>108</v>
      </c>
      <c r="D110" s="9" t="s">
        <v>44</v>
      </c>
      <c r="E110" s="9" t="s">
        <v>60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40</v>
      </c>
      <c r="B111" s="9" t="s">
        <v>129</v>
      </c>
      <c r="C111" s="9" t="s">
        <v>108</v>
      </c>
      <c r="D111" s="9" t="s">
        <v>44</v>
      </c>
      <c r="E111" s="9" t="s">
        <v>60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40</v>
      </c>
      <c r="B112" s="9" t="s">
        <v>42</v>
      </c>
      <c r="C112" s="9" t="s">
        <v>108</v>
      </c>
      <c r="D112" s="9" t="s">
        <v>44</v>
      </c>
      <c r="E112" s="9" t="s">
        <v>60</v>
      </c>
      <c r="F112" s="9"/>
      <c r="G112" s="9"/>
      <c r="H112" s="10"/>
      <c r="I112" s="10"/>
      <c r="J112" s="9"/>
    </row>
    <row r="113" spans="1:10" ht="14.25" customHeight="1">
      <c r="A113" s="9" t="s">
        <v>40</v>
      </c>
      <c r="B113" s="9" t="s">
        <v>154</v>
      </c>
      <c r="C113" s="9" t="s">
        <v>109</v>
      </c>
      <c r="D113" s="9" t="s">
        <v>44</v>
      </c>
      <c r="E113" s="9" t="s">
        <v>60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40</v>
      </c>
      <c r="B114" s="9" t="s">
        <v>150</v>
      </c>
      <c r="C114" s="9" t="s">
        <v>109</v>
      </c>
      <c r="D114" s="9" t="s">
        <v>44</v>
      </c>
      <c r="E114" s="9" t="s">
        <v>60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40</v>
      </c>
      <c r="B115" s="9" t="s">
        <v>141</v>
      </c>
      <c r="C115" s="9" t="s">
        <v>109</v>
      </c>
      <c r="D115" s="9" t="s">
        <v>44</v>
      </c>
      <c r="E115" s="9" t="s">
        <v>60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40</v>
      </c>
      <c r="B116" s="9" t="s">
        <v>129</v>
      </c>
      <c r="C116" s="9" t="s">
        <v>109</v>
      </c>
      <c r="D116" s="9" t="s">
        <v>44</v>
      </c>
      <c r="E116" s="9" t="s">
        <v>60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40</v>
      </c>
      <c r="B117" s="9" t="s">
        <v>42</v>
      </c>
      <c r="C117" s="9" t="s">
        <v>109</v>
      </c>
      <c r="D117" s="9" t="s">
        <v>44</v>
      </c>
      <c r="E117" s="9" t="s">
        <v>60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40</v>
      </c>
      <c r="B118" s="9" t="s">
        <v>154</v>
      </c>
      <c r="C118" s="9" t="s">
        <v>113</v>
      </c>
      <c r="D118" s="9" t="s">
        <v>59</v>
      </c>
      <c r="E118" s="9" t="s">
        <v>46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40</v>
      </c>
      <c r="B119" s="9" t="s">
        <v>150</v>
      </c>
      <c r="C119" s="9" t="s">
        <v>113</v>
      </c>
      <c r="D119" s="9" t="s">
        <v>59</v>
      </c>
      <c r="E119" s="9" t="s">
        <v>46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40</v>
      </c>
      <c r="B120" s="9" t="s">
        <v>141</v>
      </c>
      <c r="C120" s="9" t="s">
        <v>113</v>
      </c>
      <c r="D120" s="9" t="s">
        <v>59</v>
      </c>
      <c r="E120" s="9" t="s">
        <v>46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40</v>
      </c>
      <c r="B121" s="9" t="s">
        <v>154</v>
      </c>
      <c r="C121" s="9" t="s">
        <v>116</v>
      </c>
      <c r="D121" s="9" t="s">
        <v>59</v>
      </c>
      <c r="E121" s="9" t="s">
        <v>77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40</v>
      </c>
      <c r="B122" s="9" t="s">
        <v>150</v>
      </c>
      <c r="C122" s="9" t="s">
        <v>116</v>
      </c>
      <c r="D122" s="9" t="s">
        <v>59</v>
      </c>
      <c r="E122" s="9" t="s">
        <v>77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40</v>
      </c>
      <c r="B123" s="9" t="s">
        <v>141</v>
      </c>
      <c r="C123" s="9" t="s">
        <v>116</v>
      </c>
      <c r="D123" s="9" t="s">
        <v>59</v>
      </c>
      <c r="E123" s="9" t="s">
        <v>77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40</v>
      </c>
      <c r="B124" s="9" t="s">
        <v>129</v>
      </c>
      <c r="C124" s="9" t="s">
        <v>116</v>
      </c>
      <c r="D124" s="9" t="s">
        <v>59</v>
      </c>
      <c r="E124" s="9" t="s">
        <v>77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40</v>
      </c>
      <c r="B125" s="9" t="s">
        <v>42</v>
      </c>
      <c r="C125" s="9" t="s">
        <v>116</v>
      </c>
      <c r="D125" s="9" t="s">
        <v>59</v>
      </c>
      <c r="E125" s="9" t="s">
        <v>77</v>
      </c>
      <c r="F125" s="9"/>
      <c r="G125" s="9"/>
      <c r="H125" s="9"/>
      <c r="I125" s="10"/>
      <c r="J125" s="10"/>
    </row>
    <row r="126" spans="1:10" ht="14.25" customHeight="1">
      <c r="A126" s="9" t="s">
        <v>40</v>
      </c>
      <c r="B126" s="9" t="s">
        <v>154</v>
      </c>
      <c r="C126" s="9" t="s">
        <v>117</v>
      </c>
      <c r="D126" s="9" t="s">
        <v>118</v>
      </c>
      <c r="E126" s="9" t="s">
        <v>60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40</v>
      </c>
      <c r="B127" s="9" t="s">
        <v>150</v>
      </c>
      <c r="C127" s="9" t="s">
        <v>117</v>
      </c>
      <c r="D127" s="9" t="s">
        <v>118</v>
      </c>
      <c r="E127" s="9" t="s">
        <v>60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40</v>
      </c>
      <c r="B128" s="9" t="s">
        <v>141</v>
      </c>
      <c r="C128" s="9" t="s">
        <v>117</v>
      </c>
      <c r="D128" s="9" t="s">
        <v>118</v>
      </c>
      <c r="E128" s="9" t="s">
        <v>60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40</v>
      </c>
      <c r="B129" s="9" t="s">
        <v>129</v>
      </c>
      <c r="C129" s="9" t="s">
        <v>117</v>
      </c>
      <c r="D129" s="9" t="s">
        <v>118</v>
      </c>
      <c r="E129" s="9" t="s">
        <v>60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40</v>
      </c>
      <c r="B130" s="9" t="s">
        <v>42</v>
      </c>
      <c r="C130" s="9" t="s">
        <v>117</v>
      </c>
      <c r="D130" s="9" t="s">
        <v>118</v>
      </c>
      <c r="E130" s="9" t="s">
        <v>60</v>
      </c>
      <c r="F130" s="9"/>
      <c r="G130" s="9"/>
      <c r="H130" s="9"/>
      <c r="I130" s="10"/>
      <c r="J130" s="9"/>
    </row>
    <row r="131" spans="1:10" ht="14.25" customHeight="1">
      <c r="A131" s="9" t="s">
        <v>40</v>
      </c>
      <c r="B131" s="9" t="s">
        <v>154</v>
      </c>
      <c r="C131" s="9" t="s">
        <v>122</v>
      </c>
      <c r="D131" s="9" t="s">
        <v>103</v>
      </c>
      <c r="E131" s="9" t="s">
        <v>77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40</v>
      </c>
      <c r="B132" s="9" t="s">
        <v>150</v>
      </c>
      <c r="C132" s="9" t="s">
        <v>122</v>
      </c>
      <c r="D132" s="9" t="s">
        <v>103</v>
      </c>
      <c r="E132" s="9" t="s">
        <v>77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40</v>
      </c>
      <c r="B133" s="9" t="s">
        <v>141</v>
      </c>
      <c r="C133" s="9" t="s">
        <v>122</v>
      </c>
      <c r="D133" s="9" t="s">
        <v>103</v>
      </c>
      <c r="E133" s="9" t="s">
        <v>77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40</v>
      </c>
      <c r="B134" s="9" t="s">
        <v>129</v>
      </c>
      <c r="C134" s="9" t="s">
        <v>122</v>
      </c>
      <c r="D134" s="9" t="s">
        <v>103</v>
      </c>
      <c r="E134" s="9" t="s">
        <v>77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40</v>
      </c>
      <c r="B135" s="9" t="s">
        <v>42</v>
      </c>
      <c r="C135" s="9" t="s">
        <v>122</v>
      </c>
      <c r="D135" s="9" t="s">
        <v>103</v>
      </c>
      <c r="E135" s="9" t="s">
        <v>77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40</v>
      </c>
      <c r="B136" s="9" t="s">
        <v>154</v>
      </c>
      <c r="C136" s="9" t="s">
        <v>124</v>
      </c>
      <c r="D136" s="9" t="s">
        <v>84</v>
      </c>
      <c r="E136" s="9" t="s">
        <v>77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40</v>
      </c>
      <c r="B137" s="9" t="s">
        <v>150</v>
      </c>
      <c r="C137" s="9" t="s">
        <v>124</v>
      </c>
      <c r="D137" s="9" t="s">
        <v>84</v>
      </c>
      <c r="E137" s="9" t="s">
        <v>77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40</v>
      </c>
      <c r="B138" s="9" t="s">
        <v>141</v>
      </c>
      <c r="C138" s="9" t="s">
        <v>124</v>
      </c>
      <c r="D138" s="9" t="s">
        <v>84</v>
      </c>
      <c r="E138" s="9" t="s">
        <v>77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40</v>
      </c>
      <c r="B139" s="9" t="s">
        <v>129</v>
      </c>
      <c r="C139" s="9" t="s">
        <v>124</v>
      </c>
      <c r="D139" s="9" t="s">
        <v>84</v>
      </c>
      <c r="E139" s="9" t="s">
        <v>77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40</v>
      </c>
      <c r="B140" s="9" t="s">
        <v>42</v>
      </c>
      <c r="C140" s="9" t="s">
        <v>124</v>
      </c>
      <c r="D140" s="9" t="s">
        <v>84</v>
      </c>
      <c r="E140" s="9" t="s">
        <v>77</v>
      </c>
      <c r="F140" s="9"/>
      <c r="G140" s="9"/>
      <c r="H140" s="9"/>
      <c r="I140" s="9"/>
      <c r="J140" s="9"/>
    </row>
    <row r="141" spans="1:10" ht="14.25" customHeight="1">
      <c r="A141" s="9" t="s">
        <v>127</v>
      </c>
      <c r="B141" s="9" t="s">
        <v>154</v>
      </c>
      <c r="C141" s="9" t="s">
        <v>128</v>
      </c>
      <c r="D141" s="9" t="s">
        <v>76</v>
      </c>
      <c r="E141" s="9" t="s">
        <v>60</v>
      </c>
      <c r="F141" s="9"/>
      <c r="G141" s="9" t="s">
        <v>130</v>
      </c>
      <c r="H141" s="9"/>
      <c r="I141" s="9"/>
      <c r="J141" s="9"/>
    </row>
    <row r="142" spans="1:10" ht="14.25" customHeight="1">
      <c r="A142" s="9" t="s">
        <v>127</v>
      </c>
      <c r="B142" s="9" t="s">
        <v>150</v>
      </c>
      <c r="C142" s="9" t="s">
        <v>128</v>
      </c>
      <c r="D142" s="9" t="s">
        <v>76</v>
      </c>
      <c r="E142" s="9" t="s">
        <v>60</v>
      </c>
      <c r="F142" s="9"/>
      <c r="G142" s="9" t="s">
        <v>130</v>
      </c>
      <c r="H142" s="9"/>
      <c r="I142" s="10">
        <v>46213</v>
      </c>
      <c r="J142" s="10">
        <v>46213</v>
      </c>
    </row>
    <row r="143" spans="1:10" ht="14.25" customHeight="1">
      <c r="A143" s="9" t="s">
        <v>127</v>
      </c>
      <c r="B143" s="9" t="s">
        <v>141</v>
      </c>
      <c r="C143" s="9" t="s">
        <v>128</v>
      </c>
      <c r="D143" s="9" t="s">
        <v>76</v>
      </c>
      <c r="E143" s="9" t="s">
        <v>60</v>
      </c>
      <c r="F143" s="9"/>
      <c r="G143" s="9" t="s">
        <v>130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127</v>
      </c>
      <c r="B144" s="9" t="s">
        <v>154</v>
      </c>
      <c r="C144" s="9" t="s">
        <v>135</v>
      </c>
      <c r="D144" s="9" t="s">
        <v>118</v>
      </c>
      <c r="E144" s="9" t="s">
        <v>77</v>
      </c>
      <c r="F144" s="9"/>
      <c r="G144" s="9" t="s">
        <v>130</v>
      </c>
      <c r="H144" s="9"/>
      <c r="I144" s="9"/>
      <c r="J144" s="9"/>
    </row>
    <row r="145" spans="1:10" ht="14.25" customHeight="1">
      <c r="A145" s="9" t="s">
        <v>127</v>
      </c>
      <c r="B145" s="9" t="s">
        <v>150</v>
      </c>
      <c r="C145" s="9" t="s">
        <v>135</v>
      </c>
      <c r="D145" s="9" t="s">
        <v>118</v>
      </c>
      <c r="E145" s="9" t="s">
        <v>77</v>
      </c>
      <c r="F145" s="9"/>
      <c r="G145" s="9" t="s">
        <v>130</v>
      </c>
      <c r="H145" s="9"/>
      <c r="I145" s="10">
        <v>46218</v>
      </c>
      <c r="J145" s="10">
        <v>46218</v>
      </c>
    </row>
    <row r="146" spans="1:10" ht="14.25" customHeight="1">
      <c r="A146" s="9" t="s">
        <v>127</v>
      </c>
      <c r="B146" s="9" t="s">
        <v>141</v>
      </c>
      <c r="C146" s="9" t="s">
        <v>135</v>
      </c>
      <c r="D146" s="9" t="s">
        <v>118</v>
      </c>
      <c r="E146" s="9" t="s">
        <v>77</v>
      </c>
      <c r="F146" s="9"/>
      <c r="G146" s="9" t="s">
        <v>130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127</v>
      </c>
      <c r="B147" s="9" t="s">
        <v>154</v>
      </c>
      <c r="C147" s="9" t="s">
        <v>138</v>
      </c>
      <c r="D147" s="9" t="s">
        <v>118</v>
      </c>
      <c r="E147" s="9" t="s">
        <v>77</v>
      </c>
      <c r="F147" s="9"/>
      <c r="G147" s="9" t="s">
        <v>130</v>
      </c>
      <c r="H147" s="9"/>
      <c r="I147" s="9"/>
      <c r="J147" s="9"/>
    </row>
    <row r="148" spans="1:10" ht="14.25" customHeight="1">
      <c r="A148" s="9" t="s">
        <v>127</v>
      </c>
      <c r="B148" s="9" t="s">
        <v>150</v>
      </c>
      <c r="C148" s="9" t="s">
        <v>138</v>
      </c>
      <c r="D148" s="9" t="s">
        <v>118</v>
      </c>
      <c r="E148" s="9" t="s">
        <v>77</v>
      </c>
      <c r="F148" s="9"/>
      <c r="G148" s="9" t="s">
        <v>130</v>
      </c>
      <c r="H148" s="9"/>
      <c r="I148" s="10">
        <v>46225</v>
      </c>
      <c r="J148" s="10">
        <v>46225</v>
      </c>
    </row>
    <row r="149" spans="1:10" ht="14.25" customHeight="1">
      <c r="A149" s="9" t="s">
        <v>127</v>
      </c>
      <c r="B149" s="9" t="s">
        <v>141</v>
      </c>
      <c r="C149" s="9" t="s">
        <v>138</v>
      </c>
      <c r="D149" s="9" t="s">
        <v>118</v>
      </c>
      <c r="E149" s="9" t="s">
        <v>77</v>
      </c>
      <c r="F149" s="9"/>
      <c r="G149" s="9" t="s">
        <v>130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127</v>
      </c>
      <c r="B150" s="9" t="s">
        <v>154</v>
      </c>
      <c r="C150" s="9" t="s">
        <v>140</v>
      </c>
      <c r="D150" s="9" t="s">
        <v>59</v>
      </c>
      <c r="E150" s="9" t="s">
        <v>46</v>
      </c>
      <c r="F150" s="9"/>
      <c r="G150" s="9" t="s">
        <v>130</v>
      </c>
      <c r="H150" s="9"/>
      <c r="I150" s="9"/>
      <c r="J150" s="9"/>
    </row>
    <row r="151" spans="1:10" ht="14.25" customHeight="1">
      <c r="A151" s="9" t="s">
        <v>127</v>
      </c>
      <c r="B151" s="9" t="s">
        <v>150</v>
      </c>
      <c r="C151" s="9" t="s">
        <v>140</v>
      </c>
      <c r="D151" s="9" t="s">
        <v>59</v>
      </c>
      <c r="E151" s="9" t="s">
        <v>46</v>
      </c>
      <c r="F151" s="9"/>
      <c r="G151" s="9" t="s">
        <v>130</v>
      </c>
      <c r="H151" s="9"/>
      <c r="I151" s="10">
        <v>46227</v>
      </c>
      <c r="J151" s="10">
        <v>46227</v>
      </c>
    </row>
    <row r="152" spans="1:10" ht="14.25" customHeight="1">
      <c r="A152" s="9" t="s">
        <v>127</v>
      </c>
      <c r="B152" s="9" t="s">
        <v>141</v>
      </c>
      <c r="C152" s="9" t="s">
        <v>140</v>
      </c>
      <c r="D152" s="9" t="s">
        <v>59</v>
      </c>
      <c r="E152" s="9" t="s">
        <v>46</v>
      </c>
      <c r="F152" s="9"/>
      <c r="G152" s="9" t="s">
        <v>130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127</v>
      </c>
      <c r="B153" s="9" t="s">
        <v>154</v>
      </c>
      <c r="C153" s="9" t="s">
        <v>144</v>
      </c>
      <c r="D153" s="9" t="s">
        <v>103</v>
      </c>
      <c r="E153" s="9" t="s">
        <v>77</v>
      </c>
      <c r="F153" s="9"/>
      <c r="G153" s="9" t="s">
        <v>130</v>
      </c>
      <c r="H153" s="9"/>
      <c r="I153" s="9"/>
      <c r="J153" s="9"/>
    </row>
    <row r="154" spans="1:10" ht="14.25" customHeight="1">
      <c r="A154" s="9" t="s">
        <v>127</v>
      </c>
      <c r="B154" s="9" t="s">
        <v>150</v>
      </c>
      <c r="C154" s="9" t="s">
        <v>144</v>
      </c>
      <c r="D154" s="9" t="s">
        <v>103</v>
      </c>
      <c r="E154" s="9" t="s">
        <v>77</v>
      </c>
      <c r="F154" s="9"/>
      <c r="G154" s="9" t="s">
        <v>130</v>
      </c>
      <c r="H154" s="9"/>
      <c r="I154" s="10">
        <v>46216</v>
      </c>
      <c r="J154" s="10">
        <v>46216</v>
      </c>
    </row>
    <row r="155" spans="1:10" ht="14.25" customHeight="1">
      <c r="A155" s="9" t="s">
        <v>127</v>
      </c>
      <c r="B155" s="9" t="s">
        <v>141</v>
      </c>
      <c r="C155" s="9" t="s">
        <v>144</v>
      </c>
      <c r="D155" s="9" t="s">
        <v>103</v>
      </c>
      <c r="E155" s="9" t="s">
        <v>77</v>
      </c>
      <c r="F155" s="9"/>
      <c r="G155" s="9" t="s">
        <v>130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127</v>
      </c>
      <c r="B156" s="9" t="s">
        <v>154</v>
      </c>
      <c r="C156" s="9" t="s">
        <v>146</v>
      </c>
      <c r="D156" s="9" t="s">
        <v>84</v>
      </c>
      <c r="E156" s="9" t="s">
        <v>60</v>
      </c>
      <c r="F156" s="9"/>
      <c r="G156" s="9" t="s">
        <v>147</v>
      </c>
      <c r="H156" s="9"/>
      <c r="I156" s="9"/>
      <c r="J156" s="9"/>
    </row>
    <row r="157" spans="1:10">
      <c r="A157" s="3" t="s">
        <v>127</v>
      </c>
      <c r="B157" s="3" t="s">
        <v>154</v>
      </c>
      <c r="C157" s="3" t="s">
        <v>149</v>
      </c>
      <c r="D157" s="3" t="s">
        <v>118</v>
      </c>
      <c r="E157" s="3" t="s">
        <v>46</v>
      </c>
      <c r="F157" s="3"/>
      <c r="G157" s="3" t="s">
        <v>147</v>
      </c>
      <c r="H157" s="3"/>
      <c r="I157" s="3"/>
      <c r="J157" s="3"/>
    </row>
    <row r="158" spans="1:10">
      <c r="A158" s="3" t="s">
        <v>127</v>
      </c>
      <c r="B158" s="3" t="s">
        <v>154</v>
      </c>
      <c r="C158" s="3" t="s">
        <v>153</v>
      </c>
      <c r="D158" s="3" t="s">
        <v>118</v>
      </c>
      <c r="E158" s="3" t="s">
        <v>46</v>
      </c>
      <c r="F158" s="3"/>
      <c r="G158" s="3" t="s">
        <v>147</v>
      </c>
      <c r="H158" s="3"/>
      <c r="I158" s="3"/>
      <c r="J158" s="3"/>
    </row>
    <row r="159" spans="1:10">
      <c r="A159" s="3" t="s">
        <v>127</v>
      </c>
      <c r="B159" s="3" t="s">
        <v>150</v>
      </c>
      <c r="C159" s="3" t="s">
        <v>153</v>
      </c>
      <c r="D159" s="3" t="s">
        <v>118</v>
      </c>
      <c r="E159" s="3" t="s">
        <v>46</v>
      </c>
      <c r="F159" s="3"/>
      <c r="G159" s="3" t="s">
        <v>147</v>
      </c>
      <c r="H159" s="3"/>
      <c r="I159" s="4">
        <v>46221</v>
      </c>
      <c r="J159" s="4">
        <v>46221</v>
      </c>
    </row>
    <row r="160" spans="1:10">
      <c r="A160" s="3" t="s">
        <v>127</v>
      </c>
      <c r="B160" s="3" t="s">
        <v>141</v>
      </c>
      <c r="C160" s="3" t="s">
        <v>153</v>
      </c>
      <c r="D160" s="3" t="s">
        <v>118</v>
      </c>
      <c r="E160" s="3" t="s">
        <v>46</v>
      </c>
      <c r="F160" s="3"/>
      <c r="G160" s="3" t="s">
        <v>147</v>
      </c>
      <c r="H160" s="4">
        <v>46221</v>
      </c>
      <c r="I160" s="4">
        <v>46223</v>
      </c>
      <c r="J160" s="4">
        <v>46223</v>
      </c>
    </row>
    <row r="161" spans="1:10">
      <c r="A161" s="3" t="s">
        <v>127</v>
      </c>
      <c r="B161" s="3" t="s">
        <v>154</v>
      </c>
      <c r="C161" s="3" t="s">
        <v>155</v>
      </c>
      <c r="D161" s="3" t="s">
        <v>84</v>
      </c>
      <c r="E161" s="3" t="s">
        <v>60</v>
      </c>
      <c r="F161" s="3"/>
      <c r="G161" s="3" t="s">
        <v>147</v>
      </c>
      <c r="H161" s="3"/>
      <c r="I161" s="3"/>
      <c r="J161" s="3"/>
    </row>
    <row r="162" spans="1:10">
      <c r="A162" s="3" t="s">
        <v>127</v>
      </c>
      <c r="B162" s="3" t="s">
        <v>150</v>
      </c>
      <c r="C162" s="3" t="s">
        <v>155</v>
      </c>
      <c r="D162" s="3" t="s">
        <v>84</v>
      </c>
      <c r="E162" s="3" t="s">
        <v>60</v>
      </c>
      <c r="F162" s="3"/>
      <c r="G162" s="3" t="s">
        <v>147</v>
      </c>
      <c r="H162" s="3"/>
      <c r="I162" s="4">
        <v>46220</v>
      </c>
      <c r="J162" s="4">
        <v>46220</v>
      </c>
    </row>
    <row r="163" spans="1:10">
      <c r="A163" s="3" t="s">
        <v>127</v>
      </c>
      <c r="B163" s="3" t="s">
        <v>141</v>
      </c>
      <c r="C163" s="3" t="s">
        <v>155</v>
      </c>
      <c r="D163" s="3" t="s">
        <v>84</v>
      </c>
      <c r="E163" s="3" t="s">
        <v>60</v>
      </c>
      <c r="F163" s="3"/>
      <c r="G163" s="3" t="s">
        <v>147</v>
      </c>
      <c r="H163" s="4">
        <v>46220</v>
      </c>
      <c r="I163" s="4">
        <v>46223</v>
      </c>
      <c r="J163" s="4">
        <v>46223</v>
      </c>
    </row>
    <row r="164" spans="1:10">
      <c r="A164" s="3" t="s">
        <v>127</v>
      </c>
      <c r="B164" s="3" t="s">
        <v>154</v>
      </c>
      <c r="C164" s="3" t="s">
        <v>158</v>
      </c>
      <c r="D164" s="3" t="s">
        <v>160</v>
      </c>
      <c r="E164" s="3" t="s">
        <v>60</v>
      </c>
      <c r="F164" s="3"/>
      <c r="G164" s="3" t="s">
        <v>147</v>
      </c>
      <c r="H164" s="3"/>
      <c r="I164" s="3"/>
      <c r="J164" s="3"/>
    </row>
    <row r="165" spans="1:10">
      <c r="A165" s="3" t="s">
        <v>127</v>
      </c>
      <c r="B165" s="3" t="s">
        <v>150</v>
      </c>
      <c r="C165" s="3" t="s">
        <v>158</v>
      </c>
      <c r="D165" s="3" t="s">
        <v>160</v>
      </c>
      <c r="E165" s="3" t="s">
        <v>60</v>
      </c>
      <c r="F165" s="3"/>
      <c r="G165" s="3" t="s">
        <v>147</v>
      </c>
      <c r="H165" s="3"/>
      <c r="I165" s="4">
        <v>46224</v>
      </c>
      <c r="J165" s="4">
        <v>46224</v>
      </c>
    </row>
    <row r="166" spans="1:10">
      <c r="A166" s="3" t="s">
        <v>127</v>
      </c>
      <c r="B166" s="3" t="s">
        <v>141</v>
      </c>
      <c r="C166" s="3" t="s">
        <v>158</v>
      </c>
      <c r="D166" s="3" t="s">
        <v>160</v>
      </c>
      <c r="E166" s="3" t="s">
        <v>60</v>
      </c>
      <c r="F166" s="3"/>
      <c r="G166" s="3" t="s">
        <v>147</v>
      </c>
      <c r="H166" s="4">
        <v>46224</v>
      </c>
      <c r="I166" s="4">
        <v>46223</v>
      </c>
      <c r="J166" s="4">
        <v>46223</v>
      </c>
    </row>
    <row r="167" spans="1:10">
      <c r="A167" s="3" t="s">
        <v>127</v>
      </c>
      <c r="B167" s="3" t="s">
        <v>154</v>
      </c>
      <c r="C167" s="3" t="s">
        <v>161</v>
      </c>
      <c r="D167" s="3" t="s">
        <v>160</v>
      </c>
      <c r="E167" s="3" t="s">
        <v>77</v>
      </c>
      <c r="F167" s="3"/>
      <c r="G167" s="3" t="s">
        <v>147</v>
      </c>
      <c r="H167" s="3"/>
      <c r="I167" s="3"/>
      <c r="J167" s="3"/>
    </row>
    <row r="168" spans="1:10">
      <c r="A168" s="3" t="s">
        <v>127</v>
      </c>
      <c r="B168" s="3" t="s">
        <v>150</v>
      </c>
      <c r="C168" s="3" t="s">
        <v>161</v>
      </c>
      <c r="D168" s="3" t="s">
        <v>160</v>
      </c>
      <c r="E168" s="3" t="s">
        <v>77</v>
      </c>
      <c r="F168" s="3"/>
      <c r="G168" s="3" t="s">
        <v>147</v>
      </c>
      <c r="H168" s="3"/>
      <c r="I168" s="4">
        <v>46225</v>
      </c>
      <c r="J168" s="4">
        <v>46225</v>
      </c>
    </row>
    <row r="169" spans="1:10">
      <c r="A169" s="3" t="s">
        <v>127</v>
      </c>
      <c r="B169" s="3" t="s">
        <v>141</v>
      </c>
      <c r="C169" s="3" t="s">
        <v>161</v>
      </c>
      <c r="D169" s="3" t="s">
        <v>160</v>
      </c>
      <c r="E169" s="3" t="s">
        <v>77</v>
      </c>
      <c r="F169" s="3"/>
      <c r="G169" s="3" t="s">
        <v>147</v>
      </c>
      <c r="H169" s="4">
        <v>46225</v>
      </c>
      <c r="I169" s="4">
        <v>46223</v>
      </c>
      <c r="J169" s="4">
        <v>46223</v>
      </c>
    </row>
    <row r="170" spans="1:10">
      <c r="A170" s="3" t="s">
        <v>127</v>
      </c>
      <c r="B170" s="3" t="s">
        <v>154</v>
      </c>
      <c r="C170" s="3" t="s">
        <v>162</v>
      </c>
      <c r="D170" s="3" t="s">
        <v>76</v>
      </c>
      <c r="E170" s="3" t="s">
        <v>46</v>
      </c>
      <c r="F170" s="3"/>
      <c r="G170" s="3" t="s">
        <v>130</v>
      </c>
      <c r="H170" s="3"/>
      <c r="I170" s="3"/>
      <c r="J170" s="3"/>
    </row>
    <row r="171" spans="1:10">
      <c r="A171" s="3" t="s">
        <v>127</v>
      </c>
      <c r="B171" s="3" t="s">
        <v>150</v>
      </c>
      <c r="C171" s="3" t="s">
        <v>162</v>
      </c>
      <c r="D171" s="3" t="s">
        <v>76</v>
      </c>
      <c r="E171" s="3" t="s">
        <v>46</v>
      </c>
      <c r="F171" s="3"/>
      <c r="G171" s="3" t="s">
        <v>130</v>
      </c>
      <c r="H171" s="3"/>
      <c r="I171" s="4">
        <v>46226</v>
      </c>
      <c r="J171" s="4">
        <v>46226</v>
      </c>
    </row>
    <row r="172" spans="1:10">
      <c r="A172" s="3" t="s">
        <v>127</v>
      </c>
      <c r="B172" s="3" t="s">
        <v>141</v>
      </c>
      <c r="C172" s="3" t="s">
        <v>162</v>
      </c>
      <c r="D172" s="3" t="s">
        <v>76</v>
      </c>
      <c r="E172" s="3" t="s">
        <v>46</v>
      </c>
      <c r="F172" s="3"/>
      <c r="G172" s="3" t="s">
        <v>130</v>
      </c>
      <c r="H172" s="4">
        <v>46226</v>
      </c>
      <c r="I172" s="4">
        <v>46223</v>
      </c>
      <c r="J172" s="4">
        <v>46223</v>
      </c>
    </row>
    <row r="173" spans="1:10">
      <c r="A173" s="3" t="s">
        <v>127</v>
      </c>
      <c r="B173" s="3" t="s">
        <v>154</v>
      </c>
      <c r="C173" s="3" t="s">
        <v>164</v>
      </c>
      <c r="D173" s="3" t="s">
        <v>59</v>
      </c>
      <c r="E173" s="3" t="s">
        <v>60</v>
      </c>
      <c r="F173" s="3"/>
      <c r="G173" s="3" t="s">
        <v>130</v>
      </c>
      <c r="H173" s="3"/>
      <c r="I173" s="3"/>
      <c r="J173" s="3"/>
    </row>
    <row r="174" spans="1:10">
      <c r="A174" s="3" t="s">
        <v>127</v>
      </c>
      <c r="B174" s="3" t="s">
        <v>150</v>
      </c>
      <c r="C174" s="3" t="s">
        <v>164</v>
      </c>
      <c r="D174" s="3" t="s">
        <v>59</v>
      </c>
      <c r="E174" s="3" t="s">
        <v>60</v>
      </c>
      <c r="F174" s="3"/>
      <c r="G174" s="3" t="s">
        <v>130</v>
      </c>
      <c r="H174" s="3"/>
      <c r="I174" s="4">
        <v>46225</v>
      </c>
      <c r="J174" s="4">
        <v>46225</v>
      </c>
    </row>
    <row r="175" spans="1:10">
      <c r="A175" s="3" t="s">
        <v>127</v>
      </c>
      <c r="B175" s="3" t="s">
        <v>141</v>
      </c>
      <c r="C175" s="3" t="s">
        <v>164</v>
      </c>
      <c r="D175" s="3" t="s">
        <v>59</v>
      </c>
      <c r="E175" s="3" t="s">
        <v>60</v>
      </c>
      <c r="F175" s="3"/>
      <c r="G175" s="3" t="s">
        <v>130</v>
      </c>
      <c r="H175" s="4">
        <v>46225</v>
      </c>
      <c r="I175" s="4">
        <v>46223</v>
      </c>
      <c r="J175" s="4">
        <v>46223</v>
      </c>
    </row>
    <row r="176" spans="1:10">
      <c r="A176" s="3" t="s">
        <v>127</v>
      </c>
      <c r="B176" s="3" t="s">
        <v>154</v>
      </c>
      <c r="C176" s="3" t="s">
        <v>166</v>
      </c>
      <c r="D176" s="3" t="s">
        <v>76</v>
      </c>
      <c r="E176" s="3" t="s">
        <v>77</v>
      </c>
      <c r="F176" s="3"/>
      <c r="G176" s="3" t="s">
        <v>147</v>
      </c>
      <c r="H176" s="3"/>
      <c r="I176" s="3"/>
      <c r="J176" s="3"/>
    </row>
    <row r="177" spans="1:10">
      <c r="A177" s="3" t="s">
        <v>127</v>
      </c>
      <c r="B177" s="3" t="s">
        <v>150</v>
      </c>
      <c r="C177" s="3" t="s">
        <v>166</v>
      </c>
      <c r="D177" s="3" t="s">
        <v>76</v>
      </c>
      <c r="E177" s="3" t="s">
        <v>77</v>
      </c>
      <c r="F177" s="3"/>
      <c r="G177" s="3" t="s">
        <v>147</v>
      </c>
      <c r="H177" s="3"/>
      <c r="I177" s="4">
        <v>46225</v>
      </c>
      <c r="J177" s="4">
        <v>46225</v>
      </c>
    </row>
    <row r="178" spans="1:10">
      <c r="A178" s="3" t="s">
        <v>127</v>
      </c>
      <c r="B178" s="3" t="s">
        <v>141</v>
      </c>
      <c r="C178" s="3" t="s">
        <v>166</v>
      </c>
      <c r="D178" s="3" t="s">
        <v>76</v>
      </c>
      <c r="E178" s="3" t="s">
        <v>77</v>
      </c>
      <c r="F178" s="3"/>
      <c r="G178" s="3" t="s">
        <v>147</v>
      </c>
      <c r="H178" s="4">
        <v>46225</v>
      </c>
      <c r="I178" s="4">
        <v>46230</v>
      </c>
      <c r="J178" s="4">
        <v>46230</v>
      </c>
    </row>
    <row r="179" spans="1:10">
      <c r="A179" s="3" t="s">
        <v>127</v>
      </c>
      <c r="B179" s="3" t="s">
        <v>154</v>
      </c>
      <c r="C179" s="3" t="s">
        <v>169</v>
      </c>
      <c r="D179" s="3" t="s">
        <v>103</v>
      </c>
      <c r="E179" s="3"/>
      <c r="F179" s="3"/>
      <c r="G179" s="3"/>
      <c r="H179" s="3"/>
      <c r="I179" s="3"/>
      <c r="J179" s="3"/>
    </row>
    <row r="180" spans="1:10">
      <c r="A180" s="3" t="s">
        <v>127</v>
      </c>
      <c r="B180" s="3" t="s">
        <v>150</v>
      </c>
      <c r="C180" s="3" t="s">
        <v>169</v>
      </c>
      <c r="D180" s="3" t="s">
        <v>103</v>
      </c>
      <c r="E180" s="3"/>
      <c r="F180" s="3"/>
      <c r="G180" s="3"/>
      <c r="H180" s="3"/>
      <c r="I180" s="3"/>
      <c r="J180" s="3"/>
    </row>
    <row r="181" spans="1:10">
      <c r="A181" s="3" t="s">
        <v>127</v>
      </c>
      <c r="B181" s="3" t="s">
        <v>141</v>
      </c>
      <c r="C181" s="3" t="s">
        <v>169</v>
      </c>
      <c r="D181" s="3" t="s">
        <v>103</v>
      </c>
      <c r="E181" s="3"/>
      <c r="F181" s="3"/>
      <c r="G181" s="3"/>
      <c r="H181" s="3"/>
      <c r="I181" s="3"/>
      <c r="J181" s="3"/>
    </row>
    <row r="182" spans="1:10">
      <c r="A182" s="3" t="s">
        <v>127</v>
      </c>
      <c r="B182" s="3" t="s">
        <v>154</v>
      </c>
      <c r="C182" s="3" t="s">
        <v>180</v>
      </c>
      <c r="D182" s="3" t="s">
        <v>84</v>
      </c>
      <c r="E182" s="3"/>
      <c r="F182" s="3"/>
      <c r="G182" s="3"/>
      <c r="H182" s="3"/>
      <c r="I182" s="3"/>
      <c r="J182" s="3"/>
    </row>
    <row r="183" spans="1:10">
      <c r="A183" s="3" t="s">
        <v>127</v>
      </c>
      <c r="B183" s="3" t="s">
        <v>150</v>
      </c>
      <c r="C183" s="3" t="s">
        <v>180</v>
      </c>
      <c r="D183" s="3" t="s">
        <v>84</v>
      </c>
      <c r="E183" s="3"/>
      <c r="F183" s="3"/>
      <c r="G183" s="3"/>
      <c r="H183" s="3"/>
      <c r="I183" s="3"/>
      <c r="J183" s="3"/>
    </row>
    <row r="184" spans="1:10">
      <c r="A184" s="3" t="s">
        <v>127</v>
      </c>
      <c r="B184" s="3" t="s">
        <v>141</v>
      </c>
      <c r="C184" s="3" t="s">
        <v>180</v>
      </c>
      <c r="D184" s="3" t="s">
        <v>84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6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127" t="s">
        <v>391</v>
      </c>
      <c r="B1" s="121"/>
      <c r="C1" s="121"/>
    </row>
    <row r="2" spans="1:3" ht="14.25" customHeight="1">
      <c r="A2" s="8" t="s">
        <v>0</v>
      </c>
      <c r="B2" s="8" t="s">
        <v>392</v>
      </c>
      <c r="C2" s="8" t="s">
        <v>388</v>
      </c>
    </row>
    <row r="3" spans="1:3" ht="14.25" customHeight="1">
      <c r="A3" s="11" t="s">
        <v>40</v>
      </c>
      <c r="B3" s="11">
        <v>8</v>
      </c>
      <c r="C3" s="12">
        <v>46142</v>
      </c>
    </row>
    <row r="4" spans="1:3" ht="14.25" customHeight="1">
      <c r="A4" s="11" t="s">
        <v>40</v>
      </c>
      <c r="B4" s="11">
        <v>10</v>
      </c>
      <c r="C4" s="12">
        <v>46172</v>
      </c>
    </row>
    <row r="5" spans="1:3" ht="14.25" customHeight="1">
      <c r="A5" s="11" t="s">
        <v>40</v>
      </c>
      <c r="B5" s="11">
        <v>9</v>
      </c>
      <c r="C5" s="12">
        <v>46203</v>
      </c>
    </row>
    <row r="6" spans="1:3" ht="14.25" customHeight="1">
      <c r="A6" s="11" t="s">
        <v>127</v>
      </c>
      <c r="B6" s="11">
        <v>15</v>
      </c>
      <c r="C6" s="12">
        <v>46233</v>
      </c>
    </row>
    <row r="7" spans="1:3" ht="14.25" customHeight="1">
      <c r="A7" s="11" t="s">
        <v>127</v>
      </c>
      <c r="B7" s="11">
        <v>15</v>
      </c>
      <c r="C7" s="12">
        <v>46264</v>
      </c>
    </row>
    <row r="8" spans="1:3" ht="14.25" customHeight="1">
      <c r="A8" s="11" t="s">
        <v>127</v>
      </c>
      <c r="B8" s="11">
        <v>17</v>
      </c>
      <c r="C8" s="12">
        <v>46295</v>
      </c>
    </row>
    <row r="9" spans="1:3" ht="14.25" customHeight="1">
      <c r="A9" s="11" t="s">
        <v>127</v>
      </c>
      <c r="B9" s="11">
        <v>20</v>
      </c>
      <c r="C9" s="12">
        <v>46325</v>
      </c>
    </row>
    <row r="10" spans="1:3" ht="14.25" customHeight="1">
      <c r="A10" s="11" t="s">
        <v>127</v>
      </c>
      <c r="B10" s="11">
        <v>20</v>
      </c>
      <c r="C10" s="12">
        <v>46356</v>
      </c>
    </row>
    <row r="11" spans="1:3" ht="14.25" customHeight="1">
      <c r="A11" s="11" t="s">
        <v>393</v>
      </c>
      <c r="B11" s="11">
        <v>18</v>
      </c>
      <c r="C11" s="12">
        <v>46386</v>
      </c>
    </row>
    <row r="12" spans="1:3" ht="14.25" customHeight="1">
      <c r="A12" s="11" t="s">
        <v>393</v>
      </c>
      <c r="B12" s="11">
        <v>18</v>
      </c>
      <c r="C12" s="12">
        <v>46417</v>
      </c>
    </row>
    <row r="13" spans="1:3" ht="14.25" customHeight="1">
      <c r="A13" s="11" t="s">
        <v>393</v>
      </c>
      <c r="B13" s="11">
        <v>19</v>
      </c>
      <c r="C13" s="12">
        <v>46446</v>
      </c>
    </row>
    <row r="14" spans="1:3" ht="14.25" customHeight="1">
      <c r="A14" s="11" t="s">
        <v>299</v>
      </c>
      <c r="B14" s="11">
        <v>9</v>
      </c>
      <c r="C14" s="12">
        <v>46476</v>
      </c>
    </row>
    <row r="15" spans="1:3" ht="14.25" customHeight="1">
      <c r="A15" s="11" t="s">
        <v>289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T18"/>
  <sheetViews>
    <sheetView zoomScaleNormal="100" workbookViewId="0">
      <selection activeCell="T2" sqref="T2:T4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  <col min="13" max="13" width="10.42578125" bestFit="1" customWidth="1"/>
  </cols>
  <sheetData>
    <row r="1" spans="1:20" ht="15" customHeight="1">
      <c r="A1" s="1" t="s">
        <v>0</v>
      </c>
      <c r="B1" s="1" t="s">
        <v>9</v>
      </c>
      <c r="C1" s="1" t="s">
        <v>15</v>
      </c>
      <c r="D1" s="1" t="s">
        <v>5</v>
      </c>
      <c r="E1" s="1" t="s">
        <v>394</v>
      </c>
      <c r="F1" s="1" t="s">
        <v>326</v>
      </c>
      <c r="G1" s="5" t="s">
        <v>395</v>
      </c>
      <c r="H1" s="5" t="s">
        <v>20</v>
      </c>
      <c r="I1" t="s">
        <v>35</v>
      </c>
      <c r="J1" s="5" t="s">
        <v>396</v>
      </c>
      <c r="K1" s="5" t="s">
        <v>129</v>
      </c>
      <c r="L1" s="5" t="s">
        <v>345</v>
      </c>
      <c r="M1" s="1" t="s">
        <v>397</v>
      </c>
      <c r="N1" s="1" t="s">
        <v>398</v>
      </c>
      <c r="R1" t="s">
        <v>13</v>
      </c>
      <c r="T1" t="s">
        <v>399</v>
      </c>
    </row>
    <row r="2" spans="1:20" ht="13.5" customHeight="1">
      <c r="A2" s="2" t="s">
        <v>400</v>
      </c>
      <c r="B2" s="2" t="s">
        <v>401</v>
      </c>
      <c r="C2" s="2" t="s">
        <v>402</v>
      </c>
      <c r="D2" s="2" t="s">
        <v>403</v>
      </c>
      <c r="E2" s="2" t="s">
        <v>404</v>
      </c>
      <c r="F2" s="2" t="s">
        <v>405</v>
      </c>
      <c r="G2" t="s">
        <v>406</v>
      </c>
      <c r="H2" t="s">
        <v>407</v>
      </c>
      <c r="I2" t="s">
        <v>408</v>
      </c>
      <c r="J2" s="29" t="s">
        <v>409</v>
      </c>
      <c r="K2" s="29" t="s">
        <v>410</v>
      </c>
      <c r="L2" s="29" t="s">
        <v>411</v>
      </c>
      <c r="M2" t="s">
        <v>147</v>
      </c>
      <c r="N2" s="45" t="s">
        <v>412</v>
      </c>
      <c r="R2" t="s">
        <v>246</v>
      </c>
      <c r="T2" t="s">
        <v>49</v>
      </c>
    </row>
    <row r="3" spans="1:20" ht="15" customHeight="1">
      <c r="A3" t="s">
        <v>40</v>
      </c>
      <c r="B3" t="s">
        <v>44</v>
      </c>
      <c r="C3" t="s">
        <v>60</v>
      </c>
      <c r="D3" t="s">
        <v>130</v>
      </c>
      <c r="E3" t="s">
        <v>50</v>
      </c>
      <c r="F3" t="s">
        <v>206</v>
      </c>
      <c r="G3" t="s">
        <v>44</v>
      </c>
      <c r="H3" t="s">
        <v>47</v>
      </c>
      <c r="I3" t="s">
        <v>53</v>
      </c>
      <c r="J3" t="s">
        <v>154</v>
      </c>
      <c r="K3" t="s">
        <v>48</v>
      </c>
      <c r="L3" t="s">
        <v>53</v>
      </c>
      <c r="M3" t="s">
        <v>44</v>
      </c>
      <c r="N3" s="45" t="s">
        <v>413</v>
      </c>
      <c r="R3" t="s">
        <v>45</v>
      </c>
      <c r="T3" t="s">
        <v>94</v>
      </c>
    </row>
    <row r="4" spans="1:20" ht="15" customHeight="1">
      <c r="A4" t="s">
        <v>127</v>
      </c>
      <c r="B4" t="s">
        <v>59</v>
      </c>
      <c r="C4" t="s">
        <v>46</v>
      </c>
      <c r="D4" t="s">
        <v>147</v>
      </c>
      <c r="E4" t="s">
        <v>53</v>
      </c>
      <c r="F4" t="s">
        <v>154</v>
      </c>
      <c r="G4" t="s">
        <v>59</v>
      </c>
      <c r="H4" t="s">
        <v>88</v>
      </c>
      <c r="I4" t="s">
        <v>414</v>
      </c>
      <c r="J4" t="s">
        <v>150</v>
      </c>
      <c r="L4" t="s">
        <v>50</v>
      </c>
      <c r="M4" t="s">
        <v>103</v>
      </c>
      <c r="N4" s="45" t="s">
        <v>413</v>
      </c>
      <c r="R4" t="s">
        <v>172</v>
      </c>
      <c r="T4" t="s">
        <v>72</v>
      </c>
    </row>
    <row r="5" spans="1:20" ht="15" customHeight="1">
      <c r="A5" t="s">
        <v>393</v>
      </c>
      <c r="B5" t="s">
        <v>65</v>
      </c>
      <c r="C5" t="s">
        <v>77</v>
      </c>
      <c r="F5" t="s">
        <v>150</v>
      </c>
      <c r="G5" t="s">
        <v>65</v>
      </c>
      <c r="H5" t="s">
        <v>130</v>
      </c>
      <c r="I5" t="s">
        <v>415</v>
      </c>
      <c r="J5" t="s">
        <v>141</v>
      </c>
      <c r="L5" t="s">
        <v>416</v>
      </c>
      <c r="M5" t="s">
        <v>88</v>
      </c>
      <c r="N5" s="45" t="s">
        <v>413</v>
      </c>
    </row>
    <row r="6" spans="1:20" ht="15" customHeight="1">
      <c r="A6" t="s">
        <v>299</v>
      </c>
      <c r="B6" t="s">
        <v>84</v>
      </c>
      <c r="F6" t="s">
        <v>141</v>
      </c>
      <c r="G6" t="s">
        <v>84</v>
      </c>
      <c r="H6" t="s">
        <v>147</v>
      </c>
      <c r="I6" t="s">
        <v>417</v>
      </c>
      <c r="J6" t="s">
        <v>129</v>
      </c>
      <c r="M6" t="s">
        <v>48</v>
      </c>
      <c r="N6" s="45" t="s">
        <v>413</v>
      </c>
    </row>
    <row r="7" spans="1:20" ht="15" customHeight="1">
      <c r="A7" t="s">
        <v>289</v>
      </c>
      <c r="B7" t="s">
        <v>118</v>
      </c>
      <c r="F7" t="s">
        <v>129</v>
      </c>
      <c r="G7" t="s">
        <v>118</v>
      </c>
      <c r="H7" t="s">
        <v>418</v>
      </c>
      <c r="I7" t="s">
        <v>419</v>
      </c>
      <c r="M7" t="s">
        <v>130</v>
      </c>
      <c r="N7" s="45" t="s">
        <v>413</v>
      </c>
    </row>
    <row r="8" spans="1:20" ht="15" customHeight="1">
      <c r="B8" t="s">
        <v>76</v>
      </c>
      <c r="F8" t="s">
        <v>42</v>
      </c>
      <c r="G8" t="s">
        <v>76</v>
      </c>
      <c r="I8" t="s">
        <v>420</v>
      </c>
      <c r="M8" t="s">
        <v>60</v>
      </c>
      <c r="N8" s="45" t="s">
        <v>413</v>
      </c>
    </row>
    <row r="9" spans="1:20" ht="15" customHeight="1">
      <c r="B9" t="s">
        <v>103</v>
      </c>
      <c r="G9" t="s">
        <v>103</v>
      </c>
      <c r="I9" t="s">
        <v>421</v>
      </c>
      <c r="M9" t="s">
        <v>160</v>
      </c>
      <c r="N9" s="45" t="s">
        <v>413</v>
      </c>
    </row>
    <row r="10" spans="1:20" ht="15" customHeight="1">
      <c r="B10" t="s">
        <v>160</v>
      </c>
      <c r="G10" t="s">
        <v>160</v>
      </c>
      <c r="M10" t="s">
        <v>47</v>
      </c>
      <c r="N10" s="45" t="s">
        <v>413</v>
      </c>
    </row>
    <row r="11" spans="1:20">
      <c r="B11" t="s">
        <v>422</v>
      </c>
      <c r="G11" t="s">
        <v>60</v>
      </c>
      <c r="M11" t="s">
        <v>76</v>
      </c>
      <c r="N11" s="45" t="s">
        <v>413</v>
      </c>
    </row>
    <row r="12" spans="1:20">
      <c r="B12" t="s">
        <v>423</v>
      </c>
      <c r="G12" t="s">
        <v>46</v>
      </c>
      <c r="M12" t="s">
        <v>46</v>
      </c>
      <c r="N12" s="45" t="s">
        <v>413</v>
      </c>
    </row>
    <row r="13" spans="1:20">
      <c r="G13" t="s">
        <v>77</v>
      </c>
      <c r="M13" t="s">
        <v>77</v>
      </c>
      <c r="N13" s="45" t="s">
        <v>413</v>
      </c>
    </row>
    <row r="14" spans="1:20">
      <c r="M14" t="s">
        <v>84</v>
      </c>
      <c r="N14" s="45" t="s">
        <v>424</v>
      </c>
    </row>
    <row r="15" spans="1:20">
      <c r="M15" t="s">
        <v>59</v>
      </c>
      <c r="N15" s="45" t="s">
        <v>413</v>
      </c>
    </row>
    <row r="16" spans="1:20">
      <c r="M16" t="s">
        <v>118</v>
      </c>
      <c r="N16" s="45" t="s">
        <v>413</v>
      </c>
    </row>
    <row r="17" spans="13:14">
      <c r="M17" t="s">
        <v>65</v>
      </c>
      <c r="N17" s="45" t="s">
        <v>413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Props1.xml><?xml version="1.0" encoding="utf-8"?>
<ds:datastoreItem xmlns:ds="http://schemas.openxmlformats.org/officeDocument/2006/customXml" ds:itemID="{4550CFC1-C6B8-4442-974F-39E6BA114AF6}"/>
</file>

<file path=customXml/itemProps2.xml><?xml version="1.0" encoding="utf-8"?>
<ds:datastoreItem xmlns:ds="http://schemas.openxmlformats.org/officeDocument/2006/customXml" ds:itemID="{24BA0970-9A29-4941-880B-66A35426966B}"/>
</file>

<file path=customXml/itemProps3.xml><?xml version="1.0" encoding="utf-8"?>
<ds:datastoreItem xmlns:ds="http://schemas.openxmlformats.org/officeDocument/2006/customXml" ds:itemID="{5D565648-A6A0-41BF-86C3-DCBEA404F718}"/>
</file>

<file path=customXml/itemProps4.xml><?xml version="1.0" encoding="utf-8"?>
<ds:datastoreItem xmlns:ds="http://schemas.openxmlformats.org/officeDocument/2006/customXml" ds:itemID="{AD54C7CB-11A4-40CF-B95E-1D5833A38355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Sarath Neela</cp:lastModifiedBy>
  <cp:revision>0</cp:revision>
  <dcterms:created xsi:type="dcterms:W3CDTF">2026-07-21T14:32:59Z</dcterms:created>
  <dcterms:modified xsi:type="dcterms:W3CDTF">2026-09-03T15:35:06Z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