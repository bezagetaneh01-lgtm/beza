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17" documentId="13_ncr:1_{52745E9B-3AA1-4770-AAD3-E6166BFC13AE}" xr6:coauthVersionLast="47" xr6:coauthVersionMax="47" xr10:uidLastSave="{C5A6B14B-23C0-4292-931C-725A03CA3A0C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2" l="1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<sst xmlns="http://schemas.openxmlformats.org/spreadsheetml/2006/main" count="3023" uniqueCount="428">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</sst>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C61" activePane="topRight" state="frozen"/>
      <selection pane="topRight" activeCell="A81" sqref="A81:XFD81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208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209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210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211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/>
      <c r="S60" s="36"/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212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213</v>
      </c>
      <c r="C61" s="33" t="s">
        <v>208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214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215</v>
      </c>
      <c r="C62" s="33" t="s">
        <v>208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208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36"/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208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/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208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208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208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208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208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/>
      <c r="S71" s="36"/>
      <c r="T71" s="69" t="s">
        <v>227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236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127</v>
      </c>
      <c r="B73" s="31" t="s">
        <v>237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238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239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127</v>
      </c>
      <c r="B74" s="31" t="s">
        <v>240</v>
      </c>
      <c r="C74" s="31" t="s">
        <v>208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238</v>
      </c>
      <c r="J74" s="54" t="s">
        <v>226</v>
      </c>
      <c r="K74" s="43">
        <v>46304</v>
      </c>
      <c r="L74" s="43"/>
      <c r="M74" s="44"/>
      <c r="N74" s="44"/>
      <c r="O74" s="44" t="s">
        <v>201</v>
      </c>
      <c r="P74" s="75"/>
      <c r="Q74" s="43">
        <v>46313</v>
      </c>
      <c r="R74" s="43"/>
      <c r="S74" s="44"/>
      <c r="T74" s="70" t="s">
        <v>239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>
      <c r="A75" s="136" t="s">
        <v>127</v>
      </c>
      <c r="B75" s="136" t="s">
        <v>241</v>
      </c>
      <c r="C75" s="136" t="s">
        <v>208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238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239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242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>
      <c r="A76" s="136" t="s">
        <v>127</v>
      </c>
      <c r="B76" s="136" t="s">
        <v>243</v>
      </c>
      <c r="C76" s="136" t="s">
        <v>208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238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239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242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>
      <c r="A77" s="136" t="s">
        <v>127</v>
      </c>
      <c r="B77" s="136" t="s">
        <v>244</v>
      </c>
      <c r="C77" s="136" t="s">
        <v>208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238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239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242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>
      <c r="A78" s="147" t="s">
        <v>127</v>
      </c>
      <c r="B78" s="147" t="s">
        <v>245</v>
      </c>
      <c r="C78" s="147" t="s">
        <v>208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238</v>
      </c>
      <c r="J78" s="147" t="s">
        <v>44</v>
      </c>
      <c r="K78" s="151">
        <v>46304</v>
      </c>
      <c r="L78" s="151"/>
      <c r="M78" s="152"/>
      <c r="N78" s="152"/>
      <c r="O78" s="152" t="s">
        <v>246</v>
      </c>
      <c r="P78" s="153"/>
      <c r="Q78" s="151">
        <v>46313</v>
      </c>
      <c r="R78" s="151"/>
      <c r="S78" s="152"/>
      <c r="T78" s="154" t="s">
        <v>239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127</v>
      </c>
      <c r="B79" s="31" t="s">
        <v>247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238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248</v>
      </c>
      <c r="O79" s="44" t="s">
        <v>201</v>
      </c>
      <c r="P79" s="75"/>
      <c r="Q79" s="43">
        <v>46313</v>
      </c>
      <c r="R79" s="43"/>
      <c r="S79" s="44"/>
      <c r="T79" s="70" t="s">
        <v>239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249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127</v>
      </c>
      <c r="B80" s="31" t="s">
        <v>250</v>
      </c>
      <c r="C80" s="31" t="s">
        <v>208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238</v>
      </c>
      <c r="J80" s="54" t="s">
        <v>251</v>
      </c>
      <c r="K80" s="43">
        <v>46304</v>
      </c>
      <c r="L80" s="43"/>
      <c r="M80" s="44"/>
      <c r="N80" s="44"/>
      <c r="O80" s="44" t="s">
        <v>246</v>
      </c>
      <c r="P80" s="75"/>
      <c r="Q80" s="43">
        <v>46313</v>
      </c>
      <c r="R80" s="43"/>
      <c r="S80" s="44"/>
      <c r="T80" s="70" t="s">
        <v>239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212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>
      <c r="A81" s="136" t="s">
        <v>127</v>
      </c>
      <c r="B81" s="136" t="s">
        <v>252</v>
      </c>
      <c r="C81" s="136" t="s">
        <v>208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238</v>
      </c>
      <c r="J81" s="136" t="s">
        <v>251</v>
      </c>
      <c r="K81" s="140">
        <v>46304</v>
      </c>
      <c r="L81" s="140"/>
      <c r="M81" s="141"/>
      <c r="N81" s="141"/>
      <c r="O81" s="141" t="s">
        <v>246</v>
      </c>
      <c r="P81" s="142"/>
      <c r="Q81" s="140">
        <v>46313</v>
      </c>
      <c r="R81" s="140"/>
      <c r="S81" s="141"/>
      <c r="T81" s="163" t="s">
        <v>253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127</v>
      </c>
      <c r="B82" s="31" t="s">
        <v>254</v>
      </c>
      <c r="C82" s="31" t="s">
        <v>208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238</v>
      </c>
      <c r="J82" s="54" t="s">
        <v>160</v>
      </c>
      <c r="K82" s="43">
        <v>46304</v>
      </c>
      <c r="L82" s="43"/>
      <c r="M82" s="44"/>
      <c r="N82" s="44"/>
      <c r="O82" s="44" t="s">
        <v>246</v>
      </c>
      <c r="P82" s="75"/>
      <c r="Q82" s="43">
        <v>46313</v>
      </c>
      <c r="R82" s="43"/>
      <c r="S82" s="44"/>
      <c r="T82" s="69" t="s">
        <v>253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255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127</v>
      </c>
      <c r="B83" s="31" t="s">
        <v>256</v>
      </c>
      <c r="C83" s="31" t="s">
        <v>208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238</v>
      </c>
      <c r="J83" s="54" t="s">
        <v>76</v>
      </c>
      <c r="K83" s="43">
        <v>46304</v>
      </c>
      <c r="L83" s="43"/>
      <c r="M83" s="44"/>
      <c r="N83" s="44"/>
      <c r="O83" s="44" t="s">
        <v>246</v>
      </c>
      <c r="P83" s="75"/>
      <c r="Q83" s="43">
        <v>46313</v>
      </c>
      <c r="R83" s="43"/>
      <c r="S83" s="44"/>
      <c r="T83" s="69" t="s">
        <v>253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257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127</v>
      </c>
      <c r="B84" s="31" t="s">
        <v>258</v>
      </c>
      <c r="C84" s="31" t="s">
        <v>208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238</v>
      </c>
      <c r="J84" s="54" t="s">
        <v>76</v>
      </c>
      <c r="K84" s="43">
        <v>46304</v>
      </c>
      <c r="L84" s="43"/>
      <c r="M84" s="44"/>
      <c r="N84" s="44"/>
      <c r="O84" s="44" t="s">
        <v>246</v>
      </c>
      <c r="P84" s="75"/>
      <c r="Q84" s="43">
        <v>46313</v>
      </c>
      <c r="R84" s="43"/>
      <c r="S84" s="44"/>
      <c r="T84" s="69" t="s">
        <v>253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127</v>
      </c>
      <c r="B85" s="31" t="s">
        <v>259</v>
      </c>
      <c r="C85" s="31" t="s">
        <v>208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260</v>
      </c>
      <c r="F85" s="31"/>
      <c r="G85" s="31"/>
      <c r="H85" s="50">
        <v>46325</v>
      </c>
      <c r="I85" s="56" t="s">
        <v>238</v>
      </c>
      <c r="J85" s="54" t="s">
        <v>44</v>
      </c>
      <c r="K85" s="43">
        <v>46304</v>
      </c>
      <c r="L85" s="43"/>
      <c r="M85" s="44"/>
      <c r="N85" s="44"/>
      <c r="O85" s="44" t="s">
        <v>246</v>
      </c>
      <c r="P85" s="75"/>
      <c r="Q85" s="43">
        <v>46313</v>
      </c>
      <c r="R85" s="43"/>
      <c r="S85" s="44"/>
      <c r="T85" s="69" t="s">
        <v>253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127</v>
      </c>
      <c r="B86" s="31" t="s">
        <v>261</v>
      </c>
      <c r="C86" s="31" t="s">
        <v>208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262</v>
      </c>
      <c r="J86" s="54" t="s">
        <v>84</v>
      </c>
      <c r="K86" s="50">
        <v>46332</v>
      </c>
      <c r="L86" s="43"/>
      <c r="M86" s="44"/>
      <c r="N86" s="44"/>
      <c r="O86" s="44" t="s">
        <v>246</v>
      </c>
      <c r="P86" s="75"/>
      <c r="Q86" s="50">
        <v>46339</v>
      </c>
      <c r="R86" s="43"/>
      <c r="S86" s="44"/>
      <c r="T86" s="69" t="s">
        <v>253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263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127</v>
      </c>
      <c r="B87" s="31" t="s">
        <v>264</v>
      </c>
      <c r="C87" s="31" t="s">
        <v>208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262</v>
      </c>
      <c r="J87" s="54" t="s">
        <v>59</v>
      </c>
      <c r="K87" s="50">
        <v>46332</v>
      </c>
      <c r="L87" s="43"/>
      <c r="M87" s="44"/>
      <c r="N87" s="44"/>
      <c r="O87" s="44" t="s">
        <v>246</v>
      </c>
      <c r="P87" s="75"/>
      <c r="Q87" s="50">
        <v>46339</v>
      </c>
      <c r="R87" s="43"/>
      <c r="S87" s="44"/>
      <c r="T87" s="69" t="s">
        <v>253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127</v>
      </c>
      <c r="B88" s="31" t="s">
        <v>265</v>
      </c>
      <c r="C88" s="31" t="s">
        <v>208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262</v>
      </c>
      <c r="J88" s="54" t="s">
        <v>59</v>
      </c>
      <c r="K88" s="50">
        <v>46332</v>
      </c>
      <c r="L88" s="43"/>
      <c r="M88" s="44"/>
      <c r="N88" s="44"/>
      <c r="O88" s="44" t="s">
        <v>246</v>
      </c>
      <c r="P88" s="75"/>
      <c r="Q88" s="50">
        <v>46339</v>
      </c>
      <c r="R88" s="43"/>
      <c r="S88" s="44"/>
      <c r="T88" s="69" t="s">
        <v>266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>
      <c r="A89" s="31" t="s">
        <v>127</v>
      </c>
      <c r="B89" s="31" t="s">
        <v>267</v>
      </c>
      <c r="C89" s="31" t="s">
        <v>208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262</v>
      </c>
      <c r="J89" s="54"/>
      <c r="K89" s="50">
        <v>46332</v>
      </c>
      <c r="L89" s="43"/>
      <c r="M89" s="44"/>
      <c r="N89" s="44"/>
      <c r="O89" s="36" t="s">
        <v>268</v>
      </c>
      <c r="P89" s="75"/>
      <c r="Q89" s="50">
        <v>46339</v>
      </c>
      <c r="R89" s="43"/>
      <c r="S89" s="44"/>
      <c r="T89" s="69" t="s">
        <v>266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127</v>
      </c>
      <c r="B90" s="31" t="s">
        <v>269</v>
      </c>
      <c r="C90" s="31" t="s">
        <v>208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262</v>
      </c>
      <c r="J90" s="54"/>
      <c r="K90" s="50">
        <v>46332</v>
      </c>
      <c r="L90" s="43"/>
      <c r="M90" s="44"/>
      <c r="N90" s="44"/>
      <c r="O90" s="36" t="s">
        <v>268</v>
      </c>
      <c r="P90" s="75"/>
      <c r="Q90" s="50">
        <v>46339</v>
      </c>
      <c r="R90" s="43"/>
      <c r="S90" s="44"/>
      <c r="T90" s="69" t="s">
        <v>266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>
      <c r="A91" s="31" t="s">
        <v>127</v>
      </c>
      <c r="B91" s="31" t="s">
        <v>270</v>
      </c>
      <c r="C91" s="31" t="s">
        <v>208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262</v>
      </c>
      <c r="J91" s="54" t="s">
        <v>271</v>
      </c>
      <c r="K91" s="50">
        <v>46332</v>
      </c>
      <c r="L91" s="43"/>
      <c r="M91" s="44"/>
      <c r="N91" s="44"/>
      <c r="O91" s="44" t="s">
        <v>246</v>
      </c>
      <c r="P91" s="75"/>
      <c r="Q91" s="50">
        <v>46339</v>
      </c>
      <c r="R91" s="43"/>
      <c r="S91" s="44"/>
      <c r="T91" s="69" t="s">
        <v>266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272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127</v>
      </c>
      <c r="B92" s="31" t="s">
        <v>273</v>
      </c>
      <c r="C92" s="31" t="s">
        <v>208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262</v>
      </c>
      <c r="J92" s="54" t="s">
        <v>84</v>
      </c>
      <c r="K92" s="50">
        <v>46332</v>
      </c>
      <c r="L92" s="43"/>
      <c r="M92" s="44"/>
      <c r="N92" s="44"/>
      <c r="O92" s="44" t="s">
        <v>246</v>
      </c>
      <c r="P92" s="75"/>
      <c r="Q92" s="50">
        <v>46339</v>
      </c>
      <c r="R92" s="43"/>
      <c r="S92" s="44"/>
      <c r="T92" s="69" t="s">
        <v>266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127</v>
      </c>
      <c r="B93" s="31" t="s">
        <v>274</v>
      </c>
      <c r="C93" s="31" t="s">
        <v>208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262</v>
      </c>
      <c r="J93" s="54"/>
      <c r="K93" s="50">
        <v>46332</v>
      </c>
      <c r="L93" s="43"/>
      <c r="M93" s="44"/>
      <c r="N93" s="44"/>
      <c r="O93" s="36" t="s">
        <v>275</v>
      </c>
      <c r="P93" s="75"/>
      <c r="Q93" s="50">
        <v>46339</v>
      </c>
      <c r="R93" s="43"/>
      <c r="S93" s="44"/>
      <c r="T93" s="69" t="s">
        <v>266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127</v>
      </c>
      <c r="B94" s="31" t="s">
        <v>276</v>
      </c>
      <c r="C94" s="31" t="s">
        <v>208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262</v>
      </c>
      <c r="J94" s="54"/>
      <c r="K94" s="50">
        <v>46332</v>
      </c>
      <c r="L94" s="43"/>
      <c r="M94" s="44"/>
      <c r="N94" s="44"/>
      <c r="O94" s="36" t="s">
        <v>275</v>
      </c>
      <c r="P94" s="75"/>
      <c r="Q94" s="50">
        <v>46339</v>
      </c>
      <c r="R94" s="43"/>
      <c r="S94" s="44"/>
      <c r="T94" s="69" t="s">
        <v>266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277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127</v>
      </c>
      <c r="B95" s="31" t="s">
        <v>278</v>
      </c>
      <c r="C95" s="31" t="s">
        <v>208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262</v>
      </c>
      <c r="J95" s="54"/>
      <c r="K95" s="50">
        <v>46332</v>
      </c>
      <c r="L95" s="43"/>
      <c r="M95" s="44"/>
      <c r="N95" s="44"/>
      <c r="O95" s="36" t="s">
        <v>275</v>
      </c>
      <c r="P95" s="75"/>
      <c r="Q95" s="50">
        <v>46339</v>
      </c>
      <c r="R95" s="43"/>
      <c r="S95" s="44"/>
      <c r="T95" s="69" t="s">
        <v>279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280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127</v>
      </c>
      <c r="B96" s="31" t="s">
        <v>281</v>
      </c>
      <c r="C96" s="31" t="s">
        <v>208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262</v>
      </c>
      <c r="J96" s="54"/>
      <c r="K96" s="50">
        <v>46332</v>
      </c>
      <c r="L96" s="43"/>
      <c r="M96" s="44"/>
      <c r="N96" s="44"/>
      <c r="O96" s="36" t="s">
        <v>275</v>
      </c>
      <c r="P96" s="75"/>
      <c r="Q96" s="50">
        <v>46339</v>
      </c>
      <c r="R96" s="43"/>
      <c r="S96" s="44"/>
      <c r="T96" s="69" t="s">
        <v>279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282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127</v>
      </c>
      <c r="B97" s="31" t="s">
        <v>283</v>
      </c>
      <c r="C97" s="31" t="s">
        <v>208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262</v>
      </c>
      <c r="J97" s="54"/>
      <c r="K97" s="50">
        <v>46332</v>
      </c>
      <c r="L97" s="43"/>
      <c r="M97" s="44"/>
      <c r="N97" s="44"/>
      <c r="O97" s="36" t="s">
        <v>275</v>
      </c>
      <c r="P97" s="75"/>
      <c r="Q97" s="50">
        <v>46339</v>
      </c>
      <c r="R97" s="43"/>
      <c r="S97" s="44"/>
      <c r="T97" s="69" t="s">
        <v>279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284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127</v>
      </c>
      <c r="B98" s="31" t="s">
        <v>285</v>
      </c>
      <c r="C98" s="31" t="s">
        <v>208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262</v>
      </c>
      <c r="J98" s="54"/>
      <c r="K98" s="50">
        <v>46332</v>
      </c>
      <c r="L98" s="43"/>
      <c r="M98" s="44"/>
      <c r="N98" s="44"/>
      <c r="O98" s="36" t="s">
        <v>275</v>
      </c>
      <c r="P98" s="75"/>
      <c r="Q98" s="50">
        <v>46339</v>
      </c>
      <c r="R98" s="43"/>
      <c r="S98" s="44"/>
      <c r="T98" s="69" t="s">
        <v>279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127</v>
      </c>
      <c r="B99" s="31" t="s">
        <v>286</v>
      </c>
      <c r="C99" s="31" t="s">
        <v>208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287</v>
      </c>
      <c r="F99" s="31"/>
      <c r="G99" s="31"/>
      <c r="H99" s="50">
        <v>46356</v>
      </c>
      <c r="I99" s="56" t="s">
        <v>262</v>
      </c>
      <c r="J99" s="54" t="s">
        <v>118</v>
      </c>
      <c r="K99" s="50">
        <v>46332</v>
      </c>
      <c r="L99" s="43"/>
      <c r="M99" s="44"/>
      <c r="N99" s="44"/>
      <c r="O99" s="44" t="s">
        <v>246</v>
      </c>
      <c r="P99" s="75"/>
      <c r="Q99" s="50">
        <v>46339</v>
      </c>
      <c r="R99" s="43"/>
      <c r="S99" s="44"/>
      <c r="T99" s="69" t="s">
        <v>279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288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127</v>
      </c>
      <c r="B100" s="31" t="s">
        <v>289</v>
      </c>
      <c r="C100" s="31" t="s">
        <v>208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262</v>
      </c>
      <c r="J100" s="54"/>
      <c r="K100" s="50">
        <v>46332</v>
      </c>
      <c r="L100" s="43"/>
      <c r="M100" s="44"/>
      <c r="N100" s="44"/>
      <c r="O100" s="36" t="s">
        <v>275</v>
      </c>
      <c r="P100" s="75"/>
      <c r="Q100" s="50">
        <v>46339</v>
      </c>
      <c r="R100" s="43"/>
      <c r="S100" s="44"/>
      <c r="T100" s="69" t="s">
        <v>279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290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291</v>
      </c>
      <c r="B101" s="31" t="s">
        <v>292</v>
      </c>
      <c r="C101" s="31" t="s">
        <v>208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293</v>
      </c>
      <c r="J101" s="54"/>
      <c r="K101" s="28">
        <v>46363</v>
      </c>
      <c r="L101" s="43"/>
      <c r="M101" s="31"/>
      <c r="N101" s="31"/>
      <c r="O101" s="36" t="s">
        <v>294</v>
      </c>
      <c r="P101" s="75"/>
      <c r="Q101" s="28">
        <v>46370</v>
      </c>
      <c r="R101" s="43"/>
      <c r="S101" s="31"/>
      <c r="T101" s="69" t="s">
        <v>279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295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291</v>
      </c>
      <c r="B102" s="31" t="s">
        <v>296</v>
      </c>
      <c r="C102" s="31" t="s">
        <v>208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293</v>
      </c>
      <c r="J102" s="54"/>
      <c r="K102" s="28">
        <v>46363</v>
      </c>
      <c r="L102" s="43"/>
      <c r="M102" s="31"/>
      <c r="N102" s="31"/>
      <c r="O102" s="36" t="s">
        <v>294</v>
      </c>
      <c r="P102" s="75"/>
      <c r="Q102" s="28">
        <v>46370</v>
      </c>
      <c r="R102" s="43"/>
      <c r="S102" s="31"/>
      <c r="T102" s="69" t="s">
        <v>297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298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291</v>
      </c>
      <c r="B103" s="31" t="s">
        <v>299</v>
      </c>
      <c r="C103" s="31" t="s">
        <v>208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293</v>
      </c>
      <c r="J103" s="54"/>
      <c r="K103" s="28">
        <v>46363</v>
      </c>
      <c r="L103" s="43"/>
      <c r="M103" s="31"/>
      <c r="N103" s="31"/>
      <c r="O103" s="36" t="s">
        <v>294</v>
      </c>
      <c r="P103" s="75"/>
      <c r="Q103" s="28">
        <v>46370</v>
      </c>
      <c r="R103" s="43"/>
      <c r="S103" s="31"/>
      <c r="T103" s="69" t="s">
        <v>297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300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301</v>
      </c>
      <c r="B104" s="31" t="s">
        <v>302</v>
      </c>
      <c r="C104" s="31" t="s">
        <v>208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293</v>
      </c>
      <c r="J104" s="54"/>
      <c r="K104" s="28">
        <v>46363</v>
      </c>
      <c r="L104" s="43"/>
      <c r="M104" s="31"/>
      <c r="N104" s="31"/>
      <c r="O104" s="36" t="s">
        <v>294</v>
      </c>
      <c r="P104" s="75"/>
      <c r="Q104" s="28">
        <v>46370</v>
      </c>
      <c r="R104" s="43"/>
      <c r="S104" s="31"/>
      <c r="T104" s="69" t="s">
        <v>297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303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291</v>
      </c>
      <c r="B105" s="31" t="s">
        <v>304</v>
      </c>
      <c r="C105" s="31" t="s">
        <v>208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293</v>
      </c>
      <c r="J105" s="54"/>
      <c r="K105" s="28">
        <v>46363</v>
      </c>
      <c r="L105" s="43"/>
      <c r="M105" s="31"/>
      <c r="N105" s="31"/>
      <c r="O105" s="36" t="s">
        <v>294</v>
      </c>
      <c r="P105" s="75"/>
      <c r="Q105" s="28">
        <v>46370</v>
      </c>
      <c r="R105" s="43"/>
      <c r="S105" s="31"/>
      <c r="T105" s="69" t="s">
        <v>297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305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291</v>
      </c>
      <c r="B106" s="31" t="s">
        <v>306</v>
      </c>
      <c r="C106" s="31" t="s">
        <v>208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293</v>
      </c>
      <c r="J106" s="54"/>
      <c r="K106" s="28">
        <v>46363</v>
      </c>
      <c r="L106" s="43"/>
      <c r="M106" s="31"/>
      <c r="N106" s="31"/>
      <c r="O106" s="36" t="s">
        <v>294</v>
      </c>
      <c r="P106" s="75"/>
      <c r="Q106" s="28">
        <v>46370</v>
      </c>
      <c r="R106" s="43"/>
      <c r="S106" s="31"/>
      <c r="T106" s="69" t="s">
        <v>297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307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291</v>
      </c>
      <c r="B107" s="31" t="s">
        <v>308</v>
      </c>
      <c r="C107" s="31" t="s">
        <v>208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293</v>
      </c>
      <c r="J107" s="54"/>
      <c r="K107" s="28">
        <v>46363</v>
      </c>
      <c r="L107" s="43"/>
      <c r="M107" s="31"/>
      <c r="N107" s="31"/>
      <c r="O107" s="36" t="s">
        <v>294</v>
      </c>
      <c r="P107" s="75"/>
      <c r="Q107" s="28">
        <v>46370</v>
      </c>
      <c r="R107" s="43"/>
      <c r="S107" s="31"/>
      <c r="T107" s="69" t="s">
        <v>297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309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291</v>
      </c>
      <c r="B108" s="31" t="s">
        <v>310</v>
      </c>
      <c r="C108" s="31" t="s">
        <v>208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293</v>
      </c>
      <c r="J108" s="54"/>
      <c r="K108" s="28">
        <v>46363</v>
      </c>
      <c r="L108" s="43"/>
      <c r="M108" s="31"/>
      <c r="N108" s="31"/>
      <c r="O108" s="36" t="s">
        <v>311</v>
      </c>
      <c r="P108" s="75"/>
      <c r="Q108" s="28">
        <v>46370</v>
      </c>
      <c r="R108" s="43"/>
      <c r="S108" s="31"/>
      <c r="T108" s="69" t="s">
        <v>297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312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301</v>
      </c>
      <c r="B109" s="31" t="s">
        <v>313</v>
      </c>
      <c r="C109" s="31" t="s">
        <v>208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293</v>
      </c>
      <c r="J109" s="54"/>
      <c r="K109" s="28">
        <v>46363</v>
      </c>
      <c r="L109" s="43"/>
      <c r="M109" s="31"/>
      <c r="N109" s="31"/>
      <c r="O109" s="36" t="s">
        <v>311</v>
      </c>
      <c r="P109" s="75"/>
      <c r="Q109" s="28">
        <v>46370</v>
      </c>
      <c r="R109" s="43"/>
      <c r="S109" s="31"/>
      <c r="T109" s="69" t="s">
        <v>314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315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291</v>
      </c>
      <c r="B110" s="31" t="s">
        <v>316</v>
      </c>
      <c r="C110" s="31" t="s">
        <v>208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293</v>
      </c>
      <c r="J110" s="54"/>
      <c r="K110" s="28">
        <v>46363</v>
      </c>
      <c r="L110" s="43"/>
      <c r="M110" s="31"/>
      <c r="N110" s="31"/>
      <c r="O110" s="36" t="s">
        <v>311</v>
      </c>
      <c r="P110" s="75"/>
      <c r="Q110" s="28">
        <v>46370</v>
      </c>
      <c r="R110" s="43"/>
      <c r="S110" s="31"/>
      <c r="T110" s="69" t="s">
        <v>314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317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301</v>
      </c>
      <c r="B111" s="31" t="s">
        <v>318</v>
      </c>
      <c r="C111" s="31" t="s">
        <v>208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293</v>
      </c>
      <c r="J111" s="54"/>
      <c r="K111" s="28">
        <v>46363</v>
      </c>
      <c r="L111" s="43"/>
      <c r="M111" s="31"/>
      <c r="N111" s="31"/>
      <c r="O111" s="36" t="s">
        <v>311</v>
      </c>
      <c r="P111" s="75"/>
      <c r="Q111" s="28">
        <v>46370</v>
      </c>
      <c r="R111" s="43"/>
      <c r="S111" s="31"/>
      <c r="T111" s="69" t="s">
        <v>314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319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301</v>
      </c>
      <c r="B112" s="31" t="s">
        <v>320</v>
      </c>
      <c r="C112" s="31" t="s">
        <v>208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293</v>
      </c>
      <c r="J112" s="54"/>
      <c r="K112" s="28">
        <v>46363</v>
      </c>
      <c r="L112" s="43"/>
      <c r="M112" s="31"/>
      <c r="N112" s="31"/>
      <c r="O112" s="36" t="s">
        <v>311</v>
      </c>
      <c r="P112" s="75"/>
      <c r="Q112" s="28">
        <v>46370</v>
      </c>
      <c r="R112" s="43"/>
      <c r="S112" s="31"/>
      <c r="T112" s="69" t="s">
        <v>314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315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301</v>
      </c>
      <c r="B113" s="31" t="s">
        <v>321</v>
      </c>
      <c r="C113" s="31" t="s">
        <v>208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293</v>
      </c>
      <c r="J113" s="54"/>
      <c r="K113" s="28">
        <v>46363</v>
      </c>
      <c r="L113" s="43"/>
      <c r="M113" s="31"/>
      <c r="N113" s="31"/>
      <c r="O113" s="36" t="s">
        <v>311</v>
      </c>
      <c r="P113" s="75"/>
      <c r="Q113" s="28">
        <v>46370</v>
      </c>
      <c r="R113" s="43"/>
      <c r="S113" s="31"/>
      <c r="T113" s="69" t="s">
        <v>314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315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301</v>
      </c>
      <c r="B114" s="31" t="s">
        <v>322</v>
      </c>
      <c r="C114" s="31" t="s">
        <v>208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293</v>
      </c>
      <c r="J114" s="54"/>
      <c r="K114" s="28">
        <v>46363</v>
      </c>
      <c r="L114" s="43"/>
      <c r="M114" s="31"/>
      <c r="N114" s="31"/>
      <c r="O114" s="36" t="s">
        <v>323</v>
      </c>
      <c r="P114" s="75"/>
      <c r="Q114" s="28">
        <v>46370</v>
      </c>
      <c r="R114" s="43"/>
      <c r="S114" s="31"/>
      <c r="T114" s="69" t="s">
        <v>314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319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>
      <c r="A115" s="31" t="s">
        <v>301</v>
      </c>
      <c r="B115" s="31" t="s">
        <v>324</v>
      </c>
      <c r="C115" s="31" t="s">
        <v>208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293</v>
      </c>
      <c r="J115" s="54"/>
      <c r="K115" s="28">
        <v>46363</v>
      </c>
      <c r="L115" s="43"/>
      <c r="M115" s="31"/>
      <c r="N115" s="31"/>
      <c r="O115" s="36" t="s">
        <v>323</v>
      </c>
      <c r="P115" s="75"/>
      <c r="Q115" s="28">
        <v>46370</v>
      </c>
      <c r="R115" s="43"/>
      <c r="S115" s="31"/>
      <c r="T115" s="69" t="s">
        <v>314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263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2:O115">
    <cfRule type="expression" dxfId="122" priority="10">
      <formula>$AJ2="Yes – needs DB Dev to fix"</formula>
    </cfRule>
  </conditionalFormatting>
  <conditionalFormatting sqref="J116:O192">
    <cfRule type="expression" dxfId="121" priority="15">
      <formula>$AH116="Yes – needs DB Dev to fix"</formula>
    </cfRule>
  </conditionalFormatting>
  <conditionalFormatting sqref="K41">
    <cfRule type="expression" dxfId="120" priority="591">
      <formula>AND($B41&lt;&gt;"",MOD(ROW(),2)=0)</formula>
    </cfRule>
    <cfRule type="expression" dxfId="119" priority="592">
      <formula>$AJ41="Yes – needs DB Dev to fix"</formula>
    </cfRule>
  </conditionalFormatting>
  <conditionalFormatting sqref="K42">
    <cfRule type="expression" dxfId="118" priority="593">
      <formula>AND($B41&lt;&gt;"",MOD(ROW(),2)=0)</formula>
    </cfRule>
    <cfRule type="expression" dxfId="117" priority="594">
      <formula>$AJ41="Yes – needs DB Dev to fix"</formula>
    </cfRule>
  </conditionalFormatting>
  <conditionalFormatting sqref="K73:L100">
    <cfRule type="expression" dxfId="116" priority="107">
      <formula>$AF73="Yes – needs DB Dev to fix"</formula>
    </cfRule>
  </conditionalFormatting>
  <conditionalFormatting sqref="K101:L115">
    <cfRule type="expression" dxfId="115" priority="337">
      <formula>$AA101="Yes – needs DB Dev to fix"</formula>
    </cfRule>
  </conditionalFormatting>
  <conditionalFormatting sqref="K116:L527">
    <cfRule type="expression" dxfId="114" priority="564">
      <formula>$X116="Yes – needs DB Dev to fix"</formula>
    </cfRule>
  </conditionalFormatting>
  <conditionalFormatting sqref="M73">
    <cfRule type="expression" dxfId="113" priority="14">
      <formula>$AF73="Yes – needs DB Dev to fix"</formula>
    </cfRule>
  </conditionalFormatting>
  <conditionalFormatting sqref="M79">
    <cfRule type="expression" dxfId="112" priority="1">
      <formula>$AF79="Yes – needs DB Dev to fix"</formula>
    </cfRule>
  </conditionalFormatting>
  <conditionalFormatting sqref="M73:P100">
    <cfRule type="expression" dxfId="111" priority="292">
      <formula>$AD73="Yes – needs PBI Dev to fix"</formula>
    </cfRule>
  </conditionalFormatting>
  <conditionalFormatting sqref="M101:P115">
    <cfRule type="expression" dxfId="110" priority="339">
      <formula>$AA101="Yes – needs PBI Dev to fix"</formula>
    </cfRule>
  </conditionalFormatting>
  <conditionalFormatting sqref="M116:P527">
    <cfRule type="expression" dxfId="109" priority="565">
      <formula>$X116="Yes – needs PBI Dev to fix"</formula>
    </cfRule>
  </conditionalFormatting>
  <conditionalFormatting sqref="O101:O113">
    <cfRule type="expression" dxfId="108" priority="13">
      <formula>$AD101="Yes – needs PBI Dev to fix"</formula>
    </cfRule>
  </conditionalFormatting>
  <conditionalFormatting sqref="Q73:Q100">
    <cfRule type="expression" dxfId="107" priority="8">
      <formula>$AJ73="Yes – needs DB Dev to fix"</formula>
    </cfRule>
    <cfRule type="expression" dxfId="106" priority="9">
      <formula>$AF73="Yes – needs DB Dev to fix"</formula>
    </cfRule>
    <cfRule type="expression" dxfId="105" priority="111">
      <formula>$AF73="Yes – needs PBI Dev to fix"</formula>
    </cfRule>
  </conditionalFormatting>
  <conditionalFormatting sqref="Q101:R115 V101:V115 X101:X115">
    <cfRule type="expression" dxfId="104" priority="7">
      <formula>$AA101="Yes – needs QA to fix"</formula>
    </cfRule>
  </conditionalFormatting>
  <conditionalFormatting sqref="Q116:R527">
    <cfRule type="expression" dxfId="103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2" priority="22">
      <formula>$AJ2="Yes – needs PBI Dev to fix"</formula>
    </cfRule>
  </conditionalFormatting>
  <conditionalFormatting sqref="R58">
    <cfRule type="expression" dxfId="101" priority="307">
      <formula>AND($B65&lt;&gt;"",MOD(ROW(),2)=0)</formula>
    </cfRule>
    <cfRule type="expression" dxfId="100" priority="309">
      <formula>$AJ65="Yes – needs PBI Dev to fix"</formula>
    </cfRule>
  </conditionalFormatting>
  <conditionalFormatting sqref="R73:U100 T96:T101">
    <cfRule type="expression" dxfId="99" priority="113">
      <formula>$AF73="Yes – needs QA to fix"</formula>
    </cfRule>
  </conditionalFormatting>
  <conditionalFormatting sqref="S101:U115">
    <cfRule type="expression" dxfId="98" priority="353">
      <formula>$AA101="Yes – needs DPO Approval to fix"</formula>
    </cfRule>
  </conditionalFormatting>
  <conditionalFormatting sqref="S116:U527">
    <cfRule type="expression" dxfId="97" priority="567">
      <formula>$X116="Yes – needs DPO Approval to fix"</formula>
    </cfRule>
  </conditionalFormatting>
  <conditionalFormatting sqref="U101:V527 X101:X527">
    <cfRule type="expression" dxfId="96" priority="40">
      <formula>$V101="Yes"</formula>
    </cfRule>
  </conditionalFormatting>
  <conditionalFormatting sqref="U73:Y100">
    <cfRule type="expression" dxfId="95" priority="115">
      <formula>$AF73="Yes – needs DPO Approval to fix"</formula>
    </cfRule>
  </conditionalFormatting>
  <conditionalFormatting sqref="X116:X527">
    <cfRule type="expression" dxfId="94" priority="568">
      <formula>LEFT($X116,3)="Yes"</formula>
    </cfRule>
  </conditionalFormatting>
  <conditionalFormatting sqref="X73:Z100">
    <cfRule type="expression" dxfId="93" priority="467">
      <formula>$Y73="Yes"</formula>
    </cfRule>
  </conditionalFormatting>
  <conditionalFormatting sqref="Z116:AA527">
    <cfRule type="expression" dxfId="92" priority="45">
      <formula>ISNUMBER(SEARCH("Move old",$Z116))</formula>
    </cfRule>
    <cfRule type="expression" dxfId="91" priority="45">
      <formula>ISNUMBER(SEARCH("log it",$Z116))</formula>
    </cfRule>
    <cfRule type="expression" dxfId="90" priority="45">
      <formula>ISNUMBER(SEARCH("Open rework",$Z116))</formula>
    </cfRule>
    <cfRule type="expression" dxfId="89" priority="46">
      <formula>ISNUMBER(SEARCH("Duplicate",$Z116))</formula>
    </cfRule>
    <cfRule type="expression" dxfId="88" priority="47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87" priority="48">
      <formula>AND($B2&lt;&gt;"",MOD(ROW(),2)=0)</formula>
    </cfRule>
  </conditionalFormatting>
  <conditionalFormatting sqref="AA3">
    <cfRule type="expression" dxfId="86" priority="595">
      <formula>AND($B3&lt;&gt;"",MOD(ROW(),2)=0)</formula>
    </cfRule>
    <cfRule type="expression" dxfId="85" priority="596">
      <formula>$AJ3="Yes – needs DPO Approval to fix"</formula>
    </cfRule>
  </conditionalFormatting>
  <conditionalFormatting sqref="AA101:AA115 U2:Z115">
    <cfRule type="expression" dxfId="84" priority="5">
      <formula>$AJ2="Yes – needs QA to fix"</formula>
    </cfRule>
  </conditionalFormatting>
  <conditionalFormatting sqref="AA101:AA115">
    <cfRule type="expression" dxfId="83" priority="2">
      <formula>$AJ101="Yes – needs PBI Dev to fix"</formula>
    </cfRule>
    <cfRule type="expression" dxfId="82" priority="3">
      <formula>$AA101="Yes – needs QA to fix"</formula>
    </cfRule>
    <cfRule type="expression" dxfId="81" priority="4">
      <formula>$V101="Yes"</formula>
    </cfRule>
    <cfRule type="expression" dxfId="80" priority="361">
      <formula>LEFT($AA101,3)="Yes"</formula>
    </cfRule>
  </conditionalFormatting>
  <conditionalFormatting sqref="AA2:AE2 AB3:AE3 AA4:AE100">
    <cfRule type="expression" dxfId="79" priority="89">
      <formula>$AJ2="Yes – needs DPO Approval to fix"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AF2:AF115">
    <cfRule type="expression" dxfId="73" priority="61">
      <formula>$AF2="Yes"</formula>
    </cfRule>
  </conditionalFormatting>
  <conditionalFormatting sqref="AF73:AF100">
    <cfRule type="expression" dxfId="72" priority="119">
      <formula>LEFT($AF73,3)="Yes"</formula>
    </cfRule>
  </conditionalFormatting>
  <conditionalFormatting sqref="AG73:AG100">
    <cfRule type="expression" dxfId="71" priority="125">
      <formula>ISNUMBER(SEARCH("Open rework",$AG73))</formula>
    </cfRule>
    <cfRule type="expression" dxfId="70" priority="126">
      <formula>ISNUMBER(SEARCH("Move old",$AG73))</formula>
    </cfRule>
    <cfRule type="expression" dxfId="69" priority="127">
      <formula>ISNUMBER(SEARCH("log it",$AG73))</formula>
    </cfRule>
    <cfRule type="expression" dxfId="68" priority="128">
      <formula>ISNUMBER(SEARCH("Duplicate",$AG73))</formula>
    </cfRule>
    <cfRule type="expression" dxfId="67" priority="129">
      <formula>$AG73&lt;&gt;""</formula>
    </cfRule>
  </conditionalFormatting>
  <conditionalFormatting sqref="AJ2:AJ115">
    <cfRule type="expression" dxfId="66" priority="63">
      <formula>LEFT($AJ2,3)="Yes"</formula>
    </cfRule>
  </conditionalFormatting>
  <conditionalFormatting sqref="AK2:AK115">
    <cfRule type="expression" dxfId="65" priority="69">
      <formula>ISNUMBER(SEARCH("log it",$AK2))</formula>
    </cfRule>
    <cfRule type="expression" dxfId="64" priority="70">
      <formula>ISNUMBER(SEARCH("Open rework",$AK2))</formula>
    </cfRule>
    <cfRule type="expression" dxfId="63" priority="71">
      <formula>ISNUMBER(SEARCH("Move old",$AK2))</formula>
    </cfRule>
    <cfRule type="expression" dxfId="62" priority="72">
      <formula>ISNUMBER(SEARCH("Duplicate",$AK2))</formula>
    </cfRule>
    <cfRule type="expression" dxfId="61" priority="73">
      <formula>$AK2&lt;&gt;""</formula>
    </cfRule>
  </conditionalFormatting>
  <conditionalFormatting sqref="AL45:AL47">
    <cfRule type="expression" dxfId="60" priority="12">
      <formula>AND($B49&lt;&gt;"",MOD(ROW(),2)=0)</formula>
    </cfRule>
  </conditionalFormatting>
  <conditionalFormatting sqref="D88">
    <cfRule type="expression" dxfId="59" priority="608">
      <formula>AND($B50&lt;&gt;"",MOD(ROW(),2)=0)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325</v>
      </c>
    </row>
    <row r="2" spans="1:5">
      <c r="A2" s="6" t="s">
        <v>326</v>
      </c>
    </row>
    <row r="4" spans="1:5" ht="21.95" customHeight="1">
      <c r="A4" s="5" t="s">
        <v>327</v>
      </c>
      <c r="B4" s="173"/>
      <c r="C4" s="174"/>
      <c r="D4" s="174"/>
      <c r="E4" s="174"/>
    </row>
    <row r="6" spans="1:5">
      <c r="A6" s="42" t="s">
        <v>0</v>
      </c>
      <c r="B6" s="171" t="str">
        <f>IF($B$4="","",IFERROR(INDEX('Combined Delivery Data'!$A:$A,MATCH($B$4,'Combined Delivery Data'!$B:$B,0)),""))</f>
        <v/>
      </c>
      <c r="C6" s="175"/>
      <c r="D6" s="175"/>
      <c r="E6" s="176"/>
    </row>
    <row r="7" spans="1:5">
      <c r="A7" s="42" t="s">
        <v>328</v>
      </c>
      <c r="B7" s="171" t="str">
        <f>IF($B$4="","",IFERROR(INDEX('Combined Delivery Data'!$C:$C,MATCH($B$4,'Combined Delivery Data'!$B:$B,0)),""))</f>
        <v/>
      </c>
      <c r="C7" s="175"/>
      <c r="D7" s="175"/>
      <c r="E7" s="176"/>
    </row>
    <row r="8" spans="1:5">
      <c r="A8" s="42" t="s">
        <v>3</v>
      </c>
      <c r="B8" s="171" t="str">
        <f>IF($B$4="","",IFERROR(INDEX('Combined Delivery Data'!$D:$D,MATCH($B$4,'Combined Delivery Data'!$B:$B,0)),""))</f>
        <v/>
      </c>
      <c r="C8" s="175"/>
      <c r="D8" s="175"/>
      <c r="E8" s="176"/>
    </row>
    <row r="9" spans="1:5">
      <c r="A9" s="42" t="s">
        <v>4</v>
      </c>
      <c r="B9" s="171" t="str">
        <f>IF($B$4="","",IFERROR(INDEX('Combined Delivery Data'!$E:$E,MATCH($B$4,'Combined Delivery Data'!$B:$B,0)),""))</f>
        <v/>
      </c>
      <c r="C9" s="175"/>
      <c r="D9" s="175"/>
      <c r="E9" s="176"/>
    </row>
    <row r="10" spans="1:5">
      <c r="A10" s="42" t="s">
        <v>5</v>
      </c>
      <c r="B10" s="171" t="str">
        <f>IF($B$4="","",IFERROR(INDEX('Combined Delivery Data'!$F:$F,MATCH($B$4,'Combined Delivery Data'!$B:$B,0)),""))</f>
        <v/>
      </c>
      <c r="C10" s="175"/>
      <c r="D10" s="175"/>
      <c r="E10" s="176"/>
    </row>
    <row r="11" spans="1:5">
      <c r="A11" s="42" t="s">
        <v>9</v>
      </c>
      <c r="B11" s="171" t="str">
        <f>IF($B$4="","",IFERROR(INDEX('Combined Delivery Data'!$J:$J,MATCH($B$4,'Combined Delivery Data'!$B:$B,0)),""))</f>
        <v/>
      </c>
      <c r="C11" s="175"/>
      <c r="D11" s="175"/>
      <c r="E11" s="176"/>
    </row>
    <row r="12" spans="1:5">
      <c r="A12" s="42" t="s">
        <v>15</v>
      </c>
      <c r="B12" s="171" t="str">
        <f>IF($B$4="","",IFERROR(INDEX('Combined Delivery Data'!$P:$P,MATCH($B$4,'Combined Delivery Data'!$B:$B,0)),""))</f>
        <v/>
      </c>
      <c r="C12" s="175"/>
      <c r="D12" s="175"/>
      <c r="E12" s="176"/>
    </row>
    <row r="13" spans="1:5">
      <c r="A13" s="42" t="s">
        <v>20</v>
      </c>
      <c r="B13" s="171" t="str">
        <f>IF($B$4="","",IFERROR(INDEX('Combined Delivery Data'!$U:$U,MATCH($B$4,'Combined Delivery Data'!$B:$B,0)),""))</f>
        <v/>
      </c>
      <c r="C13" s="175"/>
      <c r="D13" s="175"/>
      <c r="E13" s="176"/>
    </row>
    <row r="14" spans="1:5">
      <c r="A14" s="42" t="s">
        <v>329</v>
      </c>
      <c r="B14" s="170" t="str">
        <f>IF($B$4="","",IFERROR(INDEX('Combined Delivery Data'!$K:$K,MATCH($B$4,'Combined Delivery Data'!$B:$B,0)),""))</f>
        <v/>
      </c>
      <c r="C14" s="175"/>
      <c r="D14" s="175"/>
      <c r="E14" s="176"/>
    </row>
    <row r="15" spans="1:5">
      <c r="A15" s="42" t="s">
        <v>330</v>
      </c>
      <c r="B15" s="170" t="str">
        <f>IF($B$4="","",IFERROR(INDEX('Combined Delivery Data'!$L:$L,MATCH($B$4,'Combined Delivery Data'!$B:$B,0)),""))</f>
        <v/>
      </c>
      <c r="C15" s="175"/>
      <c r="D15" s="175"/>
      <c r="E15" s="176"/>
    </row>
    <row r="16" spans="1:5">
      <c r="A16" s="42" t="s">
        <v>331</v>
      </c>
      <c r="B16" s="170" t="str">
        <f>IF($B$4="","",IFERROR(INDEX('Combined Delivery Data'!$M:$M,MATCH($B$4,'Combined Delivery Data'!$B:$B,0)),""))</f>
        <v/>
      </c>
      <c r="C16" s="175"/>
      <c r="D16" s="175"/>
      <c r="E16" s="176"/>
    </row>
    <row r="17" spans="1:5">
      <c r="A17" s="42" t="s">
        <v>332</v>
      </c>
      <c r="B17" s="170" t="str">
        <f>IF($B$4="","",IFERROR(INDEX('Combined Delivery Data'!$O:$O,MATCH($B$4,'Combined Delivery Data'!$B:$B,0)),""))</f>
        <v/>
      </c>
      <c r="C17" s="175"/>
      <c r="D17" s="175"/>
      <c r="E17" s="176"/>
    </row>
    <row r="18" spans="1:5">
      <c r="A18" s="42" t="s">
        <v>333</v>
      </c>
      <c r="B18" s="170" t="str">
        <f>IF($B$4="","",IFERROR(INDEX('Combined Delivery Data'!$Q:$Q,MATCH($B$4,'Combined Delivery Data'!$B:$B,0)),""))</f>
        <v/>
      </c>
      <c r="C18" s="175"/>
      <c r="D18" s="175"/>
      <c r="E18" s="176"/>
    </row>
    <row r="19" spans="1:5">
      <c r="A19" s="42" t="s">
        <v>334</v>
      </c>
      <c r="B19" s="170" t="str">
        <f>IF($B$4="","",IFERROR(INDEX('Combined Delivery Data'!$R:$R,MATCH($B$4,'Combined Delivery Data'!$B:$B,0)),""))</f>
        <v/>
      </c>
      <c r="C19" s="175"/>
      <c r="D19" s="175"/>
      <c r="E19" s="176"/>
    </row>
    <row r="20" spans="1:5">
      <c r="A20" s="42" t="s">
        <v>335</v>
      </c>
      <c r="B20" s="170" t="str">
        <f>IF($B$4="","",IFERROR(INDEX('Combined Delivery Data'!$S:$S,MATCH($B$4,'Combined Delivery Data'!$B:$B,0)),""))</f>
        <v/>
      </c>
      <c r="C20" s="175"/>
      <c r="D20" s="175"/>
      <c r="E20" s="176"/>
    </row>
    <row r="21" spans="1:5">
      <c r="A21" s="42" t="s">
        <v>29</v>
      </c>
      <c r="B21" s="171" t="str">
        <f>IF($B$4="","",IFERROR(INDEX('Combined Delivery Data'!$T:$T,MATCH($B$4,'Combined Delivery Data'!$B:$B,0)),""))</f>
        <v/>
      </c>
      <c r="C21" s="175"/>
      <c r="D21" s="175"/>
      <c r="E21" s="176"/>
    </row>
    <row r="22" spans="1:5">
      <c r="A22" s="42" t="s">
        <v>31</v>
      </c>
      <c r="B22" s="171" t="str">
        <f>IF($B$4="","",IFERROR(INDEX('Combined Delivery Data'!$V:$V,MATCH($B$4,'Combined Delivery Data'!$B:$B,0)),""))</f>
        <v/>
      </c>
      <c r="C22" s="175"/>
      <c r="D22" s="175"/>
      <c r="E22" s="176"/>
    </row>
    <row r="23" spans="1:5">
      <c r="A23" s="42" t="s">
        <v>32</v>
      </c>
      <c r="B23" s="170" t="str">
        <f>IF($B$4="","",IFERROR(INDEX('Combined Delivery Data'!$W:$W,MATCH($B$4,'Combined Delivery Data'!$B:$B,0)),""))</f>
        <v/>
      </c>
      <c r="C23" s="175"/>
      <c r="D23" s="175"/>
      <c r="E23" s="176"/>
    </row>
    <row r="24" spans="1:5">
      <c r="A24" s="42" t="s">
        <v>35</v>
      </c>
      <c r="B24" s="171" t="str">
        <f>IF($B$4="","",IFERROR(INDEX('Combined Delivery Data'!$X:$X,MATCH($B$4,'Combined Delivery Data'!$B:$B,0)),""))</f>
        <v/>
      </c>
      <c r="C24" s="175"/>
      <c r="D24" s="175"/>
      <c r="E24" s="176"/>
    </row>
    <row r="25" spans="1:5">
      <c r="A25" s="42" t="s">
        <v>36</v>
      </c>
      <c r="B25" s="171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336</v>
      </c>
      <c r="B26" s="171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337</v>
      </c>
      <c r="B27" s="171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338</v>
      </c>
      <c r="B28" s="171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339</v>
      </c>
      <c r="B29" s="171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1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29" activePane="bottomLeft" state="frozen"/>
      <selection pane="bottomLeft" activeCell="L34" sqref="L3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8" t="s">
        <v>341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342</v>
      </c>
      <c r="C2" s="17" t="s">
        <v>343</v>
      </c>
      <c r="D2" s="17" t="s">
        <v>344</v>
      </c>
      <c r="E2" s="17" t="s">
        <v>345</v>
      </c>
      <c r="F2" s="17" t="s">
        <v>346</v>
      </c>
      <c r="G2" s="17" t="s">
        <v>347</v>
      </c>
      <c r="H2" s="30" t="s">
        <v>348</v>
      </c>
      <c r="I2" s="30" t="s">
        <v>349</v>
      </c>
      <c r="J2" s="30" t="s">
        <v>350</v>
      </c>
      <c r="K2" s="30" t="s">
        <v>351</v>
      </c>
      <c r="L2" s="30" t="s">
        <v>352</v>
      </c>
      <c r="M2" s="21" t="s">
        <v>353</v>
      </c>
      <c r="N2" s="21" t="s">
        <v>354</v>
      </c>
      <c r="P2" s="13" t="s">
        <v>1</v>
      </c>
      <c r="Q2" s="13" t="s">
        <v>336</v>
      </c>
      <c r="R2" s="13" t="s">
        <v>337</v>
      </c>
      <c r="S2" s="13" t="s">
        <v>338</v>
      </c>
      <c r="T2" s="13" t="s">
        <v>339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355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39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356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357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358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359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360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361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362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363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362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356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362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358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364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365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366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367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368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369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365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370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371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372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362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373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374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375</v>
      </c>
      <c r="M20" s="3" t="str">
        <f t="shared" ca="1" si="0"/>
        <v>Fixed</v>
      </c>
      <c r="N20" t="s">
        <v>365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376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4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377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378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3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379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3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380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2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381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2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371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382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383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382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383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382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383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384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2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385</v>
      </c>
      <c r="G32" s="31" t="s">
        <v>53</v>
      </c>
      <c r="H32" s="32"/>
      <c r="I32" s="32"/>
      <c r="J32" s="32"/>
      <c r="K32" s="31"/>
      <c r="L32" s="31"/>
      <c r="M32" s="3" t="str">
        <f t="shared" ca="1" si="0"/>
        <v>UNCLAIMED 1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386</v>
      </c>
      <c r="F33" s="31" t="s">
        <v>387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2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1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46268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466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466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466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466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466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466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466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466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466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466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466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466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466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466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466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466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466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466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466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466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466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466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466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466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466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466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466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466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466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466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466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466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466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466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466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466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466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466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466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466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466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466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466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466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466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466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466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466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466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466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466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466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466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466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466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466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466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466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466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466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466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466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466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466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466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466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466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466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466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466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466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466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466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466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466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466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466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466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466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466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466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466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466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466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466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466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466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466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466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466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466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466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466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466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466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466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466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466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466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466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466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466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466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466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466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466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466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466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466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466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466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466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466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466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466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466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466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466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466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466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466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466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466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466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466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466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466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466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466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466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466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466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466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466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466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466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466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466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466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466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466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466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466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466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466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466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466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466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466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466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466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466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466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466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466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466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466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466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466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466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466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466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466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466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466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466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466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466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466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466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466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466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466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466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466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466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466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466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466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466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466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466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466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466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466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466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466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466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466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466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466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466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466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466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466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466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466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466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466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466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466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466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466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466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466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466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466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466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466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466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466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466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466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466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466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466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466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466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466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466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466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466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466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466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466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466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466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466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466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466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466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466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466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466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466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466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466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466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466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466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466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466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466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466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466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466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466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466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466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466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466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466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466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466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466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466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466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466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466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466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466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466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466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466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466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466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466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466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466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466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466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466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466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466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466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466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466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466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466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466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466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466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466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466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466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466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466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466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466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466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466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466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466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466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466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466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466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466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466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466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466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466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466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466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466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466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466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466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466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466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466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466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466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466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466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466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466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466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466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466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466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466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466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466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466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466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466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466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466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466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466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466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466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466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466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466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466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466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466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466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466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466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466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466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466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466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466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466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466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466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466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466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466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466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466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466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466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466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466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466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466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466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466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466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466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466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466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466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466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466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466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466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466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466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466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466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466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466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466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466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466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466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466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466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466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466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466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466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466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466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466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466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466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466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466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466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466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466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466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466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466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466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466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466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466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466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466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466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466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466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388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389</v>
      </c>
      <c r="C2" s="8" t="s">
        <v>1</v>
      </c>
      <c r="D2" s="8" t="s">
        <v>390</v>
      </c>
      <c r="E2" s="8" t="s">
        <v>391</v>
      </c>
      <c r="F2" s="8" t="s">
        <v>6</v>
      </c>
      <c r="G2" s="8" t="s">
        <v>5</v>
      </c>
      <c r="H2" s="8" t="s">
        <v>392</v>
      </c>
      <c r="I2" s="8" t="s">
        <v>393</v>
      </c>
      <c r="J2" s="8" t="s">
        <v>394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395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395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395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395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395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396</v>
      </c>
      <c r="B1" s="174"/>
      <c r="C1" s="174"/>
    </row>
    <row r="2" spans="1:3" ht="14.25" customHeight="1">
      <c r="A2" s="8" t="s">
        <v>0</v>
      </c>
      <c r="B2" s="8" t="s">
        <v>397</v>
      </c>
      <c r="C2" s="8" t="s">
        <v>393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398</v>
      </c>
      <c r="B11" s="11">
        <v>18</v>
      </c>
      <c r="C11" s="12">
        <v>46386</v>
      </c>
    </row>
    <row r="12" spans="1:3" ht="14.25" customHeight="1">
      <c r="A12" s="11" t="s">
        <v>398</v>
      </c>
      <c r="B12" s="11">
        <v>18</v>
      </c>
      <c r="C12" s="12">
        <v>46417</v>
      </c>
    </row>
    <row r="13" spans="1:3" ht="14.25" customHeight="1">
      <c r="A13" s="11" t="s">
        <v>398</v>
      </c>
      <c r="B13" s="11">
        <v>19</v>
      </c>
      <c r="C13" s="12">
        <v>46446</v>
      </c>
    </row>
    <row r="14" spans="1:3" ht="14.25" customHeight="1">
      <c r="A14" s="11" t="s">
        <v>301</v>
      </c>
      <c r="B14" s="11">
        <v>9</v>
      </c>
      <c r="C14" s="12">
        <v>46476</v>
      </c>
    </row>
    <row r="15" spans="1:3" ht="14.25" customHeight="1">
      <c r="A15" s="11" t="s">
        <v>291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399</v>
      </c>
      <c r="F1" s="1" t="s">
        <v>328</v>
      </c>
      <c r="G1" s="5" t="s">
        <v>400</v>
      </c>
      <c r="H1" s="5" t="s">
        <v>20</v>
      </c>
      <c r="I1" t="s">
        <v>35</v>
      </c>
      <c r="J1" s="5" t="s">
        <v>401</v>
      </c>
      <c r="K1" s="5" t="s">
        <v>129</v>
      </c>
      <c r="L1" s="5" t="s">
        <v>347</v>
      </c>
      <c r="M1" s="1" t="s">
        <v>402</v>
      </c>
      <c r="N1" s="1" t="s">
        <v>403</v>
      </c>
      <c r="R1" t="s">
        <v>13</v>
      </c>
      <c r="T1" t="s">
        <v>404</v>
      </c>
    </row>
    <row r="2" spans="1:20" ht="13.5" customHeight="1">
      <c r="A2" s="2" t="s">
        <v>405</v>
      </c>
      <c r="B2" s="2" t="s">
        <v>406</v>
      </c>
      <c r="C2" s="2" t="s">
        <v>407</v>
      </c>
      <c r="D2" s="2" t="s">
        <v>408</v>
      </c>
      <c r="E2" s="2" t="s">
        <v>409</v>
      </c>
      <c r="F2" s="2" t="s">
        <v>410</v>
      </c>
      <c r="G2" t="s">
        <v>411</v>
      </c>
      <c r="H2" t="s">
        <v>412</v>
      </c>
      <c r="I2" t="s">
        <v>413</v>
      </c>
      <c r="J2" s="29" t="s">
        <v>414</v>
      </c>
      <c r="K2" s="29" t="s">
        <v>415</v>
      </c>
      <c r="L2" s="29" t="s">
        <v>416</v>
      </c>
      <c r="M2" t="s">
        <v>147</v>
      </c>
      <c r="N2" s="45" t="s">
        <v>417</v>
      </c>
      <c r="R2" t="s">
        <v>248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208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418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419</v>
      </c>
      <c r="J4" t="s">
        <v>150</v>
      </c>
      <c r="L4" t="s">
        <v>50</v>
      </c>
      <c r="M4" t="s">
        <v>103</v>
      </c>
      <c r="N4" s="45" t="s">
        <v>418</v>
      </c>
      <c r="R4" t="s">
        <v>172</v>
      </c>
      <c r="T4" t="s">
        <v>72</v>
      </c>
    </row>
    <row r="5" spans="1:20" ht="15" customHeight="1">
      <c r="A5" t="s">
        <v>398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420</v>
      </c>
      <c r="M5" t="s">
        <v>88</v>
      </c>
      <c r="N5" s="45" t="s">
        <v>418</v>
      </c>
    </row>
    <row r="6" spans="1:20" ht="15" customHeight="1">
      <c r="A6" t="s">
        <v>301</v>
      </c>
      <c r="B6" t="s">
        <v>84</v>
      </c>
      <c r="F6" t="s">
        <v>141</v>
      </c>
      <c r="G6" t="s">
        <v>84</v>
      </c>
      <c r="H6" t="s">
        <v>147</v>
      </c>
      <c r="I6" t="s">
        <v>421</v>
      </c>
      <c r="J6" t="s">
        <v>129</v>
      </c>
      <c r="M6" t="s">
        <v>48</v>
      </c>
      <c r="N6" s="45" t="s">
        <v>418</v>
      </c>
    </row>
    <row r="7" spans="1:20" ht="15" customHeight="1">
      <c r="A7" t="s">
        <v>291</v>
      </c>
      <c r="B7" t="s">
        <v>118</v>
      </c>
      <c r="F7" t="s">
        <v>129</v>
      </c>
      <c r="G7" t="s">
        <v>118</v>
      </c>
      <c r="H7" t="s">
        <v>386</v>
      </c>
      <c r="I7" t="s">
        <v>422</v>
      </c>
      <c r="M7" t="s">
        <v>130</v>
      </c>
      <c r="N7" s="45" t="s">
        <v>418</v>
      </c>
    </row>
    <row r="8" spans="1:20" ht="15" customHeight="1">
      <c r="B8" t="s">
        <v>76</v>
      </c>
      <c r="F8" t="s">
        <v>42</v>
      </c>
      <c r="G8" t="s">
        <v>76</v>
      </c>
      <c r="I8" t="s">
        <v>423</v>
      </c>
      <c r="M8" t="s">
        <v>60</v>
      </c>
      <c r="N8" s="45" t="s">
        <v>418</v>
      </c>
    </row>
    <row r="9" spans="1:20" ht="15" customHeight="1">
      <c r="B9" t="s">
        <v>103</v>
      </c>
      <c r="G9" t="s">
        <v>103</v>
      </c>
      <c r="I9" t="s">
        <v>424</v>
      </c>
      <c r="M9" t="s">
        <v>160</v>
      </c>
      <c r="N9" s="45" t="s">
        <v>418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418</v>
      </c>
    </row>
    <row r="11" spans="1:20">
      <c r="B11" t="s">
        <v>425</v>
      </c>
      <c r="G11" t="s">
        <v>60</v>
      </c>
      <c r="M11" t="s">
        <v>76</v>
      </c>
      <c r="N11" s="45" t="s">
        <v>418</v>
      </c>
    </row>
    <row r="12" spans="1:20">
      <c r="B12" t="s">
        <v>426</v>
      </c>
      <c r="G12" t="s">
        <v>46</v>
      </c>
      <c r="M12" t="s">
        <v>46</v>
      </c>
      <c r="N12" s="45" t="s">
        <v>418</v>
      </c>
    </row>
    <row r="13" spans="1:20">
      <c r="G13" t="s">
        <v>77</v>
      </c>
      <c r="M13" t="s">
        <v>77</v>
      </c>
      <c r="N13" s="45" t="s">
        <v>418</v>
      </c>
    </row>
    <row r="14" spans="1:20">
      <c r="M14" t="s">
        <v>84</v>
      </c>
      <c r="N14" s="45" t="s">
        <v>427</v>
      </c>
    </row>
    <row r="15" spans="1:20">
      <c r="M15" t="s">
        <v>59</v>
      </c>
      <c r="N15" s="45" t="s">
        <v>418</v>
      </c>
    </row>
    <row r="16" spans="1:20">
      <c r="M16" t="s">
        <v>118</v>
      </c>
      <c r="N16" s="45" t="s">
        <v>418</v>
      </c>
    </row>
    <row r="17" spans="13:14">
      <c r="M17" t="s">
        <v>65</v>
      </c>
      <c r="N17" s="45" t="s">
        <v>418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2026-09-04T16:45:26Z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