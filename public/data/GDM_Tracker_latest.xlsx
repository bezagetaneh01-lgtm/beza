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92" documentId="13_ncr:1_{52745E9B-3AA1-4770-AAD3-E6166BFC13AE}" xr6:coauthVersionLast="47" xr6:coauthVersionMax="47" xr10:uidLastSave="{502B0B54-E223-486C-BCCB-F75620418425}"/>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2" i="2" a="1"/>
  <c r="D82" i="2" s="1"/>
  <c r="D79" i="2" a="1"/>
  <c r="D79" i="2" s="1"/>
  <c r="D77" i="2" a="1"/>
  <c r="D77" i="2" s="1"/>
  <c r="D76" i="2" a="1"/>
  <c r="D76" i="2" s="1"/>
  <c r="D75" i="2" a="1"/>
  <c r="D75" i="2" s="1"/>
  <c r="D69" i="2" a="1"/>
  <c r="D69" i="2" s="1"/>
  <c r="D68" i="2" a="1"/>
  <c r="D68" i="2" s="1"/>
  <c r="D66" i="2" a="1"/>
  <c r="D66"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D85" i="2" s="1" a="1"/>
  <c r="D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D58" i="2" s="1" a="1"/>
  <c r="D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<sst xmlns="http://schemas.openxmlformats.org/spreadsheetml/2006/main" count="3678" uniqueCount="529">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</sst>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5" activePane="bottomLeft" state="frozen"/>
      <selection pane="bottomLeft"/>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7"/>
      <c r="C4" s="268"/>
      <c r="D4" s="268"/>
      <c r="E4" s="268"/>
    </row>
    <row r="6" spans="1:5">
      <c r="A6" s="42" t="s">
        <v>0</v>
      </c>
      <c r="B6" s="223" t="str">
        <f>IF($B$4="","",IFERROR(INDEX('Combined Delivery Data'!$A:$A,MATCH($B$4,'Combined Delivery Data'!$B:$B,0)),""))</f>
        <v/>
      </c>
      <c r="C6" s="269"/>
      <c r="D6" s="269"/>
      <c r="E6" s="270"/>
    </row>
    <row r="7" spans="1:5">
      <c r="A7" s="42" t="s">
        <v>345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346</v>
      </c>
      <c r="B14" s="222" t="str">
        <f>IF($B$4="","",IFERROR(INDEX('Combined Delivery Data'!$K:$K,MATCH($B$4,'Combined Delivery Data'!$B:$B,0)),""))</f>
        <v/>
      </c>
      <c r="C14" s="269"/>
      <c r="D14" s="269"/>
      <c r="E14" s="270"/>
    </row>
    <row r="15" spans="1:5">
      <c r="A15" s="42" t="s">
        <v>347</v>
      </c>
      <c r="B15" s="222" t="str">
        <f>IF($B$4="","",IFERROR(INDEX('Combined Delivery Data'!$L:$L,MATCH($B$4,'Combined Delivery Data'!$B:$B,0)),""))</f>
        <v/>
      </c>
      <c r="C15" s="269"/>
      <c r="D15" s="269"/>
      <c r="E15" s="270"/>
    </row>
    <row r="16" spans="1:5">
      <c r="A16" s="42" t="s">
        <v>348</v>
      </c>
      <c r="B16" s="222" t="str">
        <f>IF($B$4="","",IFERROR(INDEX('Combined Delivery Data'!$M:$M,MATCH($B$4,'Combined Delivery Data'!$B:$B,0)),""))</f>
        <v/>
      </c>
      <c r="C16" s="269"/>
      <c r="D16" s="269"/>
      <c r="E16" s="270"/>
    </row>
    <row r="17" spans="1:5">
      <c r="A17" s="42" t="s">
        <v>349</v>
      </c>
      <c r="B17" s="222" t="str">
        <f>IF($B$4="","",IFERROR(INDEX('Combined Delivery Data'!$O:$O,MATCH($B$4,'Combined Delivery Data'!$B:$B,0)),""))</f>
        <v/>
      </c>
      <c r="C17" s="269"/>
      <c r="D17" s="269"/>
      <c r="E17" s="270"/>
    </row>
    <row r="18" spans="1:5">
      <c r="A18" s="42" t="s">
        <v>350</v>
      </c>
      <c r="B18" s="222" t="str">
        <f>IF($B$4="","",IFERROR(INDEX('Combined Delivery Data'!$Q:$Q,MATCH($B$4,'Combined Delivery Data'!$B:$B,0)),""))</f>
        <v/>
      </c>
      <c r="C18" s="269"/>
      <c r="D18" s="269"/>
      <c r="E18" s="270"/>
    </row>
    <row r="19" spans="1:5">
      <c r="A19" s="42" t="s">
        <v>351</v>
      </c>
      <c r="B19" s="222" t="str">
        <f>IF($B$4="","",IFERROR(INDEX('Combined Delivery Data'!$R:$R,MATCH($B$4,'Combined Delivery Data'!$B:$B,0)),""))</f>
        <v/>
      </c>
      <c r="C19" s="269"/>
      <c r="D19" s="269"/>
      <c r="E19" s="270"/>
    </row>
    <row r="20" spans="1:5">
      <c r="A20" s="42" t="s">
        <v>352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353</v>
      </c>
      <c r="B26" s="223" t="str">
        <f>IF($B$4="","",IFERROR(INDEX('Rework Log'!$Q:$Q,MATCH($B$4,'Rework Log'!$P:$P,0)),""))</f>
        <v/>
      </c>
      <c r="C26" s="269"/>
      <c r="D26" s="269"/>
      <c r="E26" s="270"/>
    </row>
    <row r="27" spans="1:5">
      <c r="A27" s="42" t="s">
        <v>354</v>
      </c>
      <c r="B27" s="223" t="str">
        <f>IF($B$4="","",IFERROR(INDEX('Rework Log'!$R:$R,MATCH($B$4,'Rework Log'!$P:$P,0)),""))</f>
        <v/>
      </c>
      <c r="C27" s="269"/>
      <c r="D27" s="269"/>
      <c r="E27" s="270"/>
    </row>
    <row r="28" spans="1:5">
      <c r="A28" s="42" t="s">
        <v>355</v>
      </c>
      <c r="B28" s="223" t="str">
        <f>IF($B$4="","",IFERROR(INDEX('Rework Log'!$S:$S,MATCH($B$4,'Rework Log'!$P:$P,0)),""))</f>
        <v/>
      </c>
      <c r="C28" s="269"/>
      <c r="D28" s="269"/>
      <c r="E28" s="270"/>
    </row>
    <row r="29" spans="1:5">
      <c r="A29" s="42" t="s">
        <v>356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423</v>
      </c>
      <c r="B1" s="268"/>
      <c r="C1" s="268"/>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439</v>
      </c>
      <c r="B1" s="268"/>
      <c r="C1" s="268"/>
      <c r="D1" s="268"/>
      <c r="E1" s="268"/>
      <c r="F1" s="268"/>
      <c r="G1" s="268"/>
      <c r="H1" s="268"/>
      <c r="I1" s="268"/>
      <c r="J1" s="268"/>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312</v>
      </c>
      <c r="B6" t="s">
        <v>84</v>
      </c>
      <c r="F6" t="s">
        <v>206</v>
      </c>
      <c r="G6" t="s">
        <v>84</v>
      </c>
      <c r="H6" t="s">
        <v>144</v>
      </c>
      <c r="I6" t="s">
        <v>472</v>
      </c>
      <c r="J6" t="s">
        <v>187</v>
      </c>
      <c r="M6" t="s">
        <v>48</v>
      </c>
      <c r="N6" t="s">
        <v>471</v>
      </c>
    </row>
    <row r="7" spans="1:20" ht="15" customHeight="1">
      <c r="A7" t="s">
        <v>303</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24" t="str">
        <f ca="1">"As of "&amp;TEXT(TODAY(),"d mmm yyyy")&amp;". Live from Combined Delivery Data."</f>
        <v>As of 19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5" t="str">
        <f>IF(C7+E7=0,"No CMS reports are blocked.","reports are blocked. "&amp;C7&amp;" are approved and waiting for a production release, "&amp;E7&amp;" are blocked in build or QA.")</f>
        <v>reports are blocked. 26 are approved and waiting for a production release, 4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26</v>
      </c>
      <c r="D7" s="227"/>
      <c r="E7" s="230" cm="1">
        <f t="array" ref="E7">COUNTIFS(cmsDom,"CMS",cmsBlocked,"Yes*",cmsStatus,"&lt;&gt;Ready for Release in Prod",cmsStatus,"&lt;&gt;RELEASED IN PROD")</f>
        <v>4</v>
      </c>
      <c r="F7" s="231"/>
      <c r="G7" s="232" cm="1">
        <f t="array" ref="G7">SUM(COUNTIFS(cmsDom,"CMS",cmsBlocked,"&lt;&gt;Yes*",cmsStatus,{"DB Dev","PBI Dev","QA","DPO Approval"}))</f>
        <v>26</v>
      </c>
      <c r="H7" s="233"/>
      <c r="I7" s="234" cm="1">
        <f t="array" ref="I7">COUNTIFS(cmsDom,"CMS",cmsBlocked,"&lt;&gt;Yes*",cmsStatus,"NOT STARTED")</f>
        <v>12</v>
      </c>
      <c r="J7" s="235"/>
      <c r="K7" s="236" cm="1">
        <f t="array" ref="K7">COUNTIFS(cmsDom,"CMS",cmsStatus,"RELEASED IN PROD")</f>
        <v>4</v>
      </c>
      <c r="L7" s="237"/>
      <c r="M7" s="238" t="s">
        <v>490</v>
      </c>
      <c r="N7" s="239"/>
      <c r="O7" s="240"/>
      <c r="P7" s="142"/>
      <c r="Q7" s="142"/>
      <c r="R7" s="142"/>
      <c r="S7" s="142"/>
      <c r="T7" s="142"/>
      <c r="U7" s="142"/>
      <c r="V7" s="142"/>
      <c r="W7" s="142"/>
      <c r="X7" s="142"/>
      <c r="Y7" s="142"/>
      <c r="Z7" s="142"/>
    </row>
    <row r="8" spans="1:26" ht="30" customHeight="1">
      <c r="A8" s="142"/>
      <c r="B8" s="142"/>
      <c r="C8" s="228" t="s">
        <v>491</v>
      </c>
      <c r="D8" s="229"/>
      <c r="E8" s="228" t="s">
        <v>492</v>
      </c>
      <c r="F8" s="229"/>
      <c r="G8" s="228" t="s">
        <v>493</v>
      </c>
      <c r="H8" s="229"/>
      <c r="I8" s="228" t="s">
        <v>494</v>
      </c>
      <c r="J8" s="229"/>
      <c r="K8" s="228" t="s">
        <v>495</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48" t="s">
        <v>497</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9" t="s">
        <v>504</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40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19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11 days to milestone, 2 blocked</v>
      </c>
      <c r="N14" s="243"/>
      <c r="O14" s="244"/>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42 days to milestone, 2 blocked</v>
      </c>
      <c r="N15" s="243"/>
      <c r="O15" s="244"/>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73 days to milestone</v>
      </c>
      <c r="N16" s="246"/>
      <c r="O16" s="247"/>
      <c r="P16" s="142"/>
      <c r="Q16" s="142"/>
      <c r="R16" s="142"/>
      <c r="S16" s="142"/>
      <c r="T16" s="142"/>
      <c r="U16" s="142"/>
      <c r="V16" s="142"/>
      <c r="W16" s="142"/>
      <c r="X16" s="142"/>
      <c r="Y16" s="142"/>
      <c r="Z16" s="142"/>
    </row>
    <row r="17" spans="1:26" ht="24" customHeight="1">
      <c r="A17" s="142"/>
      <c r="B17" s="157" t="s">
        <v>505</v>
      </c>
      <c r="C17" s="169">
        <f t="shared" ref="C17:K17" si="0">SUM(C12:C16)</f>
        <v>26</v>
      </c>
      <c r="D17" s="169">
        <f t="shared" si="0"/>
        <v>4</v>
      </c>
      <c r="E17" s="169">
        <f t="shared" si="0"/>
        <v>7</v>
      </c>
      <c r="F17" s="169">
        <f t="shared" si="0"/>
        <v>7</v>
      </c>
      <c r="G17" s="169">
        <f t="shared" si="0"/>
        <v>8</v>
      </c>
      <c r="H17" s="169">
        <f t="shared" si="0"/>
        <v>4</v>
      </c>
      <c r="I17" s="169">
        <f t="shared" si="0"/>
        <v>12</v>
      </c>
      <c r="J17" s="169">
        <f t="shared" si="0"/>
        <v>4</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48" t="s">
        <v>507</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8" t="s">
        <v>508</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498</v>
      </c>
      <c r="D49" s="260"/>
      <c r="E49" s="260" t="s">
        <v>440</v>
      </c>
      <c r="F49" s="260"/>
      <c r="G49" s="260" t="s">
        <v>450</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512</v>
      </c>
      <c r="D50" s="262"/>
      <c r="E50" s="261" t="s">
        <v>512</v>
      </c>
      <c r="F50" s="262"/>
      <c r="G50" s="261" t="s">
        <v>512</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2026-10-19T14:32:12Z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