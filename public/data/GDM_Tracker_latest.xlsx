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890" documentId="13_ncr:1_{52745E9B-3AA1-4770-AAD3-E6166BFC13AE}" xr6:coauthVersionLast="47" xr6:coauthVersionMax="47" xr10:uidLastSave="{1B779527-2708-4A48-B1F8-B31722051603}"/>
  <bookViews>
    <workbookView xWindow="-28920" yWindow="-105" windowWidth="29040" windowHeight="15720" tabRatio="500" activeTab="2" xr2:uid="{00000000-000D-0000-FFFF-FFFF00000000}"/>
  </bookViews>
  <sheets>
    <sheet name="Combined Delivery Data" sheetId="2" r:id="rId1"/>
    <sheet name="Find a Report" sheetId="3" state="hidden" r:id="rId2"/>
    <sheet name="Rework Log" sheetId="4" r:id="rId3"/>
    <sheet name="Fact Table" sheetId="5" state="hidden" r:id="rId4"/>
    <sheet name="Dim Table" sheetId="6" r:id="rId5"/>
    <sheet name="Data Validation" sheetId="7" r:id="rId6"/>
  </sheets>
  <definedNames>
    <definedName name="_xlnm._FilterDatabase" localSheetId="4" hidden="1">'Dim Table'!$A$2:$C$15</definedName>
    <definedName name="_xlnm._FilterDatabase" localSheetId="3"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3" l="1"/>
  <c r="B25" i="3"/>
  <c r="B24" i="3"/>
  <c r="B23" i="3"/>
  <c r="B22" i="3"/>
  <c r="B21" i="3"/>
  <c r="B20" i="3"/>
  <c r="B19" i="3"/>
  <c r="B18" i="3"/>
  <c r="B17" i="3"/>
  <c r="B16" i="3"/>
  <c r="B15" i="3"/>
  <c r="B14" i="3"/>
  <c r="B13" i="3"/>
  <c r="B12" i="3"/>
  <c r="B11" i="3"/>
  <c r="B10" i="3"/>
  <c r="B9" i="3"/>
  <c r="B8" i="3"/>
  <c r="B7" i="3"/>
  <c r="B6" i="3"/>
  <c r="AK50" i="2" a="1"/>
  <c r="AK50" i="2"/>
  <c r="M26" i="4"/>
  <c r="D93" i="2" a="1"/>
  <c r="D93" i="2" s="1"/>
  <c r="D92" i="2" a="1"/>
  <c r="D92"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1" i="2" a="1"/>
  <c r="D91" i="2" s="1"/>
  <c r="D90" i="2" a="1"/>
  <c r="D90" i="2" s="1"/>
  <c r="D89" i="2" a="1"/>
  <c r="D89"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AN53" i="2" a="1"/>
  <c r="AN53" i="2" s="1"/>
  <c r="AN52" i="2" a="1"/>
  <c r="AN52" i="2" s="1"/>
  <c r="AN51" i="2" a="1"/>
  <c r="AN51" i="2" s="1"/>
  <c r="AN50" i="2" a="1"/>
  <c r="AN50" i="2" s="1"/>
  <c r="D88" i="2" s="1" a="1"/>
  <c r="D88" i="2" s="1"/>
  <c r="AN49" i="2" a="1"/>
  <c r="AN49" i="2" s="1"/>
  <c r="AN48" i="2" a="1"/>
  <c r="AN48" i="2" s="1"/>
  <c r="AN47" i="2" a="1"/>
  <c r="AN47" i="2" s="1"/>
  <c r="AN46" i="2" a="1"/>
  <c r="AN46" i="2" s="1"/>
  <c r="AN45" i="2" a="1"/>
  <c r="AN45" i="2" s="1"/>
  <c r="D45" i="2" s="1" a="1"/>
  <c r="D45" i="2" s="1"/>
  <c r="AN44" i="2" a="1"/>
  <c r="AN44" i="2" s="1"/>
  <c r="AN43" i="2" a="1"/>
  <c r="AN43" i="2" s="1"/>
  <c r="AN42" i="2" a="1"/>
  <c r="AN42" i="2" s="1"/>
  <c r="D42" i="2" s="1" a="1"/>
  <c r="D42" i="2" s="1"/>
  <c r="AN41" i="2" a="1"/>
  <c r="AN41" i="2" s="1"/>
  <c r="D41" i="2" s="1" a="1"/>
  <c r="D41" i="2" s="1"/>
  <c r="AN40" i="2" a="1"/>
  <c r="AN40" i="2" s="1"/>
  <c r="D40" i="2" s="1" a="1"/>
  <c r="D40" i="2" s="1"/>
  <c r="AN39" i="2" a="1"/>
  <c r="AN39" i="2" s="1"/>
  <c r="D39" i="2" s="1" a="1"/>
  <c r="D39" i="2" s="1"/>
  <c r="AN38" i="2" a="1"/>
  <c r="AN38" i="2" s="1"/>
  <c r="D38" i="2" s="1" a="1"/>
  <c r="D38" i="2" s="1"/>
  <c r="AN37" i="2" a="1"/>
  <c r="AN37" i="2" s="1"/>
  <c r="D37" i="2" s="1" a="1"/>
  <c r="D37" i="2" s="1"/>
  <c r="AN36" i="2" a="1"/>
  <c r="AN36" i="2" s="1"/>
  <c r="AN35" i="2" a="1"/>
  <c r="AN35" i="2" s="1"/>
  <c r="AN34" i="2" a="1"/>
  <c r="AN34" i="2" s="1"/>
  <c r="D34" i="2" s="1" a="1"/>
  <c r="D34" i="2" s="1"/>
  <c r="AN33" i="2" a="1"/>
  <c r="AN33" i="2" s="1"/>
  <c r="D33" i="2" s="1" a="1"/>
  <c r="D33" i="2" s="1"/>
  <c r="AN32" i="2" a="1"/>
  <c r="AN32" i="2" s="1"/>
  <c r="AN31" i="2" a="1"/>
  <c r="AN31" i="2" s="1"/>
  <c r="D31" i="2" s="1" a="1"/>
  <c r="D31" i="2" s="1"/>
  <c r="AN30" i="2" a="1"/>
  <c r="AN30" i="2" s="1"/>
  <c r="D30" i="2" s="1" a="1"/>
  <c r="D30" i="2" s="1"/>
  <c r="AN29" i="2" a="1"/>
  <c r="AN29" i="2" s="1"/>
  <c r="D29" i="2" s="1" a="1"/>
  <c r="D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D54" i="2" s="1" a="1"/>
  <c r="D54" i="2" s="1"/>
  <c r="AM53" i="2" a="1"/>
  <c r="AM53" i="2" s="1"/>
  <c r="D53" i="2" s="1" a="1"/>
  <c r="D53" i="2" s="1"/>
  <c r="AM52" i="2" a="1"/>
  <c r="AM52" i="2" s="1"/>
  <c r="D52" i="2" s="1" a="1"/>
  <c r="D52" i="2" s="1"/>
  <c r="AM51" i="2" a="1"/>
  <c r="AM51" i="2" s="1"/>
  <c r="D51" i="2" s="1" a="1"/>
  <c r="D51" i="2" s="1"/>
  <c r="AM50" i="2" a="1"/>
  <c r="AM50" i="2" s="1"/>
  <c r="AM49" i="2" a="1"/>
  <c r="AM49" i="2" s="1"/>
  <c r="D49" i="2" s="1" a="1"/>
  <c r="D49" i="2" s="1"/>
  <c r="AM48" i="2" a="1"/>
  <c r="AM48" i="2" s="1"/>
  <c r="D48" i="2" s="1" a="1"/>
  <c r="D48" i="2" s="1"/>
  <c r="AM47" i="2" a="1"/>
  <c r="AM47" i="2" s="1"/>
  <c r="AM46" i="2" a="1"/>
  <c r="AM46" i="2" s="1"/>
  <c r="D46" i="2" s="1" a="1"/>
  <c r="D46" i="2" s="1"/>
  <c r="AM45" i="2" a="1"/>
  <c r="AM45" i="2" s="1"/>
  <c r="AM44" i="2" a="1"/>
  <c r="AM44" i="2" s="1"/>
  <c r="D44" i="2" s="1" a="1"/>
  <c r="D44" i="2" s="1"/>
  <c r="AM43" i="2" a="1"/>
  <c r="AM43" i="2" s="1"/>
  <c r="D43" i="2" s="1" a="1"/>
  <c r="D43" i="2" s="1"/>
  <c r="AM42" i="2" a="1"/>
  <c r="AM42" i="2" s="1"/>
  <c r="AM41" i="2" a="1"/>
  <c r="AM41" i="2" s="1"/>
  <c r="AM40" i="2" a="1"/>
  <c r="AM40" i="2" s="1"/>
  <c r="AM39" i="2" a="1"/>
  <c r="AM39" i="2" s="1"/>
  <c r="AM38" i="2" a="1"/>
  <c r="AM38" i="2" s="1"/>
  <c r="AM37" i="2" a="1"/>
  <c r="AM37" i="2" s="1"/>
  <c r="AM36" i="2" a="1"/>
  <c r="AM36" i="2" s="1"/>
  <c r="D36" i="2" s="1" a="1"/>
  <c r="D36" i="2" s="1"/>
  <c r="AM35" i="2" a="1"/>
  <c r="AM35" i="2" s="1"/>
  <c r="D35" i="2" s="1" a="1"/>
  <c r="D35" i="2" s="1"/>
  <c r="AM34" i="2" a="1"/>
  <c r="AM34" i="2" s="1"/>
  <c r="AM33" i="2" a="1"/>
  <c r="AM33" i="2" s="1"/>
  <c r="AM32" i="2" a="1"/>
  <c r="AM32" i="2" s="1"/>
  <c r="D32" i="2" s="1" a="1"/>
  <c r="D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47" i="2" l="1" a="1"/>
  <c r="D47"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<sst xmlns="http://schemas.openxmlformats.org/spreadsheetml/2006/main" count="3085" uniqueCount="432">
  <si>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</si>
  <si>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</si>
  <si>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</si>
  <si>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</si>
  <si>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</si>
  <si>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</si>
  <si>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</si>
  <si>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</si>
  <si>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</si>
  <si>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</si>
  <si>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</si>
  <si>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</si>
  <si>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</si>
  <si>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</si>
  <si>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</si>
  <si>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</si>
  <si>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</si>
  <si>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</si>
  <si>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</si>
  <si>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</si>
  <si>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</si>
  <si>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</si>
  <si>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</si>
  <si>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preety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</si>
  <si>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</si>
  <si>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</si>
  <si>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</si>
  <si>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</si>
  <si>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</si>
  <si>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</si>
  <si>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</si>
  <si>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</si>
  <si>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</si>
  <si>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</si>
  <si>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</si>
  <si>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</si>
  <si>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</si>
  <si>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</si>
  <si>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</si>
  <si>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</si>
  <si>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</si>
  <si>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</si>
  <si>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</si>
  <si>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</si>
  <si>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</si>
  <si>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</si>
  <si>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</si>
  <si>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</si>
  <si>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</si>
  <si>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</si>
  <si>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</si>
  <si>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</si>
  <si>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</si>
  <si>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</si>
  <si>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</si>
  <si>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</si>
  <si>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</si>
  <si>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</si>
  <si>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</si>
  <si>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</si>
  <si>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</si>
  <si>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</si>
  <si>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</si>
  <si>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</si>
  <si>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</si>
  <si>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</si>
  <si>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</si>
  <si>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</si>
  <si>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</si>
  <si>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</si>
  <si>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</si>
  <si>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</si>
  <si>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</si>
  <si>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</si>
  <si>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</si>
  <si>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</si>
  <si>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</si>
  <si>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</si>
  <si>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</si>
  <si>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</si>
  <si>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</si>
  <si>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</si>
  <si>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</si>
  <si>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</si>
  <si>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</si>
  <si>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</si>
  <si>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</si>
  <si>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</si>
  <si>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</si>
  <si>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</si>
  <si>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</si>
  <si>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</si>
  <si>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</si>
  <si>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</si>
  <si>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</si>
  <si>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</si>
  <si>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</si>
  <si>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</si>
  <si>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</si>
  <si>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</si>
  <si>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</si>
  <si>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</si>
  <si>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</si>
  <si>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</si>
  <si>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</si>
  <si>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</si>
  <si>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</si>
  <si>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</si>
  <si>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</si>
  <si>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</si>
  <si>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</si>
  <si>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</si>
  <si>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</si>
  <si>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</si>
  <si>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</si>
  <si>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</si>
  <si>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</si>
  <si>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</si>
  <si>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</si>
  <si>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</si>
  <si>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</si>
  <si>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</si>
  <si>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</si>
  <si>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</si>
  <si>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</si>
  <si>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</si>
  <si>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</si>
  <si>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</si>
  <si>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DPO Approval</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</si>
  <si>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</si>
  <si>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</si>
  <si>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</si>
  <si>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</si>
  <si>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</si>
  <si>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</si>
  <si>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</si>
  <si>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</si>
  <si>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</si>
  <si>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</si>
  <si>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</si>
  <si>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</si>
  <si>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</si>
  <si>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</si>
  <si>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</si>
  <si>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</si>
  <si>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</si>
  <si>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</si>
  <si>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</si>
  <si>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</si>
  <si>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</si>
  <si>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</si>
  <si>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</si>
  <si>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</si>
  <si>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</si>
  <si>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</si>
  <si>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</si>
  <si>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</si>
  <si>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</si>
  <si>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</si>
  <si>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</si>
  <si>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</si>
  <si>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</si>
  <si>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</si>
  <si>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</si>
  <si>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</si>
  <si>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</si>
  <si>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</si>
  <si>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</si>
  <si>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</si>
  <si>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</si>
  <si>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</si>
  <si>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</si>
  <si>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</si>
  <si>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</si>
  <si>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</si>
  <si>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</si>
  <si>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</si>
  <si>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</si>
  <si>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</si>
  <si>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</si>
  <si>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</si>
  <si>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</si>
  <si>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</si>
  <si>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</si>
  <si>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RPT_02_Fitting Work</t>
  </si>
  <si>
    <t>On track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</si>
  <si>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</si>
  <si>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</si>
  <si>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</si>
  <si>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</si>
  <si>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</si>
  <si>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</si>
  <si>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</si>
  <si>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</si>
  <si>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</si>
  <si>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</si>
  <si>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</si>
  <si>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</si>
  <si>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</si>
  <si>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</si>
  <si>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Yes – needs PBI Dev to fix</t>
  </si>
  <si>
    <t>RPT_02_Adjacent Property Checks</t>
  </si>
  <si>
    <t>Anthony Massimino</t>
  </si>
  <si>
    <t>Ready For PBI</t>
  </si>
  <si>
    <t>RPT_02_High Bill Investigations</t>
  </si>
  <si>
    <t>RPT_02_Emergency Order Type</t>
  </si>
  <si>
    <t>PBI Dev</t>
  </si>
  <si>
    <t>RPT_02_Cut Out Curb Box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</si>
  <si>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</si>
  <si>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</si>
  <si>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</si>
  <si>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</si>
  <si>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</si>
  <si>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</si>
  <si>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</si>
  <si>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</si>
  <si>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</si>
  <si>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</si>
  <si>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</si>
  <si>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</si>
  <si>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</si>
  <si>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</si>
  <si>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</si>
  <si>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</si>
  <si>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</si>
  <si>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</si>
  <si>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</si>
  <si>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</si>
  <si>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</si>
  <si>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</si>
  <si>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</si>
  <si>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</si>
  <si>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</si>
  <si>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</si>
  <si>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</si>
  <si>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view not available in QA</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</si>
  <si>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</si>
  <si>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</si>
  <si>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</si>
  <si>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</si>
  <si>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</si>
  <si>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</si>
  <si>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</si>
  <si>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</si>
  <si>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</si>
  <si>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</si>
  <si>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</si>
  <si>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</si>
  <si>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</si>
  <si>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</si>
  <si>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</si>
  <si>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</si>
  <si>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</si>
  <si>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</si>
  <si>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</si>
  <si>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</si>
  <si>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</si>
  <si>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</si>
  <si>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</si>
  <si>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</si>
  <si>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</si>
  <si>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</si>
  <si>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</si>
  <si>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</si>
  <si>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</si>
  <si>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</si>
  <si>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</si>
  <si>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</si>
  <si>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</si>
  <si>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</si>
  <si>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</si>
  <si>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</si>
  <si>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</si>
  <si>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</si>
  <si>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</si>
  <si>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</si>
  <si>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</si>
  <si>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</si>
  <si>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</si>
  <si>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</si>
  <si>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</si>
  <si>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</si>
  <si>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</si>
  <si>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</si>
  <si>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</si>
  <si>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</si>
  <si>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</si>
  <si>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</si>
  <si>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</si>
  <si>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</si>
  <si>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</si>
  <si>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</si>
  <si>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</si>
  <si>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</si>
  <si>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</si>
  <si>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</si>
  <si>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</si>
  <si>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</si>
  <si>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</si>
  <si>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</si>
  <si>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</si>
  <si>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</si>
  <si>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</si>
  <si>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</si>
  <si>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</si>
  <si>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</si>
  <si>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</si>
  <si>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</si>
  <si>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</si>
  <si>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</si>
  <si>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</si>
  <si>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</si>
  <si>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</si>
  <si>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</si>
  <si>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</si>
  <si>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</si>
  <si>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</si>
  <si>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</si>
  <si>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</si>
  <si>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</si>
  <si>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</si>
  <si>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</si>
  <si>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</si>
  <si>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</si>
  <si>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</si>
  <si>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</si>
  <si>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</si>
  <si>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</si>
  <si>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</si>
  <si>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</si>
  <si>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</si>
  <si>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</si>
  <si>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</si>
  <si>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</si>
  <si>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</si>
  <si>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</si>
  <si>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</si>
  <si>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</si>
  <si>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</si>
  <si>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</si>
  <si>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</si>
  <si>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</si>
  <si>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</si>
  <si>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</si>
  <si>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</si>
  <si>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</si>
  <si>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</si>
  <si>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</si>
  <si>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</si>
  <si>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</si>
  <si>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</si>
  <si>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</si>
  <si>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</si>
  <si>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</si>
  <si>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</si>
  <si>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</si>
  <si>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</si>
  <si>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</si>
  <si>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</si>
  <si>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</si>
  <si>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</si>
  <si>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</si>
  <si>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</si>
  <si>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</si>
  <si>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</si>
  <si>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</si>
  <si>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</si>
  <si>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</si>
  <si>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</si>
  <si>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</si>
  <si>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</si>
  <si>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</si>
  <si>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</si>
  <si>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</si>
  <si>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</si>
  <si>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</si>
  <si>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</si>
  <si>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</si>
  <si>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</si>
  <si>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</si>
  <si>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</si>
  <si>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</si>
  <si>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</si>
  <si>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</si>
  <si>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</si>
  <si>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</si>
  <si>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Olu</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</si>
  <si>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</si>
  <si>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</si>
  <si>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</si>
  <si>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</si>
  <si>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</si>
  <si>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Reference snapshot only - the app rebuilds this automatically from Combined Delivery Data on every upload. Editing this tab directly has no effect.</t>
  </si>
  <si>
    <t>Status</t>
  </si>
  <si>
    <t xml:space="preserve">DB Developers </t>
  </si>
  <si>
    <t>PBI Developers</t>
  </si>
  <si>
    <t>Status Start Date</t>
  </si>
  <si>
    <t>Expected Release Date</t>
  </si>
  <si>
    <t>Actual Release Date</t>
  </si>
  <si>
    <t>RPT_04_Leak Scheduling</t>
  </si>
  <si>
    <t>Sreevarsha</t>
  </si>
  <si>
    <t>This tab is manually maintained - edit Expected Report Count / Expected Release Date directly, or add new domain/month rows, as delivery plans change. Unlike Fact Table, the app always reads this sheet as-is.</t>
  </si>
  <si>
    <t>Expected Report Count</t>
  </si>
  <si>
    <t>Maintenance and Construction</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</si>
  <si>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</si>
  <si>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</si>
  <si>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</si>
  <si>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</si>
  <si>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</si>
  <si>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</si>
  <si>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</si>
  <si>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</si>
  <si>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</si>
  <si>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</si>
  <si>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</si>
  <si>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</si>
  <si>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</si>
  <si>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</si>
  <si>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</si>
  <si>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</si>
  <si>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</si>
  <si>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</si>
  <si>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</si>
  <si>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</si>
  <si>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Yes – other</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</si>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</sst>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1" fillId="3" borderId="0" xfId="0" applyFont="1" applyFill="1" applyAlignment="1"/>
    <xf numFmtId="0" fontId="3" fillId="3" borderId="0" xfId="0" applyFont="1" applyFill="1" applyAlignment="1"/>
  </cellXfs>
  <cellStyles count="2">
    <cellStyle name="Hyperlink" xfId="1" builtinId="8"/>
    <cellStyle name="Normal" xfId="0" builtinId="0"/>
  </cellStyles>
  <dxfs count="137">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5">
      <filters>
        <filter val="Bardia"/>
        <filter val="Kushal"/>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preety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opLeftCell="A88" zoomScaleNormal="100" workbookViewId="0">
      <pane xSplit="2" topLeftCell="O1" activePane="topRight" state="frozen"/>
      <selection pane="topRight" activeCell="B52" sqref="B52"/>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Dev",IF(AND(L2="",K2=""),"No target set",IF(AND(IF(L2&lt;&gt;"",L2,K2)&lt;TODAY(),M2=""),"Overdue","On track")),IF(C2="PBI Dev",IF(AND(R2="",Q2=""),"No target set",IF(AND(IF(R2&lt;&gt;"",R2,Q2)&lt;TODAY(),S2=""),"Overdue","On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Dev",IF(AND(L3="",K3=""),"No target set",IF(AND(IF(L3&lt;&gt;"",L3,K3)&lt;TODAY(),M3=""),"Overdue","On track")),IF(C3="PBI Dev",IF(AND(R3="",Q3=""),"No target set",IF(AND(IF(R3&lt;&gt;"",R3,Q3)&lt;TODAY(),S3=""),"Overdue","On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Dev",IF(AND(L4="",K4=""),"No target set",IF(AND(IF(L4&lt;&gt;"",L4,K4)&lt;TODAY(),M4=""),"Overdue","On track")),IF(C4="PBI Dev",IF(AND(R4="",Q4=""),"No target set",IF(AND(IF(R4&lt;&gt;"",R4,Q4)&lt;TODAY(),S4=""),"Overdue","On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Dev",IF(AND(L5="",K5=""),"No target set",IF(AND(IF(L5&lt;&gt;"",L5,K5)&lt;TODAY(),M5=""),"Overdue","On track")),IF(C5="PBI Dev",IF(AND(R5="",Q5=""),"No target set",IF(AND(IF(R5&lt;&gt;"",R5,Q5)&lt;TODAY(),S5=""),"Overdue","On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Dev",IF(AND(L6="",K6=""),"No target set",IF(AND(IF(L6&lt;&gt;"",L6,K6)&lt;TODAY(),M6=""),"Overdue","On track")),IF(C6="PBI Dev",IF(AND(R6="",Q6=""),"No target set",IF(AND(IF(R6&lt;&gt;"",R6,Q6)&lt;TODAY(),S6=""),"Overdue","On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Dev",IF(AND(L7="",K7=""),"No target set",IF(AND(IF(L7&lt;&gt;"",L7,K7)&lt;TODAY(),M7=""),"Overdue","On track")),IF(C7="PBI Dev",IF(AND(R7="",Q7=""),"No target set",IF(AND(IF(R7&lt;&gt;"",R7,Q7)&lt;TODAY(),S7=""),"Overdue","On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Dev",IF(AND(L8="",K8=""),"No target set",IF(AND(IF(L8&lt;&gt;"",L8,K8)&lt;TODAY(),M8=""),"Overdue","On track")),IF(C8="PBI Dev",IF(AND(R8="",Q8=""),"No target set",IF(AND(IF(R8&lt;&gt;"",R8,Q8)&lt;TODAY(),S8=""),"Overdue","On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Dev",IF(AND(L9="",K9=""),"No target set",IF(AND(IF(L9&lt;&gt;"",L9,K9)&lt;TODAY(),M9=""),"Overdue","On track")),IF(C9="PBI Dev",IF(AND(R9="",Q9=""),"No target set",IF(AND(IF(R9&lt;&gt;"",R9,Q9)&lt;TODAY(),S9=""),"Overdue","On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Dev",IF(AND(L10="",K10=""),"No target set",IF(AND(IF(L10&lt;&gt;"",L10,K10)&lt;TODAY(),M10=""),"Overdue","On track")),IF(C10="PBI Dev",IF(AND(R10="",Q10=""),"No target set",IF(AND(IF(R10&lt;&gt;"",R10,Q10)&lt;TODAY(),S10=""),"Overdue","On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Dev",IF(AND(L11="",K11=""),"No target set",IF(AND(IF(L11&lt;&gt;"",L11,K11)&lt;TODAY(),M11=""),"Overdue","On track")),IF(C11="PBI Dev",IF(AND(R11="",Q11=""),"No target set",IF(AND(IF(R11&lt;&gt;"",R11,Q11)&lt;TODAY(),S11=""),"Overdue","On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Dev",IF(AND(L12="",K12=""),"No target set",IF(AND(IF(L12&lt;&gt;"",L12,K12)&lt;TODAY(),M12=""),"Overdue","On track")),IF(C12="PBI Dev",IF(AND(R12="",Q12=""),"No target set",IF(AND(IF(R12&lt;&gt;"",R12,Q12)&lt;TODAY(),S12=""),"Overdue","On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Dev",IF(AND(L13="",K13=""),"No target set",IF(AND(IF(L13&lt;&gt;"",L13,K13)&lt;TODAY(),M13=""),"Overdue","On track")),IF(C13="PBI Dev",IF(AND(R13="",Q13=""),"No target set",IF(AND(IF(R13&lt;&gt;"",R13,Q13)&lt;TODAY(),S13=""),"Overdue","On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Dev",IF(AND(L14="",K14=""),"No target set",IF(AND(IF(L14&lt;&gt;"",L14,K14)&lt;TODAY(),M14=""),"Overdue","On track")),IF(C14="PBI Dev",IF(AND(R14="",Q14=""),"No target set",IF(AND(IF(R14&lt;&gt;"",R14,Q14)&lt;TODAY(),S14=""),"Overdue","On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Dev",IF(AND(L15="",K15=""),"No target set",IF(AND(IF(L15&lt;&gt;"",L15,K15)&lt;TODAY(),M15=""),"Overdue","On track")),IF(C15="PBI Dev",IF(AND(R15="",Q15=""),"No target set",IF(AND(IF(R15&lt;&gt;"",R15,Q15)&lt;TODAY(),S15=""),"Overdue","On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Dev",IF(AND(L16="",K16=""),"No target set",IF(AND(IF(L16&lt;&gt;"",L16,K16)&lt;TODAY(),M16=""),"Overdue","On track")),IF(C16="PBI Dev",IF(AND(R16="",Q16=""),"No target set",IF(AND(IF(R16&lt;&gt;"",R16,Q16)&lt;TODAY(),S16=""),"Overdue","On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Dev",IF(AND(L17="",K17=""),"No target set",IF(AND(IF(L17&lt;&gt;"",L17,K17)&lt;TODAY(),M17=""),"Overdue","On track")),IF(C17="PBI Dev",IF(AND(R17="",Q17=""),"No target set",IF(AND(IF(R17&lt;&gt;"",R17,Q17)&lt;TODAY(),S17=""),"Overdue","On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Dev",IF(AND(L18="",K18=""),"No target set",IF(AND(IF(L18&lt;&gt;"",L18,K18)&lt;TODAY(),M18=""),"Overdue","On track")),IF(C18="PBI Dev",IF(AND(R18="",Q18=""),"No target set",IF(AND(IF(R18&lt;&gt;"",R18,Q18)&lt;TODAY(),S18=""),"Overdue","On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Dev",IF(AND(L19="",K19=""),"No target set",IF(AND(IF(L19&lt;&gt;"",L19,K19)&lt;TODAY(),M19=""),"Overdue","On track")),IF(C19="PBI Dev",IF(AND(R19="",Q19=""),"No target set",IF(AND(IF(R19&lt;&gt;"",R19,Q19)&lt;TODAY(),S19=""),"Overdue","On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Dev",IF(AND(L20="",K20=""),"No target set",IF(AND(IF(L20&lt;&gt;"",L20,K20)&lt;TODAY(),M20=""),"Overdue","On track")),IF(C20="PBI Dev",IF(AND(R20="",Q20=""),"No target set",IF(AND(IF(R20&lt;&gt;"",R20,Q20)&lt;TODAY(),S20=""),"Overdue","On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Dev",IF(AND(L21="",K21=""),"No target set",IF(AND(IF(L21&lt;&gt;"",L21,K21)&lt;TODAY(),M21=""),"Overdue","On track")),IF(C21="PBI Dev",IF(AND(R21="",Q21=""),"No target set",IF(AND(IF(R21&lt;&gt;"",R21,Q21)&lt;TODAY(),S21=""),"Overdue","On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Dev",IF(AND(L22="",K22=""),"No target set",IF(AND(IF(L22&lt;&gt;"",L22,K22)&lt;TODAY(),M22=""),"Overdue","On track")),IF(C22="PBI Dev",IF(AND(R22="",Q22=""),"No target set",IF(AND(IF(R22&lt;&gt;"",R22,Q22)&lt;TODAY(),S22=""),"Overdue","On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Dev",IF(AND(L23="",K23=""),"No target set",IF(AND(IF(L23&lt;&gt;"",L23,K23)&lt;TODAY(),M23=""),"Overdue","On track")),IF(C23="PBI Dev",IF(AND(R23="",Q23=""),"No target set",IF(AND(IF(R23&lt;&gt;"",R23,Q23)&lt;TODAY(),S23=""),"Overdue","On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Dev",IF(AND(L24="",K24=""),"No target set",IF(AND(IF(L24&lt;&gt;"",L24,K24)&lt;TODAY(),M24=""),"Overdue","On track")),IF(C24="PBI Dev",IF(AND(R24="",Q24=""),"No target set",IF(AND(IF(R24&lt;&gt;"",R24,Q24)&lt;TODAY(),S24=""),"Overdue","On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Dev",IF(AND(L25="",K25=""),"No target set",IF(AND(IF(L25&lt;&gt;"",L25,K25)&lt;TODAY(),M25=""),"Overdue","On track")),IF(C25="PBI Dev",IF(AND(R25="",Q25=""),"No target set",IF(AND(IF(R25&lt;&gt;"",R25,Q25)&lt;TODAY(),S25=""),"Overdue","On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Dev",IF(AND(L26="",K26=""),"No target set",IF(AND(IF(L26&lt;&gt;"",L26,K26)&lt;TODAY(),M26=""),"Overdue","On track")),IF(C26="PBI Dev",IF(AND(R26="",Q26=""),"No target set",IF(AND(IF(R26&lt;&gt;"",R26,Q26)&lt;TODAY(),S26=""),"Overdue","On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Dev",IF(AND(L27="",K27=""),"No target set",IF(AND(IF(L27&lt;&gt;"",L27,K27)&lt;TODAY(),M27=""),"Overdue","On track")),IF(C27="PBI Dev",IF(AND(R27="",Q27=""),"No target set",IF(AND(IF(R27&lt;&gt;"",R27,Q27)&lt;TODAY(),S27=""),"Overdue","On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Dev",IF(AND(L28="",K28=""),"No target set",IF(AND(IF(L28&lt;&gt;"",L28,K28)&lt;TODAY(),M28=""),"Overdue","On track")),IF(C28="PBI Dev",IF(AND(R28="",Q28=""),"No target set",IF(AND(IF(R28&lt;&gt;"",R28,Q28)&lt;TODAY(),S28=""),"Overdue","On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c r="A29" s="33" t="s">
        <v>126</v>
      </c>
      <c r="B29" s="33" t="s">
        <v>127</v>
      </c>
      <c r="C29" s="33" t="s">
        <v>128</v>
      </c>
      <c r="D29" t="str" cm="1">
        <f t="array" aca="1" ref="D29" ca="1">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c r="A30" s="33" t="s">
        <v>126</v>
      </c>
      <c r="B30" s="33" t="s">
        <v>134</v>
      </c>
      <c r="C30" s="33" t="s">
        <v>128</v>
      </c>
      <c r="D30" t="str" cm="1">
        <f t="array" aca="1" ref="D30" ca="1">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Dev",IF(AND(L30="",K30=""),"No target set",IF(AND(IF(L30&lt;&gt;"",L30,K30)&lt;TODAY(),M30=""),"Overdue","On track")),IF(C30="PBI Dev",IF(AND(R30="",Q30=""),"No target set",IF(AND(IF(R30&lt;&gt;"",R30,Q30)&lt;TODAY(),S30=""),"Overdue","On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c r="A31" s="33" t="s">
        <v>126</v>
      </c>
      <c r="B31" s="33" t="s">
        <v>137</v>
      </c>
      <c r="C31" s="33" t="s">
        <v>128</v>
      </c>
      <c r="D31" t="str" cm="1">
        <f t="array" aca="1" ref="D31" ca="1">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Dev",IF(AND(L31="",K31=""),"No target set",IF(AND(IF(L31&lt;&gt;"",L31,K31)&lt;TODAY(),M31=""),"Overdue","On track")),IF(C31="PBI Dev",IF(AND(R31="",Q31=""),"No target set",IF(AND(IF(R31&lt;&gt;"",R31,Q31)&lt;TODAY(),S31=""),"Overdue","On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c r="A32" s="33" t="s">
        <v>126</v>
      </c>
      <c r="B32" s="33" t="s">
        <v>139</v>
      </c>
      <c r="C32" s="33" t="s">
        <v>128</v>
      </c>
      <c r="D32" t="str" cm="1">
        <f t="array" aca="1" ref="D32" ca="1">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Dev",IF(AND(L32="",K32=""),"No target set",IF(AND(IF(L32&lt;&gt;"",L32,K32)&lt;TODAY(),M32=""),"Overdue","On track")),IF(C32="PBI Dev",IF(AND(R32="",Q32=""),"No target set",IF(AND(IF(R32&lt;&gt;"",R32,Q32)&lt;TODAY(),S32=""),"Overdue","On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c r="A33" s="33" t="s">
        <v>126</v>
      </c>
      <c r="B33" s="33" t="s">
        <v>142</v>
      </c>
      <c r="C33" s="33" t="s">
        <v>128</v>
      </c>
      <c r="D33" t="str" cm="1">
        <f t="array" aca="1" ref="D33" ca="1">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Dev",IF(AND(L33="",K33=""),"No target set",IF(AND(IF(L33&lt;&gt;"",L33,K33)&lt;TODAY(),M33=""),"Overdue","On track")),IF(C33="PBI Dev",IF(AND(R33="",Q33=""),"No target set",IF(AND(IF(R33&lt;&gt;"",R33,Q33)&lt;TODAY(),S33=""),"Overdue","On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c r="A34" s="33" t="s">
        <v>126</v>
      </c>
      <c r="B34" s="33" t="s">
        <v>144</v>
      </c>
      <c r="C34" s="33" t="s">
        <v>128</v>
      </c>
      <c r="D34" t="str" cm="1">
        <f t="array" aca="1" ref="D34" ca="1">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Dev",IF(AND(L34="",K34=""),"No target set",IF(AND(IF(L34&lt;&gt;"",L34,K34)&lt;TODAY(),M34=""),"Overdue","On track")),IF(C34="PBI Dev",IF(AND(R34="",Q34=""),"No target set",IF(AND(IF(R34&lt;&gt;"",R34,Q34)&lt;TODAY(),S34=""),"Overdue","On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c r="A35" s="33" t="s">
        <v>126</v>
      </c>
      <c r="B35" s="33" t="s">
        <v>147</v>
      </c>
      <c r="C35" s="33" t="s">
        <v>128</v>
      </c>
      <c r="D35" t="str" cm="1">
        <f t="array" aca="1" ref="D35" ca="1">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Dev",IF(AND(L35="",K35=""),"No target set",IF(AND(IF(L35&lt;&gt;"",L35,K35)&lt;TODAY(),M35=""),"Overdue","On track")),IF(C35="PBI Dev",IF(AND(R35="",Q35=""),"No target set",IF(AND(IF(R35&lt;&gt;"",R35,Q35)&lt;TODAY(),S35=""),"Overdue","On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c r="A36" s="33" t="s">
        <v>126</v>
      </c>
      <c r="B36" s="33" t="s">
        <v>150</v>
      </c>
      <c r="C36" s="33" t="s">
        <v>128</v>
      </c>
      <c r="D36" t="str" cm="1">
        <f t="array" aca="1" ref="D36" ca="1">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Dev",IF(AND(L36="",K36=""),"No target set",IF(AND(IF(L36&lt;&gt;"",L36,K36)&lt;TODAY(),M36=""),"Overdue","On track")),IF(C36="PBI Dev",IF(AND(R36="",Q36=""),"No target set",IF(AND(IF(R36&lt;&gt;"",R36,Q36)&lt;TODAY(),S36=""),"Overdue","On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c r="A37" s="33" t="s">
        <v>126</v>
      </c>
      <c r="B37" s="33" t="s">
        <v>151</v>
      </c>
      <c r="C37" s="33" t="s">
        <v>128</v>
      </c>
      <c r="D37" t="str" cm="1">
        <f t="array" aca="1" ref="D37" ca="1">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Dev",IF(AND(L37="",K37=""),"No target set",IF(AND(IF(L37&lt;&gt;"",L37,K37)&lt;TODAY(),M37=""),"Overdue","On track")),IF(C37="PBI Dev",IF(AND(R37="",Q37=""),"No target set",IF(AND(IF(R37&lt;&gt;"",R37,Q37)&lt;TODAY(),S37=""),"Overdue","On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c r="A38" s="33" t="s">
        <v>126</v>
      </c>
      <c r="B38" s="33" t="s">
        <v>154</v>
      </c>
      <c r="C38" s="33" t="s">
        <v>128</v>
      </c>
      <c r="D38" t="str" cm="1">
        <f t="array" aca="1" ref="D38" ca="1">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Dev",IF(AND(L38="",K38=""),"No target set",IF(AND(IF(L38&lt;&gt;"",L38,K38)&lt;TODAY(),M38=""),"Overdue","On track")),IF(C38="PBI Dev",IF(AND(R38="",Q38=""),"No target set",IF(AND(IF(R38&lt;&gt;"",R38,Q38)&lt;TODAY(),S38=""),"Overdue","On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c r="A39" s="33" t="s">
        <v>126</v>
      </c>
      <c r="B39" s="33" t="s">
        <v>157</v>
      </c>
      <c r="C39" s="33" t="s">
        <v>128</v>
      </c>
      <c r="D39" t="str" cm="1">
        <f t="array" aca="1" ref="D39" ca="1">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Dev",IF(AND(L39="",K39=""),"No target set",IF(AND(IF(L39&lt;&gt;"",L39,K39)&lt;TODAY(),M39=""),"Overdue","On track")),IF(C39="PBI Dev",IF(AND(R39="",Q39=""),"No target set",IF(AND(IF(R39&lt;&gt;"",R39,Q39)&lt;TODAY(),S39=""),"Overdue","On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c r="A40" s="33" t="s">
        <v>126</v>
      </c>
      <c r="B40" s="33" t="s">
        <v>158</v>
      </c>
      <c r="C40" s="33" t="s">
        <v>128</v>
      </c>
      <c r="D40" t="str" cm="1">
        <f t="array" aca="1" ref="D40" ca="1">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Dev",IF(AND(L40="",K40=""),"No target set",IF(AND(IF(L40&lt;&gt;"",L40,K40)&lt;TODAY(),M40=""),"Overdue","On track")),IF(C40="PBI Dev",IF(AND(R40="",Q40=""),"No target set",IF(AND(IF(R40&lt;&gt;"",R40,Q40)&lt;TODAY(),S40=""),"Overdue","On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c r="A41" s="33" t="s">
        <v>126</v>
      </c>
      <c r="B41" s="33" t="s">
        <v>160</v>
      </c>
      <c r="C41" s="33" t="s">
        <v>128</v>
      </c>
      <c r="D41" t="str" cm="1">
        <f t="array" aca="1" ref="D41" ca="1">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Dev",IF(AND(L41="",K41=""),"No target set",IF(AND(IF(L41&lt;&gt;"",L41,K41)&lt;TODAY(),M41=""),"Overdue","On track")),IF(C41="PBI Dev",IF(AND(R41="",Q41=""),"No target set",IF(AND(IF(R41&lt;&gt;"",R41,Q41)&lt;TODAY(),S41=""),"Overdue","On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c r="A42" s="33" t="s">
        <v>126</v>
      </c>
      <c r="B42" s="33" t="s">
        <v>162</v>
      </c>
      <c r="C42" s="33" t="s">
        <v>128</v>
      </c>
      <c r="D42" t="str" cm="1">
        <f t="array" aca="1" ref="D42" ca="1">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Dev",IF(AND(L42="",K42=""),"No target set",IF(AND(IF(L42&lt;&gt;"",L42,K42)&lt;TODAY(),M42=""),"Overdue","On track")),IF(C42="PBI Dev",IF(AND(R42="",Q42=""),"No target set",IF(AND(IF(R42&lt;&gt;"",R42,Q42)&lt;TODAY(),S42=""),"Overdue","On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c r="A43" s="33" t="s">
        <v>126</v>
      </c>
      <c r="B43" s="33" t="s">
        <v>165</v>
      </c>
      <c r="C43" s="33" t="s">
        <v>166</v>
      </c>
      <c r="D43" t="str" cm="1">
        <f t="array" aca="1" ref="D43" ca="1">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Dev",IF(AND(L43="",K43=""),"No target set",IF(AND(IF(L43&lt;&gt;"",L43,K43)&lt;TODAY(),M43=""),"Overdue","On track")),IF(C43="PBI Dev",IF(AND(R43="",Q43=""),"No target set",IF(AND(IF(R43&lt;&gt;"",R43,Q43)&lt;TODAY(),S43=""),"Overdue","On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Overdue</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c r="A44" s="33" t="s">
        <v>126</v>
      </c>
      <c r="B44" s="33" t="s">
        <v>171</v>
      </c>
      <c r="C44" s="33" t="s">
        <v>128</v>
      </c>
      <c r="D44" t="str" cm="1">
        <f t="array" aca="1" ref="D44" ca="1">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Dev",IF(AND(L44="",K44=""),"No target set",IF(AND(IF(L44&lt;&gt;"",L44,K44)&lt;TODAY(),M44=""),"Overdue","On track")),IF(C44="PBI Dev",IF(AND(R44="",Q44=""),"No target set",IF(AND(IF(R44&lt;&gt;"",R44,Q44)&lt;TODAY(),S44=""),"Overdue","On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172</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173</v>
      </c>
      <c r="AM44" s="32" t="str"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c r="A45" s="33" t="s">
        <v>126</v>
      </c>
      <c r="B45" s="33" t="s">
        <v>174</v>
      </c>
      <c r="C45" s="33" t="s">
        <v>128</v>
      </c>
      <c r="D45" t="str" cm="1">
        <f t="array" aca="1" ref="D45" ca="1">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Dev",IF(AND(L45="",K45=""),"No target set",IF(AND(IF(L45&lt;&gt;"",L45,K45)&lt;TODAY(),M45=""),"Overdue","On track")),IF(C45="PBI Dev",IF(AND(R45="",Q45=""),"No target set",IF(AND(IF(R45&lt;&gt;"",R45,Q45)&lt;TODAY(),S45=""),"Overdue","On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172</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175</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c r="A46" s="33" t="s">
        <v>126</v>
      </c>
      <c r="B46" s="33" t="s">
        <v>176</v>
      </c>
      <c r="C46" s="33" t="s">
        <v>128</v>
      </c>
      <c r="D46" t="str" cm="1">
        <f t="array" aca="1" ref="D46" ca="1">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Dev",IF(AND(L46="",K46=""),"No target set",IF(AND(IF(L46&lt;&gt;"",L46,K46)&lt;TODAY(),M46=""),"Overdue","On track")),IF(C46="PBI Dev",IF(AND(R46="",Q46=""),"No target set",IF(AND(IF(R46&lt;&gt;"",R46,Q46)&lt;TODAY(),S46=""),"Overdue","On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177</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175</v>
      </c>
      <c r="AM46" s="32" t="str"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c r="A47" s="33" t="s">
        <v>126</v>
      </c>
      <c r="B47" s="33" t="s">
        <v>178</v>
      </c>
      <c r="C47" s="33" t="s">
        <v>128</v>
      </c>
      <c r="D47" t="str" cm="1">
        <f t="array" aca="1" ref="D47" ca="1">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Dev",IF(AND(L47="",K47=""),"No target set",IF(AND(IF(L47&lt;&gt;"",L47,K47)&lt;TODAY(),M47=""),"Overdue","On track")),IF(C47="PBI Dev",IF(AND(R47="",Q47=""),"No target set",IF(AND(IF(R47&lt;&gt;"",R47,Q47)&lt;TODAY(),S47=""),"Overdue","On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179</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175</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c r="A48" s="33" t="s">
        <v>126</v>
      </c>
      <c r="B48" s="33" t="s">
        <v>180</v>
      </c>
      <c r="C48" s="33" t="s">
        <v>128</v>
      </c>
      <c r="D48" t="str" cm="1">
        <f t="array" aca="1" ref="D48" ca="1">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Dev",IF(AND(L48="",K48=""),"No target set",IF(AND(IF(L48&lt;&gt;"",L48,K48)&lt;TODAY(),M48=""),"Overdue","On track")),IF(C48="PBI Dev",IF(AND(R48="",Q48=""),"No target set",IF(AND(IF(R48&lt;&gt;"",R48,Q48)&lt;TODAY(),S48=""),"Overdue","On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179</v>
      </c>
      <c r="P48" s="65" t="s">
        <v>46</v>
      </c>
      <c r="Q48" s="4">
        <v>46241</v>
      </c>
      <c r="R48" s="36">
        <v>46255</v>
      </c>
      <c r="S48" s="36">
        <v>46255</v>
      </c>
      <c r="T48" s="69"/>
      <c r="U48" s="54" t="s">
        <v>145</v>
      </c>
      <c r="V48" s="59">
        <v>46255</v>
      </c>
      <c r="W48" s="36">
        <v>46269</v>
      </c>
      <c r="X48" s="36"/>
      <c r="Y48" s="36">
        <v>46269</v>
      </c>
      <c r="Z48" s="36"/>
      <c r="AA48" s="52">
        <v>46260</v>
      </c>
      <c r="AB48" s="47">
        <v>46279</v>
      </c>
      <c r="AC48" s="36"/>
      <c r="AD48" s="33" t="s">
        <v>172</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181</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c r="A49" s="33" t="s">
        <v>126</v>
      </c>
      <c r="B49" s="33" t="s">
        <v>182</v>
      </c>
      <c r="C49" s="33" t="s">
        <v>183</v>
      </c>
      <c r="D49" t="str" cm="1">
        <f t="array" aca="1" ref="D49" ca="1">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Dev",IF(AND(L49="",K49=""),"No target set",IF(AND(IF(L49&lt;&gt;"",L49,K49)&lt;TODAY(),M49=""),"Overdue","On track")),IF(C49="PBI Dev",IF(AND(R49="",Q49=""),"No target set",IF(AND(IF(R49&lt;&gt;"",R49,Q49)&lt;TODAY(),S49=""),"Overdue","On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184</v>
      </c>
      <c r="C50" s="33" t="s">
        <v>128</v>
      </c>
      <c r="D50" t="s">
        <v>185</v>
      </c>
      <c r="E50" s="33">
        <v>25</v>
      </c>
      <c r="F50" s="34" t="s">
        <v>145</v>
      </c>
      <c r="G50" s="33"/>
      <c r="H50" s="50">
        <v>46265</v>
      </c>
      <c r="I50" s="61" t="s">
        <v>168</v>
      </c>
      <c r="J50" s="33" t="s">
        <v>44</v>
      </c>
      <c r="K50" s="117">
        <v>46234</v>
      </c>
      <c r="L50" s="118">
        <v>46249</v>
      </c>
      <c r="M50" s="118">
        <v>46245</v>
      </c>
      <c r="N50" s="118" t="s">
        <v>186</v>
      </c>
      <c r="O50" s="118" t="s">
        <v>179</v>
      </c>
      <c r="P50" s="65" t="s">
        <v>60</v>
      </c>
      <c r="Q50" s="4">
        <v>46241</v>
      </c>
      <c r="R50" s="36">
        <v>46252</v>
      </c>
      <c r="S50" s="36">
        <v>46252</v>
      </c>
      <c r="T50" s="69"/>
      <c r="U50" s="54" t="s">
        <v>145</v>
      </c>
      <c r="V50" s="59">
        <v>46255</v>
      </c>
      <c r="W50" s="36">
        <v>46269</v>
      </c>
      <c r="X50" s="36"/>
      <c r="Y50" s="36">
        <v>46273</v>
      </c>
      <c r="Z50" s="36"/>
      <c r="AA50" s="52">
        <v>46260</v>
      </c>
      <c r="AB50" s="36">
        <v>46281</v>
      </c>
      <c r="AC50" s="36"/>
      <c r="AD50" s="33" t="s">
        <v>172</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c r="A51" s="33" t="s">
        <v>126</v>
      </c>
      <c r="B51" s="33" t="s">
        <v>187</v>
      </c>
      <c r="C51" s="33" t="s">
        <v>166</v>
      </c>
      <c r="D51" t="str" cm="1">
        <f t="array" aca="1" ref="D51" ca="1">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Dev",IF(AND(L51="",K51=""),"No target set",IF(AND(IF(L51&lt;&gt;"",L51,K51)&lt;TODAY(),M51=""),"Overdue","On track")),IF(C51="PBI Dev",IF(AND(R51="",Q51=""),"No target set",IF(AND(IF(R51&lt;&gt;"",R51,Q51)&lt;TODAY(),S51=""),"Overdue","On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179</v>
      </c>
      <c r="P51" s="65" t="s">
        <v>77</v>
      </c>
      <c r="Q51" s="4">
        <v>46241</v>
      </c>
      <c r="R51" s="36">
        <v>46255</v>
      </c>
      <c r="S51" s="36">
        <v>46260</v>
      </c>
      <c r="T51" s="69"/>
      <c r="U51" s="54" t="s">
        <v>145</v>
      </c>
      <c r="V51" s="59">
        <v>46255</v>
      </c>
      <c r="W51" s="36">
        <v>46276</v>
      </c>
      <c r="X51" s="36"/>
      <c r="Y51" s="36"/>
      <c r="Z51" s="36"/>
      <c r="AA51" s="52">
        <v>46260</v>
      </c>
      <c r="AB51" s="36">
        <v>46281</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181</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189</v>
      </c>
      <c r="C52" s="33" t="s">
        <v>166</v>
      </c>
      <c r="D52" t="str" cm="1">
        <f t="array" aca="1" ref="D52" ca="1">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Dev",IF(AND(L52="",K52=""),"No target set",IF(AND(IF(L52&lt;&gt;"",L52,K52)&lt;TODAY(),M52=""),"Overdue","On track")),IF(C52="PBI Dev",IF(AND(R52="",Q52=""),"No target set",IF(AND(IF(R52&lt;&gt;"",R52,Q52)&lt;TODAY(),S52=""),"Overdue","On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179</v>
      </c>
      <c r="P52" s="65" t="s">
        <v>46</v>
      </c>
      <c r="Q52" s="4">
        <v>46241</v>
      </c>
      <c r="R52" s="36">
        <v>46266</v>
      </c>
      <c r="S52" s="36">
        <v>46267</v>
      </c>
      <c r="T52" s="69"/>
      <c r="U52" s="54" t="s">
        <v>47</v>
      </c>
      <c r="V52" s="59">
        <v>46255</v>
      </c>
      <c r="W52" s="36">
        <v>46269</v>
      </c>
      <c r="X52" s="36"/>
      <c r="Y52" s="36"/>
      <c r="Z52" s="36"/>
      <c r="AA52" s="52">
        <v>46260</v>
      </c>
      <c r="AB52" s="36"/>
      <c r="AC52" s="36"/>
      <c r="AD52" s="33" t="s">
        <v>190</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c r="A53" s="33" t="s">
        <v>126</v>
      </c>
      <c r="B53" s="33" t="s">
        <v>192</v>
      </c>
      <c r="C53" s="33" t="s">
        <v>166</v>
      </c>
      <c r="D53" t="str" cm="1">
        <f t="array" aca="1" ref="D53" ca="1">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Dev",IF(AND(L53="",K53=""),"No target set",IF(AND(IF(L53&lt;&gt;"",L53,K53)&lt;TODAY(),M53=""),"Overdue","On track")),IF(C53="PBI Dev",IF(AND(R53="",Q53=""),"No target set",IF(AND(IF(R53&lt;&gt;"",R53,Q53)&lt;TODAY(),S53=""),"Overdue","On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145</v>
      </c>
      <c r="V53" s="59">
        <v>46255</v>
      </c>
      <c r="W53" s="36">
        <v>46276</v>
      </c>
      <c r="X53" s="36"/>
      <c r="Y53" s="36"/>
      <c r="Z53" s="36"/>
      <c r="AA53" s="52">
        <v>46260</v>
      </c>
      <c r="AB53" s="47">
        <v>46281</v>
      </c>
      <c r="AC53" s="36"/>
      <c r="AD53" s="33" t="s">
        <v>124</v>
      </c>
      <c r="AE53" s="33" t="s">
        <v>72</v>
      </c>
      <c r="AF53" s="38"/>
      <c r="AG53" s="36"/>
      <c r="AH53" s="39"/>
      <c r="AI53" s="33"/>
      <c r="AJ53" s="40" t="s">
        <v>53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c r="A54" s="33" t="s">
        <v>126</v>
      </c>
      <c r="B54" s="33" t="s">
        <v>193</v>
      </c>
      <c r="C54" s="33" t="s">
        <v>128</v>
      </c>
      <c r="D54" t="str" cm="1">
        <f t="array" aca="1" ref="D54" ca="1">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Dev",IF(AND(L54="",K54=""),"No target set",IF(AND(IF(L54&lt;&gt;"",L54,K54)&lt;TODAY(),M54=""),"Overdue","On track")),IF(C54="PBI Dev",IF(AND(R54="",Q54=""),"No target set",IF(AND(IF(R54&lt;&gt;"",R54,Q54)&lt;TODAY(),S54=""),"Overdue","On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194</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195</v>
      </c>
      <c r="C55" s="33" t="s">
        <v>166</v>
      </c>
      <c r="D55" t="str" cm="1">
        <f t="array" aca="1" ref="D55" ca="1">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Dev",IF(AND(L55="",K55=""),"No target set",IF(AND(IF(L55&lt;&gt;"",L55,K55)&lt;TODAY(),M55=""),"Overdue","On track")),IF(C55="PBI Dev",IF(AND(R55="",Q55=""),"No target set",IF(AND(IF(R55&lt;&gt;"",R55,Q55)&lt;TODAY(),S55=""),"Overdue","On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Blocked - needs PBI Dev to fix - unclaimed</v>
      </c>
      <c r="E55" s="33">
        <v>31</v>
      </c>
      <c r="F55" s="34" t="s">
        <v>145</v>
      </c>
      <c r="G55" s="33"/>
      <c r="H55" s="50">
        <v>46295</v>
      </c>
      <c r="I55" s="55" t="s">
        <v>196</v>
      </c>
      <c r="J55" s="33" t="s">
        <v>76</v>
      </c>
      <c r="K55" s="4">
        <v>46262</v>
      </c>
      <c r="L55" s="36">
        <v>46253</v>
      </c>
      <c r="M55" s="36">
        <v>46253</v>
      </c>
      <c r="N55" s="36"/>
      <c r="O55" s="36" t="s">
        <v>197</v>
      </c>
      <c r="P55" s="63" t="s">
        <v>77</v>
      </c>
      <c r="Q55" s="4">
        <v>46269</v>
      </c>
      <c r="R55" s="36">
        <v>46267</v>
      </c>
      <c r="S55" s="36">
        <v>46267</v>
      </c>
      <c r="T55" s="69" t="s">
        <v>198</v>
      </c>
      <c r="U55" s="33" t="s">
        <v>47</v>
      </c>
      <c r="V55" s="59">
        <v>46276</v>
      </c>
      <c r="W55" s="36"/>
      <c r="X55" s="36"/>
      <c r="Y55" s="36"/>
      <c r="Z55" s="36"/>
      <c r="AA55" s="52">
        <v>46290</v>
      </c>
      <c r="AB55" s="36"/>
      <c r="AC55" s="36"/>
      <c r="AD55" s="33" t="s">
        <v>199</v>
      </c>
      <c r="AE55" s="33" t="s">
        <v>49</v>
      </c>
      <c r="AF55" s="38"/>
      <c r="AG55" s="36"/>
      <c r="AH55" s="39"/>
      <c r="AI55" s="33"/>
      <c r="AJ55" s="40" t="s">
        <v>200</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201</v>
      </c>
      <c r="C56" s="33" t="s">
        <v>166</v>
      </c>
      <c r="D56" t="str" cm="1">
        <f t="array" aca="1" ref="D56" ca="1">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Dev",IF(AND(L56="",K56=""),"No target set",IF(AND(IF(L56&lt;&gt;"",L56,K56)&lt;TODAY(),M56=""),"Overdue","On track")),IF(C56="PBI Dev",IF(AND(R56="",Q56=""),"No target set",IF(AND(IF(R56&lt;&gt;"",R56,Q56)&lt;TODAY(),S56=""),"Overdue","On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50">
        <v>46295</v>
      </c>
      <c r="I56" s="55" t="s">
        <v>196</v>
      </c>
      <c r="J56" s="33" t="s">
        <v>76</v>
      </c>
      <c r="K56" s="4">
        <v>46262</v>
      </c>
      <c r="L56" s="36">
        <v>46253</v>
      </c>
      <c r="M56" s="36">
        <v>46253</v>
      </c>
      <c r="N56" s="36" t="s">
        <v>186</v>
      </c>
      <c r="O56" s="36" t="s">
        <v>197</v>
      </c>
      <c r="P56" s="63" t="s">
        <v>60</v>
      </c>
      <c r="Q56" s="4">
        <v>46269</v>
      </c>
      <c r="R56" s="36">
        <v>46266</v>
      </c>
      <c r="S56" s="36">
        <v>46266</v>
      </c>
      <c r="T56" s="69" t="s">
        <v>198</v>
      </c>
      <c r="U56" s="33"/>
      <c r="V56" s="59">
        <v>46276</v>
      </c>
      <c r="W56" s="36"/>
      <c r="X56" s="36"/>
      <c r="Y56" s="36"/>
      <c r="Z56" s="36"/>
      <c r="AA56" s="52">
        <v>46290</v>
      </c>
      <c r="AB56" s="36"/>
      <c r="AC56" s="36"/>
      <c r="AD56" s="33" t="s">
        <v>202</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204</v>
      </c>
      <c r="C57" s="33" t="s">
        <v>166</v>
      </c>
      <c r="D57" t="str" cm="1">
        <f t="array" aca="1" ref="D57" ca="1">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Dev",IF(AND(L57="",K57=""),"No target set",IF(AND(IF(L57&lt;&gt;"",L57,K57)&lt;TODAY(),M57=""),"Overdue","On track")),IF(C57="PBI Dev",IF(AND(R57="",Q57=""),"No target set",IF(AND(IF(R57&lt;&gt;"",R57,Q57)&lt;TODAY(),S57=""),"Overdue","On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145</v>
      </c>
      <c r="G57" s="33"/>
      <c r="H57" s="50">
        <v>46295</v>
      </c>
      <c r="I57" s="55" t="s">
        <v>196</v>
      </c>
      <c r="J57" s="33" t="s">
        <v>65</v>
      </c>
      <c r="K57" s="4">
        <v>46262</v>
      </c>
      <c r="L57" s="36">
        <v>46254</v>
      </c>
      <c r="M57" s="36"/>
      <c r="N57" s="47" t="s">
        <v>148</v>
      </c>
      <c r="O57" s="36" t="s">
        <v>197</v>
      </c>
      <c r="P57" s="63" t="s">
        <v>46</v>
      </c>
      <c r="Q57" s="4">
        <v>46269</v>
      </c>
      <c r="R57" s="36">
        <v>46268</v>
      </c>
      <c r="S57" s="36">
        <v>46268</v>
      </c>
      <c r="T57" s="69" t="s">
        <v>198</v>
      </c>
      <c r="U57" s="33" t="s">
        <v>47</v>
      </c>
      <c r="V57" s="59">
        <v>46276</v>
      </c>
      <c r="W57" s="36">
        <v>46275</v>
      </c>
      <c r="X57" s="36">
        <v>46275</v>
      </c>
      <c r="Y57" s="36">
        <v>46275</v>
      </c>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205</v>
      </c>
      <c r="C58" s="33" t="s">
        <v>206</v>
      </c>
      <c r="D58" t="e" cm="1">
        <f t="array" aca="1" ref="D58" ca="1">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Dev",IF(AND(L58="",K58=""),"No target set",IF(AND(IF(L58&lt;&gt;"",L58,K58)&lt;TODAY(),M58=""),"Overdue","On track")),IF(C58="PBI Dev",IF(AND(#REF!="",Q58=""),"No target set",IF(AND(IF(#REF!&lt;&gt;"",#REF!,Q58)&lt;TODAY(),S58=""),"Overdue","On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#REF!</v>
      </c>
      <c r="E58" s="33">
        <v>34</v>
      </c>
      <c r="F58" s="34" t="s">
        <v>129</v>
      </c>
      <c r="G58" s="33"/>
      <c r="H58" s="50">
        <v>46295</v>
      </c>
      <c r="I58" s="55" t="s">
        <v>196</v>
      </c>
      <c r="J58" s="33" t="s">
        <v>65</v>
      </c>
      <c r="K58" s="4">
        <v>46262</v>
      </c>
      <c r="L58" s="36">
        <v>46254</v>
      </c>
      <c r="M58" s="36"/>
      <c r="N58" s="47" t="s">
        <v>148</v>
      </c>
      <c r="O58" s="36" t="s">
        <v>197</v>
      </c>
      <c r="P58" s="63" t="s">
        <v>77</v>
      </c>
      <c r="Q58" s="4">
        <v>46269</v>
      </c>
      <c r="R58" s="36">
        <v>46272</v>
      </c>
      <c r="S58" s="36"/>
      <c r="T58" s="69" t="s">
        <v>198</v>
      </c>
      <c r="U58" s="33"/>
      <c r="V58" s="59">
        <v>46276</v>
      </c>
      <c r="W58" s="36"/>
      <c r="X58" s="36"/>
      <c r="Y58" s="36"/>
      <c r="Z58" s="36"/>
      <c r="AA58" s="52">
        <v>46290</v>
      </c>
      <c r="AB58" s="36"/>
      <c r="AC58" s="36"/>
      <c r="AD58" s="33" t="s">
        <v>132</v>
      </c>
      <c r="AE58" s="33" t="s">
        <v>49</v>
      </c>
      <c r="AF58" s="38"/>
      <c r="AG58" s="36"/>
      <c r="AH58" s="39"/>
      <c r="AI58" s="33"/>
      <c r="AJ58" s="40" t="s">
        <v>53</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
      </c>
      <c r="AL58" s="41"/>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207</v>
      </c>
      <c r="C59" s="33" t="s">
        <v>166</v>
      </c>
      <c r="D59" t="str" cm="1">
        <f t="array" aca="1" ref="D59" ca="1">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Dev",IF(AND(L59="",K59=""),"No target set",IF(AND(IF(L59&lt;&gt;"",L59,K59)&lt;TODAY(),M59=""),"Overdue","On track")),IF(C59="PBI Dev",IF(AND(R59="",Q59=""),"No target set",IF(AND(IF(R59&lt;&gt;"",R59,Q59)&lt;TODAY(),S59=""),"Overdue","On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145</v>
      </c>
      <c r="G59" s="33"/>
      <c r="H59" s="50">
        <v>46295</v>
      </c>
      <c r="I59" s="55" t="s">
        <v>196</v>
      </c>
      <c r="J59" s="33" t="s">
        <v>44</v>
      </c>
      <c r="K59" s="4">
        <v>46262</v>
      </c>
      <c r="L59" s="36">
        <v>46253</v>
      </c>
      <c r="M59" s="36">
        <v>46253</v>
      </c>
      <c r="N59" s="36"/>
      <c r="O59" s="36" t="s">
        <v>197</v>
      </c>
      <c r="P59" s="63" t="s">
        <v>60</v>
      </c>
      <c r="Q59" s="4">
        <v>46269</v>
      </c>
      <c r="R59" s="36">
        <v>46266</v>
      </c>
      <c r="S59" s="36">
        <v>46266</v>
      </c>
      <c r="T59" s="69" t="s">
        <v>198</v>
      </c>
      <c r="U59" s="33"/>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208</v>
      </c>
      <c r="C60" s="33" t="s">
        <v>206</v>
      </c>
      <c r="D60" t="str" cm="1">
        <f t="array" aca="1" ref="D60" ca="1">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Dev",IF(AND(L60="",K60=""),"No target set",IF(AND(IF(L60&lt;&gt;"",L60,K60)&lt;TODAY(),M60=""),"Overdue","On track")),IF(C60="PBI Dev",IF(AND(R60="",Q60=""),"No target set",IF(AND(IF(R60&lt;&gt;"",R60,Q60)&lt;TODAY(),S60=""),"Overdue","On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145</v>
      </c>
      <c r="G60" s="33"/>
      <c r="H60" s="50">
        <v>46295</v>
      </c>
      <c r="I60" s="55" t="s">
        <v>196</v>
      </c>
      <c r="J60" s="33" t="s">
        <v>156</v>
      </c>
      <c r="K60" s="4">
        <v>46262</v>
      </c>
      <c r="L60" s="36">
        <v>46255</v>
      </c>
      <c r="M60" s="36">
        <v>46255</v>
      </c>
      <c r="N60" s="36" t="s">
        <v>186</v>
      </c>
      <c r="O60" s="36" t="s">
        <v>197</v>
      </c>
      <c r="P60" s="63" t="s">
        <v>46</v>
      </c>
      <c r="Q60" s="4">
        <v>46269</v>
      </c>
      <c r="R60" s="36">
        <v>46273</v>
      </c>
      <c r="S60" s="36">
        <v>46273</v>
      </c>
      <c r="T60" s="69" t="s">
        <v>198</v>
      </c>
      <c r="U60" s="33"/>
      <c r="V60" s="59">
        <v>46276</v>
      </c>
      <c r="W60" s="36"/>
      <c r="X60" s="36"/>
      <c r="Y60" s="36"/>
      <c r="Z60" s="36"/>
      <c r="AA60" s="52">
        <v>46290</v>
      </c>
      <c r="AB60" s="36"/>
      <c r="AC60" s="36"/>
      <c r="AD60" s="33" t="s">
        <v>209</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210</v>
      </c>
      <c r="C61" s="33" t="s">
        <v>166</v>
      </c>
      <c r="D61" t="str" cm="1">
        <f t="array" aca="1" ref="D61" ca="1">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Dev",IF(AND(L61="",K61=""),"No target set",IF(AND(IF(L61&lt;&gt;"",L61,K61)&lt;TODAY(),M61=""),"Overdue","On track")),IF(C61="PBI Dev",IF(AND(R61="",Q61=""),"No target set",IF(AND(IF(R61&lt;&gt;"",R61,Q61)&lt;TODAY(),S61=""),"Overdue","On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50">
        <v>46295</v>
      </c>
      <c r="I61" s="55" t="s">
        <v>196</v>
      </c>
      <c r="J61" s="33" t="s">
        <v>44</v>
      </c>
      <c r="K61" s="4">
        <v>46262</v>
      </c>
      <c r="L61" s="36">
        <v>46255</v>
      </c>
      <c r="M61" s="36"/>
      <c r="N61" s="36"/>
      <c r="O61" s="36" t="s">
        <v>197</v>
      </c>
      <c r="P61" s="63" t="s">
        <v>60</v>
      </c>
      <c r="Q61" s="4">
        <v>46269</v>
      </c>
      <c r="R61" s="36">
        <v>46268</v>
      </c>
      <c r="S61" s="36">
        <v>46268</v>
      </c>
      <c r="T61" s="69" t="s">
        <v>198</v>
      </c>
      <c r="U61" s="33"/>
      <c r="V61" s="59">
        <v>46276</v>
      </c>
      <c r="W61" s="36"/>
      <c r="X61" s="36"/>
      <c r="Y61" s="36"/>
      <c r="Z61" s="36"/>
      <c r="AA61" s="52">
        <v>46290</v>
      </c>
      <c r="AB61" s="36"/>
      <c r="AC61" s="36"/>
      <c r="AD61" s="33" t="s">
        <v>211</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212</v>
      </c>
      <c r="C62" s="33" t="s">
        <v>206</v>
      </c>
      <c r="D62" t="str" cm="1">
        <f t="array" aca="1" ref="D62" ca="1">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Dev",IF(AND(L62="",K62=""),"No target set",IF(AND(IF(L62&lt;&gt;"",L62,K62)&lt;TODAY(),M62=""),"Overdue","On track")),IF(C62="PBI Dev",IF(AND(R62="",Q62=""),"No target set",IF(AND(IF(R62&lt;&gt;"",R62,Q62)&lt;TODAY(),S62=""),"Overdue","On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145</v>
      </c>
      <c r="G62" s="33"/>
      <c r="H62" s="50">
        <v>46295</v>
      </c>
      <c r="I62" s="55" t="s">
        <v>196</v>
      </c>
      <c r="J62" s="33" t="s">
        <v>84</v>
      </c>
      <c r="K62" s="4">
        <v>46262</v>
      </c>
      <c r="L62" s="36">
        <v>46260</v>
      </c>
      <c r="M62" s="36">
        <v>46259</v>
      </c>
      <c r="N62" s="36"/>
      <c r="O62" s="36" t="s">
        <v>197</v>
      </c>
      <c r="P62" s="63" t="s">
        <v>77</v>
      </c>
      <c r="Q62" s="4">
        <v>46269</v>
      </c>
      <c r="R62" s="36"/>
      <c r="S62" s="36"/>
      <c r="T62" s="69" t="s">
        <v>198</v>
      </c>
      <c r="U62" s="33"/>
      <c r="V62" s="59">
        <v>46276</v>
      </c>
      <c r="W62" s="36"/>
      <c r="X62" s="36"/>
      <c r="Y62" s="36"/>
      <c r="Z62" s="36"/>
      <c r="AA62" s="52">
        <v>46290</v>
      </c>
      <c r="AB62" s="36"/>
      <c r="AC62" s="36"/>
      <c r="AD62" s="33" t="s">
        <v>213</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214</v>
      </c>
      <c r="C63" s="33" t="s">
        <v>215</v>
      </c>
      <c r="D63" t="str" cm="1">
        <f t="array" aca="1" ref="D63" ca="1">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Dev",IF(AND(L63="",K63=""),"No target set",IF(AND(IF(L63&lt;&gt;"",L63,K63)&lt;TODAY(),M63=""),"Overdue","On track")),IF(C63="PBI Dev",IF(AND(R63="",Q63=""),"No target set",IF(AND(IF(R63&lt;&gt;"",R63,Q63)&lt;TODAY(),S63=""),"Overdue","On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196</v>
      </c>
      <c r="J63" s="33" t="s">
        <v>84</v>
      </c>
      <c r="K63" s="4">
        <v>46276</v>
      </c>
      <c r="L63" s="36">
        <v>46276</v>
      </c>
      <c r="M63" s="36">
        <v>46266</v>
      </c>
      <c r="N63" s="36"/>
      <c r="O63" s="36" t="s">
        <v>197</v>
      </c>
      <c r="P63" s="63" t="s">
        <v>46</v>
      </c>
      <c r="Q63" s="4">
        <v>46286</v>
      </c>
      <c r="R63" s="4">
        <v>46275</v>
      </c>
      <c r="S63" s="4">
        <v>46275</v>
      </c>
      <c r="T63" s="69" t="s">
        <v>198</v>
      </c>
      <c r="U63" s="33"/>
      <c r="V63" s="59">
        <v>46290</v>
      </c>
      <c r="W63" s="36"/>
      <c r="X63" s="36"/>
      <c r="Y63" s="36"/>
      <c r="Z63" s="36"/>
      <c r="AA63" s="52">
        <v>46295</v>
      </c>
      <c r="AB63" s="36"/>
      <c r="AC63" s="36"/>
      <c r="AD63" s="33" t="s">
        <v>216</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217</v>
      </c>
      <c r="C64" s="119" t="s">
        <v>206</v>
      </c>
      <c r="D64" s="120" t="str" cm="1">
        <f t="array" aca="1" ref="D64" ca="1">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Dev",IF(AND(L64="",K64=""),"No target set",IF(AND(IF(L64&lt;&gt;"",L64,K64)&lt;TODAY(),M64=""),"Overdue","On track")),IF(C64="PBI Dev",IF(AND(R64="",Q64=""),"No target set",IF(AND(IF(R64&lt;&gt;"",R64,Q64)&lt;TODAY(),S64=""),"Overdue","On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196</v>
      </c>
      <c r="J64" s="119" t="s">
        <v>103</v>
      </c>
      <c r="K64" s="124">
        <v>46276</v>
      </c>
      <c r="L64" s="125">
        <v>46265</v>
      </c>
      <c r="M64" s="125">
        <v>46266</v>
      </c>
      <c r="N64" s="125" t="s">
        <v>186</v>
      </c>
      <c r="O64" s="125" t="s">
        <v>197</v>
      </c>
      <c r="P64" s="126" t="s">
        <v>60</v>
      </c>
      <c r="Q64" s="124">
        <v>46286</v>
      </c>
      <c r="R64" s="125">
        <v>46269</v>
      </c>
      <c r="S64" s="125">
        <v>46269</v>
      </c>
      <c r="T64" s="127" t="s">
        <v>198</v>
      </c>
      <c r="U64" s="119"/>
      <c r="V64" s="128">
        <v>46290</v>
      </c>
      <c r="W64" s="125"/>
      <c r="X64" s="125"/>
      <c r="Y64" s="125"/>
      <c r="Z64" s="125"/>
      <c r="AA64" s="129">
        <v>46295</v>
      </c>
      <c r="AB64" s="125"/>
      <c r="AC64" s="125"/>
      <c r="AD64" s="119" t="s">
        <v>218</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219</v>
      </c>
      <c r="C65" s="33" t="s">
        <v>166</v>
      </c>
      <c r="D65" t="str" cm="1">
        <f t="array" aca="1" ref="D65" ca="1">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Dev",IF(AND(L65="",K65=""),"No target set",IF(AND(IF(L65&lt;&gt;"",L65,K65)&lt;TODAY(),M65=""),"Overdue","On track")),IF(C65="PBI Dev",IF(AND(#REF!="",Q65=""),"No target set",IF(AND(IF(#REF!&lt;&gt;"",#REF!,Q65)&lt;TODAY(),R58=""),"Overdue","On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196</v>
      </c>
      <c r="J65" s="33" t="s">
        <v>156</v>
      </c>
      <c r="K65" s="4">
        <v>46276</v>
      </c>
      <c r="L65" s="4">
        <v>46262</v>
      </c>
      <c r="M65" s="36">
        <v>46265</v>
      </c>
      <c r="N65" s="36" t="s">
        <v>45</v>
      </c>
      <c r="O65" s="36" t="s">
        <v>197</v>
      </c>
      <c r="P65" s="63" t="s">
        <v>77</v>
      </c>
      <c r="Q65" s="4">
        <v>46286</v>
      </c>
      <c r="R65" s="43">
        <v>46273</v>
      </c>
      <c r="S65" s="32">
        <v>46273</v>
      </c>
      <c r="T65" s="69" t="s">
        <v>198</v>
      </c>
      <c r="U65" s="33"/>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220</v>
      </c>
      <c r="C66" s="158" t="s">
        <v>215</v>
      </c>
      <c r="D66" s="137" t="str" cm="1">
        <f t="array" aca="1" ref="D66" ca="1">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Dev",IF(AND(L66="",K66=""),"No target set",IF(AND(IF(L66&lt;&gt;"",L66,K66)&lt;TODAY(),M66=""),"Overdue","On track")),IF(C66="PBI Dev",IF(AND(R66="",Q66=""),"No target set",IF(AND(IF(R66&lt;&gt;"",R66,Q66)&lt;TODAY(),S66=""),"Overdue","On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196</v>
      </c>
      <c r="J66" s="158" t="s">
        <v>44</v>
      </c>
      <c r="K66" s="161">
        <v>46276</v>
      </c>
      <c r="L66" s="146"/>
      <c r="M66" s="146"/>
      <c r="N66" s="146"/>
      <c r="O66" s="146" t="s">
        <v>197</v>
      </c>
      <c r="P66" s="162" t="s">
        <v>46</v>
      </c>
      <c r="Q66" s="161">
        <v>46286</v>
      </c>
      <c r="R66" s="146">
        <v>46273</v>
      </c>
      <c r="S66" s="146"/>
      <c r="T66" s="163" t="s">
        <v>198</v>
      </c>
      <c r="U66" s="158"/>
      <c r="V66" s="145">
        <v>46290</v>
      </c>
      <c r="W66" s="146"/>
      <c r="X66" s="146"/>
      <c r="Y66" s="146"/>
      <c r="Z66" s="146"/>
      <c r="AA66" s="164">
        <v>46295</v>
      </c>
      <c r="AB66" s="146"/>
      <c r="AC66" s="146"/>
      <c r="AD66" s="158" t="s">
        <v>218</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221</v>
      </c>
      <c r="C67" s="33" t="s">
        <v>215</v>
      </c>
      <c r="D67" t="str" cm="1">
        <f t="array" aca="1" ref="D67" ca="1">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Dev",IF(AND(L67="",K67=""),"No target set",IF(AND(IF(L67&lt;&gt;"",L67,K67)&lt;TODAY(),M67=""),"Overdue","On track")),IF(C67="PBI Dev",IF(AND(R67="",Q67=""),"No target set",IF(AND(IF(R67&lt;&gt;"",R67,Q67)&lt;TODAY(),S67=""),"Overdue","On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196</v>
      </c>
      <c r="J67" s="33" t="s">
        <v>44</v>
      </c>
      <c r="K67" s="4">
        <v>46276</v>
      </c>
      <c r="L67" s="36">
        <v>46254</v>
      </c>
      <c r="M67" s="36">
        <v>46254</v>
      </c>
      <c r="N67" s="36"/>
      <c r="O67" s="36" t="s">
        <v>197</v>
      </c>
      <c r="P67" s="63" t="s">
        <v>60</v>
      </c>
      <c r="Q67" s="4">
        <v>46286</v>
      </c>
      <c r="R67" s="36">
        <v>46254</v>
      </c>
      <c r="S67" s="36">
        <v>46254</v>
      </c>
      <c r="T67" s="69" t="s">
        <v>198</v>
      </c>
      <c r="U67" s="33"/>
      <c r="V67" s="59">
        <v>46290</v>
      </c>
      <c r="W67" s="36">
        <v>46259</v>
      </c>
      <c r="X67" s="36"/>
      <c r="Y67" s="36"/>
      <c r="Z67" s="36"/>
      <c r="AA67" s="52">
        <v>46295</v>
      </c>
      <c r="AB67" s="36">
        <v>46268</v>
      </c>
      <c r="AC67" s="36"/>
      <c r="AD67" s="33" t="s">
        <v>222</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223</v>
      </c>
      <c r="C68" s="81" t="s">
        <v>206</v>
      </c>
      <c r="D68" s="82" t="str" cm="1">
        <f t="array" aca="1" ref="D68" ca="1">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Dev",IF(AND(L68="",K68=""),"No target set",IF(AND(IF(L68&lt;&gt;"",L68,K68)&lt;TODAY(),M68=""),"Overdue","On track")),IF(C68="PBI Dev",IF(AND(R68="",Q68=""),"No target set",IF(AND(IF(R68&lt;&gt;"",R68,Q68)&lt;TODAY(),S68=""),"Overdue","On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196</v>
      </c>
      <c r="J68" s="81" t="s">
        <v>224</v>
      </c>
      <c r="K68" s="86">
        <v>46276</v>
      </c>
      <c r="L68" s="87">
        <v>46258</v>
      </c>
      <c r="M68" s="87">
        <v>46258</v>
      </c>
      <c r="N68" s="87"/>
      <c r="O68" s="87" t="s">
        <v>197</v>
      </c>
      <c r="P68" s="88" t="s">
        <v>77</v>
      </c>
      <c r="Q68" s="86">
        <v>46286</v>
      </c>
      <c r="R68" s="87"/>
      <c r="S68" s="87"/>
      <c r="T68" s="89" t="s">
        <v>225</v>
      </c>
      <c r="U68" s="81"/>
      <c r="V68" s="90">
        <v>46290</v>
      </c>
      <c r="W68" s="87"/>
      <c r="X68" s="87"/>
      <c r="Y68" s="87"/>
      <c r="Z68" s="87"/>
      <c r="AA68" s="91">
        <v>46295</v>
      </c>
      <c r="AB68" s="87"/>
      <c r="AC68" s="87"/>
      <c r="AD68" s="78" t="s">
        <v>226</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227</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228</v>
      </c>
      <c r="C69" s="98" t="s">
        <v>215</v>
      </c>
      <c r="D69" s="99" t="str" cm="1">
        <f t="array" aca="1" ref="D69" ca="1">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Dev",IF(AND(L69="",K69=""),"No target set",IF(AND(IF(L69&lt;&gt;"",L69,K69)&lt;TODAY(),M69=""),"Overdue","On track")),IF(C69="PBI Dev",IF(AND(R69="",Q69=""),"No target set",IF(AND(IF(R69&lt;&gt;"",R69,Q69)&lt;TODAY(),S69=""),"Overdue","On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196</v>
      </c>
      <c r="J69" s="98" t="s">
        <v>59</v>
      </c>
      <c r="K69" s="103">
        <v>46276</v>
      </c>
      <c r="L69" s="104"/>
      <c r="M69" s="104"/>
      <c r="N69" s="104"/>
      <c r="O69" s="104" t="s">
        <v>197</v>
      </c>
      <c r="P69" s="105" t="s">
        <v>46</v>
      </c>
      <c r="Q69" s="103">
        <v>46286</v>
      </c>
      <c r="R69" s="104"/>
      <c r="S69" s="104"/>
      <c r="T69" s="106" t="s">
        <v>225</v>
      </c>
      <c r="U69" s="98"/>
      <c r="V69" s="107">
        <v>46290</v>
      </c>
      <c r="W69" s="104"/>
      <c r="X69" s="104"/>
      <c r="Y69" s="104"/>
      <c r="Z69" s="104"/>
      <c r="AA69" s="108">
        <v>46295</v>
      </c>
      <c r="AB69" s="104"/>
      <c r="AC69" s="104"/>
      <c r="AD69" s="79" t="s">
        <v>229</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230</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231</v>
      </c>
      <c r="C70" s="33" t="s">
        <v>215</v>
      </c>
      <c r="D70" t="str" cm="1">
        <f t="array" aca="1" ref="D70" ca="1">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Dev",IF(AND(L70="",K70=""),"No target set",IF(AND(IF(L70&lt;&gt;"",L70,K70)&lt;TODAY(),M70=""),"Overdue","On track")),IF(C70="PBI Dev",IF(AND(R70="",Q70=""),"No target set",IF(AND(IF(R70&lt;&gt;"",R70,Q70)&lt;TODAY(),S70=""),"Overdue","On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196</v>
      </c>
      <c r="J70" s="33" t="s">
        <v>65</v>
      </c>
      <c r="K70" s="4">
        <v>46276</v>
      </c>
      <c r="L70" s="36">
        <v>46262</v>
      </c>
      <c r="M70" s="36"/>
      <c r="N70" s="47" t="s">
        <v>148</v>
      </c>
      <c r="O70" s="36" t="s">
        <v>197</v>
      </c>
      <c r="P70" s="63" t="s">
        <v>46</v>
      </c>
      <c r="Q70" s="4">
        <v>46286</v>
      </c>
      <c r="R70" s="36"/>
      <c r="S70" s="36"/>
      <c r="T70" s="69" t="s">
        <v>225</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232</v>
      </c>
      <c r="C71" s="33" t="s">
        <v>215</v>
      </c>
      <c r="D71" t="str" cm="1">
        <f t="array" aca="1" ref="D71" ca="1">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Dev",IF(AND(L71="",K71=""),"No target set",IF(AND(IF(L71&lt;&gt;"",L71,K71)&lt;TODAY(),M71=""),"Overdue","On track")),IF(C71="PBI Dev",IF(AND(R71="",Q71=""),"No target set",IF(AND(IF(R71&lt;&gt;"",R71,Q71)&lt;TODAY(),S71=""),"Overdue","On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196</v>
      </c>
      <c r="J71" s="33" t="s">
        <v>44</v>
      </c>
      <c r="K71" s="4">
        <v>46276</v>
      </c>
      <c r="L71" s="36">
        <v>46259</v>
      </c>
      <c r="M71" s="36">
        <v>46259</v>
      </c>
      <c r="N71" s="36"/>
      <c r="O71" s="36" t="s">
        <v>197</v>
      </c>
      <c r="P71" s="63" t="s">
        <v>60</v>
      </c>
      <c r="Q71" s="4">
        <v>46286</v>
      </c>
      <c r="R71" s="36">
        <v>46275</v>
      </c>
      <c r="S71" s="36"/>
      <c r="T71" s="69" t="s">
        <v>225</v>
      </c>
      <c r="U71" s="33" t="s">
        <v>47</v>
      </c>
      <c r="V71" s="59">
        <v>46290</v>
      </c>
      <c r="W71" s="36"/>
      <c r="X71" s="36"/>
      <c r="Y71" s="36"/>
      <c r="Z71" s="36"/>
      <c r="AA71" s="52">
        <v>46295</v>
      </c>
      <c r="AB71" s="36"/>
      <c r="AC71" s="36"/>
      <c r="AD71" s="33" t="s">
        <v>233</v>
      </c>
      <c r="AE71" s="33" t="s">
        <v>94</v>
      </c>
      <c r="AF71" s="38"/>
      <c r="AG71" s="36"/>
      <c r="AH71" s="39"/>
      <c r="AI71" s="33"/>
      <c r="AJ71" s="40" t="s">
        <v>234</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235</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236</v>
      </c>
      <c r="C72" s="33" t="s">
        <v>206</v>
      </c>
      <c r="D72" t="str" cm="1">
        <f t="array" aca="1" ref="D72" ca="1">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Dev",IF(AND(L72="",K72=""),"No target set",IF(AND(IF(L72&lt;&gt;"",L72,K72)&lt;TODAY(),M72=""),"Overdue","On track")),IF(C72="PBI Dev",IF(AND(R72="",Q72=""),"No target set",IF(AND(IF(R72&lt;&gt;"",R72,Q72)&lt;TODAY(),S72=""),"Overdue","On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196</v>
      </c>
      <c r="J72" s="33" t="s">
        <v>76</v>
      </c>
      <c r="K72" s="4">
        <v>46276</v>
      </c>
      <c r="L72" s="36">
        <v>46258</v>
      </c>
      <c r="M72" s="36">
        <v>46258</v>
      </c>
      <c r="N72" s="36" t="s">
        <v>45</v>
      </c>
      <c r="O72" s="36" t="s">
        <v>197</v>
      </c>
      <c r="P72" s="63" t="s">
        <v>77</v>
      </c>
      <c r="Q72" s="4">
        <v>46286</v>
      </c>
      <c r="R72" s="36"/>
      <c r="S72" s="36"/>
      <c r="T72" s="69" t="s">
        <v>225</v>
      </c>
      <c r="U72" s="33" t="s">
        <v>47</v>
      </c>
      <c r="V72" s="59">
        <v>46290</v>
      </c>
      <c r="W72" s="36"/>
      <c r="X72" s="36"/>
      <c r="Y72" s="36"/>
      <c r="Z72" s="36"/>
      <c r="AA72" s="52">
        <v>46295</v>
      </c>
      <c r="AB72" s="36"/>
      <c r="AC72" s="36"/>
      <c r="AD72" s="33" t="s">
        <v>172</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7" t="s">
        <v>126</v>
      </c>
      <c r="B73" s="31" t="s">
        <v>237</v>
      </c>
      <c r="C73" s="31" t="s">
        <v>206</v>
      </c>
      <c r="D73" t="str" cm="1">
        <f t="array" aca="1" ref="D73" ca="1">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Dev",IF(AND(L73="",K73=""),"No target set",IF(AND(IF(L73&lt;&gt;"",L73,K73)&lt;TODAY(),M73=""),"Overdue","On track")),IF(C73="PBI Dev",IF(AND(R73="",Q73=""),"No target set",IF(AND(IF(R73&lt;&gt;"",R73,Q73)&lt;TODAY(),S73=""),"Overdue","On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238</v>
      </c>
      <c r="J73" s="31" t="s">
        <v>76</v>
      </c>
      <c r="K73" s="43">
        <v>46304</v>
      </c>
      <c r="L73" s="43">
        <v>46259</v>
      </c>
      <c r="M73" s="47">
        <v>46259</v>
      </c>
      <c r="N73" s="44" t="s">
        <v>45</v>
      </c>
      <c r="O73" s="44" t="s">
        <v>197</v>
      </c>
      <c r="P73" s="66"/>
      <c r="Q73" s="43">
        <v>46313</v>
      </c>
      <c r="R73" s="43"/>
      <c r="S73" s="44"/>
      <c r="T73" s="70" t="s">
        <v>239</v>
      </c>
      <c r="U73" s="31"/>
      <c r="V73" s="28">
        <v>46316</v>
      </c>
      <c r="W73" s="43"/>
      <c r="X73" s="31"/>
      <c r="Y73" s="31"/>
      <c r="Z73" s="31"/>
      <c r="AA73" s="28">
        <v>46325</v>
      </c>
      <c r="AB73" s="43"/>
      <c r="AC73" s="43"/>
      <c r="AD73" s="31" t="s">
        <v>199</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240</v>
      </c>
      <c r="C74" s="31" t="s">
        <v>215</v>
      </c>
      <c r="D74" t="str" cm="1">
        <f t="array" aca="1" ref="D74" ca="1">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Dev",IF(AND(L74="",K74=""),"No target set",IF(AND(IF(L74&lt;&gt;"",L74,K74)&lt;TODAY(),M74=""),"Overdue","On track")),IF(C74="PBI Dev",IF(AND(R74="",Q74=""),"No target set",IF(AND(IF(R74&lt;&gt;"",R74,Q74)&lt;TODAY(),S74=""),"Overdue","On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238</v>
      </c>
      <c r="J74" s="54" t="s">
        <v>224</v>
      </c>
      <c r="K74" s="43">
        <v>46304</v>
      </c>
      <c r="L74" s="43">
        <v>46269</v>
      </c>
      <c r="M74" s="44">
        <v>46269</v>
      </c>
      <c r="N74" s="44"/>
      <c r="O74" s="44" t="s">
        <v>197</v>
      </c>
      <c r="P74" s="75"/>
      <c r="Q74" s="43">
        <v>46313</v>
      </c>
      <c r="R74" s="43"/>
      <c r="S74" s="44"/>
      <c r="T74" s="70" t="s">
        <v>239</v>
      </c>
      <c r="U74" s="47"/>
      <c r="V74" s="28">
        <v>46316</v>
      </c>
      <c r="W74" s="43"/>
      <c r="X74" s="31"/>
      <c r="Y74" s="31"/>
      <c r="Z74" s="36"/>
      <c r="AA74" s="28">
        <v>46325</v>
      </c>
      <c r="AB74" s="43"/>
      <c r="AC74" s="43"/>
      <c r="AD74" s="31" t="s">
        <v>172</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c r="A75" s="136" t="s">
        <v>126</v>
      </c>
      <c r="B75" s="136" t="s">
        <v>241</v>
      </c>
      <c r="C75" s="136" t="s">
        <v>215</v>
      </c>
      <c r="D75" s="137" t="str" cm="1">
        <f t="array" aca="1" ref="D75" ca="1">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Dev",IF(AND(L75="",K75=""),"No target set",IF(AND(IF(L75&lt;&gt;"",L75,K75)&lt;TODAY(),M75=""),"Overdue","On track")),IF(C75="PBI Dev",IF(AND(R75="",Q75=""),"No target set",IF(AND(IF(R75&lt;&gt;"",R75,Q75)&lt;TODAY(),S75=""),"Overdue","On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238</v>
      </c>
      <c r="J75" s="136" t="s">
        <v>59</v>
      </c>
      <c r="K75" s="140">
        <v>46304</v>
      </c>
      <c r="L75" s="140"/>
      <c r="M75" s="141"/>
      <c r="N75" s="141"/>
      <c r="O75" s="141" t="s">
        <v>197</v>
      </c>
      <c r="P75" s="142"/>
      <c r="Q75" s="140">
        <v>46313</v>
      </c>
      <c r="R75" s="140"/>
      <c r="S75" s="141"/>
      <c r="T75" s="143" t="s">
        <v>239</v>
      </c>
      <c r="U75" s="144"/>
      <c r="V75" s="145">
        <v>46316</v>
      </c>
      <c r="W75" s="140"/>
      <c r="X75" s="136"/>
      <c r="Y75" s="136"/>
      <c r="Z75" s="146"/>
      <c r="AA75" s="145">
        <v>46325</v>
      </c>
      <c r="AB75" s="140"/>
      <c r="AC75" s="140"/>
      <c r="AD75" s="136" t="s">
        <v>242</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c r="A76" s="136" t="s">
        <v>126</v>
      </c>
      <c r="B76" s="136" t="s">
        <v>243</v>
      </c>
      <c r="C76" s="136" t="s">
        <v>215</v>
      </c>
      <c r="D76" s="137" t="str" cm="1">
        <f t="array" aca="1" ref="D76" ca="1">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Dev",IF(AND(L76="",K76=""),"No target set",IF(AND(IF(L76&lt;&gt;"",L76,K76)&lt;TODAY(),M76=""),"Overdue","On track")),IF(C76="PBI Dev",IF(AND(R76="",Q76=""),"No target set",IF(AND(IF(R76&lt;&gt;"",R76,Q76)&lt;TODAY(),S76=""),"Overdue","On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238</v>
      </c>
      <c r="J76" s="136" t="s">
        <v>59</v>
      </c>
      <c r="K76" s="140">
        <v>46304</v>
      </c>
      <c r="L76" s="140"/>
      <c r="M76" s="141"/>
      <c r="N76" s="141"/>
      <c r="O76" s="141" t="s">
        <v>197</v>
      </c>
      <c r="P76" s="142"/>
      <c r="Q76" s="140">
        <v>46313</v>
      </c>
      <c r="R76" s="140"/>
      <c r="S76" s="141"/>
      <c r="T76" s="143" t="s">
        <v>239</v>
      </c>
      <c r="U76" s="144"/>
      <c r="V76" s="145">
        <v>46316</v>
      </c>
      <c r="W76" s="140"/>
      <c r="X76" s="136"/>
      <c r="Y76" s="136"/>
      <c r="Z76" s="146"/>
      <c r="AA76" s="145">
        <v>46325</v>
      </c>
      <c r="AB76" s="140"/>
      <c r="AC76" s="140"/>
      <c r="AD76" s="136" t="s">
        <v>242</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c r="A77" s="136" t="s">
        <v>126</v>
      </c>
      <c r="B77" s="136" t="s">
        <v>244</v>
      </c>
      <c r="C77" s="136" t="s">
        <v>215</v>
      </c>
      <c r="D77" s="137" t="str" cm="1">
        <f t="array" aca="1" ref="D77" ca="1">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Dev",IF(AND(L77="",K77=""),"No target set",IF(AND(IF(L77&lt;&gt;"",L77,K77)&lt;TODAY(),M77=""),"Overdue","On track")),IF(C77="PBI Dev",IF(AND(R77="",Q77=""),"No target set",IF(AND(IF(R77&lt;&gt;"",R77,Q77)&lt;TODAY(),S77=""),"Overdue","On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238</v>
      </c>
      <c r="J77" s="136" t="s">
        <v>156</v>
      </c>
      <c r="K77" s="140">
        <v>46304</v>
      </c>
      <c r="L77" s="140"/>
      <c r="M77" s="141"/>
      <c r="N77" s="141"/>
      <c r="O77" s="141" t="s">
        <v>197</v>
      </c>
      <c r="P77" s="142"/>
      <c r="Q77" s="140">
        <v>46313</v>
      </c>
      <c r="R77" s="140"/>
      <c r="S77" s="141"/>
      <c r="T77" s="143" t="s">
        <v>239</v>
      </c>
      <c r="U77" s="144"/>
      <c r="V77" s="145">
        <v>46316</v>
      </c>
      <c r="W77" s="140"/>
      <c r="X77" s="136"/>
      <c r="Y77" s="136"/>
      <c r="Z77" s="146"/>
      <c r="AA77" s="145">
        <v>46325</v>
      </c>
      <c r="AB77" s="140"/>
      <c r="AC77" s="140"/>
      <c r="AD77" s="136" t="s">
        <v>242</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c r="A78" s="147" t="s">
        <v>126</v>
      </c>
      <c r="B78" s="147" t="s">
        <v>245</v>
      </c>
      <c r="C78" s="147" t="s">
        <v>215</v>
      </c>
      <c r="D78" s="148" t="str" cm="1">
        <f t="array" aca="1" ref="D78" ca="1">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Dev",IF(AND(L78="",K78=""),"No target set",IF(AND(IF(L78&lt;&gt;"",L78,K78)&lt;TODAY(),M78=""),"Overdue","On track")),IF(C78="PBI Dev",IF(AND(R78="",Q78=""),"No target set",IF(AND(IF(R78&lt;&gt;"",R78,Q78)&lt;TODAY(),S78=""),"Overdue","On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238</v>
      </c>
      <c r="J78" s="147" t="s">
        <v>44</v>
      </c>
      <c r="K78" s="151">
        <v>46304</v>
      </c>
      <c r="L78" s="151"/>
      <c r="M78" s="152"/>
      <c r="N78" s="152"/>
      <c r="O78" s="152" t="s">
        <v>246</v>
      </c>
      <c r="P78" s="153"/>
      <c r="Q78" s="151">
        <v>46313</v>
      </c>
      <c r="R78" s="151"/>
      <c r="S78" s="152"/>
      <c r="T78" s="154" t="s">
        <v>239</v>
      </c>
      <c r="U78" s="155"/>
      <c r="V78" s="156">
        <v>46316</v>
      </c>
      <c r="W78" s="151"/>
      <c r="X78" s="147"/>
      <c r="Y78" s="147"/>
      <c r="Z78" s="157"/>
      <c r="AA78" s="156">
        <v>46325</v>
      </c>
      <c r="AB78" s="151"/>
      <c r="AC78" s="151"/>
      <c r="AD78" s="147" t="s">
        <v>190</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247</v>
      </c>
      <c r="C79" s="31" t="s">
        <v>206</v>
      </c>
      <c r="D79" t="str" cm="1">
        <f t="array" aca="1" ref="D79" ca="1">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Dev",IF(AND(L79="",K79=""),"No target set",IF(AND(IF(L79&lt;&gt;"",L79,K79)&lt;TODAY(),M79=""),"Overdue","On track")),IF(C79="PBI Dev",IF(AND(R79="",Q79=""),"No target set",IF(AND(IF(R79&lt;&gt;"",R79,Q79)&lt;TODAY(),S79=""),"Overdue","On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238</v>
      </c>
      <c r="J79" s="54" t="s">
        <v>76</v>
      </c>
      <c r="K79" s="43">
        <v>46304</v>
      </c>
      <c r="L79" s="43">
        <v>46266</v>
      </c>
      <c r="M79" s="47">
        <v>46266</v>
      </c>
      <c r="N79" s="44" t="s">
        <v>248</v>
      </c>
      <c r="O79" s="44" t="s">
        <v>197</v>
      </c>
      <c r="P79" s="75"/>
      <c r="Q79" s="43">
        <v>46313</v>
      </c>
      <c r="R79" s="43"/>
      <c r="S79" s="44"/>
      <c r="T79" s="70" t="s">
        <v>239</v>
      </c>
      <c r="U79" s="47"/>
      <c r="V79" s="28">
        <v>46316</v>
      </c>
      <c r="W79" s="43"/>
      <c r="X79" s="31"/>
      <c r="Y79" s="31"/>
      <c r="Z79" s="36"/>
      <c r="AA79" s="28">
        <v>46325</v>
      </c>
      <c r="AB79" s="43"/>
      <c r="AC79" s="43"/>
      <c r="AD79" s="31" t="s">
        <v>249</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c r="A80" s="31" t="s">
        <v>126</v>
      </c>
      <c r="B80" s="31" t="s">
        <v>250</v>
      </c>
      <c r="C80" s="31" t="s">
        <v>215</v>
      </c>
      <c r="D80" t="str" cm="1">
        <f t="array" aca="1" ref="D80" ca="1">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Dev",IF(AND(L80="",K80=""),"No target set",IF(AND(IF(L80&lt;&gt;"",L80,K80)&lt;TODAY(),M80=""),"Overdue","On track")),IF(C80="PBI Dev",IF(AND(R80="",Q80=""),"No target set",IF(AND(IF(R80&lt;&gt;"",R80,Q80)&lt;TODAY(),S80=""),"Overdue","On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238</v>
      </c>
      <c r="J80" s="33" t="s">
        <v>103</v>
      </c>
      <c r="K80" s="43">
        <v>46304</v>
      </c>
      <c r="L80" s="43">
        <v>46276</v>
      </c>
      <c r="M80" s="44"/>
      <c r="N80" s="44"/>
      <c r="O80" s="44" t="s">
        <v>246</v>
      </c>
      <c r="P80" s="75"/>
      <c r="Q80" s="43">
        <v>46313</v>
      </c>
      <c r="R80" s="43"/>
      <c r="S80" s="44"/>
      <c r="T80" s="70" t="s">
        <v>239</v>
      </c>
      <c r="U80" s="47"/>
      <c r="V80" s="28">
        <v>46316</v>
      </c>
      <c r="W80" s="43"/>
      <c r="X80" s="31"/>
      <c r="Y80" s="31"/>
      <c r="Z80" s="36"/>
      <c r="AA80" s="28">
        <v>46325</v>
      </c>
      <c r="AB80" s="43"/>
      <c r="AC80" s="43"/>
      <c r="AD80" s="31" t="s">
        <v>209</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c r="A81" s="147" t="s">
        <v>126</v>
      </c>
      <c r="B81" s="147" t="s">
        <v>251</v>
      </c>
      <c r="C81" s="147" t="s">
        <v>215</v>
      </c>
      <c r="D81" s="148" t="str" cm="1">
        <f t="array" aca="1" ref="D81" ca="1">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Dev",IF(AND(L81="",K81=""),"No target set",IF(AND(IF(L81&lt;&gt;"",L81,K81)&lt;TODAY(),M81=""),"Overdue","On track")),IF(C81="PBI Dev",IF(AND(R81="",Q81=""),"No target set",IF(AND(IF(R81&lt;&gt;"",R81,Q81)&lt;TODAY(),S81=""),"Overdue","On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238</v>
      </c>
      <c r="J81" s="33" t="s">
        <v>103</v>
      </c>
      <c r="K81" s="151">
        <v>46304</v>
      </c>
      <c r="L81" s="151"/>
      <c r="M81" s="152"/>
      <c r="N81" s="152"/>
      <c r="O81" s="152" t="s">
        <v>246</v>
      </c>
      <c r="P81" s="153"/>
      <c r="Q81" s="151">
        <v>46313</v>
      </c>
      <c r="R81" s="151"/>
      <c r="S81" s="152"/>
      <c r="T81" s="170" t="s">
        <v>252</v>
      </c>
      <c r="U81" s="155"/>
      <c r="V81" s="156">
        <v>46316</v>
      </c>
      <c r="W81" s="151"/>
      <c r="X81" s="147"/>
      <c r="Y81" s="147"/>
      <c r="Z81" s="157"/>
      <c r="AA81" s="156">
        <v>46325</v>
      </c>
      <c r="AB81" s="151"/>
      <c r="AC81" s="151"/>
      <c r="AD81" s="147" t="s">
        <v>218</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253</v>
      </c>
      <c r="C82" s="31" t="s">
        <v>215</v>
      </c>
      <c r="D82" t="str" cm="1">
        <f t="array" aca="1" ref="D82" ca="1">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Dev",IF(AND(L82="",K82=""),"No target set",IF(AND(IF(L82&lt;&gt;"",L82,K82)&lt;TODAY(),M82=""),"Overdue","On track")),IF(C82="PBI Dev",IF(AND(R82="",Q82=""),"No target set",IF(AND(IF(R82&lt;&gt;"",R82,Q82)&lt;TODAY(),S82=""),"Overdue","On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238</v>
      </c>
      <c r="J82" s="54" t="s">
        <v>156</v>
      </c>
      <c r="K82" s="43">
        <v>46304</v>
      </c>
      <c r="L82" s="43"/>
      <c r="M82" s="44"/>
      <c r="N82" s="44"/>
      <c r="O82" s="44" t="s">
        <v>246</v>
      </c>
      <c r="P82" s="75"/>
      <c r="Q82" s="43">
        <v>46313</v>
      </c>
      <c r="R82" s="43"/>
      <c r="S82" s="44"/>
      <c r="T82" s="69" t="s">
        <v>252</v>
      </c>
      <c r="U82" s="47"/>
      <c r="V82" s="28">
        <v>46316</v>
      </c>
      <c r="W82" s="43"/>
      <c r="X82" s="31"/>
      <c r="Y82" s="31"/>
      <c r="Z82" s="36"/>
      <c r="AA82" s="28">
        <v>46325</v>
      </c>
      <c r="AB82" s="43"/>
      <c r="AC82" s="43"/>
      <c r="AD82" s="31" t="s">
        <v>254</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255</v>
      </c>
      <c r="C83" s="31" t="s">
        <v>215</v>
      </c>
      <c r="D83" t="str" cm="1">
        <f t="array" aca="1" ref="D83" ca="1">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Dev",IF(AND(L83="",K83=""),"No target set",IF(AND(IF(L83&lt;&gt;"",L83,K83)&lt;TODAY(),M83=""),"Overdue","On track")),IF(C83="PBI Dev",IF(AND(R83="",Q83=""),"No target set",IF(AND(IF(R83&lt;&gt;"",R83,Q83)&lt;TODAY(),S83=""),"Overdue","On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238</v>
      </c>
      <c r="J83" s="54" t="s">
        <v>76</v>
      </c>
      <c r="K83" s="43">
        <v>46304</v>
      </c>
      <c r="L83" s="43"/>
      <c r="M83" s="44"/>
      <c r="N83" s="44"/>
      <c r="O83" s="44" t="s">
        <v>246</v>
      </c>
      <c r="P83" s="75"/>
      <c r="Q83" s="43">
        <v>46313</v>
      </c>
      <c r="R83" s="43"/>
      <c r="S83" s="44"/>
      <c r="T83" s="69" t="s">
        <v>252</v>
      </c>
      <c r="U83" s="47"/>
      <c r="V83" s="28">
        <v>46316</v>
      </c>
      <c r="W83" s="43"/>
      <c r="X83" s="31"/>
      <c r="Y83" s="31"/>
      <c r="Z83" s="36"/>
      <c r="AA83" s="28">
        <v>46325</v>
      </c>
      <c r="AB83" s="43"/>
      <c r="AC83" s="43"/>
      <c r="AD83" s="31" t="s">
        <v>256</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257</v>
      </c>
      <c r="C84" s="31" t="s">
        <v>215</v>
      </c>
      <c r="D84" t="str" cm="1">
        <f t="array" aca="1" ref="D84" ca="1">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Dev",IF(AND(L84="",K84=""),"No target set",IF(AND(IF(L84&lt;&gt;"",L84,K84)&lt;TODAY(),M84=""),"Overdue","On track")),IF(C84="PBI Dev",IF(AND(R84="",Q84=""),"No target set",IF(AND(IF(R84&lt;&gt;"",R84,Q84)&lt;TODAY(),S84=""),"Overdue","On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238</v>
      </c>
      <c r="J84" s="54" t="s">
        <v>76</v>
      </c>
      <c r="K84" s="43">
        <v>46304</v>
      </c>
      <c r="L84" s="43"/>
      <c r="M84" s="44"/>
      <c r="N84" s="44"/>
      <c r="O84" s="44" t="s">
        <v>246</v>
      </c>
      <c r="P84" s="75"/>
      <c r="Q84" s="43">
        <v>46313</v>
      </c>
      <c r="R84" s="43"/>
      <c r="S84" s="44"/>
      <c r="T84" s="69" t="s">
        <v>252</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258</v>
      </c>
      <c r="C85" s="31" t="s">
        <v>215</v>
      </c>
      <c r="D85" t="str" cm="1">
        <f t="array" aca="1" ref="D85" ca="1">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Dev",IF(AND(L85="",K85=""),"No target set",IF(AND(IF(L85&lt;&gt;"",L85,K85)&lt;TODAY(),M85=""),"Overdue","On track")),IF(C85="PBI Dev",IF(AND(R85="",Q85=""),"No target set",IF(AND(IF(R85&lt;&gt;"",R85,Q85)&lt;TODAY(),S85=""),"Overdue","On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259</v>
      </c>
      <c r="F85" s="31" t="s">
        <v>145</v>
      </c>
      <c r="G85" s="31"/>
      <c r="H85" s="50">
        <v>46325</v>
      </c>
      <c r="I85" s="56" t="s">
        <v>238</v>
      </c>
      <c r="J85" s="54" t="s">
        <v>44</v>
      </c>
      <c r="K85" s="43">
        <v>46304</v>
      </c>
      <c r="L85" s="43"/>
      <c r="M85" s="44"/>
      <c r="N85" s="44"/>
      <c r="O85" s="44" t="s">
        <v>246</v>
      </c>
      <c r="P85" s="75"/>
      <c r="Q85" s="43">
        <v>46313</v>
      </c>
      <c r="R85" s="43"/>
      <c r="S85" s="44"/>
      <c r="T85" s="69" t="s">
        <v>252</v>
      </c>
      <c r="U85" s="47"/>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260</v>
      </c>
      <c r="C86" s="31" t="s">
        <v>215</v>
      </c>
      <c r="D86" t="str" cm="1">
        <f t="array" aca="1" ref="D86" ca="1">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Dev",IF(AND(L86="",K86=""),"No target set",IF(AND(IF(L86&lt;&gt;"",L86,K86)&lt;TODAY(),M86=""),"Overdue","On track")),IF(C86="PBI Dev",IF(AND(R86="",Q86=""),"No target set",IF(AND(IF(R86&lt;&gt;"",R86,Q86)&lt;TODAY(),S86=""),"Overdue","On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261</v>
      </c>
      <c r="J86" s="54" t="s">
        <v>84</v>
      </c>
      <c r="K86" s="50">
        <v>46332</v>
      </c>
      <c r="L86" s="43"/>
      <c r="M86" s="44"/>
      <c r="N86" s="44"/>
      <c r="O86" s="44" t="s">
        <v>246</v>
      </c>
      <c r="P86" s="75"/>
      <c r="Q86" s="50">
        <v>46339</v>
      </c>
      <c r="R86" s="43"/>
      <c r="S86" s="44"/>
      <c r="T86" s="69" t="s">
        <v>252</v>
      </c>
      <c r="U86" s="47"/>
      <c r="V86" s="28">
        <v>46344</v>
      </c>
      <c r="W86" s="43"/>
      <c r="X86" s="31"/>
      <c r="Y86" s="31"/>
      <c r="Z86" s="36"/>
      <c r="AA86" s="28">
        <v>46356</v>
      </c>
      <c r="AB86" s="43"/>
      <c r="AC86" s="43"/>
      <c r="AD86" s="31" t="s">
        <v>262</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263</v>
      </c>
      <c r="C87" s="31" t="s">
        <v>215</v>
      </c>
      <c r="D87" t="str" cm="1">
        <f t="array" aca="1" ref="D87" ca="1">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Dev",IF(AND(L87="",K87=""),"No target set",IF(AND(IF(L87&lt;&gt;"",L87,K87)&lt;TODAY(),M87=""),"Overdue","On track")),IF(C87="PBI Dev",IF(AND(R87="",Q87=""),"No target set",IF(AND(IF(R87&lt;&gt;"",R87,Q87)&lt;TODAY(),S87=""),"Overdue","On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261</v>
      </c>
      <c r="J87" s="54" t="s">
        <v>59</v>
      </c>
      <c r="K87" s="50">
        <v>46332</v>
      </c>
      <c r="L87" s="43"/>
      <c r="M87" s="44"/>
      <c r="N87" s="44"/>
      <c r="O87" s="44" t="s">
        <v>246</v>
      </c>
      <c r="P87" s="75"/>
      <c r="Q87" s="50">
        <v>46339</v>
      </c>
      <c r="R87" s="43"/>
      <c r="S87" s="44"/>
      <c r="T87" s="69" t="s">
        <v>252</v>
      </c>
      <c r="U87" s="47"/>
      <c r="V87" s="28">
        <v>46344</v>
      </c>
      <c r="W87" s="43"/>
      <c r="X87" s="31"/>
      <c r="Y87" s="31"/>
      <c r="Z87" s="36"/>
      <c r="AA87" s="28">
        <v>46356</v>
      </c>
      <c r="AB87" s="43"/>
      <c r="AC87" s="43"/>
      <c r="AD87" s="31" t="s">
        <v>172</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264</v>
      </c>
      <c r="C88" s="31" t="s">
        <v>215</v>
      </c>
      <c r="D88" t="str" cm="1">
        <f t="array" aca="1" ref="D88" ca="1">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Dev",IF(AND(L50="",K50=""),"No target set",IF(AND(IF(L50&lt;&gt;"",L50,K50)&lt;TODAY(),M50=""),"Overdue","On track")),IF(C50="PBI Dev",IF(AND(R50="",Q50=""),"No target set",IF(AND(IF(R50&lt;&gt;"",R50,Q50)&lt;TODAY(),S50=""),"Overdue","On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88" s="31">
        <v>69</v>
      </c>
      <c r="F88" s="31" t="s">
        <v>145</v>
      </c>
      <c r="G88" s="31"/>
      <c r="H88" s="50">
        <v>46356</v>
      </c>
      <c r="I88" s="56" t="s">
        <v>261</v>
      </c>
      <c r="J88" s="54" t="s">
        <v>59</v>
      </c>
      <c r="K88" s="50">
        <v>46332</v>
      </c>
      <c r="L88" s="43"/>
      <c r="M88" s="44"/>
      <c r="N88" s="44"/>
      <c r="O88" s="44" t="s">
        <v>246</v>
      </c>
      <c r="P88" s="75"/>
      <c r="Q88" s="50">
        <v>46339</v>
      </c>
      <c r="R88" s="43"/>
      <c r="S88" s="44"/>
      <c r="T88" s="69" t="s">
        <v>265</v>
      </c>
      <c r="U88" s="47"/>
      <c r="V88" s="28">
        <v>46344</v>
      </c>
      <c r="W88" s="43"/>
      <c r="X88" s="31"/>
      <c r="Y88" s="31"/>
      <c r="Z88" s="36"/>
      <c r="AA88" s="28">
        <v>46356</v>
      </c>
      <c r="AB88" s="43"/>
      <c r="AC88" s="43"/>
      <c r="AD88" s="31" t="s">
        <v>172</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c r="A89" s="31" t="s">
        <v>126</v>
      </c>
      <c r="B89" s="31" t="s">
        <v>266</v>
      </c>
      <c r="C89" s="31" t="s">
        <v>215</v>
      </c>
      <c r="D89" t="str" cm="1">
        <f t="array" aca="1" ref="D89" ca="1">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Dev",IF(AND(L89="",K89=""),"No target set",IF(AND(IF(L89&lt;&gt;"",L89,K89)&lt;TODAY(),M89=""),"Overdue","On track")),IF(C89="PBI Dev",IF(AND(R89="",Q89=""),"No target set",IF(AND(IF(R89&lt;&gt;"",R89,Q89)&lt;TODAY(),S89=""),"Overdue","On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261</v>
      </c>
      <c r="J89" s="54" t="s">
        <v>224</v>
      </c>
      <c r="K89" s="50">
        <v>46332</v>
      </c>
      <c r="L89" s="43"/>
      <c r="M89" s="44"/>
      <c r="N89" s="44"/>
      <c r="O89" s="44" t="s">
        <v>246</v>
      </c>
      <c r="P89" s="75"/>
      <c r="Q89" s="50">
        <v>46339</v>
      </c>
      <c r="R89" s="43"/>
      <c r="S89" s="44"/>
      <c r="T89" s="69" t="s">
        <v>265</v>
      </c>
      <c r="U89" s="47"/>
      <c r="V89" s="28">
        <v>46344</v>
      </c>
      <c r="W89" s="43"/>
      <c r="X89" s="31"/>
      <c r="Y89" s="31"/>
      <c r="Z89" s="36"/>
      <c r="AA89" s="28">
        <v>46356</v>
      </c>
      <c r="AB89" s="43"/>
      <c r="AC89" s="43"/>
      <c r="AD89" s="31" t="s">
        <v>172</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267</v>
      </c>
      <c r="C90" s="31" t="s">
        <v>215</v>
      </c>
      <c r="D90" t="str" cm="1">
        <f t="array" aca="1" ref="D90" ca="1">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Dev",IF(AND(L90="",K90=""),"No target set",IF(AND(IF(L90&lt;&gt;"",L90,K90)&lt;TODAY(),M90=""),"Overdue","On track")),IF(C90="PBI Dev",IF(AND(R90="",Q90=""),"No target set",IF(AND(IF(R90&lt;&gt;"",R90,Q90)&lt;TODAY(),S90=""),"Overdue","On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261</v>
      </c>
      <c r="J90" s="54"/>
      <c r="K90" s="50">
        <v>46332</v>
      </c>
      <c r="L90" s="43"/>
      <c r="M90" s="44"/>
      <c r="N90" s="44"/>
      <c r="O90" s="36" t="s">
        <v>268</v>
      </c>
      <c r="P90" s="75"/>
      <c r="Q90" s="50">
        <v>46339</v>
      </c>
      <c r="R90" s="43"/>
      <c r="S90" s="44"/>
      <c r="T90" s="69" t="s">
        <v>265</v>
      </c>
      <c r="U90" s="47"/>
      <c r="V90" s="28">
        <v>46344</v>
      </c>
      <c r="W90" s="43"/>
      <c r="X90" s="31"/>
      <c r="Y90" s="31"/>
      <c r="Z90" s="36"/>
      <c r="AA90" s="28">
        <v>46356</v>
      </c>
      <c r="AB90" s="43"/>
      <c r="AC90" s="43"/>
      <c r="AD90" s="31" t="s">
        <v>172</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c r="A91" s="31" t="s">
        <v>126</v>
      </c>
      <c r="B91" s="31" t="s">
        <v>269</v>
      </c>
      <c r="C91" s="31" t="s">
        <v>215</v>
      </c>
      <c r="D91" t="str" cm="1">
        <f t="array" aca="1" ref="D91" ca="1">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Dev",IF(AND(L91="",K91=""),"No target set",IF(AND(IF(L91&lt;&gt;"",L91,K91)&lt;TODAY(),M91=""),"Overdue","On track")),IF(C91="PBI Dev",IF(AND(R91="",Q91=""),"No target set",IF(AND(IF(R91&lt;&gt;"",R91,Q91)&lt;TODAY(),S91=""),"Overdue","On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261</v>
      </c>
      <c r="J91" s="54" t="s">
        <v>65</v>
      </c>
      <c r="K91" s="50">
        <v>46332</v>
      </c>
      <c r="L91" s="43">
        <v>46273</v>
      </c>
      <c r="M91" s="47">
        <v>46273</v>
      </c>
      <c r="N91" s="47" t="s">
        <v>148</v>
      </c>
      <c r="O91" s="44" t="s">
        <v>246</v>
      </c>
      <c r="P91" s="75"/>
      <c r="Q91" s="50">
        <v>46339</v>
      </c>
      <c r="R91" s="43"/>
      <c r="S91" s="44"/>
      <c r="T91" s="69" t="s">
        <v>265</v>
      </c>
      <c r="U91" s="47"/>
      <c r="V91" s="28">
        <v>46344</v>
      </c>
      <c r="W91" s="43"/>
      <c r="X91" s="31"/>
      <c r="Y91" s="31"/>
      <c r="Z91" s="36"/>
      <c r="AA91" s="28">
        <v>46356</v>
      </c>
      <c r="AB91" s="43"/>
      <c r="AC91" s="43"/>
      <c r="AD91" s="31" t="s">
        <v>270</v>
      </c>
      <c r="AE91" s="31" t="s">
        <v>72</v>
      </c>
      <c r="AF91" s="31"/>
      <c r="AG91" s="31"/>
      <c r="AH91" s="31"/>
      <c r="AI91" s="31"/>
      <c r="AJ91" s="31"/>
      <c r="AK91" s="31"/>
      <c r="AL91" s="31" t="s">
        <v>271</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272</v>
      </c>
      <c r="C92" s="31" t="s">
        <v>215</v>
      </c>
      <c r="D92" t="str" cm="1">
        <f t="array" aca="1" ref="D92" ca="1">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Dev",IF(AND(L92="",K92=""),"No target set",IF(AND(IF(L92&lt;&gt;"",L92,K92)&lt;TODAY(),M92=""),"Overdue","On track")),IF(C92="PBI Dev",IF(AND(R92="",Q92=""),"No target set",IF(AND(IF(R92&lt;&gt;"",R92,Q92)&lt;TODAY(),S92=""),"Overdue","On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261</v>
      </c>
      <c r="J92" s="54" t="s">
        <v>84</v>
      </c>
      <c r="K92" s="50">
        <v>46332</v>
      </c>
      <c r="L92" s="43">
        <v>46332</v>
      </c>
      <c r="M92" s="44">
        <v>46275</v>
      </c>
      <c r="N92" s="44"/>
      <c r="O92" s="44" t="s">
        <v>246</v>
      </c>
      <c r="P92" s="75"/>
      <c r="Q92" s="50">
        <v>46339</v>
      </c>
      <c r="R92" s="43"/>
      <c r="S92" s="44"/>
      <c r="T92" s="69" t="s">
        <v>265</v>
      </c>
      <c r="U92" s="47"/>
      <c r="V92" s="28">
        <v>46344</v>
      </c>
      <c r="W92" s="43"/>
      <c r="X92" s="31"/>
      <c r="Y92" s="31"/>
      <c r="Z92" s="36"/>
      <c r="AA92" s="28">
        <v>46356</v>
      </c>
      <c r="AB92" s="43"/>
      <c r="AC92" s="43"/>
      <c r="AD92" s="31" t="s">
        <v>172</v>
      </c>
      <c r="AE92" s="31" t="s">
        <v>72</v>
      </c>
      <c r="AF92" s="31"/>
      <c r="AG92" s="31"/>
      <c r="AH92" s="31"/>
      <c r="AI92" s="31"/>
      <c r="AJ92" s="31"/>
      <c r="AK92" s="31"/>
      <c r="AL92" s="31" t="s">
        <v>273</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274</v>
      </c>
      <c r="C93" s="31" t="s">
        <v>215</v>
      </c>
      <c r="D93" t="str" cm="1">
        <f t="array" aca="1" ref="D93" ca="1">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Dev",IF(AND(L93="",K93=""),"No target set",IF(AND(IF(L93&lt;&gt;"",L93,K93)&lt;TODAY(),M93=""),"Overdue","On track")),IF(C93="PBI Dev",IF(AND(R93="",Q93=""),"No target set",IF(AND(IF(R93&lt;&gt;"",R93,Q93)&lt;TODAY(),S93=""),"Overdue","On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261</v>
      </c>
      <c r="J93" s="54"/>
      <c r="K93" s="50">
        <v>46332</v>
      </c>
      <c r="L93" s="43"/>
      <c r="M93" s="44"/>
      <c r="N93" s="44"/>
      <c r="O93" s="36" t="s">
        <v>275</v>
      </c>
      <c r="P93" s="75"/>
      <c r="Q93" s="50">
        <v>46339</v>
      </c>
      <c r="R93" s="43"/>
      <c r="S93" s="44"/>
      <c r="T93" s="69" t="s">
        <v>265</v>
      </c>
      <c r="U93" s="47"/>
      <c r="V93" s="28">
        <v>46344</v>
      </c>
      <c r="W93" s="43"/>
      <c r="X93" s="31"/>
      <c r="Y93" s="31"/>
      <c r="Z93" s="36"/>
      <c r="AA93" s="28">
        <v>46356</v>
      </c>
      <c r="AB93" s="43"/>
      <c r="AC93" s="43"/>
      <c r="AD93" s="31" t="s">
        <v>276</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277</v>
      </c>
      <c r="C94" s="31" t="s">
        <v>215</v>
      </c>
      <c r="D94" t="str" cm="1">
        <f t="array" aca="1" ref="D94" ca="1">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Dev",IF(AND(L94="",K94=""),"No target set",IF(AND(IF(L94&lt;&gt;"",L94,K94)&lt;TODAY(),M94=""),"Overdue","On track")),IF(C94="PBI Dev",IF(AND(R94="",Q94=""),"No target set",IF(AND(IF(R94&lt;&gt;"",R94,Q94)&lt;TODAY(),S94=""),"Overdue","On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261</v>
      </c>
      <c r="J94" s="54"/>
      <c r="K94" s="50">
        <v>46332</v>
      </c>
      <c r="L94" s="43"/>
      <c r="M94" s="44"/>
      <c r="N94" s="44"/>
      <c r="O94" s="36" t="s">
        <v>275</v>
      </c>
      <c r="P94" s="75"/>
      <c r="Q94" s="50">
        <v>46339</v>
      </c>
      <c r="R94" s="43"/>
      <c r="S94" s="44"/>
      <c r="T94" s="69" t="s">
        <v>265</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278</v>
      </c>
      <c r="C95" s="31" t="s">
        <v>215</v>
      </c>
      <c r="D95" t="str" cm="1">
        <f t="array" aca="1" ref="D95" ca="1">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Dev",IF(AND(L95="",K95=""),"No target set",IF(AND(IF(L95&lt;&gt;"",L95,K95)&lt;TODAY(),M95=""),"Overdue","On track")),IF(C95="PBI Dev",IF(AND(R95="",Q95=""),"No target set",IF(AND(IF(R95&lt;&gt;"",R95,Q95)&lt;TODAY(),S95=""),"Overdue","On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261</v>
      </c>
      <c r="J95" s="54"/>
      <c r="K95" s="50">
        <v>46332</v>
      </c>
      <c r="L95" s="43"/>
      <c r="M95" s="44"/>
      <c r="N95" s="44"/>
      <c r="O95" s="36" t="s">
        <v>275</v>
      </c>
      <c r="P95" s="75"/>
      <c r="Q95" s="50">
        <v>46339</v>
      </c>
      <c r="R95" s="43"/>
      <c r="S95" s="44"/>
      <c r="T95" s="69" t="s">
        <v>279</v>
      </c>
      <c r="U95" s="47"/>
      <c r="V95" s="28">
        <v>46344</v>
      </c>
      <c r="W95" s="43"/>
      <c r="X95" s="31"/>
      <c r="Y95" s="31"/>
      <c r="Z95" s="36"/>
      <c r="AA95" s="28">
        <v>46356</v>
      </c>
      <c r="AB95" s="43"/>
      <c r="AC95" s="43"/>
      <c r="AD95" s="31" t="s">
        <v>280</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281</v>
      </c>
      <c r="C96" s="31" t="s">
        <v>215</v>
      </c>
      <c r="D96" t="str" cm="1">
        <f t="array" aca="1" ref="D96" ca="1">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Dev",IF(AND(L96="",K96=""),"No target set",IF(AND(IF(L96&lt;&gt;"",L96,K96)&lt;TODAY(),M96=""),"Overdue","On track")),IF(C96="PBI Dev",IF(AND(R96="",Q96=""),"No target set",IF(AND(IF(R96&lt;&gt;"",R96,Q96)&lt;TODAY(),S96=""),"Overdue","On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261</v>
      </c>
      <c r="J96" s="54"/>
      <c r="K96" s="50">
        <v>46332</v>
      </c>
      <c r="L96" s="43"/>
      <c r="M96" s="44"/>
      <c r="N96" s="44"/>
      <c r="O96" s="36" t="s">
        <v>275</v>
      </c>
      <c r="P96" s="75"/>
      <c r="Q96" s="50">
        <v>46339</v>
      </c>
      <c r="R96" s="43"/>
      <c r="S96" s="44"/>
      <c r="T96" s="69" t="s">
        <v>279</v>
      </c>
      <c r="U96" s="47"/>
      <c r="V96" s="28">
        <v>46344</v>
      </c>
      <c r="W96" s="43"/>
      <c r="X96" s="31"/>
      <c r="Y96" s="31"/>
      <c r="Z96" s="36"/>
      <c r="AA96" s="28">
        <v>46356</v>
      </c>
      <c r="AB96" s="43"/>
      <c r="AC96" s="43"/>
      <c r="AD96" s="31" t="s">
        <v>282</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283</v>
      </c>
      <c r="C97" s="31" t="s">
        <v>215</v>
      </c>
      <c r="D97" t="str" cm="1">
        <f t="array" aca="1" ref="D97" ca="1">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Dev",IF(AND(L97="",K97=""),"No target set",IF(AND(IF(L97&lt;&gt;"",L97,K97)&lt;TODAY(),M97=""),"Overdue","On track")),IF(C97="PBI Dev",IF(AND(R97="",Q97=""),"No target set",IF(AND(IF(R97&lt;&gt;"",R97,Q97)&lt;TODAY(),S97=""),"Overdue","On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261</v>
      </c>
      <c r="J97" s="54"/>
      <c r="K97" s="50">
        <v>46332</v>
      </c>
      <c r="L97" s="43"/>
      <c r="M97" s="44"/>
      <c r="N97" s="44"/>
      <c r="O97" s="36" t="s">
        <v>275</v>
      </c>
      <c r="P97" s="75"/>
      <c r="Q97" s="50">
        <v>46339</v>
      </c>
      <c r="R97" s="43"/>
      <c r="S97" s="44"/>
      <c r="T97" s="69" t="s">
        <v>279</v>
      </c>
      <c r="U97" s="47"/>
      <c r="V97" s="28">
        <v>46344</v>
      </c>
      <c r="W97" s="43"/>
      <c r="X97" s="31"/>
      <c r="Y97" s="31"/>
      <c r="Z97" s="36"/>
      <c r="AA97" s="28">
        <v>46356</v>
      </c>
      <c r="AB97" s="43"/>
      <c r="AC97" s="43"/>
      <c r="AD97" s="31" t="s">
        <v>284</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285</v>
      </c>
      <c r="C98" s="31" t="s">
        <v>215</v>
      </c>
      <c r="D98" t="str" cm="1">
        <f t="array" aca="1" ref="D98" ca="1">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Dev",IF(AND(L98="",K98=""),"No target set",IF(AND(IF(L98&lt;&gt;"",L98,K98)&lt;TODAY(),M98=""),"Overdue","On track")),IF(C98="PBI Dev",IF(AND(R98="",Q98=""),"No target set",IF(AND(IF(R98&lt;&gt;"",R98,Q98)&lt;TODAY(),S98=""),"Overdue","On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261</v>
      </c>
      <c r="J98" s="54"/>
      <c r="K98" s="50">
        <v>46332</v>
      </c>
      <c r="L98" s="43"/>
      <c r="M98" s="44"/>
      <c r="N98" s="44"/>
      <c r="O98" s="36" t="s">
        <v>275</v>
      </c>
      <c r="P98" s="75"/>
      <c r="Q98" s="50">
        <v>46339</v>
      </c>
      <c r="R98" s="43"/>
      <c r="S98" s="44"/>
      <c r="T98" s="69" t="s">
        <v>279</v>
      </c>
      <c r="U98" s="47"/>
      <c r="V98" s="28">
        <v>46344</v>
      </c>
      <c r="W98" s="43"/>
      <c r="X98" s="31"/>
      <c r="Y98" s="31"/>
      <c r="Z98" s="36"/>
      <c r="AA98" s="28">
        <v>46356</v>
      </c>
      <c r="AB98" s="43"/>
      <c r="AC98" s="43"/>
      <c r="AD98" s="31" t="s">
        <v>172</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286</v>
      </c>
      <c r="C99" s="31" t="s">
        <v>215</v>
      </c>
      <c r="D99" t="str" cm="1">
        <f t="array" aca="1" ref="D99" ca="1">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Dev",IF(AND(L99="",K99=""),"No target set",IF(AND(IF(L99&lt;&gt;"",L99,K99)&lt;TODAY(),M99=""),"Overdue","On track")),IF(C99="PBI Dev",IF(AND(R99="",Q99=""),"No target set",IF(AND(IF(R99&lt;&gt;"",R99,Q99)&lt;TODAY(),S99=""),"Overdue","On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287</v>
      </c>
      <c r="F99" s="31" t="s">
        <v>129</v>
      </c>
      <c r="G99" s="31"/>
      <c r="H99" s="50">
        <v>46356</v>
      </c>
      <c r="I99" s="56" t="s">
        <v>261</v>
      </c>
      <c r="J99" s="54" t="s">
        <v>65</v>
      </c>
      <c r="K99" s="50">
        <v>46332</v>
      </c>
      <c r="L99" s="43"/>
      <c r="M99" s="44"/>
      <c r="N99" s="44"/>
      <c r="O99" s="44" t="s">
        <v>246</v>
      </c>
      <c r="P99" s="75"/>
      <c r="Q99" s="50">
        <v>46339</v>
      </c>
      <c r="R99" s="43"/>
      <c r="S99" s="44"/>
      <c r="T99" s="69" t="s">
        <v>279</v>
      </c>
      <c r="U99" s="47"/>
      <c r="V99" s="28">
        <v>46344</v>
      </c>
      <c r="W99" s="43"/>
      <c r="X99" s="31"/>
      <c r="Y99" s="31"/>
      <c r="Z99" s="36"/>
      <c r="AA99" s="28">
        <v>46356</v>
      </c>
      <c r="AB99" s="43"/>
      <c r="AC99" s="43"/>
      <c r="AD99" s="31" t="s">
        <v>288</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289</v>
      </c>
      <c r="C100" s="31" t="s">
        <v>215</v>
      </c>
      <c r="D100" t="str" cm="1">
        <f t="array" aca="1" ref="D100" ca="1">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Dev",IF(AND(L100="",K100=""),"No target set",IF(AND(IF(L100&lt;&gt;"",L100,K100)&lt;TODAY(),M100=""),"Overdue","On track")),IF(C100="PBI Dev",IF(AND(R100="",Q100=""),"No target set",IF(AND(IF(R100&lt;&gt;"",R100,Q100)&lt;TODAY(),S100=""),"Overdue","On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261</v>
      </c>
      <c r="J100" s="54"/>
      <c r="K100" s="50">
        <v>46332</v>
      </c>
      <c r="L100" s="43"/>
      <c r="M100" s="44"/>
      <c r="N100" s="44"/>
      <c r="O100" s="36" t="s">
        <v>275</v>
      </c>
      <c r="P100" s="75"/>
      <c r="Q100" s="50">
        <v>46339</v>
      </c>
      <c r="R100" s="43"/>
      <c r="S100" s="44"/>
      <c r="T100" s="69" t="s">
        <v>279</v>
      </c>
      <c r="U100" s="47"/>
      <c r="V100" s="28">
        <v>46344</v>
      </c>
      <c r="W100" s="43"/>
      <c r="X100" s="31"/>
      <c r="Y100" s="31"/>
      <c r="Z100" s="36"/>
      <c r="AA100" s="28">
        <v>46356</v>
      </c>
      <c r="AB100" s="43"/>
      <c r="AC100" s="43"/>
      <c r="AD100" s="31" t="s">
        <v>290</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291</v>
      </c>
      <c r="B101" s="31" t="s">
        <v>292</v>
      </c>
      <c r="C101" s="31" t="s">
        <v>215</v>
      </c>
      <c r="D101" t="str" cm="1">
        <f t="array" aca="1" ref="D101" ca="1">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Dev",IF(AND(L101="",K101=""),"No target set",IF(AND(IF(L101&lt;&gt;"",L101,K101)&lt;TODAY(),M101=""),"Overdue","On track")),IF(C101="PBI Dev",IF(AND(R101="",Q101=""),"No target set",IF(AND(IF(R101&lt;&gt;"",R101,Q101)&lt;TODAY(),S101=""),"Overdue","On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293</v>
      </c>
      <c r="J101" s="54"/>
      <c r="K101" s="28">
        <v>46363</v>
      </c>
      <c r="L101" s="43"/>
      <c r="M101" s="31"/>
      <c r="N101" s="31"/>
      <c r="O101" s="36" t="s">
        <v>294</v>
      </c>
      <c r="P101" s="75"/>
      <c r="Q101" s="28">
        <v>46370</v>
      </c>
      <c r="R101" s="43"/>
      <c r="S101" s="31"/>
      <c r="T101" s="69" t="s">
        <v>279</v>
      </c>
      <c r="U101" s="47"/>
      <c r="V101" s="28">
        <v>46373</v>
      </c>
      <c r="W101" s="43"/>
      <c r="X101" s="31"/>
      <c r="Y101" s="31"/>
      <c r="Z101" s="36"/>
      <c r="AA101" s="28">
        <v>46386</v>
      </c>
      <c r="AB101" s="43"/>
      <c r="AC101" s="43"/>
      <c r="AD101" s="31" t="s">
        <v>295</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291</v>
      </c>
      <c r="B102" s="31" t="s">
        <v>296</v>
      </c>
      <c r="C102" s="31" t="s">
        <v>215</v>
      </c>
      <c r="D102" t="str" cm="1">
        <f t="array" aca="1" ref="D102" ca="1">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Dev",IF(AND(L102="",K102=""),"No target set",IF(AND(IF(L102&lt;&gt;"",L102,K102)&lt;TODAY(),M102=""),"Overdue","On track")),IF(C102="PBI Dev",IF(AND(R102="",Q102=""),"No target set",IF(AND(IF(R102&lt;&gt;"",R102,Q102)&lt;TODAY(),S102=""),"Overdue","On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293</v>
      </c>
      <c r="J102" s="54"/>
      <c r="K102" s="28">
        <v>46363</v>
      </c>
      <c r="L102" s="43"/>
      <c r="M102" s="31"/>
      <c r="N102" s="31"/>
      <c r="O102" s="36" t="s">
        <v>294</v>
      </c>
      <c r="P102" s="75"/>
      <c r="Q102" s="28">
        <v>46370</v>
      </c>
      <c r="R102" s="43"/>
      <c r="S102" s="31"/>
      <c r="T102" s="69" t="s">
        <v>297</v>
      </c>
      <c r="U102" s="47"/>
      <c r="V102" s="28">
        <v>46373</v>
      </c>
      <c r="W102" s="43"/>
      <c r="X102" s="31"/>
      <c r="Y102" s="31"/>
      <c r="Z102" s="36"/>
      <c r="AA102" s="28">
        <v>46386</v>
      </c>
      <c r="AB102" s="43"/>
      <c r="AC102" s="43"/>
      <c r="AD102" s="31" t="s">
        <v>298</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291</v>
      </c>
      <c r="B103" s="31" t="s">
        <v>299</v>
      </c>
      <c r="C103" s="31" t="s">
        <v>215</v>
      </c>
      <c r="D103" t="str" cm="1">
        <f t="array" aca="1" ref="D103" ca="1">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Dev",IF(AND(L103="",K103=""),"No target set",IF(AND(IF(L103&lt;&gt;"",L103,K103)&lt;TODAY(),M103=""),"Overdue","On track")),IF(C103="PBI Dev",IF(AND(R103="",Q103=""),"No target set",IF(AND(IF(R103&lt;&gt;"",R103,Q103)&lt;TODAY(),S103=""),"Overdue","On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293</v>
      </c>
      <c r="J103" s="54"/>
      <c r="K103" s="28">
        <v>46363</v>
      </c>
      <c r="L103" s="43"/>
      <c r="M103" s="31"/>
      <c r="N103" s="31"/>
      <c r="O103" s="36" t="s">
        <v>294</v>
      </c>
      <c r="P103" s="75"/>
      <c r="Q103" s="28">
        <v>46370</v>
      </c>
      <c r="R103" s="43"/>
      <c r="S103" s="31"/>
      <c r="T103" s="69" t="s">
        <v>297</v>
      </c>
      <c r="U103" s="47"/>
      <c r="V103" s="28">
        <v>46373</v>
      </c>
      <c r="W103" s="43"/>
      <c r="X103" s="31"/>
      <c r="Y103" s="31"/>
      <c r="Z103" s="36"/>
      <c r="AA103" s="28">
        <v>46386</v>
      </c>
      <c r="AB103" s="43"/>
      <c r="AC103" s="43"/>
      <c r="AD103" s="31" t="s">
        <v>300</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301</v>
      </c>
      <c r="B104" s="31" t="s">
        <v>302</v>
      </c>
      <c r="C104" s="31" t="s">
        <v>215</v>
      </c>
      <c r="D104" t="str" cm="1">
        <f t="array" aca="1" ref="D104" ca="1">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Dev",IF(AND(L104="",K104=""),"No target set",IF(AND(IF(L104&lt;&gt;"",L104,K104)&lt;TODAY(),M104=""),"Overdue","On track")),IF(C104="PBI Dev",IF(AND(R104="",Q104=""),"No target set",IF(AND(IF(R104&lt;&gt;"",R104,Q104)&lt;TODAY(),S104=""),"Overdue","On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293</v>
      </c>
      <c r="J104" s="54"/>
      <c r="K104" s="28">
        <v>46363</v>
      </c>
      <c r="L104" s="43"/>
      <c r="M104" s="31"/>
      <c r="N104" s="31"/>
      <c r="O104" s="36" t="s">
        <v>294</v>
      </c>
      <c r="P104" s="75"/>
      <c r="Q104" s="28">
        <v>46370</v>
      </c>
      <c r="R104" s="43"/>
      <c r="S104" s="31"/>
      <c r="T104" s="69" t="s">
        <v>297</v>
      </c>
      <c r="U104" s="47"/>
      <c r="V104" s="28">
        <v>46373</v>
      </c>
      <c r="W104" s="43"/>
      <c r="X104" s="31"/>
      <c r="Y104" s="31"/>
      <c r="Z104" s="36"/>
      <c r="AA104" s="28">
        <v>46386</v>
      </c>
      <c r="AB104" s="43"/>
      <c r="AC104" s="43"/>
      <c r="AD104" s="31" t="s">
        <v>303</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291</v>
      </c>
      <c r="B105" s="31" t="s">
        <v>304</v>
      </c>
      <c r="C105" s="31" t="s">
        <v>215</v>
      </c>
      <c r="D105" t="str" cm="1">
        <f t="array" aca="1" ref="D105" ca="1">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Dev",IF(AND(L105="",K105=""),"No target set",IF(AND(IF(L105&lt;&gt;"",L105,K105)&lt;TODAY(),M105=""),"Overdue","On track")),IF(C105="PBI Dev",IF(AND(R105="",Q105=""),"No target set",IF(AND(IF(R105&lt;&gt;"",R105,Q105)&lt;TODAY(),S105=""),"Overdue","On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293</v>
      </c>
      <c r="J105" s="54"/>
      <c r="K105" s="28">
        <v>46363</v>
      </c>
      <c r="L105" s="43"/>
      <c r="M105" s="31"/>
      <c r="N105" s="31"/>
      <c r="O105" s="36" t="s">
        <v>294</v>
      </c>
      <c r="P105" s="75"/>
      <c r="Q105" s="28">
        <v>46370</v>
      </c>
      <c r="R105" s="43"/>
      <c r="S105" s="31"/>
      <c r="T105" s="69" t="s">
        <v>297</v>
      </c>
      <c r="U105" s="47"/>
      <c r="V105" s="28">
        <v>46373</v>
      </c>
      <c r="W105" s="43"/>
      <c r="X105" s="31"/>
      <c r="Y105" s="31"/>
      <c r="Z105" s="36"/>
      <c r="AA105" s="28">
        <v>46386</v>
      </c>
      <c r="AB105" s="43"/>
      <c r="AC105" s="43"/>
      <c r="AD105" s="31" t="s">
        <v>305</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291</v>
      </c>
      <c r="B106" s="31" t="s">
        <v>306</v>
      </c>
      <c r="C106" s="31" t="s">
        <v>215</v>
      </c>
      <c r="D106" t="str" cm="1">
        <f t="array" aca="1" ref="D106" ca="1">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Dev",IF(AND(L106="",K106=""),"No target set",IF(AND(IF(L106&lt;&gt;"",L106,K106)&lt;TODAY(),M106=""),"Overdue","On track")),IF(C106="PBI Dev",IF(AND(R106="",Q106=""),"No target set",IF(AND(IF(R106&lt;&gt;"",R106,Q106)&lt;TODAY(),S106=""),"Overdue","On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293</v>
      </c>
      <c r="J106" s="54"/>
      <c r="K106" s="28">
        <v>46363</v>
      </c>
      <c r="L106" s="43"/>
      <c r="M106" s="31"/>
      <c r="N106" s="31"/>
      <c r="O106" s="36" t="s">
        <v>294</v>
      </c>
      <c r="P106" s="75"/>
      <c r="Q106" s="28">
        <v>46370</v>
      </c>
      <c r="R106" s="43"/>
      <c r="S106" s="31"/>
      <c r="T106" s="69" t="s">
        <v>297</v>
      </c>
      <c r="U106" s="47"/>
      <c r="V106" s="28">
        <v>46373</v>
      </c>
      <c r="W106" s="43"/>
      <c r="X106" s="31"/>
      <c r="Y106" s="31"/>
      <c r="Z106" s="36"/>
      <c r="AA106" s="28">
        <v>46386</v>
      </c>
      <c r="AB106" s="43"/>
      <c r="AC106" s="43"/>
      <c r="AD106" s="31" t="s">
        <v>307</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291</v>
      </c>
      <c r="B107" s="31" t="s">
        <v>308</v>
      </c>
      <c r="C107" s="31" t="s">
        <v>215</v>
      </c>
      <c r="D107" t="str" cm="1">
        <f t="array" aca="1" ref="D107" ca="1">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Dev",IF(AND(L107="",K107=""),"No target set",IF(AND(IF(L107&lt;&gt;"",L107,K107)&lt;TODAY(),M107=""),"Overdue","On track")),IF(C107="PBI Dev",IF(AND(R107="",Q107=""),"No target set",IF(AND(IF(R107&lt;&gt;"",R107,Q107)&lt;TODAY(),S107=""),"Overdue","On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293</v>
      </c>
      <c r="J107" s="54"/>
      <c r="K107" s="28">
        <v>46363</v>
      </c>
      <c r="L107" s="43"/>
      <c r="M107" s="31"/>
      <c r="N107" s="31"/>
      <c r="O107" s="36" t="s">
        <v>294</v>
      </c>
      <c r="P107" s="75"/>
      <c r="Q107" s="28">
        <v>46370</v>
      </c>
      <c r="R107" s="43"/>
      <c r="S107" s="31"/>
      <c r="T107" s="69" t="s">
        <v>297</v>
      </c>
      <c r="U107" s="47"/>
      <c r="V107" s="28">
        <v>46373</v>
      </c>
      <c r="W107" s="43"/>
      <c r="X107" s="31"/>
      <c r="Y107" s="31"/>
      <c r="Z107" s="36"/>
      <c r="AA107" s="28">
        <v>46386</v>
      </c>
      <c r="AB107" s="43"/>
      <c r="AC107" s="43"/>
      <c r="AD107" s="31" t="s">
        <v>309</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291</v>
      </c>
      <c r="B108" s="31" t="s">
        <v>310</v>
      </c>
      <c r="C108" s="31" t="s">
        <v>215</v>
      </c>
      <c r="D108" t="str" cm="1">
        <f t="array" aca="1" ref="D108" ca="1">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Dev",IF(AND(L108="",K108=""),"No target set",IF(AND(IF(L108&lt;&gt;"",L108,K108)&lt;TODAY(),M108=""),"Overdue","On track")),IF(C108="PBI Dev",IF(AND(R108="",Q108=""),"No target set",IF(AND(IF(R108&lt;&gt;"",R108,Q108)&lt;TODAY(),S108=""),"Overdue","On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293</v>
      </c>
      <c r="J108" s="54"/>
      <c r="K108" s="28">
        <v>46363</v>
      </c>
      <c r="L108" s="43"/>
      <c r="M108" s="31"/>
      <c r="N108" s="31"/>
      <c r="O108" s="36" t="s">
        <v>311</v>
      </c>
      <c r="P108" s="75"/>
      <c r="Q108" s="28">
        <v>46370</v>
      </c>
      <c r="R108" s="43"/>
      <c r="S108" s="31"/>
      <c r="T108" s="69" t="s">
        <v>297</v>
      </c>
      <c r="U108" s="47"/>
      <c r="V108" s="28">
        <v>46373</v>
      </c>
      <c r="W108" s="43"/>
      <c r="X108" s="31"/>
      <c r="Y108" s="31"/>
      <c r="Z108" s="36"/>
      <c r="AA108" s="28">
        <v>46386</v>
      </c>
      <c r="AB108" s="43"/>
      <c r="AC108" s="43"/>
      <c r="AD108" s="31" t="s">
        <v>312</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301</v>
      </c>
      <c r="B109" s="31" t="s">
        <v>313</v>
      </c>
      <c r="C109" s="31" t="s">
        <v>215</v>
      </c>
      <c r="D109" t="str" cm="1">
        <f t="array" aca="1" ref="D109" ca="1">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Dev",IF(AND(L109="",K109=""),"No target set",IF(AND(IF(L109&lt;&gt;"",L109,K109)&lt;TODAY(),M109=""),"Overdue","On track")),IF(C109="PBI Dev",IF(AND(R109="",Q109=""),"No target set",IF(AND(IF(R109&lt;&gt;"",R109,Q109)&lt;TODAY(),S109=""),"Overdue","On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293</v>
      </c>
      <c r="J109" s="54"/>
      <c r="K109" s="28">
        <v>46363</v>
      </c>
      <c r="L109" s="43"/>
      <c r="M109" s="31"/>
      <c r="N109" s="31"/>
      <c r="O109" s="36" t="s">
        <v>311</v>
      </c>
      <c r="P109" s="75"/>
      <c r="Q109" s="28">
        <v>46370</v>
      </c>
      <c r="R109" s="43"/>
      <c r="S109" s="31"/>
      <c r="T109" s="69" t="s">
        <v>314</v>
      </c>
      <c r="U109" s="47"/>
      <c r="V109" s="28">
        <v>46373</v>
      </c>
      <c r="W109" s="43"/>
      <c r="X109" s="31"/>
      <c r="Y109" s="31"/>
      <c r="Z109" s="36"/>
      <c r="AA109" s="28">
        <v>46386</v>
      </c>
      <c r="AB109" s="43"/>
      <c r="AC109" s="43"/>
      <c r="AD109" s="31" t="s">
        <v>315</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291</v>
      </c>
      <c r="B110" s="31" t="s">
        <v>316</v>
      </c>
      <c r="C110" s="31" t="s">
        <v>215</v>
      </c>
      <c r="D110" t="str" cm="1">
        <f t="array" aca="1" ref="D110" ca="1">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Dev",IF(AND(L110="",K110=""),"No target set",IF(AND(IF(L110&lt;&gt;"",L110,K110)&lt;TODAY(),M110=""),"Overdue","On track")),IF(C110="PBI Dev",IF(AND(R110="",Q110=""),"No target set",IF(AND(IF(R110&lt;&gt;"",R110,Q110)&lt;TODAY(),S110=""),"Overdue","On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293</v>
      </c>
      <c r="J110" s="54"/>
      <c r="K110" s="28">
        <v>46363</v>
      </c>
      <c r="L110" s="43"/>
      <c r="M110" s="31"/>
      <c r="N110" s="31"/>
      <c r="O110" s="36" t="s">
        <v>311</v>
      </c>
      <c r="P110" s="75"/>
      <c r="Q110" s="28">
        <v>46370</v>
      </c>
      <c r="R110" s="43"/>
      <c r="S110" s="31"/>
      <c r="T110" s="69" t="s">
        <v>314</v>
      </c>
      <c r="U110" s="47"/>
      <c r="V110" s="28">
        <v>46373</v>
      </c>
      <c r="W110" s="43"/>
      <c r="X110" s="31"/>
      <c r="Y110" s="31"/>
      <c r="Z110" s="36"/>
      <c r="AA110" s="28">
        <v>46386</v>
      </c>
      <c r="AB110" s="43"/>
      <c r="AC110" s="43"/>
      <c r="AD110" s="31" t="s">
        <v>317</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301</v>
      </c>
      <c r="B111" s="31" t="s">
        <v>318</v>
      </c>
      <c r="C111" s="31" t="s">
        <v>215</v>
      </c>
      <c r="D111" t="str" cm="1">
        <f t="array" aca="1" ref="D111" ca="1">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Dev",IF(AND(L111="",K111=""),"No target set",IF(AND(IF(L111&lt;&gt;"",L111,K111)&lt;TODAY(),M111=""),"Overdue","On track")),IF(C111="PBI Dev",IF(AND(R111="",Q111=""),"No target set",IF(AND(IF(R111&lt;&gt;"",R111,Q111)&lt;TODAY(),S111=""),"Overdue","On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293</v>
      </c>
      <c r="J111" s="54"/>
      <c r="K111" s="28">
        <v>46363</v>
      </c>
      <c r="L111" s="43"/>
      <c r="M111" s="31"/>
      <c r="N111" s="31"/>
      <c r="O111" s="36" t="s">
        <v>311</v>
      </c>
      <c r="P111" s="75"/>
      <c r="Q111" s="28">
        <v>46370</v>
      </c>
      <c r="R111" s="43"/>
      <c r="S111" s="31"/>
      <c r="T111" s="69" t="s">
        <v>314</v>
      </c>
      <c r="U111" s="47"/>
      <c r="V111" s="28">
        <v>46373</v>
      </c>
      <c r="W111" s="43"/>
      <c r="X111" s="31"/>
      <c r="Y111" s="31"/>
      <c r="Z111" s="36"/>
      <c r="AA111" s="28">
        <v>46386</v>
      </c>
      <c r="AB111" s="43"/>
      <c r="AC111" s="43"/>
      <c r="AD111" s="31" t="s">
        <v>319</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301</v>
      </c>
      <c r="B112" s="31" t="s">
        <v>320</v>
      </c>
      <c r="C112" s="31" t="s">
        <v>215</v>
      </c>
      <c r="D112" t="str" cm="1">
        <f t="array" aca="1" ref="D112" ca="1">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Dev",IF(AND(L112="",K112=""),"No target set",IF(AND(IF(L112&lt;&gt;"",L112,K112)&lt;TODAY(),M112=""),"Overdue","On track")),IF(C112="PBI Dev",IF(AND(R112="",Q112=""),"No target set",IF(AND(IF(R112&lt;&gt;"",R112,Q112)&lt;TODAY(),S112=""),"Overdue","On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293</v>
      </c>
      <c r="J112" s="54"/>
      <c r="K112" s="28">
        <v>46363</v>
      </c>
      <c r="L112" s="43"/>
      <c r="M112" s="31"/>
      <c r="N112" s="31"/>
      <c r="O112" s="36" t="s">
        <v>311</v>
      </c>
      <c r="P112" s="75"/>
      <c r="Q112" s="28">
        <v>46370</v>
      </c>
      <c r="R112" s="43"/>
      <c r="S112" s="31"/>
      <c r="T112" s="69" t="s">
        <v>314</v>
      </c>
      <c r="U112" s="47"/>
      <c r="V112" s="28">
        <v>46373</v>
      </c>
      <c r="W112" s="43"/>
      <c r="X112" s="31"/>
      <c r="Y112" s="31"/>
      <c r="Z112" s="36"/>
      <c r="AA112" s="28">
        <v>46386</v>
      </c>
      <c r="AB112" s="43"/>
      <c r="AC112" s="43"/>
      <c r="AD112" s="31" t="s">
        <v>315</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301</v>
      </c>
      <c r="B113" s="31" t="s">
        <v>321</v>
      </c>
      <c r="C113" s="31" t="s">
        <v>215</v>
      </c>
      <c r="D113" t="str" cm="1">
        <f t="array" aca="1" ref="D113" ca="1">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Dev",IF(AND(L113="",K113=""),"No target set",IF(AND(IF(L113&lt;&gt;"",L113,K113)&lt;TODAY(),M113=""),"Overdue","On track")),IF(C113="PBI Dev",IF(AND(R113="",Q113=""),"No target set",IF(AND(IF(R113&lt;&gt;"",R113,Q113)&lt;TODAY(),S113=""),"Overdue","On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293</v>
      </c>
      <c r="J113" s="54"/>
      <c r="K113" s="28">
        <v>46363</v>
      </c>
      <c r="L113" s="43"/>
      <c r="M113" s="31"/>
      <c r="N113" s="31"/>
      <c r="O113" s="36" t="s">
        <v>311</v>
      </c>
      <c r="P113" s="75"/>
      <c r="Q113" s="28">
        <v>46370</v>
      </c>
      <c r="R113" s="43"/>
      <c r="S113" s="31"/>
      <c r="T113" s="69" t="s">
        <v>314</v>
      </c>
      <c r="U113" s="47"/>
      <c r="V113" s="28">
        <v>46373</v>
      </c>
      <c r="W113" s="43"/>
      <c r="X113" s="31"/>
      <c r="Y113" s="31"/>
      <c r="Z113" s="36"/>
      <c r="AA113" s="28">
        <v>46386</v>
      </c>
      <c r="AB113" s="43"/>
      <c r="AC113" s="43"/>
      <c r="AD113" s="31" t="s">
        <v>315</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301</v>
      </c>
      <c r="B114" s="31" t="s">
        <v>322</v>
      </c>
      <c r="C114" s="31" t="s">
        <v>215</v>
      </c>
      <c r="D114" t="str" cm="1">
        <f t="array" aca="1" ref="D114" ca="1">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Dev",IF(AND(L114="",K114=""),"No target set",IF(AND(IF(L114&lt;&gt;"",L114,K114)&lt;TODAY(),M114=""),"Overdue","On track")),IF(C114="PBI Dev",IF(AND(R114="",Q114=""),"No target set",IF(AND(IF(R114&lt;&gt;"",R114,Q114)&lt;TODAY(),S114=""),"Overdue","On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293</v>
      </c>
      <c r="J114" s="54"/>
      <c r="K114" s="28">
        <v>46363</v>
      </c>
      <c r="L114" s="43"/>
      <c r="M114" s="31"/>
      <c r="N114" s="31"/>
      <c r="O114" s="36" t="s">
        <v>323</v>
      </c>
      <c r="P114" s="75"/>
      <c r="Q114" s="28">
        <v>46370</v>
      </c>
      <c r="R114" s="43"/>
      <c r="S114" s="31"/>
      <c r="T114" s="69" t="s">
        <v>314</v>
      </c>
      <c r="U114" s="47"/>
      <c r="V114" s="28">
        <v>46373</v>
      </c>
      <c r="W114" s="43"/>
      <c r="X114" s="31"/>
      <c r="Y114" s="31"/>
      <c r="Z114" s="36"/>
      <c r="AA114" s="28">
        <v>46386</v>
      </c>
      <c r="AB114" s="43"/>
      <c r="AC114" s="43"/>
      <c r="AD114" s="31" t="s">
        <v>319</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301</v>
      </c>
      <c r="B115" s="31" t="s">
        <v>324</v>
      </c>
      <c r="C115" s="31" t="s">
        <v>215</v>
      </c>
      <c r="D115" t="str" cm="1">
        <f t="array" aca="1" ref="D115" ca="1">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Dev",IF(AND(L115="",K115=""),"No target set",IF(AND(IF(L115&lt;&gt;"",L115,K115)&lt;TODAY(),M115=""),"Overdue","On track")),IF(C115="PBI Dev",IF(AND(R115="",Q115=""),"No target set",IF(AND(IF(R115&lt;&gt;"",R115,Q115)&lt;TODAY(),S115=""),"Overdue","On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293</v>
      </c>
      <c r="J115" s="54"/>
      <c r="K115" s="28">
        <v>46363</v>
      </c>
      <c r="L115" s="43"/>
      <c r="M115" s="31"/>
      <c r="N115" s="31"/>
      <c r="O115" s="36" t="s">
        <v>323</v>
      </c>
      <c r="P115" s="75"/>
      <c r="Q115" s="28">
        <v>46370</v>
      </c>
      <c r="R115" s="43"/>
      <c r="S115" s="31"/>
      <c r="T115" s="69" t="s">
        <v>314</v>
      </c>
      <c r="U115" s="47"/>
      <c r="V115" s="28">
        <v>46373</v>
      </c>
      <c r="W115" s="43"/>
      <c r="X115" s="31"/>
      <c r="Y115" s="31"/>
      <c r="Z115" s="36"/>
      <c r="AA115" s="28">
        <v>46386</v>
      </c>
      <c r="AB115" s="43"/>
      <c r="AC115" s="43"/>
      <c r="AD115" s="31" t="s">
        <v>262</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6" priority="39">
      <formula>ISNUMBER(SEARCH("Blocked",$D2))</formula>
    </cfRule>
    <cfRule type="expression" dxfId="135" priority="40">
      <formula>ISNUMBER(SEARCH("overdue",$D2))</formula>
    </cfRule>
    <cfRule type="expression" dxfId="134" priority="41">
      <formula>ISNUMBER(SEARCH("no target",$D2))</formula>
    </cfRule>
    <cfRule type="expression" dxfId="133" priority="42">
      <formula>ISNUMBER(SEARCH("Review",$D2))</formula>
    </cfRule>
    <cfRule type="expression" dxfId="132" priority="43">
      <formula>OR($D2="On track",$D2="Delivered")</formula>
    </cfRule>
  </conditionalFormatting>
  <conditionalFormatting sqref="J2:O115">
    <cfRule type="expression" dxfId="131" priority="17">
      <formula>$AJ2="Yes – needs DB Dev to fix"</formula>
    </cfRule>
  </conditionalFormatting>
  <conditionalFormatting sqref="J116:O192">
    <cfRule type="expression" dxfId="130" priority="22">
      <formula>$AH116="Yes – needs DB Dev to fix"</formula>
    </cfRule>
  </conditionalFormatting>
  <conditionalFormatting sqref="K41">
    <cfRule type="expression" dxfId="129" priority="598">
      <formula>AND($B41&lt;&gt;"",MOD(ROW(),2)=0)</formula>
    </cfRule>
    <cfRule type="expression" dxfId="128" priority="599">
      <formula>$AJ41="Yes – needs DB Dev to fix"</formula>
    </cfRule>
  </conditionalFormatting>
  <conditionalFormatting sqref="K42">
    <cfRule type="expression" dxfId="127" priority="600">
      <formula>AND($B41&lt;&gt;"",MOD(ROW(),2)=0)</formula>
    </cfRule>
    <cfRule type="expression" dxfId="126" priority="601">
      <formula>$AJ41="Yes – needs DB Dev to fix"</formula>
    </cfRule>
  </conditionalFormatting>
  <conditionalFormatting sqref="K73:L100">
    <cfRule type="expression" dxfId="125" priority="114">
      <formula>$AF73="Yes – needs DB Dev to fix"</formula>
    </cfRule>
  </conditionalFormatting>
  <conditionalFormatting sqref="K101:L115">
    <cfRule type="expression" dxfId="124" priority="344">
      <formula>$AA101="Yes – needs DB Dev to fix"</formula>
    </cfRule>
  </conditionalFormatting>
  <conditionalFormatting sqref="K116:L527">
    <cfRule type="expression" dxfId="123" priority="571">
      <formula>$X116="Yes – needs DB Dev to fix"</formula>
    </cfRule>
  </conditionalFormatting>
  <conditionalFormatting sqref="M73">
    <cfRule type="expression" dxfId="122" priority="21">
      <formula>$AF73="Yes – needs DB Dev to fix"</formula>
    </cfRule>
  </conditionalFormatting>
  <conditionalFormatting sqref="M79">
    <cfRule type="expression" dxfId="121" priority="8">
      <formula>$AF79="Yes – needs DB Dev to fix"</formula>
    </cfRule>
  </conditionalFormatting>
  <conditionalFormatting sqref="M73:P100">
    <cfRule type="expression" dxfId="120" priority="299">
      <formula>$AD73="Yes – needs PBI Dev to fix"</formula>
    </cfRule>
  </conditionalFormatting>
  <conditionalFormatting sqref="M101:P115">
    <cfRule type="expression" dxfId="119" priority="346">
      <formula>$AA101="Yes – needs PBI Dev to fix"</formula>
    </cfRule>
  </conditionalFormatting>
  <conditionalFormatting sqref="M116:P527">
    <cfRule type="expression" dxfId="118" priority="572">
      <formula>$X116="Yes – needs PBI Dev to fix"</formula>
    </cfRule>
  </conditionalFormatting>
  <conditionalFormatting sqref="O101:O113">
    <cfRule type="expression" dxfId="117" priority="20">
      <formula>$AD101="Yes – needs PBI Dev to fix"</formula>
    </cfRule>
  </conditionalFormatting>
  <conditionalFormatting sqref="Q73:Q100">
    <cfRule type="expression" dxfId="116" priority="15">
      <formula>$AJ73="Yes – needs DB Dev to fix"</formula>
    </cfRule>
    <cfRule type="expression" dxfId="115" priority="16">
      <formula>$AF73="Yes – needs DB Dev to fix"</formula>
    </cfRule>
    <cfRule type="expression" dxfId="114" priority="118">
      <formula>$AF73="Yes – needs PBI Dev to fix"</formula>
    </cfRule>
  </conditionalFormatting>
  <conditionalFormatting sqref="Q101:R115 V101:V115 X101:X115">
    <cfRule type="expression" dxfId="113" priority="14">
      <formula>$AA101="Yes – needs QA to fix"</formula>
    </cfRule>
  </conditionalFormatting>
  <conditionalFormatting sqref="Q116:R527">
    <cfRule type="expression" dxfId="112" priority="573">
      <formula>$X116="Yes – needs QA to fix"</formula>
    </cfRule>
  </conditionalFormatting>
  <conditionalFormatting sqref="U10:V19 X10:X19 J29 M29:P29 J32:J33 M32:P33 K40:K41 M40:P41 Q65 T65:U65 V101:V115 X101:X115 Q66:U115 Q2:U64">
    <cfRule type="expression" dxfId="111" priority="29">
      <formula>$AJ2="Yes – needs PBI Dev to fix"</formula>
    </cfRule>
  </conditionalFormatting>
  <conditionalFormatting sqref="R58">
    <cfRule type="expression" dxfId="110" priority="314">
      <formula>AND($B65&lt;&gt;"",MOD(ROW(),2)=0)</formula>
    </cfRule>
    <cfRule type="expression" dxfId="109" priority="316">
      <formula>$AJ65="Yes – needs PBI Dev to fix"</formula>
    </cfRule>
  </conditionalFormatting>
  <conditionalFormatting sqref="R73:U100 T96:T101">
    <cfRule type="expression" dxfId="108" priority="120">
      <formula>$AF73="Yes – needs QA to fix"</formula>
    </cfRule>
  </conditionalFormatting>
  <conditionalFormatting sqref="S101:U115">
    <cfRule type="expression" dxfId="107" priority="360">
      <formula>$AA101="Yes – needs DPO Approval to fix"</formula>
    </cfRule>
  </conditionalFormatting>
  <conditionalFormatting sqref="S116:U527">
    <cfRule type="expression" dxfId="106" priority="574">
      <formula>$X116="Yes – needs DPO Approval to fix"</formula>
    </cfRule>
  </conditionalFormatting>
  <conditionalFormatting sqref="U101:V527 X101:X527">
    <cfRule type="expression" dxfId="105" priority="47">
      <formula>$V101="Yes"</formula>
    </cfRule>
  </conditionalFormatting>
  <conditionalFormatting sqref="U73:Y100">
    <cfRule type="expression" dxfId="104" priority="122">
      <formula>$AF73="Yes – needs DPO Approval to fix"</formula>
    </cfRule>
  </conditionalFormatting>
  <conditionalFormatting sqref="X116:X527">
    <cfRule type="expression" dxfId="103" priority="575">
      <formula>LEFT($X116,3)="Yes"</formula>
    </cfRule>
  </conditionalFormatting>
  <conditionalFormatting sqref="X73:Z100">
    <cfRule type="expression" dxfId="102" priority="474">
      <formula>$Y73="Yes"</formula>
    </cfRule>
  </conditionalFormatting>
  <conditionalFormatting sqref="Z116:AA527">
    <cfRule type="expression" dxfId="101" priority="52">
      <formula>ISNUMBER(SEARCH("Move old",$Z116))</formula>
    </cfRule>
    <cfRule type="expression" dxfId="100" priority="52">
      <formula>ISNUMBER(SEARCH("log it",$Z116))</formula>
    </cfRule>
    <cfRule type="expression" dxfId="99" priority="52">
      <formula>ISNUMBER(SEARCH("Open rework",$Z116))</formula>
    </cfRule>
    <cfRule type="expression" dxfId="98" priority="53">
      <formula>ISNUMBER(SEARCH("Duplicate",$Z116))</formula>
    </cfRule>
    <cfRule type="expression" dxfId="97" priority="54">
      <formula>$Z116&lt;&gt;""</formula>
    </cfRule>
  </conditionalFormatting>
  <conditionalFormatting sqref="Z116:AC527 W2:Y527 G2:V40 N3:N44 L41:V42 T65:V65 G41:J42 Z2:AL2 Z3 Z4:AL41 Z42:AK42 Z43:AL44 Z45:AK47 Z101:AE115 AB3:AL3 A2:F87 G65:Q65 G66:V73 A74:V527 Z48:AL72 Z73:AH100 G43:V64">
    <cfRule type="expression" dxfId="96" priority="55">
      <formula>AND($B2&lt;&gt;"",MOD(ROW(),2)=0)</formula>
    </cfRule>
  </conditionalFormatting>
  <conditionalFormatting sqref="AA3">
    <cfRule type="expression" dxfId="95" priority="602">
      <formula>AND($B3&lt;&gt;"",MOD(ROW(),2)=0)</formula>
    </cfRule>
    <cfRule type="expression" dxfId="94" priority="603">
      <formula>$AJ3="Yes – needs DPO Approval to fix"</formula>
    </cfRule>
  </conditionalFormatting>
  <conditionalFormatting sqref="AA101:AA115 U2:Z115">
    <cfRule type="expression" dxfId="93" priority="12">
      <formula>$AJ2="Yes – needs QA to fix"</formula>
    </cfRule>
  </conditionalFormatting>
  <conditionalFormatting sqref="AA101:AA115">
    <cfRule type="expression" dxfId="92" priority="9">
      <formula>$AJ101="Yes – needs PBI Dev to fix"</formula>
    </cfRule>
    <cfRule type="expression" dxfId="91" priority="10">
      <formula>$AA101="Yes – needs QA to fix"</formula>
    </cfRule>
    <cfRule type="expression" dxfId="90" priority="11">
      <formula>$V101="Yes"</formula>
    </cfRule>
    <cfRule type="expression" dxfId="89" priority="368">
      <formula>LEFT($AA101,3)="Yes"</formula>
    </cfRule>
  </conditionalFormatting>
  <conditionalFormatting sqref="AA2:AE2 AB3:AE3 AA4:AE100">
    <cfRule type="expression" dxfId="88" priority="96">
      <formula>$AJ2="Yes – needs DPO Approval to fix"</formula>
    </cfRule>
  </conditionalFormatting>
  <conditionalFormatting sqref="AB101:AC115">
    <cfRule type="expression" dxfId="87" priority="376">
      <formula>ISNUMBER(SEARCH("Open rework",$AB101))</formula>
    </cfRule>
    <cfRule type="expression" dxfId="86" priority="377">
      <formula>ISNUMBER(SEARCH("Move old",$AB101))</formula>
    </cfRule>
    <cfRule type="expression" dxfId="85" priority="378">
      <formula>ISNUMBER(SEARCH("log it",$AB101))</formula>
    </cfRule>
    <cfRule type="expression" dxfId="84" priority="379">
      <formula>ISNUMBER(SEARCH("Duplicate",$AB101))</formula>
    </cfRule>
    <cfRule type="expression" dxfId="83" priority="380">
      <formula>$AB101&lt;&gt;""</formula>
    </cfRule>
  </conditionalFormatting>
  <conditionalFormatting sqref="AF2:AF115">
    <cfRule type="expression" dxfId="82" priority="68">
      <formula>$AF2="Yes"</formula>
    </cfRule>
  </conditionalFormatting>
  <conditionalFormatting sqref="AF73:AF100">
    <cfRule type="expression" dxfId="81" priority="126">
      <formula>LEFT($AF73,3)="Yes"</formula>
    </cfRule>
  </conditionalFormatting>
  <conditionalFormatting sqref="AG73:AG100">
    <cfRule type="expression" dxfId="80" priority="132">
      <formula>ISNUMBER(SEARCH("Open rework",$AG73))</formula>
    </cfRule>
    <cfRule type="expression" dxfId="79" priority="133">
      <formula>ISNUMBER(SEARCH("Move old",$AG73))</formula>
    </cfRule>
    <cfRule type="expression" dxfId="78" priority="134">
      <formula>ISNUMBER(SEARCH("log it",$AG73))</formula>
    </cfRule>
    <cfRule type="expression" dxfId="77" priority="135">
      <formula>ISNUMBER(SEARCH("Duplicate",$AG73))</formula>
    </cfRule>
    <cfRule type="expression" dxfId="76" priority="136">
      <formula>$AG73&lt;&gt;""</formula>
    </cfRule>
  </conditionalFormatting>
  <conditionalFormatting sqref="AJ2:AJ115">
    <cfRule type="expression" dxfId="75" priority="70">
      <formula>LEFT($AJ2,3)="Yes"</formula>
    </cfRule>
  </conditionalFormatting>
  <conditionalFormatting sqref="AK2:AK115">
    <cfRule type="expression" dxfId="74" priority="76">
      <formula>ISNUMBER(SEARCH("log it",$AK2))</formula>
    </cfRule>
    <cfRule type="expression" dxfId="73" priority="77">
      <formula>ISNUMBER(SEARCH("Open rework",$AK2))</formula>
    </cfRule>
    <cfRule type="expression" dxfId="72" priority="78">
      <formula>ISNUMBER(SEARCH("Move old",$AK2))</formula>
    </cfRule>
    <cfRule type="expression" dxfId="71" priority="79">
      <formula>ISNUMBER(SEARCH("Duplicate",$AK2))</formula>
    </cfRule>
    <cfRule type="expression" dxfId="70" priority="80">
      <formula>$AK2&lt;&gt;""</formula>
    </cfRule>
  </conditionalFormatting>
  <conditionalFormatting sqref="AL45:AL47">
    <cfRule type="expression" dxfId="69" priority="19">
      <formula>AND($B49&lt;&gt;"",MOD(ROW(),2)=0)</formula>
    </cfRule>
  </conditionalFormatting>
  <conditionalFormatting sqref="D88">
    <cfRule type="expression" dxfId="68" priority="615">
      <formula>AND($B50&lt;&gt;"",MOD(ROW(),2)=0)</formula>
    </cfRule>
  </conditionalFormatting>
  <conditionalFormatting sqref="R60">
    <cfRule type="expression" dxfId="67" priority="6">
      <formula>AND($B67&lt;&gt;"",MOD(ROW(),2)=0)</formula>
    </cfRule>
    <cfRule type="expression" dxfId="66" priority="7">
      <formula>$AJ67="Yes – needs PBI Dev to fix"</formula>
    </cfRule>
  </conditionalFormatting>
  <conditionalFormatting sqref="R60:S60">
    <cfRule type="expression" dxfId="65" priority="4">
      <formula>AND($B67&lt;&gt;"",MOD(ROW(),2)=0)</formula>
    </cfRule>
    <cfRule type="expression" dxfId="64" priority="5">
      <formula>$AJ67="Yes – needs PBI Dev to fix"</formula>
    </cfRule>
  </conditionalFormatting>
  <conditionalFormatting sqref="N70">
    <cfRule type="expression" dxfId="63" priority="3">
      <formula>$AD70="Yes – needs PBI Dev to fix"</formula>
    </cfRule>
  </conditionalFormatting>
  <conditionalFormatting sqref="N58">
    <cfRule type="expression" dxfId="62" priority="2">
      <formula>$AD58="Yes – needs PBI Dev to fix"</formula>
    </cfRule>
  </conditionalFormatting>
  <conditionalFormatting sqref="M91">
    <cfRule type="expression" dxfId="61"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W2:W72 Y2:Y72 X2:X115 S30:S64"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Validation'!$F$3:$F$8</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325</v>
      </c>
    </row>
    <row r="2" spans="1:5">
      <c r="A2" s="6" t="s">
        <v>326</v>
      </c>
    </row>
    <row r="4" spans="1:5" ht="21.95" customHeight="1">
      <c r="A4" s="5" t="s">
        <v>327</v>
      </c>
      <c r="B4" s="174"/>
      <c r="C4" s="175"/>
      <c r="D4" s="175"/>
      <c r="E4" s="175"/>
    </row>
    <row r="6" spans="1:5" ht="15">
      <c r="A6" s="42" t="s">
        <v>0</v>
      </c>
      <c r="B6" s="172" t="str">
        <f>IF($B$4="","",IFERROR(INDEX('Combined Delivery Data'!$A:$A,MATCH($B$4,'Combined Delivery Data'!$B:$B,0)),""))</f>
        <v/>
      </c>
      <c r="C6" s="176"/>
      <c r="D6" s="176"/>
      <c r="E6" s="177"/>
    </row>
    <row r="7" spans="1:5" ht="15">
      <c r="A7" s="42" t="s">
        <v>328</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329</v>
      </c>
      <c r="B14" s="171" t="str">
        <f>IF($B$4="","",IFERROR(INDEX('Combined Delivery Data'!$K:$K,MATCH($B$4,'Combined Delivery Data'!$B:$B,0)),""))</f>
        <v/>
      </c>
      <c r="C14" s="176"/>
      <c r="D14" s="176"/>
      <c r="E14" s="177"/>
    </row>
    <row r="15" spans="1:5" ht="15">
      <c r="A15" s="42" t="s">
        <v>330</v>
      </c>
      <c r="B15" s="171" t="str">
        <f>IF($B$4="","",IFERROR(INDEX('Combined Delivery Data'!$L:$L,MATCH($B$4,'Combined Delivery Data'!$B:$B,0)),""))</f>
        <v/>
      </c>
      <c r="C15" s="176"/>
      <c r="D15" s="176"/>
      <c r="E15" s="177"/>
    </row>
    <row r="16" spans="1:5" ht="15">
      <c r="A16" s="42" t="s">
        <v>331</v>
      </c>
      <c r="B16" s="171" t="str">
        <f>IF($B$4="","",IFERROR(INDEX('Combined Delivery Data'!$M:$M,MATCH($B$4,'Combined Delivery Data'!$B:$B,0)),""))</f>
        <v/>
      </c>
      <c r="C16" s="176"/>
      <c r="D16" s="176"/>
      <c r="E16" s="177"/>
    </row>
    <row r="17" spans="1:5" ht="15">
      <c r="A17" s="42" t="s">
        <v>332</v>
      </c>
      <c r="B17" s="171" t="str">
        <f>IF($B$4="","",IFERROR(INDEX('Combined Delivery Data'!$O:$O,MATCH($B$4,'Combined Delivery Data'!$B:$B,0)),""))</f>
        <v/>
      </c>
      <c r="C17" s="176"/>
      <c r="D17" s="176"/>
      <c r="E17" s="177"/>
    </row>
    <row r="18" spans="1:5" ht="15">
      <c r="A18" s="42" t="s">
        <v>333</v>
      </c>
      <c r="B18" s="171" t="str">
        <f>IF($B$4="","",IFERROR(INDEX('Combined Delivery Data'!$Q:$Q,MATCH($B$4,'Combined Delivery Data'!$B:$B,0)),""))</f>
        <v/>
      </c>
      <c r="C18" s="176"/>
      <c r="D18" s="176"/>
      <c r="E18" s="177"/>
    </row>
    <row r="19" spans="1:5" ht="15">
      <c r="A19" s="42" t="s">
        <v>334</v>
      </c>
      <c r="B19" s="171" t="str">
        <f>IF($B$4="","",IFERROR(INDEX('Combined Delivery Data'!$R:$R,MATCH($B$4,'Combined Delivery Data'!$B:$B,0)),""))</f>
        <v/>
      </c>
      <c r="C19" s="176"/>
      <c r="D19" s="176"/>
      <c r="E19" s="177"/>
    </row>
    <row r="20" spans="1:5" ht="15">
      <c r="A20" s="42" t="s">
        <v>335</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336</v>
      </c>
      <c r="B26" s="172" t="str">
        <f>IF($B$4="","",IFERROR(INDEX('Rework Log'!$Q:$Q,MATCH($B$4,'Rework Log'!$P:$P,0)),""))</f>
        <v/>
      </c>
      <c r="C26" s="176"/>
      <c r="D26" s="176"/>
      <c r="E26" s="177"/>
    </row>
    <row r="27" spans="1:5">
      <c r="A27" s="42" t="s">
        <v>337</v>
      </c>
      <c r="B27" s="172" t="str">
        <f>IF($B$4="","",IFERROR(INDEX('Rework Log'!$R:$R,MATCH($B$4,'Rework Log'!$P:$P,0)),""))</f>
        <v/>
      </c>
      <c r="C27" s="176"/>
      <c r="D27" s="176"/>
      <c r="E27" s="177"/>
    </row>
    <row r="28" spans="1:5">
      <c r="A28" s="42" t="s">
        <v>338</v>
      </c>
      <c r="B28" s="172" t="str">
        <f>IF($B$4="","",IFERROR(INDEX('Rework Log'!$S:$S,MATCH($B$4,'Rework Log'!$P:$P,0)),""))</f>
        <v/>
      </c>
      <c r="C28" s="176"/>
      <c r="D28" s="176"/>
      <c r="E28" s="177"/>
    </row>
    <row r="29" spans="1:5">
      <c r="A29" s="42" t="s">
        <v>339</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tabSelected="1" workbookViewId="0">
      <pane ySplit="2" topLeftCell="A29" activePane="bottomLeft" state="frozen"/>
      <selection pane="bottomLeft" activeCell="F37" sqref="F37"/>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340</v>
      </c>
      <c r="B1" s="173"/>
      <c r="C1" s="173"/>
      <c r="D1" s="173"/>
      <c r="E1" s="173"/>
      <c r="F1" s="173"/>
      <c r="G1" s="173"/>
      <c r="H1" s="173"/>
      <c r="I1" s="173"/>
      <c r="J1" s="173"/>
      <c r="K1" s="173"/>
      <c r="L1" s="173"/>
      <c r="M1" s="173"/>
      <c r="P1" s="179" t="s">
        <v>341</v>
      </c>
      <c r="Q1" s="179"/>
      <c r="R1" s="179"/>
      <c r="S1" s="179"/>
      <c r="T1" s="179"/>
    </row>
    <row r="2" spans="1:20" ht="30" customHeight="1">
      <c r="A2" s="17" t="s">
        <v>1</v>
      </c>
      <c r="B2" s="17" t="s">
        <v>342</v>
      </c>
      <c r="C2" s="17" t="s">
        <v>343</v>
      </c>
      <c r="D2" s="17" t="s">
        <v>344</v>
      </c>
      <c r="E2" s="17" t="s">
        <v>345</v>
      </c>
      <c r="F2" s="17" t="s">
        <v>346</v>
      </c>
      <c r="G2" s="17" t="s">
        <v>347</v>
      </c>
      <c r="H2" s="30" t="s">
        <v>348</v>
      </c>
      <c r="I2" s="30" t="s">
        <v>349</v>
      </c>
      <c r="J2" s="30" t="s">
        <v>350</v>
      </c>
      <c r="K2" s="30" t="s">
        <v>351</v>
      </c>
      <c r="L2" s="30" t="s">
        <v>352</v>
      </c>
      <c r="M2" s="21" t="s">
        <v>353</v>
      </c>
      <c r="N2" s="21" t="s">
        <v>354</v>
      </c>
      <c r="P2" s="13" t="s">
        <v>1</v>
      </c>
      <c r="Q2" s="13" t="s">
        <v>336</v>
      </c>
      <c r="R2" s="13" t="s">
        <v>337</v>
      </c>
      <c r="S2" s="13" t="s">
        <v>338</v>
      </c>
      <c r="T2" s="13" t="s">
        <v>339</v>
      </c>
    </row>
    <row r="3" spans="1:20">
      <c r="A3" s="33" t="s">
        <v>144</v>
      </c>
      <c r="B3" s="36">
        <v>46230</v>
      </c>
      <c r="C3" s="33" t="s">
        <v>166</v>
      </c>
      <c r="D3" s="33" t="s">
        <v>183</v>
      </c>
      <c r="E3" s="33" t="s">
        <v>145</v>
      </c>
      <c r="F3" s="33" t="s">
        <v>355</v>
      </c>
      <c r="G3" s="33" t="s">
        <v>50</v>
      </c>
      <c r="H3" s="36"/>
      <c r="I3" s="53"/>
      <c r="J3" s="53"/>
      <c r="K3" s="33"/>
      <c r="L3" s="33"/>
      <c r="M3" s="3" t="str">
        <f ca="1">IF($A3="","",IF($G3="Did not pass re-test","Sent back again",IF(NOT(ISNUMBER($B3)),"Missing sent-back date",IF($J3&lt;&gt;"","Fixed",IF($I3="","UNCLAIMED "&amp;(TODAY()-$B3)&amp;" d",IF(TODAY()&gt;$I3,(TODAY()-$I3)&amp;" d LATE","Open "&amp;(TODAY()-$B3)&amp;" d"))))))</f>
        <v>UNCLAIMED 45 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166</v>
      </c>
      <c r="D4" s="31" t="s">
        <v>183</v>
      </c>
      <c r="E4" s="31" t="s">
        <v>145</v>
      </c>
      <c r="F4" s="31" t="s">
        <v>356</v>
      </c>
      <c r="G4" s="31" t="s">
        <v>50</v>
      </c>
      <c r="H4" s="32"/>
      <c r="I4" s="32"/>
      <c r="J4" s="32">
        <v>46247</v>
      </c>
      <c r="K4" s="31" t="s">
        <v>60</v>
      </c>
      <c r="L4" s="31" t="s">
        <v>357</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166</v>
      </c>
      <c r="D5" s="31" t="s">
        <v>183</v>
      </c>
      <c r="E5" s="31" t="s">
        <v>129</v>
      </c>
      <c r="F5" s="31" t="s">
        <v>358</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166</v>
      </c>
      <c r="D6" s="31" t="s">
        <v>183</v>
      </c>
      <c r="E6" s="31" t="s">
        <v>129</v>
      </c>
      <c r="F6" s="31" t="s">
        <v>359</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166</v>
      </c>
      <c r="D7" s="31" t="s">
        <v>183</v>
      </c>
      <c r="E7" s="31" t="s">
        <v>129</v>
      </c>
      <c r="F7" s="31" t="s">
        <v>360</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166</v>
      </c>
      <c r="D8" s="31" t="s">
        <v>183</v>
      </c>
      <c r="E8" s="31" t="s">
        <v>129</v>
      </c>
      <c r="F8" s="31" t="s">
        <v>361</v>
      </c>
      <c r="G8" s="31" t="s">
        <v>50</v>
      </c>
      <c r="H8" s="32"/>
      <c r="I8" s="32"/>
      <c r="J8" s="32">
        <v>46251</v>
      </c>
      <c r="K8" s="31"/>
      <c r="L8" s="31"/>
      <c r="M8" s="3" t="str">
        <f t="shared" ca="1" si="0"/>
        <v>Fixed</v>
      </c>
      <c r="N8" t="s">
        <v>362</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166</v>
      </c>
      <c r="D9" s="31" t="s">
        <v>183</v>
      </c>
      <c r="E9" s="31" t="s">
        <v>145</v>
      </c>
      <c r="F9" s="31" t="s">
        <v>363</v>
      </c>
      <c r="G9" s="31" t="s">
        <v>50</v>
      </c>
      <c r="H9" s="32"/>
      <c r="I9" s="32"/>
      <c r="J9" s="32">
        <v>46254</v>
      </c>
      <c r="K9" s="31"/>
      <c r="L9" s="31"/>
      <c r="M9" s="3" t="str">
        <f t="shared" ca="1" si="0"/>
        <v>Fixed</v>
      </c>
      <c r="N9" t="s">
        <v>362</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166</v>
      </c>
      <c r="D10" s="31" t="s">
        <v>183</v>
      </c>
      <c r="E10" s="31" t="s">
        <v>145</v>
      </c>
      <c r="F10" s="31" t="s">
        <v>356</v>
      </c>
      <c r="G10" s="31" t="s">
        <v>50</v>
      </c>
      <c r="H10" s="32"/>
      <c r="I10" s="32"/>
      <c r="J10" s="32">
        <v>46252</v>
      </c>
      <c r="K10" s="31"/>
      <c r="L10" s="31"/>
      <c r="M10" s="3" t="str">
        <f t="shared" ca="1" si="0"/>
        <v>Fixed</v>
      </c>
      <c r="N10" t="s">
        <v>362</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166</v>
      </c>
      <c r="D11" s="31" t="s">
        <v>183</v>
      </c>
      <c r="E11" s="31" t="s">
        <v>129</v>
      </c>
      <c r="F11" s="31" t="s">
        <v>358</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166</v>
      </c>
      <c r="D12" s="31" t="s">
        <v>183</v>
      </c>
      <c r="E12" s="31" t="s">
        <v>145</v>
      </c>
      <c r="F12" s="31" t="s">
        <v>364</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365</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166</v>
      </c>
      <c r="D13" s="31" t="s">
        <v>183</v>
      </c>
      <c r="E13" s="31" t="s">
        <v>129</v>
      </c>
      <c r="F13" s="31" t="s">
        <v>366</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166</v>
      </c>
      <c r="D14" s="31" t="s">
        <v>206</v>
      </c>
      <c r="E14" s="31" t="s">
        <v>145</v>
      </c>
      <c r="F14" s="31" t="s">
        <v>367</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166</v>
      </c>
      <c r="D15" s="31" t="s">
        <v>206</v>
      </c>
      <c r="E15" s="31" t="s">
        <v>145</v>
      </c>
      <c r="F15" s="31" t="s">
        <v>368</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166</v>
      </c>
      <c r="D16" s="31" t="s">
        <v>183</v>
      </c>
      <c r="E16" s="31" t="s">
        <v>145</v>
      </c>
      <c r="F16" s="31" t="s">
        <v>369</v>
      </c>
      <c r="G16" s="31" t="s">
        <v>50</v>
      </c>
      <c r="H16" s="32"/>
      <c r="I16" s="32"/>
      <c r="J16" s="32">
        <v>46258</v>
      </c>
      <c r="K16" s="31"/>
      <c r="L16" s="31"/>
      <c r="M16" s="3" t="str">
        <f t="shared" ca="1" si="0"/>
        <v>Fixed</v>
      </c>
      <c r="N16" t="s">
        <v>365</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166</v>
      </c>
      <c r="D17" s="31" t="s">
        <v>206</v>
      </c>
      <c r="E17" s="31" t="s">
        <v>145</v>
      </c>
      <c r="F17" s="31" t="s">
        <v>370</v>
      </c>
      <c r="G17" s="31" t="s">
        <v>50</v>
      </c>
      <c r="H17" s="32"/>
      <c r="I17" s="32"/>
      <c r="J17" s="32"/>
      <c r="K17" s="31"/>
      <c r="L17" s="31"/>
      <c r="M17" s="3"/>
      <c r="S17" s="28"/>
    </row>
    <row r="18" spans="1:20">
      <c r="A18" s="33" t="s">
        <v>182</v>
      </c>
      <c r="B18" s="32">
        <v>46261</v>
      </c>
      <c r="C18" s="31" t="s">
        <v>166</v>
      </c>
      <c r="D18" s="31" t="s">
        <v>183</v>
      </c>
      <c r="E18" s="31" t="s">
        <v>129</v>
      </c>
      <c r="F18" s="31" t="s">
        <v>371</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166</v>
      </c>
      <c r="D19" s="31" t="s">
        <v>206</v>
      </c>
      <c r="E19" s="31" t="s">
        <v>145</v>
      </c>
      <c r="F19" s="31" t="s">
        <v>372</v>
      </c>
      <c r="G19" s="31" t="s">
        <v>50</v>
      </c>
      <c r="H19" s="32"/>
      <c r="I19" s="32"/>
      <c r="J19" s="32">
        <v>46266</v>
      </c>
      <c r="K19" s="31"/>
      <c r="L19" s="31"/>
      <c r="M19" s="3" t="str">
        <f t="shared" ca="1" si="0"/>
        <v>Fixed</v>
      </c>
      <c r="N19" t="s">
        <v>362</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373</v>
      </c>
      <c r="B20" s="32">
        <v>46265</v>
      </c>
      <c r="C20" s="31" t="s">
        <v>166</v>
      </c>
      <c r="D20" s="31" t="s">
        <v>206</v>
      </c>
      <c r="E20" s="31" t="s">
        <v>47</v>
      </c>
      <c r="F20" s="31" t="s">
        <v>374</v>
      </c>
      <c r="G20" s="31" t="s">
        <v>50</v>
      </c>
      <c r="H20" s="32"/>
      <c r="I20" s="32">
        <v>46265</v>
      </c>
      <c r="J20" s="32">
        <v>46265</v>
      </c>
      <c r="K20" s="31" t="s">
        <v>77</v>
      </c>
      <c r="L20" s="31" t="s">
        <v>375</v>
      </c>
      <c r="M20" s="3" t="str">
        <f t="shared" ca="1" si="0"/>
        <v>Fixed</v>
      </c>
      <c r="N20" t="s">
        <v>365</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176</v>
      </c>
      <c r="B21" s="32">
        <v>46265</v>
      </c>
      <c r="C21" s="31" t="s">
        <v>166</v>
      </c>
      <c r="D21" s="31" t="s">
        <v>183</v>
      </c>
      <c r="E21" s="31" t="s">
        <v>47</v>
      </c>
      <c r="F21" s="31" t="s">
        <v>376</v>
      </c>
      <c r="G21" s="31" t="s">
        <v>50</v>
      </c>
      <c r="H21" s="32"/>
      <c r="I21" s="32"/>
      <c r="J21" s="32"/>
      <c r="K21" s="31"/>
      <c r="L21" s="31"/>
      <c r="M21" s="3" t="str">
        <f t="shared" ca="1" si="0"/>
        <v>UNCLAIMED 10 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166</v>
      </c>
      <c r="D22" s="31" t="s">
        <v>183</v>
      </c>
      <c r="E22" s="31" t="s">
        <v>129</v>
      </c>
      <c r="F22" s="31" t="s">
        <v>377</v>
      </c>
      <c r="G22" s="31" t="s">
        <v>50</v>
      </c>
      <c r="H22" s="32"/>
      <c r="I22" s="32"/>
      <c r="J22" s="32">
        <v>46266</v>
      </c>
      <c r="K22" s="31" t="s">
        <v>59</v>
      </c>
      <c r="L22" s="31"/>
      <c r="M22" s="3" t="str">
        <f t="shared" ca="1" si="0"/>
        <v>Fixed</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166</v>
      </c>
      <c r="D23" s="31" t="s">
        <v>206</v>
      </c>
      <c r="E23" s="31" t="s">
        <v>47</v>
      </c>
      <c r="F23" s="31" t="s">
        <v>378</v>
      </c>
      <c r="G23" s="31" t="s">
        <v>50</v>
      </c>
      <c r="H23" s="32"/>
      <c r="I23" s="32"/>
      <c r="J23" s="32"/>
      <c r="K23" s="31" t="s">
        <v>46</v>
      </c>
      <c r="L23" s="31"/>
      <c r="M23" s="3" t="str">
        <f t="shared" ca="1" si="0"/>
        <v>UNCLAIMED 9 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c r="A24" s="31" t="s">
        <v>171</v>
      </c>
      <c r="B24" s="32">
        <v>46266</v>
      </c>
      <c r="C24" s="31" t="s">
        <v>166</v>
      </c>
      <c r="D24" s="31" t="s">
        <v>206</v>
      </c>
      <c r="E24" s="31" t="s">
        <v>47</v>
      </c>
      <c r="F24" s="31" t="s">
        <v>379</v>
      </c>
      <c r="G24" s="31" t="s">
        <v>50</v>
      </c>
      <c r="H24" s="32"/>
      <c r="I24" s="32"/>
      <c r="J24" s="32"/>
      <c r="K24" s="31" t="s">
        <v>46</v>
      </c>
      <c r="L24" s="31"/>
      <c r="M24" s="3" t="str">
        <f t="shared" ca="1" si="0"/>
        <v>UNCLAIMED 9 d</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166</v>
      </c>
      <c r="D25" s="31" t="s">
        <v>206</v>
      </c>
      <c r="E25" s="31" t="s">
        <v>47</v>
      </c>
      <c r="F25" s="77" t="s">
        <v>380</v>
      </c>
      <c r="G25" s="31" t="s">
        <v>50</v>
      </c>
      <c r="H25" s="32"/>
      <c r="I25" s="32"/>
      <c r="J25" s="32"/>
      <c r="K25" s="31" t="s">
        <v>46</v>
      </c>
      <c r="L25" s="31"/>
      <c r="M25" s="3" t="str">
        <f t="shared" ca="1" si="0"/>
        <v>UNCLAIMED 8 d</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166</v>
      </c>
      <c r="D26" s="31" t="s">
        <v>206</v>
      </c>
      <c r="E26" s="31" t="s">
        <v>129</v>
      </c>
      <c r="F26" s="31" t="s">
        <v>381</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8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182</v>
      </c>
      <c r="B27" s="32">
        <v>46267</v>
      </c>
      <c r="C27" s="31" t="s">
        <v>166</v>
      </c>
      <c r="D27" s="31" t="s">
        <v>183</v>
      </c>
      <c r="E27" s="31" t="s">
        <v>129</v>
      </c>
      <c r="F27" s="31" t="s">
        <v>371</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166</v>
      </c>
      <c r="D28" s="31" t="s">
        <v>206</v>
      </c>
      <c r="E28" s="31" t="s">
        <v>145</v>
      </c>
      <c r="F28" s="31" t="s">
        <v>382</v>
      </c>
      <c r="G28" s="31" t="s">
        <v>50</v>
      </c>
      <c r="H28" s="32"/>
      <c r="I28" s="32"/>
      <c r="J28" s="32">
        <v>46267</v>
      </c>
      <c r="K28" s="31" t="s">
        <v>77</v>
      </c>
      <c r="L28" s="31" t="s">
        <v>383</v>
      </c>
      <c r="M28" s="3" t="str">
        <f t="shared" ca="1" si="0"/>
        <v>Fixed</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166</v>
      </c>
      <c r="D29" s="31" t="s">
        <v>206</v>
      </c>
      <c r="E29" s="31" t="s">
        <v>129</v>
      </c>
      <c r="F29" s="31" t="s">
        <v>382</v>
      </c>
      <c r="G29" s="31" t="s">
        <v>50</v>
      </c>
      <c r="H29" s="32"/>
      <c r="I29" s="32"/>
      <c r="J29" s="32">
        <v>46267</v>
      </c>
      <c r="K29" s="31" t="s">
        <v>77</v>
      </c>
      <c r="L29" s="115" t="s">
        <v>383</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166</v>
      </c>
      <c r="D30" s="31" t="s">
        <v>206</v>
      </c>
      <c r="E30" s="31" t="s">
        <v>129</v>
      </c>
      <c r="F30" s="31" t="s">
        <v>382</v>
      </c>
      <c r="G30" s="31" t="s">
        <v>50</v>
      </c>
      <c r="H30" s="32"/>
      <c r="I30" s="32"/>
      <c r="J30" s="32">
        <v>46267</v>
      </c>
      <c r="K30" s="31" t="s">
        <v>77</v>
      </c>
      <c r="L30" s="115" t="s">
        <v>383</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182</v>
      </c>
      <c r="B31" s="32">
        <v>46267</v>
      </c>
      <c r="C31" s="31" t="s">
        <v>166</v>
      </c>
      <c r="D31" s="31" t="s">
        <v>183</v>
      </c>
      <c r="E31" s="31" t="s">
        <v>129</v>
      </c>
      <c r="F31" s="31" t="s">
        <v>384</v>
      </c>
      <c r="G31" s="31" t="s">
        <v>50</v>
      </c>
      <c r="H31" s="32"/>
      <c r="I31" s="32"/>
      <c r="J31" s="32">
        <v>46267</v>
      </c>
      <c r="K31" s="31" t="s">
        <v>156</v>
      </c>
      <c r="L31" s="31"/>
      <c r="M31" s="3" t="str">
        <f t="shared" ca="1" si="0"/>
        <v>Fixed</v>
      </c>
      <c r="N31" t="s">
        <v>365</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166</v>
      </c>
      <c r="D32" s="31" t="s">
        <v>183</v>
      </c>
      <c r="E32" s="31" t="s">
        <v>47</v>
      </c>
      <c r="F32" s="31" t="s">
        <v>385</v>
      </c>
      <c r="G32" s="31" t="s">
        <v>50</v>
      </c>
      <c r="H32" s="32"/>
      <c r="I32" s="32"/>
      <c r="J32" s="32"/>
      <c r="K32" s="31"/>
      <c r="L32" s="31"/>
      <c r="M32" s="3" t="str">
        <f t="shared" ca="1" si="0"/>
        <v>UNCLAIMED 7 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184</v>
      </c>
      <c r="B33" s="32">
        <v>46267</v>
      </c>
      <c r="C33" s="31" t="s">
        <v>166</v>
      </c>
      <c r="D33" s="31" t="s">
        <v>183</v>
      </c>
      <c r="E33" s="31" t="s">
        <v>386</v>
      </c>
      <c r="F33" s="31" t="s">
        <v>387</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166</v>
      </c>
      <c r="D34" s="31" t="s">
        <v>183</v>
      </c>
      <c r="E34" s="31" t="s">
        <v>47</v>
      </c>
      <c r="F34" s="31" t="s">
        <v>388</v>
      </c>
      <c r="G34" s="31" t="s">
        <v>50</v>
      </c>
      <c r="H34" s="32"/>
      <c r="I34" s="32"/>
      <c r="J34" s="32"/>
      <c r="K34" s="31"/>
      <c r="L34" s="31"/>
      <c r="M34" s="3" t="str">
        <f t="shared" ca="1" si="0"/>
        <v>UNCLAIMED 2 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195</v>
      </c>
      <c r="B35" s="32">
        <v>46274</v>
      </c>
      <c r="C35" s="31" t="s">
        <v>166</v>
      </c>
      <c r="D35" s="31" t="s">
        <v>206</v>
      </c>
      <c r="E35" s="31" t="s">
        <v>47</v>
      </c>
      <c r="F35" s="77" t="s">
        <v>389</v>
      </c>
      <c r="G35" s="31" t="s">
        <v>53</v>
      </c>
      <c r="H35" s="32"/>
      <c r="I35" s="32"/>
      <c r="J35" s="32">
        <v>46275</v>
      </c>
      <c r="K35" s="31" t="s">
        <v>77</v>
      </c>
      <c r="L35" s="31" t="s">
        <v>390</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182</v>
      </c>
      <c r="B36" s="32">
        <v>46275</v>
      </c>
      <c r="C36" s="31" t="s">
        <v>166</v>
      </c>
      <c r="D36" s="31" t="s">
        <v>183</v>
      </c>
      <c r="E36" s="31" t="s">
        <v>129</v>
      </c>
      <c r="F36" s="31" t="s">
        <v>391</v>
      </c>
      <c r="G36" s="31" t="s">
        <v>53</v>
      </c>
      <c r="H36" s="32"/>
      <c r="I36" s="32"/>
      <c r="J36" s="32"/>
      <c r="K36" s="31"/>
      <c r="L36" s="31"/>
      <c r="M36" s="3" t="str">
        <f t="shared" ca="1" si="0"/>
        <v>UNCLAIMED 0 d</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166</v>
      </c>
      <c r="D37" s="31" t="s">
        <v>183</v>
      </c>
      <c r="E37" s="31" t="s">
        <v>129</v>
      </c>
      <c r="F37" s="31"/>
      <c r="G37" s="31" t="s">
        <v>53</v>
      </c>
      <c r="H37" s="32"/>
      <c r="I37" s="32"/>
      <c r="J37" s="32"/>
      <c r="K37" s="31"/>
      <c r="L37" s="31"/>
      <c r="M37" s="3" t="str">
        <f t="shared" ca="1" si="0"/>
        <v>UNCLAIMED 0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c r="A38" s="31"/>
      <c r="B38" s="32"/>
      <c r="C38" s="31" t="s">
        <v>166</v>
      </c>
      <c r="D38" s="31"/>
      <c r="E38" s="31"/>
      <c r="F38" s="31"/>
      <c r="G38" s="31" t="s">
        <v>53</v>
      </c>
      <c r="H38" s="32"/>
      <c r="I38" s="32"/>
      <c r="J38" s="32"/>
      <c r="K38" s="31"/>
      <c r="L38" s="31"/>
      <c r="M38" s="3" t="str">
        <f t="shared" ca="1" si="0"/>
        <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c r="B39" s="32"/>
      <c r="C39" s="31" t="s">
        <v>166</v>
      </c>
      <c r="D39" s="31"/>
      <c r="E39" s="31"/>
      <c r="F39" s="31"/>
      <c r="G39" s="31" t="s">
        <v>53</v>
      </c>
      <c r="H39" s="32"/>
      <c r="I39" s="32"/>
      <c r="J39" s="32"/>
      <c r="K39" s="31"/>
      <c r="L39" s="31"/>
      <c r="M39" s="3" t="str">
        <f t="shared" ca="1" si="0"/>
        <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c r="B40" s="32"/>
      <c r="C40" s="31" t="s">
        <v>166</v>
      </c>
      <c r="D40" s="31"/>
      <c r="E40" s="31"/>
      <c r="F40" s="31"/>
      <c r="G40" s="31" t="s">
        <v>53</v>
      </c>
      <c r="H40" s="32"/>
      <c r="I40" s="32"/>
      <c r="J40" s="32"/>
      <c r="K40" s="31"/>
      <c r="L40" s="31"/>
      <c r="M40" s="3" t="str">
        <f t="shared" ca="1" si="0"/>
        <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166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166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166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166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166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166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166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166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166</v>
      </c>
      <c r="D49" s="31"/>
      <c r="E49" s="31"/>
      <c r="F49" s="31"/>
      <c r="G49" s="31" t="s">
        <v>53</v>
      </c>
      <c r="H49" s="32"/>
      <c r="I49" s="32"/>
      <c r="J49" s="32"/>
      <c r="K49" s="31"/>
      <c r="L49" s="31"/>
      <c r="M49" s="3" t="str">
        <f t="shared" ca="1" si="0"/>
        <v/>
      </c>
      <c r="P49" t="str">
        <f>'Combined Delivery Data'!B49</f>
        <v>RPT_02_Large Gas Outage</v>
      </c>
      <c r="Q49">
        <f>IF($P49="","",COUNTIF($A$3:$A$498,$P49))</f>
        <v>4</v>
      </c>
      <c r="R49">
        <f>IF($P49="","",SUMPRODUCT(($A$3:$A$498=$P49)*($G$3:$G$498&lt;&gt;"Yes")*($G$3:$G$498&lt;&gt;"Did not pass re-test")))</f>
        <v>1</v>
      </c>
      <c r="S49" s="28">
        <f>IF($P49="","",IF(SUMPRODUCT(MAX(($A$3:$A$498=$P49)*ROW($A$3:$A$498)))=0,"",INDEX($B:$B,SUMPRODUCT(MAX(($A$3:$A$498=$P49)*ROW($A$3:$A$498))))))</f>
        <v>46275</v>
      </c>
      <c r="T49" t="str">
        <f>IF($P49="","",IF(SUMPRODUCT(MAX(($A$3:$A$498=$P49)*ROW($A$3:$A$498)))=0,"",INDEX($C:$C,SUMPRODUCT(MAX(($A$3:$A$498=$P49)*ROW($A$3:$A$498))))&amp;" -&gt; "&amp;INDEX($D:$D,SUMPRODUCT(MAX(($A$3:$A$498=$P49)*ROW($A$3:$A$498))))))</f>
        <v>QA -&gt; DB Dev</v>
      </c>
    </row>
    <row r="50" spans="1:20">
      <c r="A50" s="31"/>
      <c r="B50" s="32"/>
      <c r="C50" s="31" t="s">
        <v>166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166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166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166</v>
      </c>
      <c r="D53" s="31"/>
      <c r="E53" s="31"/>
      <c r="F53" s="31"/>
      <c r="G53" s="31" t="s">
        <v>53</v>
      </c>
      <c r="H53" s="32"/>
      <c r="I53" s="32"/>
      <c r="J53" s="32"/>
      <c r="K53" s="31"/>
      <c r="L53" s="31"/>
      <c r="M53" s="3" t="str">
        <f t="shared" ca="1" si="0"/>
        <v/>
      </c>
      <c r="P53" t="str">
        <f>'Combined Delivery Data'!B53</f>
        <v>RPT_02_Collector Payment Recap</v>
      </c>
      <c r="Q53">
        <f>IF($P53="","",COUNTIF($A$3:$A$498,$P53))</f>
        <v>0</v>
      </c>
      <c r="R53">
        <f>IF($P53="","",SUMPRODUCT(($A$3:$A$498=$P53)*($G$3:$G$498&lt;&gt;"Yes")*($G$3:$G$498&lt;&gt;"Did not pass re-test")))</f>
        <v>0</v>
      </c>
      <c r="S53" s="28" t="str">
        <f>IF($P53="","",IF(SUMPRODUCT(MAX(($A$3:$A$498=$P53)*ROW($A$3:$A$498)))=0,"",INDEX($B:$B,SUMPRODUCT(MAX(($A$3:$A$498=$P53)*ROW($A$3:$A$498))))))</f>
        <v/>
      </c>
      <c r="T53" t="str">
        <f>IF($P53="","",IF(SUMPRODUCT(MAX(($A$3:$A$498=$P53)*ROW($A$3:$A$498)))=0,"",INDEX($C:$C,SUMPRODUCT(MAX(($A$3:$A$498=$P53)*ROW($A$3:$A$498))))&amp;" -&gt; "&amp;INDEX($D:$D,SUMPRODUCT(MAX(($A$3:$A$498=$P53)*ROW($A$3:$A$498))))))</f>
        <v/>
      </c>
    </row>
    <row r="54" spans="1:20">
      <c r="A54" s="31"/>
      <c r="B54" s="32"/>
      <c r="C54" s="31" t="s">
        <v>166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166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1</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166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166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166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166</v>
      </c>
      <c r="D59" s="31"/>
      <c r="E59" s="31"/>
      <c r="F59" s="31"/>
      <c r="G59" s="31" t="s">
        <v>53</v>
      </c>
      <c r="H59" s="32"/>
      <c r="I59" s="32"/>
      <c r="J59" s="32"/>
      <c r="K59" s="31"/>
      <c r="L59" s="31"/>
      <c r="M59" s="3" t="str">
        <f t="shared" ca="1" si="0"/>
        <v/>
      </c>
      <c r="P59" t="str">
        <f>'Combined Delivery Data'!B59</f>
        <v>RPT_02_Cut Out Curb Box</v>
      </c>
      <c r="Q59">
        <f>IF($P59="","",COUNTIF($A$3:$A$498,$P59))</f>
        <v>0</v>
      </c>
      <c r="R59">
        <f>IF($P59="","",SUMPRODUCT(($A$3:$A$498=$P59)*($G$3:$G$498&lt;&gt;"Yes")*($G$3:$G$498&lt;&gt;"Did not pass re-test")))</f>
        <v>0</v>
      </c>
      <c r="S59" s="28" t="str">
        <f>IF($P59="","",IF(SUMPRODUCT(MAX(($A$3:$A$498=$P59)*ROW($A$3:$A$498)))=0,"",INDEX($B:$B,SUMPRODUCT(MAX(($A$3:$A$498=$P59)*ROW($A$3:$A$498))))))</f>
        <v/>
      </c>
      <c r="T59" t="str">
        <f>IF($P59="","",IF(SUMPRODUCT(MAX(($A$3:$A$498=$P59)*ROW($A$3:$A$498)))=0,"",INDEX($C:$C,SUMPRODUCT(MAX(($A$3:$A$498=$P59)*ROW($A$3:$A$498))))&amp;" -&gt; "&amp;INDEX($D:$D,SUMPRODUCT(MAX(($A$3:$A$498=$P59)*ROW($A$3:$A$498))))))</f>
        <v/>
      </c>
    </row>
    <row r="60" spans="1:20">
      <c r="A60" s="31"/>
      <c r="B60" s="32"/>
      <c r="C60" s="31" t="s">
        <v>166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166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166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166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166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166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166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166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166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166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166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166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166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166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166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166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166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166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166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166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166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166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166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166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166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166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166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166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166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166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461</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166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461</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166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461</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166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461</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166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461</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166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461</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166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461</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166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461</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166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461</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166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461</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166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461</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461</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461</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461</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461</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461</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461</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461</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461</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461</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461</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461</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461</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461</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461</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461</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461</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461</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461</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461</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461</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461</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461</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461</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461</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461</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461</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461</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461</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461</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166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461</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166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461</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461</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461</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461</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461</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461</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461</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461</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461</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461</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461</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461</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461</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461</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461</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461</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461</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461</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461</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461</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461</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461</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461</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461</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461</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461</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461</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461</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461</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461</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461</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461</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461</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461</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461</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461</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461</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461</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461</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461</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461</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461</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461</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461</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461</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461</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461</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461</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461</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461</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461</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461</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461</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461</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461</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461</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461</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461</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461</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461</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461</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461</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461</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166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461</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166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461</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461</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461</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461</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461</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461</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461</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461</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461</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461</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461</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461</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461</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461</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461</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461</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461</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461</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461</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461</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461</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461</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461</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461</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461</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461</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461</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461</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461</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461</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461</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461</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461</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461</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461</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461</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461</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461</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461</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461</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461</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461</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461</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461</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461</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461</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461</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461</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461</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461</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461</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461</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461</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461</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461</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461</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461</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461</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461</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461</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461</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461</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461</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461</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461</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461</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461</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461</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461</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461</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461</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461</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461</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461</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461</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461</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461</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461</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461</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461</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461</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461</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461</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461</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461</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461</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461</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461</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461</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461</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461</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461</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461</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461</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461</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461</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461</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461</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461</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461</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461</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461</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461</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461</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461</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461</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461</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461</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461</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461</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461</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461</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461</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461</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461</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461</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461</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461</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461</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461</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461</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461</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461</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461</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461</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461</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461</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461</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461</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461</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461</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461</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461</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461</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461</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461</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461</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461</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461</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461</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461</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461</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461</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461</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461</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461</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461</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461</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461</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461</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461</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461</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461</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461</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461</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461</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461</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461</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461</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461</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461</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461</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461</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461</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461</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461</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461</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461</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461</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461</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461</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461</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461</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461</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461</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461</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461</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461</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461</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461</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461</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461</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461</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461</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461</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461</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461</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461</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461</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461</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461</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461</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461</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461</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461</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461</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461</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461</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461</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461</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461</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461</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461</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461</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461</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461</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461</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461</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461</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461</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461</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461</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461</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461</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461</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461</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461</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461</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461</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461</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461</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461</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461</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461</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461</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461</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461</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461</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461</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461</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461</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461</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461</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461</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461</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461</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461</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461</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461</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461</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461</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461</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461</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461</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461</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461</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461</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461</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461</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461</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461</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461</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461</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461</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461</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461</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461</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461</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461</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461</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461</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461</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461</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461</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461</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461</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461</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461</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461</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461</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461</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461</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461</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461</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461</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461</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461</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461</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461</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461</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461</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461</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461</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461</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461</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461</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461</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461</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461</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461</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461</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461</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461</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461</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461</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461</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461</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461</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461</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461</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461</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461</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461</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461</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461</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19" priority="13">
      <formula>AND($B5&lt;&gt;"",MOD(ROW(),2)=0)</formula>
    </cfRule>
  </conditionalFormatting>
  <conditionalFormatting sqref="A11:A13">
    <cfRule type="expression" dxfId="18" priority="10">
      <formula>AND($B11&lt;&gt;"",MOD(ROW(),2)=0)</formula>
    </cfRule>
  </conditionalFormatting>
  <conditionalFormatting sqref="A3:H3 K3:M3 A4:M4 M4:M11 B5:M8 A9:M10 B11:M13 A14:M17 A19:M21 B18:M18 B22:M22 A23:M25 B26:M27 A28:M28 A29:K30 M29:M30 B31:M31 A32:M35 A38:M498 B36:M37">
    <cfRule type="expression" dxfId="17" priority="23">
      <formula>AND($A3&lt;&gt;"",$G3="Yes")</formula>
    </cfRule>
    <cfRule type="expression" dxfId="16" priority="24">
      <formula>AND($A3&lt;&gt;"",$J3&lt;&gt;"")</formula>
    </cfRule>
    <cfRule type="expression" dxfId="15" priority="25">
      <formula>$A3&lt;&gt;""</formula>
    </cfRule>
  </conditionalFormatting>
  <conditionalFormatting sqref="C3:C198 G3:G198">
    <cfRule type="expression" dxfId="14" priority="26">
      <formula>$A3=""</formula>
    </cfRule>
  </conditionalFormatting>
  <conditionalFormatting sqref="K3:M3 A4:M4 M4:M11 B5:M8 A9:M10 B11:M13 A14:M17 A3:H3 A19:M21 B18:M18 B22:M22 A23:M25 B26:M27 A28:M28 A29:K30 M29:M30 B31:M31 A32:M35 A38:M498 B36:M37">
    <cfRule type="expression" dxfId="13" priority="22">
      <formula>AND($A3&lt;&gt;"",$G3="Did not pass re-test")</formula>
    </cfRule>
  </conditionalFormatting>
  <conditionalFormatting sqref="M3:M498">
    <cfRule type="expression" dxfId="12" priority="16">
      <formula>ISNUMBER(SEARCH("Sent back again",$M3))</formula>
    </cfRule>
    <cfRule type="expression" dxfId="11" priority="17">
      <formula>ISNUMBER(SEARCH("LATE",$M3))</formula>
    </cfRule>
    <cfRule type="expression" dxfId="10" priority="18">
      <formula>ISNUMBER(SEARCH("UNCLAIMED",$M3))</formula>
    </cfRule>
    <cfRule type="expression" dxfId="9" priority="19">
      <formula>ISNUMBER(SEARCH("Missing",$M3))</formula>
    </cfRule>
    <cfRule type="expression" dxfId="8" priority="20">
      <formula>ISNUMBER(SEARCH("Fixed in",$M3))</formula>
    </cfRule>
    <cfRule type="expression" dxfId="7" priority="21">
      <formula>ISNUMBER(SEARCH("Open",$M3))</formula>
    </cfRule>
  </conditionalFormatting>
  <conditionalFormatting sqref="A18">
    <cfRule type="expression" dxfId="6" priority="9">
      <formula>AND($B18&lt;&gt;"",MOD(ROW(),2)=0)</formula>
    </cfRule>
  </conditionalFormatting>
  <conditionalFormatting sqref="A22">
    <cfRule type="expression" dxfId="5" priority="7">
      <formula>AND($B22&lt;&gt;"",MOD(ROW(),2)=0)</formula>
    </cfRule>
  </conditionalFormatting>
  <conditionalFormatting sqref="A26">
    <cfRule type="expression" dxfId="4" priority="6">
      <formula>AND($B26&lt;&gt;"",MOD(ROW(),2)=0)</formula>
    </cfRule>
  </conditionalFormatting>
  <conditionalFormatting sqref="A27">
    <cfRule type="expression" dxfId="3" priority="5">
      <formula>AND($B27&lt;&gt;"",MOD(ROW(),2)=0)</formula>
    </cfRule>
  </conditionalFormatting>
  <conditionalFormatting sqref="A31">
    <cfRule type="expression" dxfId="2" priority="4">
      <formula>AND($B31&lt;&gt;"",MOD(ROW(),2)=0)</formula>
    </cfRule>
  </conditionalFormatting>
  <conditionalFormatting sqref="A36">
    <cfRule type="expression" dxfId="1" priority="2">
      <formula>AND($B36&lt;&gt;"",MOD(ROW(),2)=0)</formula>
    </cfRule>
  </conditionalFormatting>
  <conditionalFormatting sqref="A37">
    <cfRule type="expression" dxfId="0" priority="1">
      <formula>AND($B37&lt;&gt;"",MOD(ROW(),2)=0)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A38:A498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0" t="s">
        <v>392</v>
      </c>
      <c r="B1" s="175"/>
      <c r="C1" s="175"/>
      <c r="D1" s="175"/>
      <c r="E1" s="175"/>
      <c r="F1" s="175"/>
      <c r="G1" s="175"/>
      <c r="H1" s="175"/>
      <c r="I1" s="175"/>
      <c r="J1" s="175"/>
    </row>
    <row r="2" spans="1:10" ht="27" customHeight="1">
      <c r="A2" s="8" t="s">
        <v>0</v>
      </c>
      <c r="B2" s="8" t="s">
        <v>393</v>
      </c>
      <c r="C2" s="8" t="s">
        <v>1</v>
      </c>
      <c r="D2" s="8" t="s">
        <v>394</v>
      </c>
      <c r="E2" s="8" t="s">
        <v>395</v>
      </c>
      <c r="F2" s="8" t="s">
        <v>6</v>
      </c>
      <c r="G2" s="8" t="s">
        <v>5</v>
      </c>
      <c r="H2" s="8" t="s">
        <v>396</v>
      </c>
      <c r="I2" s="8" t="s">
        <v>397</v>
      </c>
      <c r="J2" s="8" t="s">
        <v>398</v>
      </c>
    </row>
    <row r="3" spans="1:10" ht="14.25" customHeight="1">
      <c r="A3" s="9" t="s">
        <v>40</v>
      </c>
      <c r="B3" s="9" t="s">
        <v>183</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128</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183</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128</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183</v>
      </c>
      <c r="C13" s="9" t="s">
        <v>399</v>
      </c>
      <c r="D13" s="9" t="s">
        <v>400</v>
      </c>
      <c r="E13" s="9" t="s">
        <v>46</v>
      </c>
      <c r="F13" s="9"/>
      <c r="G13" s="9"/>
      <c r="H13" s="10"/>
      <c r="I13" s="10">
        <v>46115</v>
      </c>
      <c r="J13" s="10">
        <v>46115</v>
      </c>
    </row>
    <row r="14" spans="1:10" ht="14.25" customHeight="1">
      <c r="A14" s="9" t="s">
        <v>40</v>
      </c>
      <c r="B14" s="9" t="s">
        <v>206</v>
      </c>
      <c r="C14" s="9" t="s">
        <v>399</v>
      </c>
      <c r="D14" s="9" t="s">
        <v>400</v>
      </c>
      <c r="E14" s="9" t="s">
        <v>46</v>
      </c>
      <c r="F14" s="9"/>
      <c r="G14" s="9"/>
      <c r="H14" s="10">
        <v>46115</v>
      </c>
      <c r="I14" s="10">
        <v>46120</v>
      </c>
      <c r="J14" s="10">
        <v>46120</v>
      </c>
    </row>
    <row r="15" spans="1:10" ht="14.25" customHeight="1">
      <c r="A15" s="9" t="s">
        <v>40</v>
      </c>
      <c r="B15" s="9" t="s">
        <v>166</v>
      </c>
      <c r="C15" s="9" t="s">
        <v>399</v>
      </c>
      <c r="D15" s="9" t="s">
        <v>400</v>
      </c>
      <c r="E15" s="9" t="s">
        <v>46</v>
      </c>
      <c r="F15" s="9"/>
      <c r="G15" s="9"/>
      <c r="H15" s="10">
        <v>46120</v>
      </c>
      <c r="I15" s="10">
        <v>46122</v>
      </c>
      <c r="J15" s="10">
        <v>46122</v>
      </c>
    </row>
    <row r="16" spans="1:10" ht="14.25" customHeight="1">
      <c r="A16" s="9" t="s">
        <v>40</v>
      </c>
      <c r="B16" s="9" t="s">
        <v>128</v>
      </c>
      <c r="C16" s="9" t="s">
        <v>399</v>
      </c>
      <c r="D16" s="9" t="s">
        <v>400</v>
      </c>
      <c r="E16" s="9" t="s">
        <v>46</v>
      </c>
      <c r="F16" s="9"/>
      <c r="G16" s="9"/>
      <c r="H16" s="10">
        <v>46122</v>
      </c>
      <c r="I16" s="10"/>
      <c r="J16" s="10"/>
    </row>
    <row r="17" spans="1:10" ht="14.25" customHeight="1">
      <c r="A17" s="9" t="s">
        <v>40</v>
      </c>
      <c r="B17" s="9" t="s">
        <v>42</v>
      </c>
      <c r="C17" s="9" t="s">
        <v>399</v>
      </c>
      <c r="D17" s="9" t="s">
        <v>400</v>
      </c>
      <c r="E17" s="9" t="s">
        <v>46</v>
      </c>
      <c r="F17" s="9"/>
      <c r="G17" s="9"/>
      <c r="H17" s="10"/>
      <c r="I17" s="10"/>
      <c r="J17" s="10"/>
    </row>
    <row r="18" spans="1:10" ht="14.25" customHeight="1">
      <c r="A18" s="9" t="s">
        <v>40</v>
      </c>
      <c r="B18" s="9" t="s">
        <v>183</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128</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183</v>
      </c>
      <c r="C23" s="9" t="s">
        <v>64</v>
      </c>
      <c r="D23" s="9" t="s">
        <v>400</v>
      </c>
      <c r="E23" s="9" t="s">
        <v>46</v>
      </c>
      <c r="F23" s="9"/>
      <c r="G23" s="9"/>
      <c r="H23" s="10"/>
      <c r="I23" s="10">
        <v>46115</v>
      </c>
      <c r="J23" s="10">
        <v>46115</v>
      </c>
    </row>
    <row r="24" spans="1:10" ht="14.25" customHeight="1">
      <c r="A24" s="9" t="s">
        <v>40</v>
      </c>
      <c r="B24" s="9" t="s">
        <v>206</v>
      </c>
      <c r="C24" s="9" t="s">
        <v>64</v>
      </c>
      <c r="D24" s="9" t="s">
        <v>400</v>
      </c>
      <c r="E24" s="9" t="s">
        <v>46</v>
      </c>
      <c r="F24" s="9"/>
      <c r="G24" s="9"/>
      <c r="H24" s="10">
        <v>46115</v>
      </c>
      <c r="I24" s="10">
        <v>46120</v>
      </c>
      <c r="J24" s="10">
        <v>46120</v>
      </c>
    </row>
    <row r="25" spans="1:10" ht="14.25" customHeight="1">
      <c r="A25" s="9" t="s">
        <v>40</v>
      </c>
      <c r="B25" s="9" t="s">
        <v>166</v>
      </c>
      <c r="C25" s="9" t="s">
        <v>64</v>
      </c>
      <c r="D25" s="9" t="s">
        <v>400</v>
      </c>
      <c r="E25" s="9" t="s">
        <v>46</v>
      </c>
      <c r="F25" s="9"/>
      <c r="G25" s="9"/>
      <c r="H25" s="10">
        <v>46120</v>
      </c>
      <c r="I25" s="10">
        <v>46122</v>
      </c>
      <c r="J25" s="10">
        <v>46122</v>
      </c>
    </row>
    <row r="26" spans="1:10" ht="14.25" customHeight="1">
      <c r="A26" s="9" t="s">
        <v>40</v>
      </c>
      <c r="B26" s="9" t="s">
        <v>128</v>
      </c>
      <c r="C26" s="9" t="s">
        <v>64</v>
      </c>
      <c r="D26" s="9" t="s">
        <v>400</v>
      </c>
      <c r="E26" s="9" t="s">
        <v>46</v>
      </c>
      <c r="F26" s="9"/>
      <c r="G26" s="9"/>
      <c r="H26" s="10">
        <v>46122</v>
      </c>
      <c r="I26" s="10"/>
      <c r="J26" s="10"/>
    </row>
    <row r="27" spans="1:10" ht="14.25" customHeight="1">
      <c r="A27" s="9" t="s">
        <v>40</v>
      </c>
      <c r="B27" s="9" t="s">
        <v>42</v>
      </c>
      <c r="C27" s="9" t="s">
        <v>64</v>
      </c>
      <c r="D27" s="9" t="s">
        <v>400</v>
      </c>
      <c r="E27" s="9" t="s">
        <v>46</v>
      </c>
      <c r="F27" s="9"/>
      <c r="G27" s="9"/>
      <c r="H27" s="10"/>
      <c r="I27" s="10"/>
      <c r="J27" s="10"/>
    </row>
    <row r="28" spans="1:10" ht="14.25" customHeight="1">
      <c r="A28" s="9" t="s">
        <v>40</v>
      </c>
      <c r="B28" s="9" t="s">
        <v>183</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128</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183</v>
      </c>
      <c r="C33" s="9" t="s">
        <v>70</v>
      </c>
      <c r="D33" s="9" t="s">
        <v>400</v>
      </c>
      <c r="E33" s="9" t="s">
        <v>60</v>
      </c>
      <c r="F33" s="9"/>
      <c r="G33" s="9"/>
      <c r="H33" s="10"/>
      <c r="I33" s="10">
        <v>46122</v>
      </c>
      <c r="J33" s="10">
        <v>46122</v>
      </c>
    </row>
    <row r="34" spans="1:10" ht="14.25" customHeight="1">
      <c r="A34" s="9" t="s">
        <v>40</v>
      </c>
      <c r="B34" s="9" t="s">
        <v>206</v>
      </c>
      <c r="C34" s="9" t="s">
        <v>70</v>
      </c>
      <c r="D34" s="9" t="s">
        <v>400</v>
      </c>
      <c r="E34" s="9" t="s">
        <v>60</v>
      </c>
      <c r="F34" s="9"/>
      <c r="G34" s="9"/>
      <c r="H34" s="10">
        <v>46122</v>
      </c>
      <c r="I34" s="10">
        <v>46126</v>
      </c>
      <c r="J34" s="10">
        <v>46126</v>
      </c>
    </row>
    <row r="35" spans="1:10" ht="14.25" customHeight="1">
      <c r="A35" s="9" t="s">
        <v>40</v>
      </c>
      <c r="B35" s="9" t="s">
        <v>166</v>
      </c>
      <c r="C35" s="9" t="s">
        <v>70</v>
      </c>
      <c r="D35" s="9" t="s">
        <v>400</v>
      </c>
      <c r="E35" s="9" t="s">
        <v>60</v>
      </c>
      <c r="F35" s="9"/>
      <c r="G35" s="9"/>
      <c r="H35" s="10">
        <v>46126</v>
      </c>
      <c r="I35" s="10">
        <v>46122</v>
      </c>
      <c r="J35" s="10">
        <v>46122</v>
      </c>
    </row>
    <row r="36" spans="1:10" ht="14.25" customHeight="1">
      <c r="A36" s="9" t="s">
        <v>40</v>
      </c>
      <c r="B36" s="9" t="s">
        <v>128</v>
      </c>
      <c r="C36" s="9" t="s">
        <v>70</v>
      </c>
      <c r="D36" s="9" t="s">
        <v>400</v>
      </c>
      <c r="E36" s="9" t="s">
        <v>60</v>
      </c>
      <c r="F36" s="9"/>
      <c r="G36" s="9"/>
      <c r="H36" s="10">
        <v>46122</v>
      </c>
      <c r="I36" s="10"/>
      <c r="J36" s="10"/>
    </row>
    <row r="37" spans="1:10" ht="14.25" customHeight="1">
      <c r="A37" s="9" t="s">
        <v>40</v>
      </c>
      <c r="B37" s="9" t="s">
        <v>42</v>
      </c>
      <c r="C37" s="9" t="s">
        <v>70</v>
      </c>
      <c r="D37" s="9" t="s">
        <v>400</v>
      </c>
      <c r="E37" s="9" t="s">
        <v>60</v>
      </c>
      <c r="F37" s="9"/>
      <c r="G37" s="9"/>
      <c r="H37" s="10"/>
      <c r="I37" s="10"/>
      <c r="J37" s="10"/>
    </row>
    <row r="38" spans="1:10" ht="14.25" customHeight="1">
      <c r="A38" s="9" t="s">
        <v>40</v>
      </c>
      <c r="B38" s="9" t="s">
        <v>183</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128</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183</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128</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183</v>
      </c>
      <c r="C48" s="9" t="s">
        <v>97</v>
      </c>
      <c r="D48" s="9" t="s">
        <v>400</v>
      </c>
      <c r="E48" s="9" t="s">
        <v>60</v>
      </c>
      <c r="F48" s="9"/>
      <c r="G48" s="9"/>
      <c r="H48" s="10"/>
      <c r="I48" s="10"/>
      <c r="J48" s="10"/>
    </row>
    <row r="49" spans="1:10" ht="14.25" customHeight="1">
      <c r="A49" s="9" t="s">
        <v>40</v>
      </c>
      <c r="B49" s="9" t="s">
        <v>206</v>
      </c>
      <c r="C49" s="9" t="s">
        <v>97</v>
      </c>
      <c r="D49" s="9" t="s">
        <v>400</v>
      </c>
      <c r="E49" s="9" t="s">
        <v>60</v>
      </c>
      <c r="F49" s="9"/>
      <c r="G49" s="9"/>
      <c r="H49" s="10"/>
      <c r="I49" s="10">
        <v>46139</v>
      </c>
      <c r="J49" s="10">
        <v>46139</v>
      </c>
    </row>
    <row r="50" spans="1:10" ht="14.25" customHeight="1">
      <c r="A50" s="9" t="s">
        <v>40</v>
      </c>
      <c r="B50" s="9" t="s">
        <v>166</v>
      </c>
      <c r="C50" s="9" t="s">
        <v>97</v>
      </c>
      <c r="D50" s="9" t="s">
        <v>400</v>
      </c>
      <c r="E50" s="9" t="s">
        <v>60</v>
      </c>
      <c r="F50" s="9"/>
      <c r="G50" s="9"/>
      <c r="H50" s="10">
        <v>46139</v>
      </c>
      <c r="I50" s="10">
        <v>46139</v>
      </c>
      <c r="J50" s="10">
        <v>46139</v>
      </c>
    </row>
    <row r="51" spans="1:10" ht="14.25" customHeight="1">
      <c r="A51" s="9" t="s">
        <v>40</v>
      </c>
      <c r="B51" s="9" t="s">
        <v>128</v>
      </c>
      <c r="C51" s="9" t="s">
        <v>97</v>
      </c>
      <c r="D51" s="9" t="s">
        <v>400</v>
      </c>
      <c r="E51" s="9" t="s">
        <v>60</v>
      </c>
      <c r="F51" s="9"/>
      <c r="G51" s="9"/>
      <c r="H51" s="10">
        <v>46139</v>
      </c>
      <c r="I51" s="10"/>
      <c r="J51" s="10"/>
    </row>
    <row r="52" spans="1:10" ht="14.25" customHeight="1">
      <c r="A52" s="9" t="s">
        <v>40</v>
      </c>
      <c r="B52" s="9" t="s">
        <v>42</v>
      </c>
      <c r="C52" s="9" t="s">
        <v>97</v>
      </c>
      <c r="D52" s="9" t="s">
        <v>400</v>
      </c>
      <c r="E52" s="9" t="s">
        <v>60</v>
      </c>
      <c r="F52" s="9"/>
      <c r="G52" s="9"/>
      <c r="H52" s="10"/>
      <c r="I52" s="10"/>
      <c r="J52" s="10"/>
    </row>
    <row r="53" spans="1:10" ht="14.25" customHeight="1">
      <c r="A53" s="9" t="s">
        <v>40</v>
      </c>
      <c r="B53" s="9" t="s">
        <v>183</v>
      </c>
      <c r="C53" s="9" t="s">
        <v>98</v>
      </c>
      <c r="D53" s="9" t="s">
        <v>400</v>
      </c>
      <c r="E53" s="9" t="s">
        <v>60</v>
      </c>
      <c r="F53" s="9"/>
      <c r="G53" s="9"/>
      <c r="H53" s="10"/>
      <c r="I53" s="10"/>
      <c r="J53" s="10"/>
    </row>
    <row r="54" spans="1:10" ht="14.25" customHeight="1">
      <c r="A54" s="9" t="s">
        <v>40</v>
      </c>
      <c r="B54" s="9" t="s">
        <v>206</v>
      </c>
      <c r="C54" s="9" t="s">
        <v>98</v>
      </c>
      <c r="D54" s="9" t="s">
        <v>400</v>
      </c>
      <c r="E54" s="9" t="s">
        <v>60</v>
      </c>
      <c r="F54" s="9"/>
      <c r="G54" s="9"/>
      <c r="H54" s="9"/>
      <c r="I54" s="10">
        <v>46141</v>
      </c>
      <c r="J54" s="10">
        <v>46141</v>
      </c>
    </row>
    <row r="55" spans="1:10" ht="14.25" customHeight="1">
      <c r="A55" s="9" t="s">
        <v>40</v>
      </c>
      <c r="B55" s="9" t="s">
        <v>166</v>
      </c>
      <c r="C55" s="9" t="s">
        <v>98</v>
      </c>
      <c r="D55" s="9" t="s">
        <v>400</v>
      </c>
      <c r="E55" s="9" t="s">
        <v>60</v>
      </c>
      <c r="F55" s="9"/>
      <c r="G55" s="9"/>
      <c r="H55" s="10">
        <v>46141</v>
      </c>
      <c r="I55" s="10">
        <v>46141</v>
      </c>
      <c r="J55" s="10">
        <v>46141</v>
      </c>
    </row>
    <row r="56" spans="1:10" ht="14.25" customHeight="1">
      <c r="A56" s="9" t="s">
        <v>40</v>
      </c>
      <c r="B56" s="9" t="s">
        <v>128</v>
      </c>
      <c r="C56" s="9" t="s">
        <v>98</v>
      </c>
      <c r="D56" s="9" t="s">
        <v>400</v>
      </c>
      <c r="E56" s="9" t="s">
        <v>60</v>
      </c>
      <c r="F56" s="9"/>
      <c r="G56" s="9"/>
      <c r="H56" s="10">
        <v>46141</v>
      </c>
      <c r="I56" s="10"/>
      <c r="J56" s="10"/>
    </row>
    <row r="57" spans="1:10" ht="14.25" customHeight="1">
      <c r="A57" s="9" t="s">
        <v>40</v>
      </c>
      <c r="B57" s="9" t="s">
        <v>42</v>
      </c>
      <c r="C57" s="9" t="s">
        <v>98</v>
      </c>
      <c r="D57" s="9" t="s">
        <v>400</v>
      </c>
      <c r="E57" s="9" t="s">
        <v>60</v>
      </c>
      <c r="F57" s="9"/>
      <c r="G57" s="9"/>
      <c r="H57" s="10"/>
      <c r="I57" s="10"/>
      <c r="J57" s="10"/>
    </row>
    <row r="58" spans="1:10" ht="14.25" customHeight="1">
      <c r="A58" s="9" t="s">
        <v>40</v>
      </c>
      <c r="B58" s="9" t="s">
        <v>183</v>
      </c>
      <c r="C58" s="9" t="s">
        <v>99</v>
      </c>
      <c r="D58" s="9" t="s">
        <v>400</v>
      </c>
      <c r="E58" s="9" t="s">
        <v>46</v>
      </c>
      <c r="F58" s="9"/>
      <c r="G58" s="9"/>
      <c r="H58" s="9"/>
      <c r="I58" s="10"/>
      <c r="J58" s="10"/>
    </row>
    <row r="59" spans="1:10" ht="14.25" customHeight="1">
      <c r="A59" s="9" t="s">
        <v>40</v>
      </c>
      <c r="B59" s="9" t="s">
        <v>206</v>
      </c>
      <c r="C59" s="9" t="s">
        <v>99</v>
      </c>
      <c r="D59" s="9" t="s">
        <v>400</v>
      </c>
      <c r="E59" s="9" t="s">
        <v>46</v>
      </c>
      <c r="F59" s="9"/>
      <c r="G59" s="9"/>
      <c r="H59" s="10"/>
      <c r="I59" s="10">
        <v>46161</v>
      </c>
      <c r="J59" s="10">
        <v>46161</v>
      </c>
    </row>
    <row r="60" spans="1:10" ht="14.25" customHeight="1">
      <c r="A60" s="9" t="s">
        <v>40</v>
      </c>
      <c r="B60" s="9" t="s">
        <v>166</v>
      </c>
      <c r="C60" s="9" t="s">
        <v>99</v>
      </c>
      <c r="D60" s="9" t="s">
        <v>400</v>
      </c>
      <c r="E60" s="9" t="s">
        <v>46</v>
      </c>
      <c r="F60" s="9"/>
      <c r="G60" s="9"/>
      <c r="H60" s="10">
        <v>46161</v>
      </c>
      <c r="I60" s="10">
        <v>46161</v>
      </c>
      <c r="J60" s="10">
        <v>46161</v>
      </c>
    </row>
    <row r="61" spans="1:10" ht="14.25" customHeight="1">
      <c r="A61" s="9" t="s">
        <v>40</v>
      </c>
      <c r="B61" s="9" t="s">
        <v>128</v>
      </c>
      <c r="C61" s="9" t="s">
        <v>99</v>
      </c>
      <c r="D61" s="9" t="s">
        <v>400</v>
      </c>
      <c r="E61" s="9" t="s">
        <v>46</v>
      </c>
      <c r="F61" s="9"/>
      <c r="G61" s="9"/>
      <c r="H61" s="10">
        <v>46161</v>
      </c>
      <c r="I61" s="10"/>
      <c r="J61" s="10"/>
    </row>
    <row r="62" spans="1:10" ht="14.25" customHeight="1">
      <c r="A62" s="9" t="s">
        <v>40</v>
      </c>
      <c r="B62" s="9" t="s">
        <v>42</v>
      </c>
      <c r="C62" s="9" t="s">
        <v>99</v>
      </c>
      <c r="D62" s="9" t="s">
        <v>400</v>
      </c>
      <c r="E62" s="9" t="s">
        <v>46</v>
      </c>
      <c r="F62" s="9"/>
      <c r="G62" s="9"/>
      <c r="H62" s="9"/>
      <c r="I62" s="10"/>
      <c r="J62" s="10"/>
    </row>
    <row r="63" spans="1:10" ht="14.25" customHeight="1">
      <c r="A63" s="9" t="s">
        <v>40</v>
      </c>
      <c r="B63" s="9" t="s">
        <v>183</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128</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183</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128</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183</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128</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183</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128</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183</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128</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183</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128</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183</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128</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183</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128</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183</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128</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183</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128</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183</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128</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183</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183</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128</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183</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128</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183</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128</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183</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128</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183</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183</v>
      </c>
      <c r="C144" s="9" t="s">
        <v>134</v>
      </c>
      <c r="D144" s="9" t="s">
        <v>65</v>
      </c>
      <c r="E144" s="9" t="s">
        <v>77</v>
      </c>
      <c r="F144" s="9"/>
      <c r="G144" s="9" t="s">
        <v>129</v>
      </c>
      <c r="H144" s="9"/>
      <c r="I144" s="9"/>
      <c r="J144" s="9"/>
    </row>
    <row r="145" spans="1:10" ht="14.25" customHeight="1">
      <c r="A145" s="9" t="s">
        <v>126</v>
      </c>
      <c r="B145" s="9" t="s">
        <v>206</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183</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183</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183</v>
      </c>
      <c r="C153" s="9" t="s">
        <v>142</v>
      </c>
      <c r="D153" s="9" t="s">
        <v>103</v>
      </c>
      <c r="E153" s="9" t="s">
        <v>77</v>
      </c>
      <c r="F153" s="9"/>
      <c r="G153" s="9" t="s">
        <v>129</v>
      </c>
      <c r="H153" s="9"/>
      <c r="I153" s="9"/>
      <c r="J153" s="9"/>
    </row>
    <row r="154" spans="1:10" ht="14.25" customHeight="1">
      <c r="A154" s="9" t="s">
        <v>126</v>
      </c>
      <c r="B154" s="9" t="s">
        <v>206</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183</v>
      </c>
      <c r="C156" s="9" t="s">
        <v>144</v>
      </c>
      <c r="D156" s="9" t="s">
        <v>84</v>
      </c>
      <c r="E156" s="9" t="s">
        <v>60</v>
      </c>
      <c r="F156" s="9"/>
      <c r="G156" s="9" t="s">
        <v>145</v>
      </c>
      <c r="H156" s="9"/>
      <c r="I156" s="9"/>
      <c r="J156" s="9"/>
    </row>
    <row r="157" spans="1:10">
      <c r="A157" s="3" t="s">
        <v>126</v>
      </c>
      <c r="B157" s="3" t="s">
        <v>183</v>
      </c>
      <c r="C157" s="3" t="s">
        <v>147</v>
      </c>
      <c r="D157" s="3" t="s">
        <v>65</v>
      </c>
      <c r="E157" s="3" t="s">
        <v>46</v>
      </c>
      <c r="F157" s="3"/>
      <c r="G157" s="3" t="s">
        <v>145</v>
      </c>
      <c r="H157" s="3"/>
      <c r="I157" s="3"/>
      <c r="J157" s="3"/>
    </row>
    <row r="158" spans="1:10">
      <c r="A158" s="3" t="s">
        <v>126</v>
      </c>
      <c r="B158" s="3" t="s">
        <v>183</v>
      </c>
      <c r="C158" s="3" t="s">
        <v>150</v>
      </c>
      <c r="D158" s="3" t="s">
        <v>65</v>
      </c>
      <c r="E158" s="3" t="s">
        <v>46</v>
      </c>
      <c r="F158" s="3"/>
      <c r="G158" s="3" t="s">
        <v>145</v>
      </c>
      <c r="H158" s="3"/>
      <c r="I158" s="3"/>
      <c r="J158" s="3"/>
    </row>
    <row r="159" spans="1:10">
      <c r="A159" s="3" t="s">
        <v>126</v>
      </c>
      <c r="B159" s="3" t="s">
        <v>206</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183</v>
      </c>
      <c r="C161" s="3" t="s">
        <v>151</v>
      </c>
      <c r="D161" s="3" t="s">
        <v>84</v>
      </c>
      <c r="E161" s="3" t="s">
        <v>60</v>
      </c>
      <c r="F161" s="3"/>
      <c r="G161" s="3" t="s">
        <v>145</v>
      </c>
      <c r="H161" s="3"/>
      <c r="I161" s="3"/>
      <c r="J161" s="3"/>
    </row>
    <row r="162" spans="1:10">
      <c r="A162" s="3" t="s">
        <v>126</v>
      </c>
      <c r="B162" s="3" t="s">
        <v>206</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183</v>
      </c>
      <c r="C164" s="3" t="s">
        <v>154</v>
      </c>
      <c r="D164" s="3" t="s">
        <v>156</v>
      </c>
      <c r="E164" s="3" t="s">
        <v>60</v>
      </c>
      <c r="F164" s="3"/>
      <c r="G164" s="3" t="s">
        <v>145</v>
      </c>
      <c r="H164" s="3"/>
      <c r="I164" s="3"/>
      <c r="J164" s="3"/>
    </row>
    <row r="165" spans="1:10">
      <c r="A165" s="3" t="s">
        <v>126</v>
      </c>
      <c r="B165" s="3" t="s">
        <v>206</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183</v>
      </c>
      <c r="C167" s="3" t="s">
        <v>157</v>
      </c>
      <c r="D167" s="3" t="s">
        <v>156</v>
      </c>
      <c r="E167" s="3" t="s">
        <v>77</v>
      </c>
      <c r="F167" s="3"/>
      <c r="G167" s="3" t="s">
        <v>145</v>
      </c>
      <c r="H167" s="3"/>
      <c r="I167" s="3"/>
      <c r="J167" s="3"/>
    </row>
    <row r="168" spans="1:10">
      <c r="A168" s="3" t="s">
        <v>126</v>
      </c>
      <c r="B168" s="3" t="s">
        <v>206</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183</v>
      </c>
      <c r="C170" s="3" t="s">
        <v>158</v>
      </c>
      <c r="D170" s="3" t="s">
        <v>76</v>
      </c>
      <c r="E170" s="3" t="s">
        <v>46</v>
      </c>
      <c r="F170" s="3"/>
      <c r="G170" s="3" t="s">
        <v>129</v>
      </c>
      <c r="H170" s="3"/>
      <c r="I170" s="3"/>
      <c r="J170" s="3"/>
    </row>
    <row r="171" spans="1:10">
      <c r="A171" s="3" t="s">
        <v>126</v>
      </c>
      <c r="B171" s="3" t="s">
        <v>206</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183</v>
      </c>
      <c r="C173" s="3" t="s">
        <v>160</v>
      </c>
      <c r="D173" s="3" t="s">
        <v>59</v>
      </c>
      <c r="E173" s="3" t="s">
        <v>60</v>
      </c>
      <c r="F173" s="3"/>
      <c r="G173" s="3" t="s">
        <v>129</v>
      </c>
      <c r="H173" s="3"/>
      <c r="I173" s="3"/>
      <c r="J173" s="3"/>
    </row>
    <row r="174" spans="1:10">
      <c r="A174" s="3" t="s">
        <v>126</v>
      </c>
      <c r="B174" s="3" t="s">
        <v>206</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183</v>
      </c>
      <c r="C176" s="3" t="s">
        <v>162</v>
      </c>
      <c r="D176" s="3" t="s">
        <v>76</v>
      </c>
      <c r="E176" s="3" t="s">
        <v>77</v>
      </c>
      <c r="F176" s="3"/>
      <c r="G176" s="3" t="s">
        <v>145</v>
      </c>
      <c r="H176" s="3"/>
      <c r="I176" s="3"/>
      <c r="J176" s="3"/>
    </row>
    <row r="177" spans="1:10">
      <c r="A177" s="3" t="s">
        <v>126</v>
      </c>
      <c r="B177" s="3" t="s">
        <v>206</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183</v>
      </c>
      <c r="C179" s="3" t="s">
        <v>165</v>
      </c>
      <c r="D179" s="3" t="s">
        <v>103</v>
      </c>
      <c r="E179" s="3"/>
      <c r="F179" s="3"/>
      <c r="G179" s="3"/>
      <c r="H179" s="3"/>
      <c r="I179" s="3"/>
      <c r="J179" s="3"/>
    </row>
    <row r="180" spans="1:10">
      <c r="A180" s="3" t="s">
        <v>126</v>
      </c>
      <c r="B180" s="3" t="s">
        <v>206</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183</v>
      </c>
      <c r="C182" s="3" t="s">
        <v>176</v>
      </c>
      <c r="D182" s="3" t="s">
        <v>84</v>
      </c>
      <c r="E182" s="3"/>
      <c r="F182" s="3"/>
      <c r="G182" s="3"/>
      <c r="H182" s="3"/>
      <c r="I182" s="3"/>
      <c r="J182" s="3"/>
    </row>
    <row r="183" spans="1:10">
      <c r="A183" s="3" t="s">
        <v>126</v>
      </c>
      <c r="B183" s="3" t="s">
        <v>206</v>
      </c>
      <c r="C183" s="3" t="s">
        <v>176</v>
      </c>
      <c r="D183" s="3" t="s">
        <v>84</v>
      </c>
      <c r="E183" s="3"/>
      <c r="F183" s="3"/>
      <c r="G183" s="3"/>
      <c r="H183" s="3"/>
      <c r="I183" s="3"/>
      <c r="J183" s="3"/>
    </row>
    <row r="184" spans="1:10">
      <c r="A184" s="3" t="s">
        <v>126</v>
      </c>
      <c r="B184" s="3" t="s">
        <v>166</v>
      </c>
      <c r="C184" s="3" t="s">
        <v>176</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1" t="s">
        <v>401</v>
      </c>
      <c r="B1" s="175"/>
      <c r="C1" s="175"/>
    </row>
    <row r="2" spans="1:3" ht="14.25" customHeight="1">
      <c r="A2" s="8" t="s">
        <v>0</v>
      </c>
      <c r="B2" s="8" t="s">
        <v>402</v>
      </c>
      <c r="C2" s="8" t="s">
        <v>397</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403</v>
      </c>
      <c r="B11" s="11">
        <v>18</v>
      </c>
      <c r="C11" s="12">
        <v>46417</v>
      </c>
    </row>
    <row r="12" spans="1:3" ht="14.25" customHeight="1">
      <c r="A12" s="11" t="s">
        <v>403</v>
      </c>
      <c r="B12" s="11">
        <v>18</v>
      </c>
      <c r="C12" s="12">
        <v>46446</v>
      </c>
    </row>
    <row r="13" spans="1:3" ht="14.25" customHeight="1">
      <c r="A13" s="11" t="s">
        <v>403</v>
      </c>
      <c r="B13" s="11">
        <v>19</v>
      </c>
      <c r="C13" s="12">
        <v>46477</v>
      </c>
    </row>
    <row r="14" spans="1:3" ht="14.25" customHeight="1">
      <c r="A14" s="11" t="s">
        <v>301</v>
      </c>
      <c r="B14" s="11">
        <v>9</v>
      </c>
      <c r="C14" s="12">
        <v>46387</v>
      </c>
    </row>
    <row r="15" spans="1:3" ht="14.25" customHeight="1">
      <c r="A15" s="11" t="s">
        <v>291</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activeCell="T2" sqref="T2:T4"/>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404</v>
      </c>
      <c r="F1" s="1" t="s">
        <v>328</v>
      </c>
      <c r="G1" s="5" t="s">
        <v>405</v>
      </c>
      <c r="H1" s="5" t="s">
        <v>20</v>
      </c>
      <c r="I1" t="s">
        <v>35</v>
      </c>
      <c r="J1" s="5" t="s">
        <v>406</v>
      </c>
      <c r="K1" s="5" t="s">
        <v>128</v>
      </c>
      <c r="L1" s="5" t="s">
        <v>347</v>
      </c>
      <c r="M1" s="1" t="s">
        <v>407</v>
      </c>
      <c r="N1" s="1" t="s">
        <v>408</v>
      </c>
      <c r="R1" t="s">
        <v>13</v>
      </c>
      <c r="T1" t="s">
        <v>409</v>
      </c>
    </row>
    <row r="2" spans="1:20" ht="13.5" customHeight="1">
      <c r="A2" s="2" t="s">
        <v>410</v>
      </c>
      <c r="B2" s="2" t="s">
        <v>411</v>
      </c>
      <c r="C2" s="2" t="s">
        <v>412</v>
      </c>
      <c r="D2" s="2" t="s">
        <v>413</v>
      </c>
      <c r="E2" s="2" t="s">
        <v>414</v>
      </c>
      <c r="F2" s="2" t="s">
        <v>415</v>
      </c>
      <c r="G2" t="s">
        <v>416</v>
      </c>
      <c r="H2" t="s">
        <v>417</v>
      </c>
      <c r="I2" t="s">
        <v>418</v>
      </c>
      <c r="J2" s="29" t="s">
        <v>419</v>
      </c>
      <c r="K2" s="29" t="s">
        <v>420</v>
      </c>
      <c r="L2" s="29" t="s">
        <v>421</v>
      </c>
      <c r="M2" t="s">
        <v>145</v>
      </c>
      <c r="N2" s="45" t="s">
        <v>422</v>
      </c>
      <c r="R2" t="s">
        <v>248</v>
      </c>
      <c r="T2" t="s">
        <v>49</v>
      </c>
    </row>
    <row r="3" spans="1:20" ht="15" customHeight="1">
      <c r="A3" t="s">
        <v>40</v>
      </c>
      <c r="B3" t="s">
        <v>44</v>
      </c>
      <c r="C3" t="s">
        <v>60</v>
      </c>
      <c r="D3" t="s">
        <v>129</v>
      </c>
      <c r="E3" t="s">
        <v>50</v>
      </c>
      <c r="F3" t="s">
        <v>215</v>
      </c>
      <c r="G3" t="s">
        <v>44</v>
      </c>
      <c r="H3" t="s">
        <v>47</v>
      </c>
      <c r="I3" t="s">
        <v>53</v>
      </c>
      <c r="J3" t="s">
        <v>183</v>
      </c>
      <c r="K3" t="s">
        <v>48</v>
      </c>
      <c r="L3" t="s">
        <v>53</v>
      </c>
      <c r="M3" t="s">
        <v>44</v>
      </c>
      <c r="N3" s="45" t="s">
        <v>423</v>
      </c>
      <c r="R3" t="s">
        <v>45</v>
      </c>
      <c r="T3" t="s">
        <v>94</v>
      </c>
    </row>
    <row r="4" spans="1:20" ht="15" customHeight="1">
      <c r="A4" t="s">
        <v>126</v>
      </c>
      <c r="B4" t="s">
        <v>59</v>
      </c>
      <c r="C4" t="s">
        <v>46</v>
      </c>
      <c r="D4" t="s">
        <v>145</v>
      </c>
      <c r="E4" t="s">
        <v>53</v>
      </c>
      <c r="F4" t="s">
        <v>183</v>
      </c>
      <c r="G4" t="s">
        <v>59</v>
      </c>
      <c r="H4" t="s">
        <v>88</v>
      </c>
      <c r="I4" t="s">
        <v>424</v>
      </c>
      <c r="J4" t="s">
        <v>206</v>
      </c>
      <c r="L4" t="s">
        <v>50</v>
      </c>
      <c r="M4" t="s">
        <v>103</v>
      </c>
      <c r="N4" s="45" t="s">
        <v>423</v>
      </c>
      <c r="R4" t="s">
        <v>186</v>
      </c>
      <c r="T4" t="s">
        <v>72</v>
      </c>
    </row>
    <row r="5" spans="1:20" ht="15" customHeight="1">
      <c r="A5" t="s">
        <v>403</v>
      </c>
      <c r="B5" t="s">
        <v>400</v>
      </c>
      <c r="C5" t="s">
        <v>77</v>
      </c>
      <c r="F5" t="s">
        <v>206</v>
      </c>
      <c r="G5" t="s">
        <v>400</v>
      </c>
      <c r="H5" t="s">
        <v>129</v>
      </c>
      <c r="I5" t="s">
        <v>234</v>
      </c>
      <c r="J5" t="s">
        <v>166</v>
      </c>
      <c r="L5" t="s">
        <v>425</v>
      </c>
      <c r="M5" t="s">
        <v>88</v>
      </c>
      <c r="N5" s="45" t="s">
        <v>423</v>
      </c>
    </row>
    <row r="6" spans="1:20" ht="15" customHeight="1">
      <c r="A6" t="s">
        <v>301</v>
      </c>
      <c r="B6" t="s">
        <v>84</v>
      </c>
      <c r="F6" t="s">
        <v>166</v>
      </c>
      <c r="G6" t="s">
        <v>84</v>
      </c>
      <c r="H6" t="s">
        <v>145</v>
      </c>
      <c r="I6" t="s">
        <v>200</v>
      </c>
      <c r="J6" t="s">
        <v>128</v>
      </c>
      <c r="M6" t="s">
        <v>48</v>
      </c>
      <c r="N6" s="45" t="s">
        <v>423</v>
      </c>
    </row>
    <row r="7" spans="1:20" ht="15" customHeight="1">
      <c r="A7" t="s">
        <v>291</v>
      </c>
      <c r="B7" t="s">
        <v>65</v>
      </c>
      <c r="F7" t="s">
        <v>128</v>
      </c>
      <c r="G7" t="s">
        <v>65</v>
      </c>
      <c r="H7" t="s">
        <v>386</v>
      </c>
      <c r="I7" t="s">
        <v>426</v>
      </c>
      <c r="M7" t="s">
        <v>129</v>
      </c>
      <c r="N7" s="45" t="s">
        <v>423</v>
      </c>
    </row>
    <row r="8" spans="1:20" ht="15" customHeight="1">
      <c r="B8" t="s">
        <v>76</v>
      </c>
      <c r="F8" t="s">
        <v>42</v>
      </c>
      <c r="G8" t="s">
        <v>76</v>
      </c>
      <c r="I8" t="s">
        <v>427</v>
      </c>
      <c r="M8" t="s">
        <v>60</v>
      </c>
      <c r="N8" s="45" t="s">
        <v>423</v>
      </c>
    </row>
    <row r="9" spans="1:20" ht="15" customHeight="1">
      <c r="B9" t="s">
        <v>103</v>
      </c>
      <c r="G9" t="s">
        <v>103</v>
      </c>
      <c r="I9" t="s">
        <v>428</v>
      </c>
      <c r="M9" t="s">
        <v>156</v>
      </c>
      <c r="N9" s="45" t="s">
        <v>423</v>
      </c>
    </row>
    <row r="10" spans="1:20" ht="15" customHeight="1">
      <c r="B10" t="s">
        <v>156</v>
      </c>
      <c r="G10" t="s">
        <v>156</v>
      </c>
      <c r="M10" t="s">
        <v>47</v>
      </c>
      <c r="N10" s="45" t="s">
        <v>423</v>
      </c>
    </row>
    <row r="11" spans="1:20">
      <c r="B11" t="s">
        <v>429</v>
      </c>
      <c r="G11" t="s">
        <v>60</v>
      </c>
      <c r="M11" t="s">
        <v>76</v>
      </c>
      <c r="N11" s="45" t="s">
        <v>423</v>
      </c>
    </row>
    <row r="12" spans="1:20">
      <c r="B12" t="s">
        <v>430</v>
      </c>
      <c r="G12" t="s">
        <v>46</v>
      </c>
      <c r="M12" t="s">
        <v>46</v>
      </c>
      <c r="N12" s="45" t="s">
        <v>423</v>
      </c>
    </row>
    <row r="13" spans="1:20">
      <c r="G13" t="s">
        <v>77</v>
      </c>
      <c r="M13" t="s">
        <v>77</v>
      </c>
      <c r="N13" s="45" t="s">
        <v>423</v>
      </c>
    </row>
    <row r="14" spans="1:20">
      <c r="M14" t="s">
        <v>84</v>
      </c>
      <c r="N14" s="45" t="s">
        <v>431</v>
      </c>
    </row>
    <row r="15" spans="1:20">
      <c r="M15" t="s">
        <v>59</v>
      </c>
      <c r="N15" s="45" t="s">
        <v>423</v>
      </c>
    </row>
    <row r="16" spans="1:20">
      <c r="M16" t="s">
        <v>65</v>
      </c>
      <c r="N16" s="45" t="s">
        <v>423</v>
      </c>
    </row>
    <row r="17" spans="13:14">
      <c r="M17" t="s">
        <v>400</v>
      </c>
      <c r="N17" s="45" t="s">
        <v>423</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Kushal Shah</cp:lastModifiedBy>
  <cp:revision>0</cp:revision>
  <dcterms:created xsi:type="dcterms:W3CDTF">2026-07-21T14:32:59Z</dcterms:created>
  <dcterms:modified xsi:type="dcterms:W3CDTF">2026-09-10T18:21:55Z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