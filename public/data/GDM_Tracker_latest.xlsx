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97" documentId="13_ncr:1_{52745E9B-3AA1-4770-AAD3-E6166BFC13AE}" xr6:coauthVersionLast="47" xr6:coauthVersionMax="47" xr10:uidLastSave="{E3B17209-98B6-4B5C-8657-981C879C1188}"/>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8" i="2" a="1"/>
  <c r="AN117" i="2" a="1"/>
  <c r="AM119" i="2" a="1"/>
  <c r="AM118" i="2" a="1"/>
  <c r="AM117"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N116" i="2" a="1"/>
  <c r="D84" i="2" a="1"/>
  <c r="P4" i="4"/>
  <c r="P3" i="4"/>
  <c r="P2" i="4"/>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8"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6" i="2" a="1"/>
  <c r="D82" i="2" a="1"/>
  <c r="D79"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8"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AM85" i="2" a="1"/>
  <c r="D85" i="2" s="1" a="1"/>
  <c r="AM84" i="2" a="1"/>
  <c r="AM83" i="2" a="1"/>
  <c r="D83" i="2" s="1" a="1"/>
  <c r="AM82" i="2" a="1"/>
  <c r="AM81" i="2" a="1"/>
  <c r="D81" i="2" s="1" a="1"/>
  <c r="AM80" i="2" a="1"/>
  <c r="D80" i="2" s="1" a="1"/>
  <c r="AM79" i="2" a="1"/>
  <c r="AM78" i="2" a="1"/>
  <c r="D78" i="2" s="1" a="1"/>
  <c r="AM77" i="2" a="1"/>
  <c r="AM76" i="2" a="1"/>
  <c r="AM75" i="2" a="1"/>
  <c r="AM74" i="2" a="1"/>
  <c r="D74" i="2" s="1" a="1"/>
  <c r="AM73" i="2" a="1"/>
  <c r="D73" i="2" s="1" a="1"/>
  <c r="AM72" i="2" a="1"/>
  <c r="AM71" i="2" a="1"/>
  <c r="AM70" i="2" a="1"/>
  <c r="D70" i="2" s="1" a="1"/>
  <c r="AM69" i="2" a="1"/>
  <c r="AM68" i="2" a="1"/>
  <c r="AM67" i="2" a="1"/>
  <c r="AM66" i="2" a="1"/>
  <c r="AM65" i="2" a="1"/>
  <c r="AM64" i="2" a="1"/>
  <c r="D64" i="2" s="1"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I17" i="8"/>
  <c r="D62" i="2" a="1"/>
  <c r="F17" i="8"/>
  <c r="C5" i="8"/>
  <c r="G17" i="8"/>
  <c r="C17" i="8"/>
  <c r="J17" i="8"/>
  <c r="D17" i="8"/>
  <c r="E17" i="8"/>
  <c r="H17" i="8"/>
  <c r="B53" i="8" a="1"/>
  <c r="I50" i="8" s="1"/>
  <c r="B37" i="8" a="1"/>
  <c r="B35" i="8" a="1"/>
  <c r="K17" i="8"/>
  <c r="M12" i="8"/>
  <c r="M13" i="8"/>
  <c r="M14" i="8"/>
  <c r="M15" i="8"/>
  <c r="M16" i="8"/>
  <c r="D52" i="2" a="1"/>
  <c r="D65" i="2" a="1"/>
  <c r="D71" i="2" a="1"/>
  <c r="D55"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<sst xmlns="http://schemas.openxmlformats.org/spreadsheetml/2006/main" count="3679" uniqueCount="529">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</sst>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4">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1</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0">
  <autoFilter ref="A1:AN119" xr:uid="{00000000-0009-0000-0100-000001000000}">
    <filterColumn colId="0">
      <filters>
        <filter val="CMS"/>
      </filters>
    </filterColumn>
    <filterColumn colId="8">
      <filters>
        <filter val="November"/>
        <filter val="October"/>
        <filter val="Septem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D110" activePane="bottomLeft" state="frozen"/>
      <selection pane="bottomLeft" activeCell="N121" sqref="N121"/>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208</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217</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239</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t="s">
        <v>50</v>
      </c>
      <c r="AG71" s="36">
        <v>46304</v>
      </c>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269</v>
      </c>
      <c r="C85" s="31" t="s">
        <v>223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270</v>
      </c>
      <c r="F85" s="34" t="s">
        <v>209</v>
      </c>
      <c r="G85" s="31"/>
      <c r="H85" s="49">
        <v>46325</v>
      </c>
      <c r="I85" s="55" t="s">
        <v>244</v>
      </c>
      <c r="J85" s="53" t="s">
        <v>44</v>
      </c>
      <c r="K85" s="43">
        <v>46304</v>
      </c>
      <c r="L85" s="43">
        <v>46276</v>
      </c>
      <c r="M85" s="44">
        <v>46286</v>
      </c>
      <c r="N85" s="44" t="s">
        <v>257</v>
      </c>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t="s">
        <v>254</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271</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273</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273</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273</v>
      </c>
      <c r="J88" s="53" t="s">
        <v>59</v>
      </c>
      <c r="K88" s="49">
        <v>46332</v>
      </c>
      <c r="L88" s="43"/>
      <c r="M88" s="44"/>
      <c r="N88" s="44"/>
      <c r="O88" s="44" t="s">
        <v>253</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273</v>
      </c>
      <c r="J89" s="53" t="s">
        <v>229</v>
      </c>
      <c r="K89" s="49">
        <v>46332</v>
      </c>
      <c r="L89" s="43">
        <v>46282</v>
      </c>
      <c r="M89" s="44">
        <v>46282</v>
      </c>
      <c r="N89" s="44"/>
      <c r="O89" s="44" t="s">
        <v>253</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273</v>
      </c>
      <c r="J90" s="53" t="s">
        <v>229</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253</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273</v>
      </c>
      <c r="J92" s="53" t="s">
        <v>84</v>
      </c>
      <c r="K92" s="49">
        <v>46332</v>
      </c>
      <c r="L92" s="43">
        <v>46332</v>
      </c>
      <c r="M92" s="44">
        <v>46275</v>
      </c>
      <c r="N92" s="44"/>
      <c r="O92" s="44" t="s">
        <v>253</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292</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257</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263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299</v>
      </c>
      <c r="F99" s="31" t="s">
        <v>129</v>
      </c>
      <c r="G99" s="31"/>
      <c r="H99" s="49">
        <v>46356</v>
      </c>
      <c r="I99" s="55" t="s">
        <v>273</v>
      </c>
      <c r="J99" s="53" t="s">
        <v>65</v>
      </c>
      <c r="K99" s="49">
        <v>46332</v>
      </c>
      <c r="L99" s="43">
        <v>46302</v>
      </c>
      <c r="M99" s="44"/>
      <c r="N99" s="46" t="s">
        <v>147</v>
      </c>
      <c r="O99" s="44" t="s">
        <v>253</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28">
        <v>46363</v>
      </c>
      <c r="M105" s="32">
        <v>46310</v>
      </c>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32">
        <v>46315</v>
      </c>
      <c r="M109" s="32">
        <v>46310</v>
      </c>
      <c r="N109" s="44" t="s">
        <v>257</v>
      </c>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44" t="s">
        <v>257</v>
      </c>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229</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263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t="s">
        <v>155</v>
      </c>
      <c r="K113" s="28">
        <v>46363</v>
      </c>
      <c r="L113" s="32">
        <v>46318</v>
      </c>
      <c r="M113" s="31"/>
      <c r="N113" s="31"/>
      <c r="O113" s="36" t="s">
        <v>316</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333</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t="s">
        <v>84</v>
      </c>
      <c r="K114" s="28">
        <v>46363</v>
      </c>
      <c r="L114" s="43"/>
      <c r="M114" s="31"/>
      <c r="N114" s="31"/>
      <c r="O114" s="36" t="s">
        <v>316</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334</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t="s">
        <v>155</v>
      </c>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336</v>
      </c>
      <c r="B116" s="31" t="s">
        <v>337</v>
      </c>
      <c r="C116" s="31" t="s">
        <v>234</v>
      </c>
      <c r="E116" s="31">
        <v>1</v>
      </c>
      <c r="F116" s="31" t="s">
        <v>144</v>
      </c>
      <c r="G116" s="31"/>
      <c r="H116" s="28">
        <v>46418</v>
      </c>
      <c r="I116" s="55" t="s">
        <v>338</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336</v>
      </c>
      <c r="B117" s="31" t="s">
        <v>339</v>
      </c>
      <c r="C117" s="31" t="s">
        <v>234</v>
      </c>
      <c r="E117" s="31">
        <v>2</v>
      </c>
      <c r="F117" s="31" t="s">
        <v>144</v>
      </c>
      <c r="G117" s="31"/>
      <c r="H117" s="28">
        <v>46418</v>
      </c>
      <c r="I117" s="55" t="s">
        <v>338</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336</v>
      </c>
      <c r="B118" s="31" t="s">
        <v>340</v>
      </c>
      <c r="C118" s="31" t="s">
        <v>234</v>
      </c>
      <c r="E118" s="31">
        <v>3</v>
      </c>
      <c r="F118" s="31" t="s">
        <v>144</v>
      </c>
      <c r="G118" s="31"/>
      <c r="H118" s="28">
        <v>46418</v>
      </c>
      <c r="I118" s="55" t="s">
        <v>338</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336</v>
      </c>
      <c r="B119" s="31" t="s">
        <v>341</v>
      </c>
      <c r="C119" s="31" t="s">
        <v>234</v>
      </c>
      <c r="E119" s="31">
        <v>4</v>
      </c>
      <c r="F119" s="31" t="s">
        <v>144</v>
      </c>
      <c r="G119" s="31"/>
      <c r="H119" s="28">
        <v>46418</v>
      </c>
      <c r="I119" s="55" t="s">
        <v>338</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G2:V40 W2:Y54 N3:N44 L41:V42 G43:V64 G65:Q65 T65:V65 G66:V73 G41:J42 Z2:AL2 Z3 Z4:AL41 Z42:AK42 Z43:AL44 Z45:AK47 Z48:AL72 W55:X55 W56:Y58 W59:X59 W60:Y70 W71 Z73:AH100 Z101:AE115 AB3:AL3 AJ30:AJ42 AJ44:AJ48 AJ116 W72:Y116 A120:AC123 G116:AE116 A116:F119 G117:AC119 A125:AC528 B124:AC124 A74:V115 A2:F87">
    <cfRule type="expression" dxfId="173" priority="75">
      <formula>AND($B2&lt;&gt;"",MOD(ROW(),2)=0)</formula>
    </cfRule>
  </conditionalFormatting>
  <conditionalFormatting sqref="C2:C119">
    <cfRule type="expression" dxfId="172" priority="636">
      <formula>LEFT($AK2,4)="Move"</formula>
    </cfRule>
  </conditionalFormatting>
  <conditionalFormatting sqref="D2:D528">
    <cfRule type="expression" dxfId="171" priority="59">
      <formula>ISNUMBER(SEARCH("Blocked",$D2))</formula>
    </cfRule>
    <cfRule type="expression" dxfId="170" priority="60">
      <formula>ISNUMBER(SEARCH("overdue",$D2))</formula>
    </cfRule>
    <cfRule type="expression" dxfId="169" priority="61">
      <formula>ISNUMBER(SEARCH("no target",$D2))</formula>
    </cfRule>
    <cfRule type="expression" dxfId="168" priority="62">
      <formula>ISNUMBER(SEARCH("Review",$D2))</formula>
    </cfRule>
    <cfRule type="expression" dxfId="167" priority="63">
      <formula>OR($D2="On track",$D2="Delivered")</formula>
    </cfRule>
  </conditionalFormatting>
  <conditionalFormatting sqref="D88">
    <cfRule type="expression" dxfId="166" priority="635">
      <formula>AND($B50&lt;&gt;"",MOD(ROW(),2)=0)</formula>
    </cfRule>
  </conditionalFormatting>
  <conditionalFormatting sqref="J2:O119">
    <cfRule type="expression" dxfId="165" priority="37">
      <formula>$AJ2="Yes – needs DB Dev to fix"</formula>
    </cfRule>
  </conditionalFormatting>
  <conditionalFormatting sqref="J117:O193">
    <cfRule type="expression" dxfId="164" priority="42">
      <formula>$AH117="Yes – needs DB Dev to fix"</formula>
    </cfRule>
  </conditionalFormatting>
  <conditionalFormatting sqref="K41">
    <cfRule type="expression" dxfId="163" priority="618">
      <formula>AND($B41&lt;&gt;"",MOD(ROW(),2)=0)</formula>
    </cfRule>
    <cfRule type="expression" dxfId="162" priority="619">
      <formula>$AJ41="Yes – needs DB Dev to fix"</formula>
    </cfRule>
  </conditionalFormatting>
  <conditionalFormatting sqref="K42">
    <cfRule type="expression" dxfId="161" priority="621">
      <formula>$AJ41="Yes – needs DB Dev to fix"</formula>
    </cfRule>
    <cfRule type="expression" dxfId="160" priority="620">
      <formula>AND($B41&lt;&gt;"",MOD(ROW(),2)=0)</formula>
    </cfRule>
  </conditionalFormatting>
  <conditionalFormatting sqref="K73:L100">
    <cfRule type="expression" dxfId="159" priority="134">
      <formula>$AF73="Yes – needs DB Dev to fix"</formula>
    </cfRule>
  </conditionalFormatting>
  <conditionalFormatting sqref="K101:L116">
    <cfRule type="expression" dxfId="158" priority="364">
      <formula>$AA101="Yes – needs DB Dev to fix"</formula>
    </cfRule>
  </conditionalFormatting>
  <conditionalFormatting sqref="K117:L528">
    <cfRule type="expression" dxfId="157" priority="591">
      <formula>$X117="Yes – needs DB Dev to fix"</formula>
    </cfRule>
  </conditionalFormatting>
  <conditionalFormatting sqref="M73">
    <cfRule type="expression" dxfId="156" priority="41">
      <formula>$AF73="Yes – needs DB Dev to fix"</formula>
    </cfRule>
  </conditionalFormatting>
  <conditionalFormatting sqref="M79:M81">
    <cfRule type="expression" dxfId="155" priority="15">
      <formula>$AF79="Yes – needs DB Dev to fix"</formula>
    </cfRule>
  </conditionalFormatting>
  <conditionalFormatting sqref="M83:M84">
    <cfRule type="expression" dxfId="154" priority="17">
      <formula>$AF83="Yes – needs DB Dev to fix"</formula>
    </cfRule>
  </conditionalFormatting>
  <conditionalFormatting sqref="M91">
    <cfRule type="expression" dxfId="153" priority="21">
      <formula>$AF91="Yes – needs DB Dev to fix"</formula>
    </cfRule>
  </conditionalFormatting>
  <conditionalFormatting sqref="M93:M94">
    <cfRule type="expression" dxfId="152" priority="14">
      <formula>$AF93="Yes – needs DB Dev to fix"</formula>
    </cfRule>
  </conditionalFormatting>
  <conditionalFormatting sqref="M73:P100">
    <cfRule type="expression" dxfId="151" priority="319">
      <formula>$AD73="Yes – needs PBI Dev to fix"</formula>
    </cfRule>
  </conditionalFormatting>
  <conditionalFormatting sqref="M101:P116">
    <cfRule type="expression" dxfId="150" priority="366">
      <formula>$AA101="Yes – needs PBI Dev to fix"</formula>
    </cfRule>
  </conditionalFormatting>
  <conditionalFormatting sqref="M117:P528">
    <cfRule type="expression" dxfId="149" priority="592">
      <formula>$X117="Yes – needs PBI Dev to fix"</formula>
    </cfRule>
  </conditionalFormatting>
  <conditionalFormatting sqref="N58">
    <cfRule type="expression" dxfId="148" priority="22">
      <formula>$AD58="Yes – needs PBI Dev to fix"</formula>
    </cfRule>
  </conditionalFormatting>
  <conditionalFormatting sqref="N70">
    <cfRule type="expression" dxfId="147" priority="23">
      <formula>$AD70="Yes – needs PBI Dev to fix"</formula>
    </cfRule>
  </conditionalFormatting>
  <conditionalFormatting sqref="N82">
    <cfRule type="expression" dxfId="146" priority="19">
      <formula>$AD82="Yes – needs PBI Dev to fix"</formula>
    </cfRule>
  </conditionalFormatting>
  <conditionalFormatting sqref="O101:O114">
    <cfRule type="expression" dxfId="145" priority="16">
      <formula>$AD101="Yes – needs PBI Dev to fix"</formula>
    </cfRule>
  </conditionalFormatting>
  <conditionalFormatting sqref="Q73:Q100">
    <cfRule type="expression" dxfId="144" priority="35">
      <formula>$AJ73="Yes – needs DB Dev to fix"</formula>
    </cfRule>
    <cfRule type="expression" dxfId="143" priority="36">
      <formula>$AF73="Yes – needs DB Dev to fix"</formula>
    </cfRule>
    <cfRule type="expression" dxfId="142" priority="138">
      <formula>$AF73="Yes – needs PBI Dev to fix"</formula>
    </cfRule>
  </conditionalFormatting>
  <conditionalFormatting sqref="Q101:R116 X101:X116 V101:V119">
    <cfRule type="expression" dxfId="141" priority="34">
      <formula>$AA101="Yes – needs QA to fix"</formula>
    </cfRule>
  </conditionalFormatting>
  <conditionalFormatting sqref="Q117:R528">
    <cfRule type="expression" dxfId="140" priority="593">
      <formula>$X117="Yes – needs QA to fix"</formula>
    </cfRule>
  </conditionalFormatting>
  <conditionalFormatting sqref="Q2:U64 U10:V19 X10:X19 J29 M29:P29 J32:J33 M32:P33 K40:K41 M40:P41 Q65 T65:U65 Q66:U115 V101:V115 X101:X116 Q116:V116">
    <cfRule type="expression" dxfId="139" priority="49">
      <formula>$AJ2="Yes – needs PBI Dev to fix"</formula>
    </cfRule>
  </conditionalFormatting>
  <conditionalFormatting sqref="R58">
    <cfRule type="expression" dxfId="138" priority="336">
      <formula>$AJ65="Yes – needs PBI Dev to fix"</formula>
    </cfRule>
    <cfRule type="expression" dxfId="137" priority="334">
      <formula>AND($B65&lt;&gt;"",MOD(ROW(),2)=0)</formula>
    </cfRule>
  </conditionalFormatting>
  <conditionalFormatting sqref="R60">
    <cfRule type="expression" dxfId="136" priority="27">
      <formula>$AJ67="Yes – needs PBI Dev to fix"</formula>
    </cfRule>
    <cfRule type="expression" dxfId="135" priority="26">
      <formula>AND($B67&lt;&gt;"",MOD(ROW(),2)=0)</formula>
    </cfRule>
  </conditionalFormatting>
  <conditionalFormatting sqref="R60:S60">
    <cfRule type="expression" dxfId="134" priority="24">
      <formula>AND($B67&lt;&gt;"",MOD(ROW(),2)=0)</formula>
    </cfRule>
    <cfRule type="expression" dxfId="133" priority="25">
      <formula>$AJ67="Yes – needs PBI Dev to fix"</formula>
    </cfRule>
  </conditionalFormatting>
  <conditionalFormatting sqref="R73:U100 T96:T101">
    <cfRule type="expression" dxfId="132" priority="140">
      <formula>$AF73="Yes – needs QA to fix"</formula>
    </cfRule>
  </conditionalFormatting>
  <conditionalFormatting sqref="S101:U116">
    <cfRule type="expression" dxfId="131" priority="380">
      <formula>$AA101="Yes – needs DPO Approval to fix"</formula>
    </cfRule>
  </conditionalFormatting>
  <conditionalFormatting sqref="S117:U528">
    <cfRule type="expression" dxfId="130" priority="594">
      <formula>$X117="Yes – needs DPO Approval to fix"</formula>
    </cfRule>
  </conditionalFormatting>
  <conditionalFormatting sqref="X101:X528 U101:V528">
    <cfRule type="expression" dxfId="129" priority="67">
      <formula>$V101="Yes"</formula>
    </cfRule>
  </conditionalFormatting>
  <conditionalFormatting sqref="U73:Y100">
    <cfRule type="expression" dxfId="128" priority="142">
      <formula>$AF73="Yes – needs DPO Approval to fix"</formula>
    </cfRule>
  </conditionalFormatting>
  <conditionalFormatting sqref="X117:X528">
    <cfRule type="expression" dxfId="127" priority="595">
      <formula>LEFT($X117,3)="Yes"</formula>
    </cfRule>
  </conditionalFormatting>
  <conditionalFormatting sqref="X73:Z100">
    <cfRule type="expression" dxfId="126" priority="494">
      <formula>$Y73="Yes"</formula>
    </cfRule>
  </conditionalFormatting>
  <conditionalFormatting sqref="Z117:AA528">
    <cfRule type="expression" dxfId="125" priority="72">
      <formula>ISNUMBER(SEARCH("log it",$Z117))</formula>
    </cfRule>
    <cfRule type="expression" dxfId="124" priority="72">
      <formula>ISNUMBER(SEARCH("Open rework",$Z117))</formula>
    </cfRule>
    <cfRule type="expression" dxfId="123" priority="74">
      <formula>$Z117&lt;&gt;""</formula>
    </cfRule>
    <cfRule type="expression" dxfId="122" priority="73">
      <formula>ISNUMBER(SEARCH("Duplicate",$Z117))</formula>
    </cfRule>
    <cfRule type="expression" dxfId="121" priority="72">
      <formula>ISNUMBER(SEARCH("Move old",$Z117))</formula>
    </cfRule>
  </conditionalFormatting>
  <conditionalFormatting sqref="AA3">
    <cfRule type="expression" dxfId="120" priority="623">
      <formula>$AJ3="Yes – needs DPO Approval to fix"</formula>
    </cfRule>
    <cfRule type="expression" dxfId="119" priority="622">
      <formula>AND($B3&lt;&gt;"",MOD(ROW(),2)=0)</formula>
    </cfRule>
  </conditionalFormatting>
  <conditionalFormatting sqref="AA101:AA115 U116:AA116 U2:Z54 U55:X55 Z55 U56:Z58 U59:X59 Z59 U60:Z70 U71:W71 Z71 U72:Z116">
    <cfRule type="expression" dxfId="118" priority="32">
      <formula>$AJ2="Yes – needs QA to fix"</formula>
    </cfRule>
  </conditionalFormatting>
  <conditionalFormatting sqref="AA101:AA116">
    <cfRule type="expression" dxfId="117" priority="29">
      <formula>$AJ101="Yes – needs PBI Dev to fix"</formula>
    </cfRule>
    <cfRule type="expression" dxfId="116" priority="30">
      <formula>$AA101="Yes – needs QA to fix"</formula>
    </cfRule>
    <cfRule type="expression" dxfId="115" priority="31">
      <formula>$V101="Yes"</formula>
    </cfRule>
    <cfRule type="expression" dxfId="114" priority="388">
      <formula>LEFT($AA101,3)="Yes"</formula>
    </cfRule>
  </conditionalFormatting>
  <conditionalFormatting sqref="AA2:AE2 AB3:AE3 AA4:AE100">
    <cfRule type="expression" dxfId="113" priority="116">
      <formula>$AJ2="Yes – needs DPO Approval to fix"</formula>
    </cfRule>
  </conditionalFormatting>
  <conditionalFormatting sqref="AB101:AC116">
    <cfRule type="expression" dxfId="112" priority="396">
      <formula>ISNUMBER(SEARCH("Open rework",$AB101))</formula>
    </cfRule>
    <cfRule type="expression" dxfId="111" priority="397">
      <formula>ISNUMBER(SEARCH("Move old",$AB101))</formula>
    </cfRule>
    <cfRule type="expression" dxfId="110" priority="398">
      <formula>ISNUMBER(SEARCH("log it",$AB101))</formula>
    </cfRule>
    <cfRule type="expression" dxfId="109" priority="399">
      <formula>ISNUMBER(SEARCH("Duplicate",$AB101))</formula>
    </cfRule>
    <cfRule type="expression" dxfId="108" priority="400">
      <formula>$AB101&lt;&gt;""</formula>
    </cfRule>
  </conditionalFormatting>
  <conditionalFormatting sqref="AF2:AF119">
    <cfRule type="expression" dxfId="107" priority="88">
      <formula>$AF2="Yes"</formula>
    </cfRule>
  </conditionalFormatting>
  <conditionalFormatting sqref="AF73:AF100">
    <cfRule type="expression" dxfId="106" priority="146">
      <formula>LEFT($AF73,3)="Yes"</formula>
    </cfRule>
  </conditionalFormatting>
  <conditionalFormatting sqref="AG73:AG100">
    <cfRule type="expression" dxfId="105" priority="156">
      <formula>$AG73&lt;&gt;""</formula>
    </cfRule>
    <cfRule type="expression" dxfId="104" priority="153">
      <formula>ISNUMBER(SEARCH("Move old",$AG73))</formula>
    </cfRule>
    <cfRule type="expression" dxfId="103" priority="155">
      <formula>ISNUMBER(SEARCH("Duplicate",$AG73))</formula>
    </cfRule>
    <cfRule type="expression" dxfId="102" priority="154">
      <formula>ISNUMBER(SEARCH("log it",$AG73))</formula>
    </cfRule>
    <cfRule type="expression" dxfId="101" priority="152">
      <formula>ISNUMBER(SEARCH("Open rework",$AG73))</formula>
    </cfRule>
  </conditionalFormatting>
  <conditionalFormatting sqref="AJ2:AJ119">
    <cfRule type="expression" dxfId="100" priority="90">
      <formula>LEFT($AJ2,3)="Yes"</formula>
    </cfRule>
  </conditionalFormatting>
  <conditionalFormatting sqref="AK2:AK119">
    <cfRule type="expression" dxfId="99" priority="98">
      <formula>ISNUMBER(SEARCH("Move old",$AK2))</formula>
    </cfRule>
    <cfRule type="expression" dxfId="98" priority="96">
      <formula>ISNUMBER(SEARCH("log it",$AK2))</formula>
    </cfRule>
    <cfRule type="expression" dxfId="97" priority="97">
      <formula>ISNUMBER(SEARCH("Open rework",$AK2))</formula>
    </cfRule>
    <cfRule type="expression" dxfId="96" priority="100">
      <formula>$AK2&lt;&gt;""</formula>
    </cfRule>
    <cfRule type="expression" dxfId="95" priority="99">
      <formula>ISNUMBER(SEARCH("Duplicate",$AK2))</formula>
    </cfRule>
  </conditionalFormatting>
  <conditionalFormatting sqref="AL45:AL47">
    <cfRule type="expression" dxfId="94" priority="39">
      <formula>AND($B49&lt;&gt;"",MOD(ROW(),2)=0)</formula>
    </cfRule>
  </conditionalFormatting>
  <conditionalFormatting sqref="L109:L110">
    <cfRule type="expression" dxfId="93" priority="13">
      <formula>$AA109="Yes – needs PBI Dev to fix"</formula>
    </cfRule>
  </conditionalFormatting>
  <conditionalFormatting sqref="N109:N110">
    <cfRule type="expression" dxfId="92" priority="12">
      <formula>$AD109="Yes – needs PBI Dev to fix"</formula>
    </cfRule>
  </conditionalFormatting>
  <conditionalFormatting sqref="K117:K119">
    <cfRule type="expression" dxfId="91" priority="11">
      <formula>$AA117="Yes – needs DB Dev to fix"</formula>
    </cfRule>
  </conditionalFormatting>
  <conditionalFormatting sqref="Q117:Q119">
    <cfRule type="expression" dxfId="90" priority="9">
      <formula>$AA117="Yes – needs QA to fix"</formula>
    </cfRule>
  </conditionalFormatting>
  <conditionalFormatting sqref="Q117:Q119">
    <cfRule type="expression" dxfId="89" priority="10">
      <formula>$AJ117="Yes – needs PBI Dev to fix"</formula>
    </cfRule>
  </conditionalFormatting>
  <conditionalFormatting sqref="K117:K119">
    <cfRule type="expression" dxfId="88" priority="8">
      <formula>$AA117="Yes – needs DB Dev to fix"</formula>
    </cfRule>
  </conditionalFormatting>
  <conditionalFormatting sqref="Q117:Q119">
    <cfRule type="expression" dxfId="87" priority="6">
      <formula>$AA117="Yes – needs QA to fix"</formula>
    </cfRule>
  </conditionalFormatting>
  <conditionalFormatting sqref="Q117:Q119">
    <cfRule type="expression" dxfId="86" priority="7">
      <formula>$AJ117="Yes – needs PBI Dev to fix"</formula>
    </cfRule>
  </conditionalFormatting>
  <conditionalFormatting sqref="V117:V119">
    <cfRule type="expression" dxfId="85" priority="5">
      <formula>$AJ117="Yes – needs PBI Dev to fix"</formula>
    </cfRule>
  </conditionalFormatting>
  <conditionalFormatting sqref="V117:V119">
    <cfRule type="expression" dxfId="84" priority="4">
      <formula>$AJ117="Yes – needs QA to fix"</formula>
    </cfRule>
  </conditionalFormatting>
  <conditionalFormatting sqref="M109">
    <cfRule type="expression" dxfId="83" priority="3">
      <formula>$AA109="Yes – needs DB Dev to fix"</formula>
    </cfRule>
  </conditionalFormatting>
  <conditionalFormatting sqref="M109">
    <cfRule type="expression" dxfId="82" priority="2">
      <formula>$AA109="Yes – needs PBI Dev to fix"</formula>
    </cfRule>
  </conditionalFormatting>
  <conditionalFormatting sqref="L113">
    <cfRule type="expression" dxfId="81"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342</v>
      </c>
    </row>
    <row r="2" spans="1:5">
      <c r="A2" s="6" t="s">
        <v>343</v>
      </c>
    </row>
    <row r="4" spans="1:5" ht="21.95" customHeight="1">
      <c r="A4" s="5" t="s">
        <v>344</v>
      </c>
      <c r="B4" s="266"/>
      <c r="C4" s="267"/>
      <c r="D4" s="267"/>
      <c r="E4" s="267"/>
    </row>
    <row r="6" spans="1:5">
      <c r="A6" s="42" t="s">
        <v>0</v>
      </c>
      <c r="B6" s="222" t="str">
        <f>IF($B$4="","",IFERROR(INDEX('Combined Delivery Data'!$A:$A,MATCH($B$4,'Combined Delivery Data'!$B:$B,0)),""))</f>
        <v/>
      </c>
      <c r="C6" s="268"/>
      <c r="D6" s="268"/>
      <c r="E6" s="269"/>
    </row>
    <row r="7" spans="1:5">
      <c r="A7" s="42" t="s">
        <v>345</v>
      </c>
      <c r="B7" s="222" t="str">
        <f>IF($B$4="","",IFERROR(INDEX('Combined Delivery Data'!$C:$C,MATCH($B$4,'Combined Delivery Data'!$B:$B,0)),""))</f>
        <v/>
      </c>
      <c r="C7" s="268"/>
      <c r="D7" s="268"/>
      <c r="E7" s="269"/>
    </row>
    <row r="8" spans="1:5">
      <c r="A8" s="42" t="s">
        <v>3</v>
      </c>
      <c r="B8" s="222" t="str">
        <f>IF($B$4="","",IFERROR(INDEX('Combined Delivery Data'!$D:$D,MATCH($B$4,'Combined Delivery Data'!$B:$B,0)),""))</f>
        <v/>
      </c>
      <c r="C8" s="268"/>
      <c r="D8" s="268"/>
      <c r="E8" s="269"/>
    </row>
    <row r="9" spans="1:5">
      <c r="A9" s="42" t="s">
        <v>4</v>
      </c>
      <c r="B9" s="222" t="str">
        <f>IF($B$4="","",IFERROR(INDEX('Combined Delivery Data'!$E:$E,MATCH($B$4,'Combined Delivery Data'!$B:$B,0)),""))</f>
        <v/>
      </c>
      <c r="C9" s="268"/>
      <c r="D9" s="268"/>
      <c r="E9" s="269"/>
    </row>
    <row r="10" spans="1:5">
      <c r="A10" s="42" t="s">
        <v>5</v>
      </c>
      <c r="B10" s="222" t="str">
        <f>IF($B$4="","",IFERROR(INDEX('Combined Delivery Data'!$F:$F,MATCH($B$4,'Combined Delivery Data'!$B:$B,0)),""))</f>
        <v/>
      </c>
      <c r="C10" s="268"/>
      <c r="D10" s="268"/>
      <c r="E10" s="269"/>
    </row>
    <row r="11" spans="1:5">
      <c r="A11" s="42" t="s">
        <v>9</v>
      </c>
      <c r="B11" s="222" t="str">
        <f>IF($B$4="","",IFERROR(INDEX('Combined Delivery Data'!$J:$J,MATCH($B$4,'Combined Delivery Data'!$B:$B,0)),""))</f>
        <v/>
      </c>
      <c r="C11" s="268"/>
      <c r="D11" s="268"/>
      <c r="E11" s="269"/>
    </row>
    <row r="12" spans="1:5">
      <c r="A12" s="42" t="s">
        <v>15</v>
      </c>
      <c r="B12" s="222" t="str">
        <f>IF($B$4="","",IFERROR(INDEX('Combined Delivery Data'!$P:$P,MATCH($B$4,'Combined Delivery Data'!$B:$B,0)),""))</f>
        <v/>
      </c>
      <c r="C12" s="268"/>
      <c r="D12" s="268"/>
      <c r="E12" s="269"/>
    </row>
    <row r="13" spans="1:5">
      <c r="A13" s="42" t="s">
        <v>20</v>
      </c>
      <c r="B13" s="222" t="str">
        <f>IF($B$4="","",IFERROR(INDEX('Combined Delivery Data'!$U:$U,MATCH($B$4,'Combined Delivery Data'!$B:$B,0)),""))</f>
        <v/>
      </c>
      <c r="C13" s="268"/>
      <c r="D13" s="268"/>
      <c r="E13" s="269"/>
    </row>
    <row r="14" spans="1:5">
      <c r="A14" s="42" t="s">
        <v>346</v>
      </c>
      <c r="B14" s="221" t="str">
        <f>IF($B$4="","",IFERROR(INDEX('Combined Delivery Data'!$K:$K,MATCH($B$4,'Combined Delivery Data'!$B:$B,0)),""))</f>
        <v/>
      </c>
      <c r="C14" s="268"/>
      <c r="D14" s="268"/>
      <c r="E14" s="269"/>
    </row>
    <row r="15" spans="1:5">
      <c r="A15" s="42" t="s">
        <v>347</v>
      </c>
      <c r="B15" s="221" t="str">
        <f>IF($B$4="","",IFERROR(INDEX('Combined Delivery Data'!$L:$L,MATCH($B$4,'Combined Delivery Data'!$B:$B,0)),""))</f>
        <v/>
      </c>
      <c r="C15" s="268"/>
      <c r="D15" s="268"/>
      <c r="E15" s="269"/>
    </row>
    <row r="16" spans="1:5">
      <c r="A16" s="42" t="s">
        <v>348</v>
      </c>
      <c r="B16" s="221" t="str">
        <f>IF($B$4="","",IFERROR(INDEX('Combined Delivery Data'!$M:$M,MATCH($B$4,'Combined Delivery Data'!$B:$B,0)),""))</f>
        <v/>
      </c>
      <c r="C16" s="268"/>
      <c r="D16" s="268"/>
      <c r="E16" s="269"/>
    </row>
    <row r="17" spans="1:5">
      <c r="A17" s="42" t="s">
        <v>349</v>
      </c>
      <c r="B17" s="221" t="str">
        <f>IF($B$4="","",IFERROR(INDEX('Combined Delivery Data'!$O:$O,MATCH($B$4,'Combined Delivery Data'!$B:$B,0)),""))</f>
        <v/>
      </c>
      <c r="C17" s="268"/>
      <c r="D17" s="268"/>
      <c r="E17" s="269"/>
    </row>
    <row r="18" spans="1:5">
      <c r="A18" s="42" t="s">
        <v>350</v>
      </c>
      <c r="B18" s="221" t="str">
        <f>IF($B$4="","",IFERROR(INDEX('Combined Delivery Data'!$Q:$Q,MATCH($B$4,'Combined Delivery Data'!$B:$B,0)),""))</f>
        <v/>
      </c>
      <c r="C18" s="268"/>
      <c r="D18" s="268"/>
      <c r="E18" s="269"/>
    </row>
    <row r="19" spans="1:5">
      <c r="A19" s="42" t="s">
        <v>351</v>
      </c>
      <c r="B19" s="221" t="str">
        <f>IF($B$4="","",IFERROR(INDEX('Combined Delivery Data'!$R:$R,MATCH($B$4,'Combined Delivery Data'!$B:$B,0)),""))</f>
        <v/>
      </c>
      <c r="C19" s="268"/>
      <c r="D19" s="268"/>
      <c r="E19" s="269"/>
    </row>
    <row r="20" spans="1:5">
      <c r="A20" s="42" t="s">
        <v>352</v>
      </c>
      <c r="B20" s="221" t="str">
        <f>IF($B$4="","",IFERROR(INDEX('Combined Delivery Data'!$S:$S,MATCH($B$4,'Combined Delivery Data'!$B:$B,0)),""))</f>
        <v/>
      </c>
      <c r="C20" s="268"/>
      <c r="D20" s="268"/>
      <c r="E20" s="269"/>
    </row>
    <row r="21" spans="1:5">
      <c r="A21" s="42" t="s">
        <v>29</v>
      </c>
      <c r="B21" s="222" t="str">
        <f>IF($B$4="","",IFERROR(INDEX('Combined Delivery Data'!$T:$T,MATCH($B$4,'Combined Delivery Data'!$B:$B,0)),""))</f>
        <v/>
      </c>
      <c r="C21" s="268"/>
      <c r="D21" s="268"/>
      <c r="E21" s="269"/>
    </row>
    <row r="22" spans="1:5">
      <c r="A22" s="42" t="s">
        <v>31</v>
      </c>
      <c r="B22" s="222" t="str">
        <f>IF($B$4="","",IFERROR(INDEX('Combined Delivery Data'!$V:$V,MATCH($B$4,'Combined Delivery Data'!$B:$B,0)),""))</f>
        <v/>
      </c>
      <c r="C22" s="268"/>
      <c r="D22" s="268"/>
      <c r="E22" s="269"/>
    </row>
    <row r="23" spans="1:5">
      <c r="A23" s="42" t="s">
        <v>32</v>
      </c>
      <c r="B23" s="221" t="str">
        <f>IF($B$4="","",IFERROR(INDEX('Combined Delivery Data'!$W:$W,MATCH($B$4,'Combined Delivery Data'!$B:$B,0)),""))</f>
        <v/>
      </c>
      <c r="C23" s="268"/>
      <c r="D23" s="268"/>
      <c r="E23" s="269"/>
    </row>
    <row r="24" spans="1:5">
      <c r="A24" s="42" t="s">
        <v>35</v>
      </c>
      <c r="B24" s="222" t="str">
        <f>IF($B$4="","",IFERROR(INDEX('Combined Delivery Data'!$X:$X,MATCH($B$4,'Combined Delivery Data'!$B:$B,0)),""))</f>
        <v/>
      </c>
      <c r="C24" s="268"/>
      <c r="D24" s="268"/>
      <c r="E24" s="269"/>
    </row>
    <row r="25" spans="1:5">
      <c r="A25" s="42" t="s">
        <v>36</v>
      </c>
      <c r="B25" s="222" t="str">
        <f>IF($B$4="","",IFERROR(INDEX('Combined Delivery Data'!$Z:$Z,MATCH($B$4,'Combined Delivery Data'!$B:$B,0)),""))</f>
        <v/>
      </c>
      <c r="C25" s="268"/>
      <c r="D25" s="268"/>
      <c r="E25" s="269"/>
    </row>
    <row r="26" spans="1:5">
      <c r="A26" s="42" t="s">
        <v>353</v>
      </c>
      <c r="B26" s="222" t="str">
        <f>IF($B$4="","",IFERROR(INDEX('Rework Log'!$Q:$Q,MATCH($B$4,'Rework Log'!$P:$P,0)),""))</f>
        <v/>
      </c>
      <c r="C26" s="268"/>
      <c r="D26" s="268"/>
      <c r="E26" s="269"/>
    </row>
    <row r="27" spans="1:5">
      <c r="A27" s="42" t="s">
        <v>354</v>
      </c>
      <c r="B27" s="222" t="str">
        <f>IF($B$4="","",IFERROR(INDEX('Rework Log'!$R:$R,MATCH($B$4,'Rework Log'!$P:$P,0)),""))</f>
        <v/>
      </c>
      <c r="C27" s="268"/>
      <c r="D27" s="268"/>
      <c r="E27" s="269"/>
    </row>
    <row r="28" spans="1:5">
      <c r="A28" s="42" t="s">
        <v>355</v>
      </c>
      <c r="B28" s="222" t="str">
        <f>IF($B$4="","",IFERROR(INDEX('Rework Log'!$S:$S,MATCH($B$4,'Rework Log'!$P:$P,0)),""))</f>
        <v/>
      </c>
      <c r="C28" s="268"/>
      <c r="D28" s="268"/>
      <c r="E28" s="269"/>
    </row>
    <row r="29" spans="1:5">
      <c r="A29" s="42" t="s">
        <v>356</v>
      </c>
      <c r="B29" s="222" t="str">
        <f>IF($B$4="","",IFERROR(INDEX('Rework Log'!$T:$T,MATCH($B$4,'Rework Log'!$P:$P,0)),""))</f>
        <v/>
      </c>
      <c r="C29" s="268"/>
      <c r="D29" s="268"/>
      <c r="E29" s="269"/>
    </row>
    <row r="30" spans="1:5" ht="15.6" customHeight="1">
      <c r="A30" s="42"/>
      <c r="B30" s="222"/>
      <c r="C30" s="268"/>
      <c r="D30" s="268"/>
      <c r="E30" s="269"/>
    </row>
    <row r="31" spans="1:5" ht="15.6" customHeight="1">
      <c r="A31" s="5" t="s">
        <v>37</v>
      </c>
      <c r="B31" s="270" t="str">
        <f>IF($B$4="","",IFERROR(INDEX('Combined Delivery Data'!$AB:$AB,MATCH($B$4,'Combined Delivery Data'!$B:$B,0)),""))</f>
        <v/>
      </c>
      <c r="C31" s="267"/>
      <c r="D31" s="267"/>
      <c r="E31" s="267"/>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357</v>
      </c>
      <c r="C1" s="17" t="s">
        <v>358</v>
      </c>
      <c r="D1" s="17" t="s">
        <v>359</v>
      </c>
      <c r="E1" s="17" t="s">
        <v>360</v>
      </c>
      <c r="F1" s="17" t="s">
        <v>361</v>
      </c>
      <c r="G1" s="17" t="s">
        <v>362</v>
      </c>
      <c r="H1" s="56" t="s">
        <v>363</v>
      </c>
      <c r="I1" s="30" t="s">
        <v>364</v>
      </c>
      <c r="J1" s="30" t="s">
        <v>365</v>
      </c>
      <c r="K1" s="30" t="s">
        <v>366</v>
      </c>
      <c r="L1" s="30" t="s">
        <v>367</v>
      </c>
      <c r="M1" s="21" t="s">
        <v>368</v>
      </c>
      <c r="N1" s="21" t="s">
        <v>369</v>
      </c>
      <c r="P1" s="13" t="s">
        <v>1</v>
      </c>
      <c r="Q1" s="13" t="s">
        <v>353</v>
      </c>
      <c r="R1" s="13" t="s">
        <v>354</v>
      </c>
      <c r="S1" s="13" t="s">
        <v>355</v>
      </c>
      <c r="T1" s="13" t="s">
        <v>356</v>
      </c>
    </row>
    <row r="2" spans="1:20">
      <c r="A2" s="33" t="s">
        <v>143</v>
      </c>
      <c r="B2" s="36">
        <v>46230</v>
      </c>
      <c r="C2" s="33" t="s">
        <v>206</v>
      </c>
      <c r="D2" s="33" t="s">
        <v>263</v>
      </c>
      <c r="E2" s="33" t="s">
        <v>144</v>
      </c>
      <c r="F2" s="33" t="s">
        <v>370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263</v>
      </c>
      <c r="E3" s="31" t="s">
        <v>144</v>
      </c>
      <c r="F3" s="31" t="s">
        <v>371</v>
      </c>
      <c r="G3" s="31" t="s">
        <v>50</v>
      </c>
      <c r="H3" s="32" t="s">
        <v>155</v>
      </c>
      <c r="I3" s="32"/>
      <c r="J3" s="32">
        <v>46247</v>
      </c>
      <c r="K3" s="31" t="s">
        <v>60</v>
      </c>
      <c r="L3" s="31" t="s">
        <v>372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263</v>
      </c>
      <c r="E4" s="31" t="s">
        <v>129</v>
      </c>
      <c r="F4" s="31" t="s">
        <v>373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263</v>
      </c>
      <c r="E5" s="31" t="s">
        <v>129</v>
      </c>
      <c r="F5" s="31" t="s">
        <v>374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263</v>
      </c>
      <c r="E6" s="31" t="s">
        <v>129</v>
      </c>
      <c r="F6" s="31" t="s">
        <v>375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263</v>
      </c>
      <c r="E7" s="31" t="s">
        <v>129</v>
      </c>
      <c r="F7" s="31" t="s">
        <v>376</v>
      </c>
      <c r="G7" s="31" t="s">
        <v>50</v>
      </c>
      <c r="H7" s="32" t="s">
        <v>65</v>
      </c>
      <c r="I7" s="32"/>
      <c r="J7" s="32">
        <v>46251</v>
      </c>
      <c r="K7" s="31"/>
      <c r="L7" s="31"/>
      <c r="M7" s="3" t="str">
        <f t="shared" ca="1" si="4"/>
        <v>Fixed</v>
      </c>
      <c r="N7" t="s">
        <v>377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263</v>
      </c>
      <c r="E8" s="31" t="s">
        <v>144</v>
      </c>
      <c r="F8" s="31" t="s">
        <v>378</v>
      </c>
      <c r="G8" s="31" t="s">
        <v>50</v>
      </c>
      <c r="H8" s="32" t="s">
        <v>155</v>
      </c>
      <c r="I8" s="32"/>
      <c r="J8" s="32">
        <v>46254</v>
      </c>
      <c r="K8" s="31"/>
      <c r="L8" s="31"/>
      <c r="M8" s="3" t="str">
        <f t="shared" ca="1" si="4"/>
        <v>Fixed</v>
      </c>
      <c r="N8" t="s">
        <v>377</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263</v>
      </c>
      <c r="E9" s="31" t="s">
        <v>144</v>
      </c>
      <c r="F9" s="31" t="s">
        <v>371</v>
      </c>
      <c r="G9" s="31" t="s">
        <v>50</v>
      </c>
      <c r="H9" s="32" t="s">
        <v>84</v>
      </c>
      <c r="I9" s="32"/>
      <c r="J9" s="32">
        <v>46252</v>
      </c>
      <c r="K9" s="31"/>
      <c r="L9" s="31"/>
      <c r="M9" s="3" t="str">
        <f t="shared" ca="1" si="4"/>
        <v>Fixed</v>
      </c>
      <c r="N9" t="s">
        <v>377</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263</v>
      </c>
      <c r="E10" s="31" t="s">
        <v>129</v>
      </c>
      <c r="F10" s="31" t="s">
        <v>373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263</v>
      </c>
      <c r="E11" s="31" t="s">
        <v>144</v>
      </c>
      <c r="F11" s="31" t="s">
        <v>379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380</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263</v>
      </c>
      <c r="E12" s="31" t="s">
        <v>129</v>
      </c>
      <c r="F12" s="31" t="s">
        <v>381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263</v>
      </c>
      <c r="E15" s="31" t="s">
        <v>144</v>
      </c>
      <c r="F15" s="31" t="s">
        <v>384</v>
      </c>
      <c r="G15" s="31" t="s">
        <v>50</v>
      </c>
      <c r="H15" s="32" t="s">
        <v>65</v>
      </c>
      <c r="I15" s="32"/>
      <c r="J15" s="32">
        <v>46258</v>
      </c>
      <c r="K15" s="31"/>
      <c r="L15" s="31"/>
      <c r="M15" s="3" t="str">
        <f t="shared" ca="1" si="4"/>
        <v>Fixed</v>
      </c>
      <c r="N15" t="s">
        <v>380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385</v>
      </c>
      <c r="G16" s="31" t="s">
        <v>50</v>
      </c>
      <c r="H16" s="32" t="s">
        <v>46</v>
      </c>
      <c r="I16" s="32"/>
      <c r="J16" s="32"/>
      <c r="K16" s="31"/>
      <c r="L16" s="31"/>
      <c r="M16" s="3"/>
      <c r="S16" s="28"/>
    </row>
    <row r="17" spans="1:20">
      <c r="A17" s="33" t="s">
        <v>181</v>
      </c>
      <c r="B17" s="32">
        <v>46261</v>
      </c>
      <c r="C17" s="31" t="s">
        <v>206</v>
      </c>
      <c r="D17" s="31" t="s">
        <v>263</v>
      </c>
      <c r="E17" s="31" t="s">
        <v>129</v>
      </c>
      <c r="F17" s="31" t="s">
        <v>386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387</v>
      </c>
      <c r="G18" s="31" t="s">
        <v>50</v>
      </c>
      <c r="H18" s="32" t="s">
        <v>46</v>
      </c>
      <c r="I18" s="32"/>
      <c r="J18" s="32">
        <v>46266</v>
      </c>
      <c r="K18" s="31"/>
      <c r="L18" s="31"/>
      <c r="M18" s="3" t="str">
        <f t="shared" ca="1" si="4"/>
        <v>Fixed</v>
      </c>
      <c r="N18" t="s">
        <v>377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388</v>
      </c>
      <c r="G19" s="31" t="s">
        <v>50</v>
      </c>
      <c r="H19" s="32" t="s">
        <v>77</v>
      </c>
      <c r="I19" s="32">
        <v>46265</v>
      </c>
      <c r="J19" s="32">
        <v>46265</v>
      </c>
      <c r="K19" s="31" t="s">
        <v>77</v>
      </c>
      <c r="L19" s="31" t="s">
        <v>389</v>
      </c>
      <c r="M19" s="3" t="str">
        <f t="shared" ca="1" si="4"/>
        <v>Fixed</v>
      </c>
      <c r="N19" t="s">
        <v>380</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263</v>
      </c>
      <c r="E20" s="31" t="s">
        <v>47</v>
      </c>
      <c r="F20" s="31" t="s">
        <v>390</v>
      </c>
      <c r="G20" s="31" t="s">
        <v>50</v>
      </c>
      <c r="H20" s="32" t="s">
        <v>84</v>
      </c>
      <c r="I20" s="32">
        <v>46266</v>
      </c>
      <c r="J20" s="32">
        <v>46266</v>
      </c>
      <c r="K20" s="31"/>
      <c r="L20" s="31" t="s">
        <v>391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263</v>
      </c>
      <c r="E21" s="31" t="s">
        <v>129</v>
      </c>
      <c r="F21" s="31" t="s">
        <v>392</v>
      </c>
      <c r="G21" s="31" t="s">
        <v>50</v>
      </c>
      <c r="H21" s="32" t="s">
        <v>59</v>
      </c>
      <c r="I21" s="32"/>
      <c r="J21" s="32">
        <v>46266</v>
      </c>
      <c r="K21" s="31" t="s">
        <v>59</v>
      </c>
      <c r="L21" s="31"/>
      <c r="M21" s="3" t="str">
        <f t="shared" ca="1" si="4"/>
        <v>Fixed</v>
      </c>
      <c r="N21" t="s">
        <v>380</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393</v>
      </c>
      <c r="G22" s="31" t="s">
        <v>50</v>
      </c>
      <c r="H22" s="32" t="s">
        <v>46</v>
      </c>
      <c r="I22" s="32">
        <v>46267</v>
      </c>
      <c r="J22" s="32">
        <v>46268</v>
      </c>
      <c r="K22" s="31" t="s">
        <v>46</v>
      </c>
      <c r="L22" s="31" t="s">
        <v>391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394</v>
      </c>
      <c r="G23" s="31" t="s">
        <v>50</v>
      </c>
      <c r="H23" s="32" t="s">
        <v>46</v>
      </c>
      <c r="I23" s="138">
        <v>46267</v>
      </c>
      <c r="J23" s="32">
        <v>46268</v>
      </c>
      <c r="K23" s="31" t="s">
        <v>46</v>
      </c>
      <c r="L23" s="31" t="s">
        <v>391</v>
      </c>
      <c r="M23" s="3" t="str">
        <f t="shared" ca="1" si="4"/>
        <v>Fixed</v>
      </c>
      <c r="N23" t="s">
        <v>380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395</v>
      </c>
      <c r="G24" s="31" t="s">
        <v>50</v>
      </c>
      <c r="H24" s="32" t="s">
        <v>46</v>
      </c>
      <c r="I24" s="32">
        <v>46267</v>
      </c>
      <c r="J24" s="32">
        <v>46268</v>
      </c>
      <c r="K24" s="31" t="s">
        <v>46</v>
      </c>
      <c r="L24" s="31" t="s">
        <v>391</v>
      </c>
      <c r="M24" s="3" t="str">
        <f t="shared" ca="1" si="4"/>
        <v>Fixed</v>
      </c>
      <c r="N24" s="33" t="s">
        <v>380</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263</v>
      </c>
      <c r="E26" s="31" t="s">
        <v>129</v>
      </c>
      <c r="F26" s="31" t="s">
        <v>386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380</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397</v>
      </c>
      <c r="G27" s="31" t="s">
        <v>50</v>
      </c>
      <c r="H27" s="32" t="s">
        <v>77</v>
      </c>
      <c r="I27" s="32"/>
      <c r="J27" s="32">
        <v>46267</v>
      </c>
      <c r="K27" s="31" t="s">
        <v>77</v>
      </c>
      <c r="L27" s="31" t="s">
        <v>398</v>
      </c>
      <c r="M27" s="3" t="str">
        <f t="shared" ca="1" si="4"/>
        <v>Fixed</v>
      </c>
      <c r="N27" t="s">
        <v>380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397</v>
      </c>
      <c r="G28" s="31" t="s">
        <v>50</v>
      </c>
      <c r="H28" s="32" t="s">
        <v>77</v>
      </c>
      <c r="I28" s="32"/>
      <c r="J28" s="32">
        <v>46267</v>
      </c>
      <c r="K28" s="31" t="s">
        <v>77</v>
      </c>
      <c r="L28" s="113" t="s">
        <v>398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397</v>
      </c>
      <c r="G29" s="31" t="s">
        <v>50</v>
      </c>
      <c r="H29" s="32" t="s">
        <v>77</v>
      </c>
      <c r="I29" s="32"/>
      <c r="J29" s="32">
        <v>46267</v>
      </c>
      <c r="K29" s="31" t="s">
        <v>77</v>
      </c>
      <c r="L29" s="113" t="s">
        <v>398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263</v>
      </c>
      <c r="E30" s="31" t="s">
        <v>129</v>
      </c>
      <c r="F30" s="31" t="s">
        <v>399</v>
      </c>
      <c r="G30" s="31" t="s">
        <v>50</v>
      </c>
      <c r="H30" s="32" t="s">
        <v>155</v>
      </c>
      <c r="I30" s="32"/>
      <c r="J30" s="32">
        <v>46267</v>
      </c>
      <c r="K30" s="31" t="s">
        <v>155</v>
      </c>
      <c r="L30" s="31"/>
      <c r="M30" s="3" t="str">
        <f t="shared" ca="1" si="4"/>
        <v>Fixed</v>
      </c>
      <c r="N30" t="s">
        <v>380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263</v>
      </c>
      <c r="E31" s="31" t="s">
        <v>47</v>
      </c>
      <c r="F31" s="31" t="s">
        <v>400</v>
      </c>
      <c r="G31" s="31" t="s">
        <v>50</v>
      </c>
      <c r="H31" s="32" t="s">
        <v>103</v>
      </c>
      <c r="I31" s="32">
        <v>46269</v>
      </c>
      <c r="J31" s="32">
        <v>46269</v>
      </c>
      <c r="K31" s="31"/>
      <c r="L31" s="31" t="s">
        <v>391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263</v>
      </c>
      <c r="E32" s="31" t="s">
        <v>201</v>
      </c>
      <c r="F32" s="31" t="s">
        <v>401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263</v>
      </c>
      <c r="E33" s="31" t="s">
        <v>47</v>
      </c>
      <c r="F33" s="31" t="s">
        <v>402</v>
      </c>
      <c r="G33" s="31" t="s">
        <v>50</v>
      </c>
      <c r="H33" s="32" t="s">
        <v>103</v>
      </c>
      <c r="I33" s="32">
        <v>46274</v>
      </c>
      <c r="J33" s="32">
        <v>46274</v>
      </c>
      <c r="K33" s="31"/>
      <c r="L33" s="31" t="s">
        <v>391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403</v>
      </c>
      <c r="G34" s="31" t="s">
        <v>50</v>
      </c>
      <c r="H34" s="32" t="s">
        <v>77</v>
      </c>
      <c r="I34" s="32">
        <v>46275</v>
      </c>
      <c r="J34" s="32">
        <v>46275</v>
      </c>
      <c r="K34" s="31" t="s">
        <v>77</v>
      </c>
      <c r="L34" s="31" t="s">
        <v>404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263</v>
      </c>
      <c r="E35" s="31" t="s">
        <v>129</v>
      </c>
      <c r="F35" s="31" t="s">
        <v>405</v>
      </c>
      <c r="G35" s="31" t="s">
        <v>50</v>
      </c>
      <c r="H35" s="32" t="s">
        <v>155</v>
      </c>
      <c r="I35" s="32"/>
      <c r="J35" s="32">
        <v>46276</v>
      </c>
      <c r="K35" s="31" t="s">
        <v>155</v>
      </c>
      <c r="L35" s="31"/>
      <c r="M35" s="3" t="str">
        <f t="shared" ca="1" si="4"/>
        <v>Fixed</v>
      </c>
      <c r="N35" t="s">
        <v>380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263</v>
      </c>
      <c r="E36" s="31" t="s">
        <v>129</v>
      </c>
      <c r="F36" s="31" t="s">
        <v>406</v>
      </c>
      <c r="G36" s="31" t="s">
        <v>53</v>
      </c>
      <c r="H36" s="32" t="s">
        <v>65</v>
      </c>
      <c r="I36" s="32"/>
      <c r="J36" s="32">
        <v>46288</v>
      </c>
      <c r="K36" s="31"/>
      <c r="L36" s="31"/>
      <c r="M36" s="3" t="str">
        <f t="shared" ca="1" si="4"/>
        <v>Fixed</v>
      </c>
      <c r="N36" t="s">
        <v>380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263</v>
      </c>
      <c r="E37" s="31" t="s">
        <v>129</v>
      </c>
      <c r="F37" s="31" t="s">
        <v>407</v>
      </c>
      <c r="G37" s="31" t="s">
        <v>50</v>
      </c>
      <c r="H37" s="32" t="s">
        <v>155</v>
      </c>
      <c r="I37" s="32">
        <v>46282</v>
      </c>
      <c r="J37" s="32">
        <v>46282</v>
      </c>
      <c r="K37" s="31" t="s">
        <v>155</v>
      </c>
      <c r="L37" s="31" t="s">
        <v>408</v>
      </c>
      <c r="M37" s="3" t="str">
        <f t="shared" ca="1" si="4"/>
        <v>Fixed</v>
      </c>
      <c r="N37" t="s">
        <v>380</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409</v>
      </c>
      <c r="G38" s="31" t="s">
        <v>50</v>
      </c>
      <c r="H38" s="32" t="s">
        <v>77</v>
      </c>
      <c r="I38" s="32">
        <v>46281</v>
      </c>
      <c r="J38" s="32">
        <v>46281</v>
      </c>
      <c r="K38" s="31" t="s">
        <v>77</v>
      </c>
      <c r="L38" s="31" t="s">
        <v>410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263</v>
      </c>
      <c r="E39" s="31" t="s">
        <v>47</v>
      </c>
      <c r="F39" s="31" t="s">
        <v>411</v>
      </c>
      <c r="G39" s="31" t="s">
        <v>50</v>
      </c>
      <c r="H39" s="32" t="s">
        <v>44</v>
      </c>
      <c r="I39" s="32">
        <v>46283</v>
      </c>
      <c r="J39" s="32">
        <v>46283</v>
      </c>
      <c r="K39" s="31"/>
      <c r="L39" s="31" t="s">
        <v>412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413</v>
      </c>
      <c r="G40" s="31" t="s">
        <v>50</v>
      </c>
      <c r="H40" s="32" t="s">
        <v>46</v>
      </c>
      <c r="I40" s="32"/>
      <c r="J40" s="32"/>
      <c r="K40" s="31"/>
      <c r="L40" s="31"/>
      <c r="M40" s="3" t="str">
        <f t="shared" ca="1" si="4"/>
        <v>UNCLAIMED 33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263</v>
      </c>
      <c r="E41" s="31" t="s">
        <v>47</v>
      </c>
      <c r="F41" s="31" t="s">
        <v>414</v>
      </c>
      <c r="G41" s="31" t="s">
        <v>50</v>
      </c>
      <c r="H41" s="32" t="s">
        <v>155</v>
      </c>
      <c r="I41" s="32">
        <v>46282</v>
      </c>
      <c r="J41" s="32">
        <v>46282</v>
      </c>
      <c r="K41" s="31"/>
      <c r="L41" s="31" t="s">
        <v>415</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263</v>
      </c>
      <c r="E42" s="31" t="s">
        <v>129</v>
      </c>
      <c r="F42" s="31" t="s">
        <v>416</v>
      </c>
      <c r="G42" s="31" t="s">
        <v>50</v>
      </c>
      <c r="H42" s="32" t="s">
        <v>44</v>
      </c>
      <c r="I42" s="32"/>
      <c r="J42" s="32"/>
      <c r="K42" s="31"/>
      <c r="L42" s="31"/>
      <c r="M42" s="3" t="str">
        <f t="shared" ca="1" si="4"/>
        <v>UNCLAIMED 27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417</v>
      </c>
      <c r="G43" s="31" t="s">
        <v>50</v>
      </c>
      <c r="H43" s="32" t="s">
        <v>60</v>
      </c>
      <c r="I43" s="32">
        <v>46294</v>
      </c>
      <c r="J43" s="32">
        <v>46295</v>
      </c>
      <c r="K43" s="31" t="s">
        <v>60</v>
      </c>
      <c r="L43" s="31" t="s">
        <v>418</v>
      </c>
      <c r="M43" s="3" t="str">
        <f t="shared" ca="1" si="4"/>
        <v>Fixed</v>
      </c>
      <c r="N43" t="s">
        <v>380</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263</v>
      </c>
      <c r="E44" s="31" t="s">
        <v>129</v>
      </c>
      <c r="F44" s="31" t="s">
        <v>419</v>
      </c>
      <c r="G44" s="31" t="s">
        <v>53</v>
      </c>
      <c r="H44" s="32" t="s">
        <v>44</v>
      </c>
      <c r="I44" s="32"/>
      <c r="J44" s="32"/>
      <c r="K44" s="31"/>
      <c r="L44" s="31"/>
      <c r="M44" s="3" t="str">
        <f t="shared" ca="1" si="4"/>
        <v>UNCLAIMED 19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263</v>
      </c>
      <c r="E45" s="31" t="s">
        <v>201</v>
      </c>
      <c r="F45" s="31" t="s">
        <v>420</v>
      </c>
      <c r="G45" s="31" t="s">
        <v>50</v>
      </c>
      <c r="H45" s="32" t="s">
        <v>84</v>
      </c>
      <c r="I45" s="32"/>
      <c r="J45" s="32">
        <v>46300</v>
      </c>
      <c r="K45" s="31" t="s">
        <v>84</v>
      </c>
      <c r="L45" s="31"/>
      <c r="M45" s="3" t="s">
        <v>421</v>
      </c>
      <c r="N45" t="s">
        <v>50</v>
      </c>
      <c r="S45" s="28"/>
    </row>
    <row r="46" spans="1:20">
      <c r="A46" s="53" t="s">
        <v>205</v>
      </c>
      <c r="B46" s="32">
        <v>46309</v>
      </c>
      <c r="C46" s="31" t="s">
        <v>206</v>
      </c>
      <c r="D46" s="31" t="s">
        <v>223</v>
      </c>
      <c r="E46" s="31" t="s">
        <v>129</v>
      </c>
      <c r="F46" s="31" t="s">
        <v>422</v>
      </c>
      <c r="G46" s="31" t="s">
        <v>53</v>
      </c>
      <c r="H46" s="32" t="s">
        <v>77</v>
      </c>
      <c r="I46" s="32"/>
      <c r="J46" s="32"/>
      <c r="K46" s="31"/>
      <c r="L46" s="31"/>
      <c r="M46" s="3" t="str">
        <f t="shared" ca="1" si="4"/>
        <v>UNCLAIMED 5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451</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451</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451</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451</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451</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451</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451</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451</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451</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451</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451</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451</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451</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451</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451</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451</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451</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451</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451</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451</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451</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451</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451</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451</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451</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451</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451</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451</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451</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451</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451</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451</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451</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451</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451</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451</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451</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451</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451</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451</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451</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451</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451</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451</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451</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451</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451</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451</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451</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451</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451</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451</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451</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451</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451</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451</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451</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451</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451</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451</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451</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451</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451</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451</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451</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451</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451</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451</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451</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451</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451</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451</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451</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451</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451</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451</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451</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451</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451</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451</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451</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451</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451</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451</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451</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451</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451</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451</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451</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451</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451</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451</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451</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451</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451</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451</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451</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451</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451</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451</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451</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451</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451</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451</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451</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451</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451</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451</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451</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451</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451</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451</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451</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451</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451</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451</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451</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451</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451</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451</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451</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451</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451</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451</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451</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451</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451</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451</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451</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451</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451</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451</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451</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451</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451</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451</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451</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451</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451</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451</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451</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451</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451</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451</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451</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451</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451</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451</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451</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451</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451</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451</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451</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451</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451</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451</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451</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451</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451</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451</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451</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451</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451</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451</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451</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451</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451</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451</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451</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451</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451</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451</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451</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451</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451</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451</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451</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451</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451</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451</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451</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451</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451</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451</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451</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451</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451</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451</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451</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451</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451</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451</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451</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451</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451</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451</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451</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451</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451</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451</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451</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451</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451</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451</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451</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451</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451</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451</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451</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451</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451</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451</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451</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451</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451</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451</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451</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451</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451</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451</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451</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451</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451</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451</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451</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451</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451</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451</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451</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451</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451</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451</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451</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451</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451</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451</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451</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451</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451</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451</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451</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451</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451</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451</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451</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451</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451</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451</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451</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451</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451</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451</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451</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451</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451</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451</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451</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451</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451</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451</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451</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451</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451</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451</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451</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451</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451</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451</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451</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451</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451</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451</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451</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451</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451</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451</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451</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451</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451</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451</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451</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451</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451</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451</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451</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451</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451</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451</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451</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451</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451</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451</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451</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451</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451</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451</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451</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451</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451</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451</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451</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451</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451</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451</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451</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451</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451</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451</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451</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451</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451</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451</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451</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451</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451</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451</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451</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451</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451</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451</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451</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451</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451</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451</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451</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451</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451</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451</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451</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451</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451</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451</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451</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451</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451</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451</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451</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451</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451</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451</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451</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451</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451</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451</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451</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451</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451</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451</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451</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451</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451</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451</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451</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451</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451</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451</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451</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451</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451</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451</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451</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451</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451</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451</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451</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451</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451</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451</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451</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451</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451</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451</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451</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451</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451</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451</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451</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451</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451</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451</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451</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451</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451</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451</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451</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451</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451</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451</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451</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451</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451</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451</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451</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451</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451</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451</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451</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451</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451</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451</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451</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451</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451</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451</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451</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451</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451</v>
      </c>
      <c r="S497" s="28">
        <f t="shared" si="40"/>
        <v>0</v>
      </c>
      <c r="T497" t="str">
        <f t="shared" si="41"/>
        <v xml:space="preserve"> -&gt; </v>
      </c>
    </row>
  </sheetData>
  <sheetProtection formatColumns="0" formatRows="0" sort="0" autoFilter="0"/>
  <conditionalFormatting sqref="A4:A7">
    <cfRule type="expression" dxfId="39" priority="20">
      <formula>AND($B4&lt;&gt;"",MOD(ROW(),2)=0)</formula>
    </cfRule>
  </conditionalFormatting>
  <conditionalFormatting sqref="A10:A12">
    <cfRule type="expression" dxfId="38" priority="17">
      <formula>AND($B10&lt;&gt;"",MOD(ROW(),2)=0)</formula>
    </cfRule>
  </conditionalFormatting>
  <conditionalFormatting sqref="A17">
    <cfRule type="expression" dxfId="37" priority="16">
      <formula>AND($B17&lt;&gt;"",MOD(ROW(),2)=0)</formula>
    </cfRule>
  </conditionalFormatting>
  <conditionalFormatting sqref="A21">
    <cfRule type="expression" dxfId="36" priority="14">
      <formula>AND($B21&lt;&gt;"",MOD(ROW(),2)=0)</formula>
    </cfRule>
  </conditionalFormatting>
  <conditionalFormatting sqref="A25:A26">
    <cfRule type="expression" dxfId="35" priority="12">
      <formula>AND($B25&lt;&gt;"",MOD(ROW(),2)=0)</formula>
    </cfRule>
  </conditionalFormatting>
  <conditionalFormatting sqref="A30">
    <cfRule type="expression" dxfId="34" priority="11">
      <formula>AND($B30&lt;&gt;"",MOD(ROW(),2)=0)</formula>
    </cfRule>
  </conditionalFormatting>
  <conditionalFormatting sqref="A35:A37">
    <cfRule type="expression" dxfId="33" priority="7">
      <formula>AND($B35&lt;&gt;"",MOD(ROW(),2)=0)</formula>
    </cfRule>
  </conditionalFormatting>
  <conditionalFormatting sqref="A42">
    <cfRule type="expression" dxfId="32" priority="5">
      <formula>AND($B42&lt;&gt;"",MOD(ROW(),2)=0)</formula>
    </cfRule>
  </conditionalFormatting>
  <conditionalFormatting sqref="A44:A45">
    <cfRule type="expression" dxfId="31" priority="2">
      <formula>AND($B44&lt;&gt;"",MOD(ROW(),2)=0)</formula>
    </cfRule>
  </conditionalFormatting>
  <conditionalFormatting sqref="A2:H2 K2:M2 A3:M3 M3:M10 B4:M7 A8:M9 B10:M12 A13:M16 B17:M17 A18:M20 B21:M21 A22:M24 B25:M26 A27:M27 A28:K29 M28:M29 B30:M30 A31:M34 B35:M37 A38:M41 B42:M42 A43:M43 A47:M497 B44:M46">
    <cfRule type="expression" dxfId="30" priority="30">
      <formula>AND($A2&lt;&gt;"",$G2="Yes")</formula>
    </cfRule>
    <cfRule type="expression" dxfId="29" priority="31">
      <formula>AND($A2&lt;&gt;"",$J2&lt;&gt;"")</formula>
    </cfRule>
    <cfRule type="expression" dxfId="28" priority="32">
      <formula>$A2&lt;&gt;""</formula>
    </cfRule>
  </conditionalFormatting>
  <conditionalFormatting sqref="C2:C197 G2:G197">
    <cfRule type="expression" dxfId="27" priority="33">
      <formula>$A2=""</formula>
    </cfRule>
  </conditionalFormatting>
  <conditionalFormatting sqref="K2:M2 A3:M3 M3:M10 B4:M7 A8:M9 B10:M12 A13:M16 B17:M17 A18:M20 B21:M21 A22:M24 B25:M26 A27:M27 M28:M29 B30:M30 A31:M34 B35:M37 A38:M41 B42:M42 A43:M43 A47:M497 A2:H2 A28:K29 B44:M46">
    <cfRule type="expression" dxfId="26" priority="29">
      <formula>AND($A2&lt;&gt;"",$G2="Did not pass re-test")</formula>
    </cfRule>
  </conditionalFormatting>
  <conditionalFormatting sqref="M2:M497">
    <cfRule type="expression" dxfId="25" priority="23">
      <formula>ISNUMBER(SEARCH("Sent back again",$M2))</formula>
    </cfRule>
    <cfRule type="expression" dxfId="24" priority="24">
      <formula>ISNUMBER(SEARCH("LATE",$M2))</formula>
    </cfRule>
    <cfRule type="expression" dxfId="23" priority="25">
      <formula>ISNUMBER(SEARCH("UNCLAIMED",$M2))</formula>
    </cfRule>
    <cfRule type="expression" dxfId="22" priority="26">
      <formula>ISNUMBER(SEARCH("Missing",$M2))</formula>
    </cfRule>
    <cfRule type="expression" dxfId="21" priority="27">
      <formula>ISNUMBER(SEARCH("Fixed in",$M2))</formula>
    </cfRule>
    <cfRule type="expression" dxfId="20" priority="28">
      <formula>ISNUMBER(SEARCH("Open",$M2))</formula>
    </cfRule>
  </conditionalFormatting>
  <conditionalFormatting sqref="N24">
    <cfRule type="expression" dxfId="19" priority="6">
      <formula>AND($B24&lt;&gt;"",MOD(ROW(),2)=0)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A47:A497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1" t="s">
        <v>423</v>
      </c>
      <c r="B1" s="267"/>
      <c r="C1" s="267"/>
    </row>
    <row r="2" spans="1:8" ht="14.25" customHeight="1">
      <c r="A2" s="8" t="s">
        <v>0</v>
      </c>
      <c r="B2" s="8" t="s">
        <v>424</v>
      </c>
      <c r="C2" s="8" t="s">
        <v>425</v>
      </c>
      <c r="E2" t="s">
        <v>426</v>
      </c>
      <c r="F2" t="s">
        <v>427</v>
      </c>
      <c r="G2" t="s">
        <v>428</v>
      </c>
      <c r="H2" t="s">
        <v>429</v>
      </c>
    </row>
    <row r="3" spans="1:8" ht="14.25" customHeight="1">
      <c r="A3" s="11" t="s">
        <v>40</v>
      </c>
      <c r="B3" s="11">
        <v>8</v>
      </c>
      <c r="C3" s="12">
        <v>46142</v>
      </c>
      <c r="E3" t="s">
        <v>430</v>
      </c>
      <c r="F3" s="28">
        <v>46233</v>
      </c>
      <c r="G3" s="28">
        <v>46274</v>
      </c>
    </row>
    <row r="4" spans="1:8" ht="14.25" customHeight="1">
      <c r="A4" s="11" t="s">
        <v>40</v>
      </c>
      <c r="B4" s="11">
        <v>10</v>
      </c>
      <c r="C4" s="12">
        <v>46172</v>
      </c>
      <c r="E4" t="s">
        <v>431</v>
      </c>
      <c r="F4" s="28">
        <v>46264</v>
      </c>
      <c r="G4" s="28">
        <v>46295</v>
      </c>
    </row>
    <row r="5" spans="1:8" ht="14.25" customHeight="1">
      <c r="A5" s="11" t="s">
        <v>40</v>
      </c>
      <c r="B5" s="11">
        <v>9</v>
      </c>
      <c r="C5" s="12">
        <v>46203</v>
      </c>
      <c r="E5" t="s">
        <v>432</v>
      </c>
      <c r="F5" s="28">
        <v>46295</v>
      </c>
      <c r="G5" s="28">
        <v>46325</v>
      </c>
    </row>
    <row r="6" spans="1:8" ht="14.25" customHeight="1">
      <c r="A6" s="11" t="s">
        <v>126</v>
      </c>
      <c r="B6" s="11">
        <v>15</v>
      </c>
      <c r="C6" s="12">
        <v>46233</v>
      </c>
      <c r="E6" t="s">
        <v>433</v>
      </c>
      <c r="F6" s="28">
        <v>46325</v>
      </c>
      <c r="G6" s="28">
        <v>46356</v>
      </c>
    </row>
    <row r="7" spans="1:8" ht="14.25" customHeight="1">
      <c r="A7" s="11" t="s">
        <v>126</v>
      </c>
      <c r="B7" s="11">
        <v>15</v>
      </c>
      <c r="C7" s="12">
        <v>46264</v>
      </c>
      <c r="E7" t="s">
        <v>434</v>
      </c>
      <c r="F7" s="28">
        <v>46356</v>
      </c>
      <c r="G7" s="28">
        <v>46387</v>
      </c>
    </row>
    <row r="8" spans="1:8" ht="14.25" customHeight="1">
      <c r="A8" s="11" t="s">
        <v>126</v>
      </c>
      <c r="B8" s="11">
        <v>17</v>
      </c>
      <c r="C8" s="12">
        <v>46295</v>
      </c>
      <c r="E8" t="s">
        <v>435</v>
      </c>
      <c r="F8" s="28">
        <v>46387</v>
      </c>
      <c r="G8" s="28">
        <v>46417</v>
      </c>
    </row>
    <row r="9" spans="1:8" ht="14.25" customHeight="1">
      <c r="A9" s="11" t="s">
        <v>126</v>
      </c>
      <c r="B9" s="11">
        <v>20</v>
      </c>
      <c r="C9" s="12">
        <v>46325</v>
      </c>
      <c r="E9" t="s">
        <v>436</v>
      </c>
      <c r="F9" s="28">
        <v>46417</v>
      </c>
      <c r="G9" s="28">
        <v>46445</v>
      </c>
    </row>
    <row r="10" spans="1:8" ht="14.25" customHeight="1">
      <c r="A10" s="11" t="s">
        <v>126</v>
      </c>
      <c r="B10" s="11">
        <v>20</v>
      </c>
      <c r="C10" s="12">
        <v>46356</v>
      </c>
      <c r="E10" t="s">
        <v>437</v>
      </c>
      <c r="F10" s="28">
        <v>46446</v>
      </c>
      <c r="G10" s="28">
        <v>46477</v>
      </c>
    </row>
    <row r="11" spans="1:8" ht="14.25" customHeight="1">
      <c r="A11" s="11" t="s">
        <v>336</v>
      </c>
      <c r="B11" s="11">
        <v>18</v>
      </c>
      <c r="C11" s="12">
        <v>46417</v>
      </c>
      <c r="E11" t="s">
        <v>438</v>
      </c>
      <c r="F11" s="28">
        <v>46477</v>
      </c>
      <c r="G11" s="28">
        <v>46480</v>
      </c>
    </row>
    <row r="12" spans="1:8" ht="14.25" customHeight="1">
      <c r="A12" s="11" t="s">
        <v>336</v>
      </c>
      <c r="B12" s="11">
        <v>18</v>
      </c>
      <c r="C12" s="12">
        <v>46446</v>
      </c>
    </row>
    <row r="13" spans="1:8" ht="14.25" customHeight="1">
      <c r="A13" s="11" t="s">
        <v>336</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2" t="s">
        <v>439</v>
      </c>
      <c r="B1" s="267"/>
      <c r="C1" s="267"/>
      <c r="D1" s="267"/>
      <c r="E1" s="267"/>
      <c r="F1" s="267"/>
      <c r="G1" s="267"/>
      <c r="H1" s="267"/>
      <c r="I1" s="267"/>
      <c r="J1" s="267"/>
    </row>
    <row r="2" spans="1:10" ht="27" customHeight="1">
      <c r="A2" s="8" t="s">
        <v>0</v>
      </c>
      <c r="B2" s="8" t="s">
        <v>440</v>
      </c>
      <c r="C2" s="8" t="s">
        <v>1</v>
      </c>
      <c r="D2" s="8" t="s">
        <v>441</v>
      </c>
      <c r="E2" s="8" t="s">
        <v>442</v>
      </c>
      <c r="F2" s="8" t="s">
        <v>6</v>
      </c>
      <c r="G2" s="8" t="s">
        <v>5</v>
      </c>
      <c r="H2" s="8" t="s">
        <v>443</v>
      </c>
      <c r="I2" s="8" t="s">
        <v>425</v>
      </c>
      <c r="J2" s="8" t="s">
        <v>444</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445</v>
      </c>
      <c r="D13" s="9" t="s">
        <v>446</v>
      </c>
      <c r="E13" s="9" t="s">
        <v>46</v>
      </c>
      <c r="F13" s="9"/>
      <c r="G13" s="9"/>
      <c r="H13" s="10"/>
      <c r="I13" s="10">
        <v>46115</v>
      </c>
      <c r="J13" s="10">
        <v>46115</v>
      </c>
    </row>
    <row r="14" spans="1:10" ht="14.25" customHeight="1">
      <c r="A14" s="9" t="s">
        <v>40</v>
      </c>
      <c r="B14" s="9" t="s">
        <v>223</v>
      </c>
      <c r="C14" s="9" t="s">
        <v>445</v>
      </c>
      <c r="D14" s="9" t="s">
        <v>446</v>
      </c>
      <c r="E14" s="9" t="s">
        <v>46</v>
      </c>
      <c r="F14" s="9"/>
      <c r="G14" s="9"/>
      <c r="H14" s="10">
        <v>46115</v>
      </c>
      <c r="I14" s="10">
        <v>46120</v>
      </c>
      <c r="J14" s="10">
        <v>46120</v>
      </c>
    </row>
    <row r="15" spans="1:10" ht="14.25" customHeight="1">
      <c r="A15" s="9" t="s">
        <v>40</v>
      </c>
      <c r="B15" s="9" t="s">
        <v>206</v>
      </c>
      <c r="C15" s="9" t="s">
        <v>445</v>
      </c>
      <c r="D15" s="9" t="s">
        <v>446</v>
      </c>
      <c r="E15" s="9" t="s">
        <v>46</v>
      </c>
      <c r="F15" s="9"/>
      <c r="G15" s="9"/>
      <c r="H15" s="10">
        <v>46120</v>
      </c>
      <c r="I15" s="10">
        <v>46122</v>
      </c>
      <c r="J15" s="10">
        <v>46122</v>
      </c>
    </row>
    <row r="16" spans="1:10" ht="14.25" customHeight="1">
      <c r="A16" s="9" t="s">
        <v>40</v>
      </c>
      <c r="B16" s="9" t="s">
        <v>187</v>
      </c>
      <c r="C16" s="9" t="s">
        <v>445</v>
      </c>
      <c r="D16" s="9" t="s">
        <v>446</v>
      </c>
      <c r="E16" s="9" t="s">
        <v>46</v>
      </c>
      <c r="F16" s="9"/>
      <c r="G16" s="9"/>
      <c r="H16" s="10">
        <v>46122</v>
      </c>
      <c r="I16" s="10"/>
      <c r="J16" s="10"/>
    </row>
    <row r="17" spans="1:10" ht="14.25" customHeight="1">
      <c r="A17" s="9" t="s">
        <v>40</v>
      </c>
      <c r="B17" s="9" t="s">
        <v>42</v>
      </c>
      <c r="C17" s="9" t="s">
        <v>445</v>
      </c>
      <c r="D17" s="9" t="s">
        <v>446</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446</v>
      </c>
      <c r="E23" s="9" t="s">
        <v>46</v>
      </c>
      <c r="F23" s="9"/>
      <c r="G23" s="9"/>
      <c r="H23" s="10"/>
      <c r="I23" s="10">
        <v>46115</v>
      </c>
      <c r="J23" s="10">
        <v>46115</v>
      </c>
    </row>
    <row r="24" spans="1:10" ht="14.25" customHeight="1">
      <c r="A24" s="9" t="s">
        <v>40</v>
      </c>
      <c r="B24" s="9" t="s">
        <v>223</v>
      </c>
      <c r="C24" s="9" t="s">
        <v>64</v>
      </c>
      <c r="D24" s="9" t="s">
        <v>446</v>
      </c>
      <c r="E24" s="9" t="s">
        <v>46</v>
      </c>
      <c r="F24" s="9"/>
      <c r="G24" s="9"/>
      <c r="H24" s="10">
        <v>46115</v>
      </c>
      <c r="I24" s="10">
        <v>46120</v>
      </c>
      <c r="J24" s="10">
        <v>46120</v>
      </c>
    </row>
    <row r="25" spans="1:10" ht="14.25" customHeight="1">
      <c r="A25" s="9" t="s">
        <v>40</v>
      </c>
      <c r="B25" s="9" t="s">
        <v>206</v>
      </c>
      <c r="C25" s="9" t="s">
        <v>64</v>
      </c>
      <c r="D25" s="9" t="s">
        <v>446</v>
      </c>
      <c r="E25" s="9" t="s">
        <v>46</v>
      </c>
      <c r="F25" s="9"/>
      <c r="G25" s="9"/>
      <c r="H25" s="10">
        <v>46120</v>
      </c>
      <c r="I25" s="10">
        <v>46122</v>
      </c>
      <c r="J25" s="10">
        <v>46122</v>
      </c>
    </row>
    <row r="26" spans="1:10" ht="14.25" customHeight="1">
      <c r="A26" s="9" t="s">
        <v>40</v>
      </c>
      <c r="B26" s="9" t="s">
        <v>187</v>
      </c>
      <c r="C26" s="9" t="s">
        <v>64</v>
      </c>
      <c r="D26" s="9" t="s">
        <v>446</v>
      </c>
      <c r="E26" s="9" t="s">
        <v>46</v>
      </c>
      <c r="F26" s="9"/>
      <c r="G26" s="9"/>
      <c r="H26" s="10">
        <v>46122</v>
      </c>
      <c r="I26" s="10"/>
      <c r="J26" s="10"/>
    </row>
    <row r="27" spans="1:10" ht="14.25" customHeight="1">
      <c r="A27" s="9" t="s">
        <v>40</v>
      </c>
      <c r="B27" s="9" t="s">
        <v>42</v>
      </c>
      <c r="C27" s="9" t="s">
        <v>64</v>
      </c>
      <c r="D27" s="9" t="s">
        <v>446</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446</v>
      </c>
      <c r="E33" s="9" t="s">
        <v>60</v>
      </c>
      <c r="F33" s="9"/>
      <c r="G33" s="9"/>
      <c r="H33" s="10"/>
      <c r="I33" s="10">
        <v>46122</v>
      </c>
      <c r="J33" s="10">
        <v>46122</v>
      </c>
    </row>
    <row r="34" spans="1:10" ht="14.25" customHeight="1">
      <c r="A34" s="9" t="s">
        <v>40</v>
      </c>
      <c r="B34" s="9" t="s">
        <v>223</v>
      </c>
      <c r="C34" s="9" t="s">
        <v>70</v>
      </c>
      <c r="D34" s="9" t="s">
        <v>446</v>
      </c>
      <c r="E34" s="9" t="s">
        <v>60</v>
      </c>
      <c r="F34" s="9"/>
      <c r="G34" s="9"/>
      <c r="H34" s="10">
        <v>46122</v>
      </c>
      <c r="I34" s="10">
        <v>46126</v>
      </c>
      <c r="J34" s="10">
        <v>46126</v>
      </c>
    </row>
    <row r="35" spans="1:10" ht="14.25" customHeight="1">
      <c r="A35" s="9" t="s">
        <v>40</v>
      </c>
      <c r="B35" s="9" t="s">
        <v>206</v>
      </c>
      <c r="C35" s="9" t="s">
        <v>70</v>
      </c>
      <c r="D35" s="9" t="s">
        <v>446</v>
      </c>
      <c r="E35" s="9" t="s">
        <v>60</v>
      </c>
      <c r="F35" s="9"/>
      <c r="G35" s="9"/>
      <c r="H35" s="10">
        <v>46126</v>
      </c>
      <c r="I35" s="10">
        <v>46122</v>
      </c>
      <c r="J35" s="10">
        <v>46122</v>
      </c>
    </row>
    <row r="36" spans="1:10" ht="14.25" customHeight="1">
      <c r="A36" s="9" t="s">
        <v>40</v>
      </c>
      <c r="B36" s="9" t="s">
        <v>187</v>
      </c>
      <c r="C36" s="9" t="s">
        <v>70</v>
      </c>
      <c r="D36" s="9" t="s">
        <v>446</v>
      </c>
      <c r="E36" s="9" t="s">
        <v>60</v>
      </c>
      <c r="F36" s="9"/>
      <c r="G36" s="9"/>
      <c r="H36" s="10">
        <v>46122</v>
      </c>
      <c r="I36" s="10"/>
      <c r="J36" s="10"/>
    </row>
    <row r="37" spans="1:10" ht="14.25" customHeight="1">
      <c r="A37" s="9" t="s">
        <v>40</v>
      </c>
      <c r="B37" s="9" t="s">
        <v>42</v>
      </c>
      <c r="C37" s="9" t="s">
        <v>70</v>
      </c>
      <c r="D37" s="9" t="s">
        <v>446</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446</v>
      </c>
      <c r="E48" s="9" t="s">
        <v>60</v>
      </c>
      <c r="F48" s="9"/>
      <c r="G48" s="9"/>
      <c r="H48" s="10"/>
      <c r="I48" s="10"/>
      <c r="J48" s="10"/>
    </row>
    <row r="49" spans="1:10" ht="14.25" customHeight="1">
      <c r="A49" s="9" t="s">
        <v>40</v>
      </c>
      <c r="B49" s="9" t="s">
        <v>223</v>
      </c>
      <c r="C49" s="9" t="s">
        <v>97</v>
      </c>
      <c r="D49" s="9" t="s">
        <v>446</v>
      </c>
      <c r="E49" s="9" t="s">
        <v>60</v>
      </c>
      <c r="F49" s="9"/>
      <c r="G49" s="9"/>
      <c r="H49" s="10"/>
      <c r="I49" s="10">
        <v>46139</v>
      </c>
      <c r="J49" s="10">
        <v>46139</v>
      </c>
    </row>
    <row r="50" spans="1:10" ht="14.25" customHeight="1">
      <c r="A50" s="9" t="s">
        <v>40</v>
      </c>
      <c r="B50" s="9" t="s">
        <v>206</v>
      </c>
      <c r="C50" s="9" t="s">
        <v>97</v>
      </c>
      <c r="D50" s="9" t="s">
        <v>446</v>
      </c>
      <c r="E50" s="9" t="s">
        <v>60</v>
      </c>
      <c r="F50" s="9"/>
      <c r="G50" s="9"/>
      <c r="H50" s="10">
        <v>46139</v>
      </c>
      <c r="I50" s="10">
        <v>46139</v>
      </c>
      <c r="J50" s="10">
        <v>46139</v>
      </c>
    </row>
    <row r="51" spans="1:10" ht="14.25" customHeight="1">
      <c r="A51" s="9" t="s">
        <v>40</v>
      </c>
      <c r="B51" s="9" t="s">
        <v>187</v>
      </c>
      <c r="C51" s="9" t="s">
        <v>97</v>
      </c>
      <c r="D51" s="9" t="s">
        <v>446</v>
      </c>
      <c r="E51" s="9" t="s">
        <v>60</v>
      </c>
      <c r="F51" s="9"/>
      <c r="G51" s="9"/>
      <c r="H51" s="10">
        <v>46139</v>
      </c>
      <c r="I51" s="10"/>
      <c r="J51" s="10"/>
    </row>
    <row r="52" spans="1:10" ht="14.25" customHeight="1">
      <c r="A52" s="9" t="s">
        <v>40</v>
      </c>
      <c r="B52" s="9" t="s">
        <v>42</v>
      </c>
      <c r="C52" s="9" t="s">
        <v>97</v>
      </c>
      <c r="D52" s="9" t="s">
        <v>446</v>
      </c>
      <c r="E52" s="9" t="s">
        <v>60</v>
      </c>
      <c r="F52" s="9"/>
      <c r="G52" s="9"/>
      <c r="H52" s="10"/>
      <c r="I52" s="10"/>
      <c r="J52" s="10"/>
    </row>
    <row r="53" spans="1:10" ht="14.25" customHeight="1">
      <c r="A53" s="9" t="s">
        <v>40</v>
      </c>
      <c r="B53" s="9" t="s">
        <v>263</v>
      </c>
      <c r="C53" s="9" t="s">
        <v>98</v>
      </c>
      <c r="D53" s="9" t="s">
        <v>446</v>
      </c>
      <c r="E53" s="9" t="s">
        <v>60</v>
      </c>
      <c r="F53" s="9"/>
      <c r="G53" s="9"/>
      <c r="H53" s="10"/>
      <c r="I53" s="10"/>
      <c r="J53" s="10"/>
    </row>
    <row r="54" spans="1:10" ht="14.25" customHeight="1">
      <c r="A54" s="9" t="s">
        <v>40</v>
      </c>
      <c r="B54" s="9" t="s">
        <v>223</v>
      </c>
      <c r="C54" s="9" t="s">
        <v>98</v>
      </c>
      <c r="D54" s="9" t="s">
        <v>446</v>
      </c>
      <c r="E54" s="9" t="s">
        <v>60</v>
      </c>
      <c r="F54" s="9"/>
      <c r="G54" s="9"/>
      <c r="H54" s="9"/>
      <c r="I54" s="10">
        <v>46141</v>
      </c>
      <c r="J54" s="10">
        <v>46141</v>
      </c>
    </row>
    <row r="55" spans="1:10" ht="14.25" customHeight="1">
      <c r="A55" s="9" t="s">
        <v>40</v>
      </c>
      <c r="B55" s="9" t="s">
        <v>206</v>
      </c>
      <c r="C55" s="9" t="s">
        <v>98</v>
      </c>
      <c r="D55" s="9" t="s">
        <v>446</v>
      </c>
      <c r="E55" s="9" t="s">
        <v>60</v>
      </c>
      <c r="F55" s="9"/>
      <c r="G55" s="9"/>
      <c r="H55" s="10">
        <v>46141</v>
      </c>
      <c r="I55" s="10">
        <v>46141</v>
      </c>
      <c r="J55" s="10">
        <v>46141</v>
      </c>
    </row>
    <row r="56" spans="1:10" ht="14.25" customHeight="1">
      <c r="A56" s="9" t="s">
        <v>40</v>
      </c>
      <c r="B56" s="9" t="s">
        <v>187</v>
      </c>
      <c r="C56" s="9" t="s">
        <v>98</v>
      </c>
      <c r="D56" s="9" t="s">
        <v>446</v>
      </c>
      <c r="E56" s="9" t="s">
        <v>60</v>
      </c>
      <c r="F56" s="9"/>
      <c r="G56" s="9"/>
      <c r="H56" s="10">
        <v>46141</v>
      </c>
      <c r="I56" s="10"/>
      <c r="J56" s="10"/>
    </row>
    <row r="57" spans="1:10" ht="14.25" customHeight="1">
      <c r="A57" s="9" t="s">
        <v>40</v>
      </c>
      <c r="B57" s="9" t="s">
        <v>42</v>
      </c>
      <c r="C57" s="9" t="s">
        <v>98</v>
      </c>
      <c r="D57" s="9" t="s">
        <v>446</v>
      </c>
      <c r="E57" s="9" t="s">
        <v>60</v>
      </c>
      <c r="F57" s="9"/>
      <c r="G57" s="9"/>
      <c r="H57" s="10"/>
      <c r="I57" s="10"/>
      <c r="J57" s="10"/>
    </row>
    <row r="58" spans="1:10" ht="14.25" customHeight="1">
      <c r="A58" s="9" t="s">
        <v>40</v>
      </c>
      <c r="B58" s="9" t="s">
        <v>263</v>
      </c>
      <c r="C58" s="9" t="s">
        <v>99</v>
      </c>
      <c r="D58" s="9" t="s">
        <v>446</v>
      </c>
      <c r="E58" s="9" t="s">
        <v>46</v>
      </c>
      <c r="F58" s="9"/>
      <c r="G58" s="9"/>
      <c r="H58" s="9"/>
      <c r="I58" s="10"/>
      <c r="J58" s="10"/>
    </row>
    <row r="59" spans="1:10" ht="14.25" customHeight="1">
      <c r="A59" s="9" t="s">
        <v>40</v>
      </c>
      <c r="B59" s="9" t="s">
        <v>223</v>
      </c>
      <c r="C59" s="9" t="s">
        <v>99</v>
      </c>
      <c r="D59" s="9" t="s">
        <v>446</v>
      </c>
      <c r="E59" s="9" t="s">
        <v>46</v>
      </c>
      <c r="F59" s="9"/>
      <c r="G59" s="9"/>
      <c r="H59" s="10"/>
      <c r="I59" s="10">
        <v>46161</v>
      </c>
      <c r="J59" s="10">
        <v>46161</v>
      </c>
    </row>
    <row r="60" spans="1:10" ht="14.25" customHeight="1">
      <c r="A60" s="9" t="s">
        <v>40</v>
      </c>
      <c r="B60" s="9" t="s">
        <v>206</v>
      </c>
      <c r="C60" s="9" t="s">
        <v>99</v>
      </c>
      <c r="D60" s="9" t="s">
        <v>446</v>
      </c>
      <c r="E60" s="9" t="s">
        <v>46</v>
      </c>
      <c r="F60" s="9"/>
      <c r="G60" s="9"/>
      <c r="H60" s="10">
        <v>46161</v>
      </c>
      <c r="I60" s="10">
        <v>46161</v>
      </c>
      <c r="J60" s="10">
        <v>46161</v>
      </c>
    </row>
    <row r="61" spans="1:10" ht="14.25" customHeight="1">
      <c r="A61" s="9" t="s">
        <v>40</v>
      </c>
      <c r="B61" s="9" t="s">
        <v>187</v>
      </c>
      <c r="C61" s="9" t="s">
        <v>99</v>
      </c>
      <c r="D61" s="9" t="s">
        <v>446</v>
      </c>
      <c r="E61" s="9" t="s">
        <v>46</v>
      </c>
      <c r="F61" s="9"/>
      <c r="G61" s="9"/>
      <c r="H61" s="10">
        <v>46161</v>
      </c>
      <c r="I61" s="10"/>
      <c r="J61" s="10"/>
    </row>
    <row r="62" spans="1:10" ht="14.25" customHeight="1">
      <c r="A62" s="9" t="s">
        <v>40</v>
      </c>
      <c r="B62" s="9" t="s">
        <v>42</v>
      </c>
      <c r="C62" s="9" t="s">
        <v>99</v>
      </c>
      <c r="D62" s="9" t="s">
        <v>446</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447</v>
      </c>
      <c r="F1" s="1" t="s">
        <v>345</v>
      </c>
      <c r="G1" s="5" t="s">
        <v>448</v>
      </c>
      <c r="H1" s="5" t="s">
        <v>20</v>
      </c>
      <c r="I1" t="s">
        <v>35</v>
      </c>
      <c r="J1" s="5" t="s">
        <v>449</v>
      </c>
      <c r="K1" s="5" t="s">
        <v>187</v>
      </c>
      <c r="L1" s="5" t="s">
        <v>362</v>
      </c>
      <c r="M1" s="1" t="s">
        <v>450</v>
      </c>
      <c r="N1" s="1" t="s">
        <v>451</v>
      </c>
      <c r="R1" t="s">
        <v>13</v>
      </c>
      <c r="T1" t="s">
        <v>452</v>
      </c>
    </row>
    <row r="2" spans="1:20" ht="13.5" customHeight="1">
      <c r="A2" s="2" t="s">
        <v>453</v>
      </c>
      <c r="B2" s="2" t="s">
        <v>454</v>
      </c>
      <c r="C2" s="2" t="s">
        <v>455</v>
      </c>
      <c r="D2" s="2" t="s">
        <v>456</v>
      </c>
      <c r="E2" s="2" t="s">
        <v>457</v>
      </c>
      <c r="F2" s="2" t="s">
        <v>458</v>
      </c>
      <c r="G2" t="s">
        <v>459</v>
      </c>
      <c r="H2" t="s">
        <v>460</v>
      </c>
      <c r="I2" t="s">
        <v>461</v>
      </c>
      <c r="J2" s="29" t="s">
        <v>462</v>
      </c>
      <c r="K2" s="29" t="s">
        <v>463</v>
      </c>
      <c r="L2" s="29" t="s">
        <v>464</v>
      </c>
      <c r="M2" t="s">
        <v>144</v>
      </c>
      <c r="N2" t="s">
        <v>465</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466</v>
      </c>
      <c r="R3" t="s">
        <v>45</v>
      </c>
      <c r="T3" t="s">
        <v>94</v>
      </c>
    </row>
    <row r="4" spans="1:20" ht="15" customHeight="1">
      <c r="A4" t="s">
        <v>126</v>
      </c>
      <c r="B4" t="s">
        <v>59</v>
      </c>
      <c r="C4" t="s">
        <v>46</v>
      </c>
      <c r="D4" t="s">
        <v>144</v>
      </c>
      <c r="E4" t="s">
        <v>53</v>
      </c>
      <c r="F4" t="s">
        <v>263</v>
      </c>
      <c r="G4" t="s">
        <v>59</v>
      </c>
      <c r="H4" t="s">
        <v>88</v>
      </c>
      <c r="I4" t="s">
        <v>467</v>
      </c>
      <c r="J4" t="s">
        <v>223</v>
      </c>
      <c r="L4" t="s">
        <v>50</v>
      </c>
      <c r="M4" t="s">
        <v>103</v>
      </c>
      <c r="N4" t="s">
        <v>468</v>
      </c>
      <c r="R4" t="s">
        <v>469</v>
      </c>
      <c r="T4" t="s">
        <v>72</v>
      </c>
    </row>
    <row r="5" spans="1:20" ht="15" customHeight="1">
      <c r="A5" t="s">
        <v>336</v>
      </c>
      <c r="B5" t="s">
        <v>446</v>
      </c>
      <c r="C5" t="s">
        <v>77</v>
      </c>
      <c r="F5" t="s">
        <v>223</v>
      </c>
      <c r="G5" t="s">
        <v>446</v>
      </c>
      <c r="H5" t="s">
        <v>129</v>
      </c>
      <c r="I5" t="s">
        <v>254</v>
      </c>
      <c r="J5" t="s">
        <v>206</v>
      </c>
      <c r="L5" t="s">
        <v>470</v>
      </c>
      <c r="M5" t="s">
        <v>88</v>
      </c>
      <c r="N5" t="s">
        <v>471</v>
      </c>
    </row>
    <row r="6" spans="1:20" ht="15" customHeight="1">
      <c r="A6" t="s">
        <v>312</v>
      </c>
      <c r="B6" t="s">
        <v>84</v>
      </c>
      <c r="F6" t="s">
        <v>206</v>
      </c>
      <c r="G6" t="s">
        <v>84</v>
      </c>
      <c r="H6" t="s">
        <v>144</v>
      </c>
      <c r="I6" t="s">
        <v>472</v>
      </c>
      <c r="J6" t="s">
        <v>187</v>
      </c>
      <c r="M6" t="s">
        <v>48</v>
      </c>
      <c r="N6" t="s">
        <v>471</v>
      </c>
    </row>
    <row r="7" spans="1:20" ht="15" customHeight="1">
      <c r="A7" t="s">
        <v>303</v>
      </c>
      <c r="B7" t="s">
        <v>65</v>
      </c>
      <c r="F7" t="s">
        <v>187</v>
      </c>
      <c r="G7" t="s">
        <v>65</v>
      </c>
      <c r="H7" t="s">
        <v>201</v>
      </c>
      <c r="I7" t="s">
        <v>473</v>
      </c>
      <c r="M7" t="s">
        <v>129</v>
      </c>
      <c r="N7" t="s">
        <v>474</v>
      </c>
    </row>
    <row r="8" spans="1:20" ht="15" customHeight="1">
      <c r="B8" t="s">
        <v>76</v>
      </c>
      <c r="F8" t="s">
        <v>128</v>
      </c>
      <c r="G8" t="s">
        <v>76</v>
      </c>
      <c r="I8" t="s">
        <v>171</v>
      </c>
      <c r="M8" t="s">
        <v>60</v>
      </c>
      <c r="N8" t="s">
        <v>475</v>
      </c>
    </row>
    <row r="9" spans="1:20" ht="15" customHeight="1">
      <c r="B9" t="s">
        <v>103</v>
      </c>
      <c r="F9" t="s">
        <v>42</v>
      </c>
      <c r="G9" t="s">
        <v>103</v>
      </c>
      <c r="I9" t="s">
        <v>133</v>
      </c>
      <c r="M9" t="s">
        <v>155</v>
      </c>
      <c r="N9" t="s">
        <v>476</v>
      </c>
    </row>
    <row r="10" spans="1:20" ht="15" customHeight="1">
      <c r="B10" t="s">
        <v>155</v>
      </c>
      <c r="G10" t="s">
        <v>155</v>
      </c>
      <c r="I10" t="s">
        <v>477</v>
      </c>
      <c r="M10" t="s">
        <v>47</v>
      </c>
      <c r="N10" t="s">
        <v>478</v>
      </c>
    </row>
    <row r="11" spans="1:20">
      <c r="B11" t="s">
        <v>479</v>
      </c>
      <c r="G11" t="s">
        <v>60</v>
      </c>
      <c r="M11" t="s">
        <v>76</v>
      </c>
      <c r="N11" t="s">
        <v>480</v>
      </c>
    </row>
    <row r="12" spans="1:20">
      <c r="B12" t="s">
        <v>481</v>
      </c>
      <c r="G12" t="s">
        <v>46</v>
      </c>
      <c r="M12" t="s">
        <v>46</v>
      </c>
      <c r="N12" t="s">
        <v>482</v>
      </c>
    </row>
    <row r="13" spans="1:20">
      <c r="G13" t="s">
        <v>77</v>
      </c>
      <c r="M13" t="s">
        <v>77</v>
      </c>
      <c r="N13" t="s">
        <v>483</v>
      </c>
    </row>
    <row r="14" spans="1:20">
      <c r="M14" t="s">
        <v>84</v>
      </c>
      <c r="N14" t="s">
        <v>484</v>
      </c>
    </row>
    <row r="15" spans="1:20">
      <c r="M15" t="s">
        <v>59</v>
      </c>
      <c r="N15" t="s">
        <v>485</v>
      </c>
    </row>
    <row r="16" spans="1:20">
      <c r="M16" t="s">
        <v>65</v>
      </c>
      <c r="N16" t="s">
        <v>486</v>
      </c>
    </row>
    <row r="17" spans="13:14">
      <c r="M17" t="s">
        <v>446</v>
      </c>
      <c r="N17" t="s">
        <v>486</v>
      </c>
    </row>
    <row r="18" spans="13:14">
      <c r="M18" t="s">
        <v>229</v>
      </c>
      <c r="N18" t="s">
        <v>487</v>
      </c>
    </row>
    <row r="19" spans="13:14">
      <c r="M19" t="s">
        <v>201</v>
      </c>
      <c r="N19" t="s">
        <v>488</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489</v>
      </c>
      <c r="C2" s="142"/>
      <c r="D2" s="142"/>
      <c r="E2" s="142"/>
      <c r="F2" s="142"/>
      <c r="G2" s="142"/>
      <c r="H2" s="142"/>
      <c r="I2" s="142"/>
      <c r="J2" s="142"/>
      <c r="K2" s="142"/>
      <c r="L2" s="142"/>
      <c r="M2" s="248" t="str">
        <f ca="1">"As of "&amp;TEXT(TODAY(),"d mmm yyyy")&amp;". Live from Combined Delivery Data."</f>
        <v>As of 19 Oct 2026. Live from Combined Delivery Data.</v>
      </c>
      <c r="N2" s="248"/>
      <c r="O2" s="248"/>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30 of 72</v>
      </c>
      <c r="C5" s="249" t="str">
        <f>IF(C7+E7=0,"No CMS reports are blocked.","reports are blocked. "&amp;C7&amp;" are approved and waiting for a production release, "&amp;E7&amp;" are blocked in build or QA.")</f>
        <v>reports are blocked. 26 are approved and waiting for a production release, 4 are blocked in build or QA.</v>
      </c>
      <c r="D5" s="249"/>
      <c r="E5" s="249"/>
      <c r="F5" s="249"/>
      <c r="G5" s="249"/>
      <c r="H5" s="249"/>
      <c r="I5" s="249"/>
      <c r="J5" s="249"/>
      <c r="K5" s="249"/>
      <c r="L5" s="249"/>
      <c r="M5" s="249"/>
      <c r="N5" s="249"/>
      <c r="O5" s="249"/>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50" cm="1">
        <f t="array" ref="C7">COUNTIFS(cmsDom,"CMS",cmsStatus,"Ready for Release in Prod")</f>
        <v>26</v>
      </c>
      <c r="D7" s="251"/>
      <c r="E7" s="254" cm="1">
        <f t="array" ref="E7">COUNTIFS(cmsDom,"CMS",cmsBlocked,"Yes*",cmsStatus,"&lt;&gt;Ready for Release in Prod",cmsStatus,"&lt;&gt;RELEASED IN PROD")</f>
        <v>4</v>
      </c>
      <c r="F7" s="255"/>
      <c r="G7" s="256" cm="1">
        <f t="array" ref="G7">SUM(COUNTIFS(cmsDom,"CMS",cmsBlocked,"&lt;&gt;Yes*",cmsStatus,{"DB Dev","PBI Dev","QA","DPO Approval"}))</f>
        <v>26</v>
      </c>
      <c r="H7" s="257"/>
      <c r="I7" s="258" cm="1">
        <f t="array" ref="I7">COUNTIFS(cmsDom,"CMS",cmsBlocked,"&lt;&gt;Yes*",cmsStatus,"NOT STARTED")</f>
        <v>12</v>
      </c>
      <c r="J7" s="259"/>
      <c r="K7" s="260" cm="1">
        <f t="array" ref="K7">COUNTIFS(cmsDom,"CMS",cmsStatus,"RELEASED IN PROD")</f>
        <v>4</v>
      </c>
      <c r="L7" s="261"/>
      <c r="M7" s="262" t="s">
        <v>490</v>
      </c>
      <c r="N7" s="263"/>
      <c r="O7" s="264"/>
      <c r="P7" s="142"/>
      <c r="Q7" s="142"/>
      <c r="R7" s="142"/>
      <c r="S7" s="142"/>
      <c r="T7" s="142"/>
      <c r="U7" s="142"/>
      <c r="V7" s="142"/>
      <c r="W7" s="142"/>
      <c r="X7" s="142"/>
      <c r="Y7" s="142"/>
      <c r="Z7" s="142"/>
    </row>
    <row r="8" spans="1:26" ht="30" customHeight="1">
      <c r="A8" s="142"/>
      <c r="B8" s="142"/>
      <c r="C8" s="252" t="s">
        <v>491</v>
      </c>
      <c r="D8" s="253"/>
      <c r="E8" s="252" t="s">
        <v>492</v>
      </c>
      <c r="F8" s="253"/>
      <c r="G8" s="252" t="s">
        <v>493</v>
      </c>
      <c r="H8" s="253"/>
      <c r="I8" s="252" t="s">
        <v>494</v>
      </c>
      <c r="J8" s="253"/>
      <c r="K8" s="252" t="s">
        <v>495</v>
      </c>
      <c r="L8" s="253"/>
      <c r="M8" s="252"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42.</v>
      </c>
      <c r="N8" s="253"/>
      <c r="O8" s="265"/>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496</v>
      </c>
      <c r="C10" s="226" t="s">
        <v>497</v>
      </c>
      <c r="D10" s="226"/>
      <c r="E10" s="226"/>
      <c r="F10" s="226"/>
      <c r="G10" s="226"/>
      <c r="H10" s="226"/>
      <c r="I10" s="226"/>
      <c r="J10" s="226"/>
      <c r="K10" s="226"/>
      <c r="L10" s="226"/>
      <c r="M10" s="226"/>
      <c r="N10" s="226"/>
      <c r="O10" s="226"/>
      <c r="P10" s="142"/>
      <c r="Q10" s="142"/>
      <c r="R10" s="142"/>
      <c r="S10" s="142"/>
      <c r="T10" s="142"/>
      <c r="U10" s="142"/>
      <c r="V10" s="142"/>
      <c r="W10" s="142"/>
      <c r="X10" s="142"/>
      <c r="Y10" s="142"/>
      <c r="Z10" s="142"/>
    </row>
    <row r="11" spans="1:26" ht="30" customHeight="1">
      <c r="A11" s="142"/>
      <c r="B11" s="159" t="s">
        <v>498</v>
      </c>
      <c r="C11" s="156" t="s">
        <v>499</v>
      </c>
      <c r="D11" s="156" t="s">
        <v>500</v>
      </c>
      <c r="E11" s="156" t="s">
        <v>187</v>
      </c>
      <c r="F11" s="156" t="s">
        <v>206</v>
      </c>
      <c r="G11" s="156" t="s">
        <v>223</v>
      </c>
      <c r="H11" s="156" t="s">
        <v>263</v>
      </c>
      <c r="I11" s="156" t="s">
        <v>494</v>
      </c>
      <c r="J11" s="156" t="s">
        <v>501</v>
      </c>
      <c r="K11" s="156" t="s">
        <v>502</v>
      </c>
      <c r="L11" s="156" t="s">
        <v>503</v>
      </c>
      <c r="M11" s="242" t="s">
        <v>504</v>
      </c>
      <c r="N11" s="243"/>
      <c r="O11" s="244"/>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5" t="str">
        <f ca="1">IF($K12=0,"",IF($J12=$K12,"Delivered",IF($L12="","No milestone in Dim Table",IF(TODAY()&gt;$L12,TEXT(TODAY()-$L12,"0")&amp;" days past milestone, "&amp;($K12-$J12)&amp;" of "&amp;$K12&amp;" not released",TEXT($L12-TODAY(),"0")&amp;" days to milestone"&amp;IF($D12&gt;0,", "&amp;$D12&amp;" blocked","")))))</f>
        <v>40 days past milestone, 14 of 14 not released</v>
      </c>
      <c r="N12" s="246"/>
      <c r="O12" s="247"/>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6" t="str">
        <f ca="1">IF($K13=0,"",IF($J13=$K13,"Delivered",IF($L13="","No milestone in Dim Table",IF(TODAY()&gt;$L13,TEXT(TODAY()-$L13,"0")&amp;" days past milestone, "&amp;($K13-$J13)&amp;" of "&amp;$K13&amp;" not released",TEXT($L13-TODAY(),"0")&amp;" days to milestone"&amp;IF($D13&gt;0,", "&amp;$D13&amp;" blocked","")))))</f>
        <v>19 days past milestone, 12 of 12 not released</v>
      </c>
      <c r="N13" s="237"/>
      <c r="O13" s="238"/>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1</v>
      </c>
      <c r="D14" s="167" cm="1">
        <f t="array" ref="D14">COUNTIFS(cmsDom,"CMS",cmsMonth,$B14,cmsBlocked,"Yes*",cmsStatus,"&lt;&gt;Ready for Release in Prod",cmsStatus,"&lt;&gt;RELEASED IN PROD")</f>
        <v>2</v>
      </c>
      <c r="E14" s="167" cm="1">
        <f t="array" ref="E14">COUNTIFS(cmsDom,"CMS",cmsMonth,$B14,cmsBlocked,"&lt;&gt;Yes*",cmsStatus,"DPO Approval")</f>
        <v>5</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36" t="str">
        <f ca="1">IF($K14=0,"",IF($J14=$K14,"Delivered",IF($L14="","No milestone in Dim Table",IF(TODAY()&gt;$L14,TEXT(TODAY()-$L14,"0")&amp;" days past milestone, "&amp;($K14-$J14)&amp;" of "&amp;$K14&amp;" not released",TEXT($L14-TODAY(),"0")&amp;" days to milestone"&amp;IF($D14&gt;0,", "&amp;$D14&amp;" blocked","")))))</f>
        <v>11 days to milestone, 2 blocked</v>
      </c>
      <c r="N14" s="237"/>
      <c r="O14" s="238"/>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6" t="str">
        <f ca="1">IF($K15=0,"",IF($J15=$K15,"Delivered",IF($L15="","No milestone in Dim Table",IF(TODAY()&gt;$L15,TEXT(TODAY()-$L15,"0")&amp;" days past milestone, "&amp;($K15-$J15)&amp;" of "&amp;$K15&amp;" not released",TEXT($L15-TODAY(),"0")&amp;" days to milestone"&amp;IF($D15&gt;0,", "&amp;$D15&amp;" blocked","")))))</f>
        <v>42 days to milestone, 2 blocked</v>
      </c>
      <c r="N15" s="237"/>
      <c r="O15" s="238"/>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9" t="str">
        <f ca="1">IF($K16=0,"",IF($J16=$K16,"Delivered",IF($L16="","No milestone in Dim Table",IF(TODAY()&gt;$L16,TEXT(TODAY()-$L16,"0")&amp;" days past milestone, "&amp;($K16-$J16)&amp;" of "&amp;$K16&amp;" not released",TEXT($L16-TODAY(),"0")&amp;" days to milestone"&amp;IF($D16&gt;0,", "&amp;$D16&amp;" blocked","")))))</f>
        <v>73 days to milestone</v>
      </c>
      <c r="N16" s="240"/>
      <c r="O16" s="241"/>
      <c r="P16" s="142"/>
      <c r="Q16" s="142"/>
      <c r="R16" s="142"/>
      <c r="S16" s="142"/>
      <c r="T16" s="142"/>
      <c r="U16" s="142"/>
      <c r="V16" s="142"/>
      <c r="W16" s="142"/>
      <c r="X16" s="142"/>
      <c r="Y16" s="142"/>
      <c r="Z16" s="142"/>
    </row>
    <row r="17" spans="1:26" ht="24" customHeight="1">
      <c r="A17" s="142"/>
      <c r="B17" s="157" t="s">
        <v>505</v>
      </c>
      <c r="C17" s="169">
        <f t="shared" ref="C17:K17" si="0">SUM(C12:C16)</f>
        <v>26</v>
      </c>
      <c r="D17" s="169">
        <f t="shared" si="0"/>
        <v>4</v>
      </c>
      <c r="E17" s="169">
        <f t="shared" si="0"/>
        <v>7</v>
      </c>
      <c r="F17" s="169">
        <f t="shared" si="0"/>
        <v>7</v>
      </c>
      <c r="G17" s="169">
        <f t="shared" si="0"/>
        <v>8</v>
      </c>
      <c r="H17" s="169">
        <f t="shared" si="0"/>
        <v>4</v>
      </c>
      <c r="I17" s="169">
        <f t="shared" si="0"/>
        <v>12</v>
      </c>
      <c r="J17" s="169">
        <f t="shared" si="0"/>
        <v>4</v>
      </c>
      <c r="K17" s="169">
        <f t="shared" si="0"/>
        <v>72</v>
      </c>
      <c r="L17" s="158"/>
      <c r="M17" s="223" t="str">
        <f>IF(SUM(C17:J17)=K17,"","Counts do not add up to the report total")</f>
        <v/>
      </c>
      <c r="N17" s="224"/>
      <c r="O17" s="22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506</v>
      </c>
      <c r="C19" s="226" t="s">
        <v>507</v>
      </c>
      <c r="D19" s="226"/>
      <c r="E19" s="226"/>
      <c r="F19" s="226"/>
      <c r="G19" s="226"/>
      <c r="H19" s="226"/>
      <c r="I19" s="226"/>
      <c r="J19" s="226"/>
      <c r="K19" s="226"/>
      <c r="L19" s="226"/>
      <c r="M19" s="226"/>
      <c r="N19" s="226"/>
      <c r="O19" s="22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(42)</v>
      </c>
      <c r="C35" s="226" t="s">
        <v>508</v>
      </c>
      <c r="D35" s="226"/>
      <c r="E35" s="226"/>
      <c r="F35" s="226"/>
      <c r="G35" s="226"/>
      <c r="H35" s="226"/>
      <c r="I35" s="226"/>
      <c r="J35" s="226"/>
      <c r="K35" s="226"/>
      <c r="L35" s="226"/>
      <c r="M35" s="226"/>
      <c r="N35" s="226"/>
      <c r="O35" s="226"/>
      <c r="P35" s="142"/>
      <c r="Q35" s="142"/>
      <c r="R35" s="142"/>
      <c r="S35" s="142"/>
      <c r="T35" s="142"/>
      <c r="U35" s="142"/>
      <c r="V35" s="142"/>
      <c r="W35" s="142"/>
      <c r="X35" s="142"/>
      <c r="Y35" s="142"/>
      <c r="Z35" s="142"/>
    </row>
    <row r="36" spans="1:26" ht="21.75" customHeight="1">
      <c r="A36" s="142"/>
      <c r="B36" s="172" t="s">
        <v>509</v>
      </c>
      <c r="C36" s="170" t="s">
        <v>498</v>
      </c>
      <c r="D36" s="170" t="s">
        <v>510</v>
      </c>
      <c r="E36" s="170" t="s">
        <v>440</v>
      </c>
      <c r="F36" s="170" t="s">
        <v>511</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502</v>
      </c>
      <c r="C48" s="226"/>
      <c r="D48" s="226"/>
      <c r="E48" s="226"/>
      <c r="F48" s="226"/>
      <c r="G48" s="226"/>
      <c r="H48" s="226"/>
      <c r="I48" s="226"/>
      <c r="J48" s="226"/>
      <c r="K48" s="226"/>
      <c r="L48" s="226"/>
      <c r="M48" s="226"/>
      <c r="N48" s="226"/>
      <c r="O48" s="226"/>
      <c r="P48" s="142"/>
      <c r="Q48" s="142"/>
      <c r="R48" s="142"/>
      <c r="S48" s="142"/>
      <c r="T48" s="142"/>
      <c r="U48" s="142"/>
      <c r="V48" s="142"/>
      <c r="W48" s="142"/>
      <c r="X48" s="142"/>
      <c r="Y48" s="142"/>
      <c r="Z48" s="142"/>
    </row>
    <row r="49" spans="1:26" ht="15.75" customHeight="1">
      <c r="A49" s="142"/>
      <c r="B49" s="227"/>
      <c r="C49" s="229" t="s">
        <v>498</v>
      </c>
      <c r="D49" s="229"/>
      <c r="E49" s="229" t="s">
        <v>440</v>
      </c>
      <c r="F49" s="229"/>
      <c r="G49" s="229" t="s">
        <v>450</v>
      </c>
      <c r="H49" s="229"/>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8"/>
      <c r="C50" s="230" t="s">
        <v>512</v>
      </c>
      <c r="D50" s="231"/>
      <c r="E50" s="230" t="s">
        <v>512</v>
      </c>
      <c r="F50" s="231"/>
      <c r="G50" s="230" t="s">
        <v>512</v>
      </c>
      <c r="H50" s="232"/>
      <c r="I50" s="233" t="str">
        <f>IF(ISTEXT(B53),"No reports match",IF(ROWS(_xlfn.ANCHORARRAY(B53))=1,"1 report","" &amp; ROWS(_xlfn.ANCHORARRAY(B53)) &amp; " reports"))</f>
        <v>No reports match</v>
      </c>
      <c r="J50" s="234"/>
      <c r="K50" s="234"/>
      <c r="L50" s="234"/>
      <c r="M50" s="234"/>
      <c r="N50" s="234"/>
      <c r="O50" s="235"/>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509</v>
      </c>
      <c r="C52" s="179" t="s">
        <v>498</v>
      </c>
      <c r="D52" s="179" t="s">
        <v>510</v>
      </c>
      <c r="E52" s="179" t="s">
        <v>35</v>
      </c>
      <c r="F52" s="179" t="s">
        <v>513</v>
      </c>
      <c r="G52" s="179" t="s">
        <v>514</v>
      </c>
      <c r="H52" s="179" t="s">
        <v>515</v>
      </c>
      <c r="I52" s="179" t="s">
        <v>516</v>
      </c>
      <c r="J52" s="181" t="s">
        <v>517</v>
      </c>
      <c r="K52" s="181" t="s">
        <v>518</v>
      </c>
      <c r="L52" s="181" t="s">
        <v>519</v>
      </c>
      <c r="M52" s="181" t="s">
        <v>520</v>
      </c>
      <c r="N52" s="181" t="s">
        <v>521</v>
      </c>
      <c r="O52" s="179" t="s">
        <v>522</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523</v>
      </c>
      <c r="C1" t="s">
        <v>524</v>
      </c>
      <c r="D1" t="s">
        <v>35</v>
      </c>
      <c r="E1" t="s">
        <v>525</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472</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467</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263</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467</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272</v>
      </c>
      <c r="B59" t="s">
        <v>273</v>
      </c>
      <c r="C59" t="s">
        <v>234</v>
      </c>
      <c r="E59" t="str">
        <f t="shared" si="1"/>
        <v>Not Started</v>
      </c>
    </row>
    <row r="60" spans="1:5">
      <c r="A60" t="s">
        <v>276</v>
      </c>
      <c r="B60" t="s">
        <v>273</v>
      </c>
      <c r="C60" t="s">
        <v>234</v>
      </c>
      <c r="E60" t="str">
        <f t="shared" si="1"/>
        <v>Not Started</v>
      </c>
    </row>
    <row r="61" spans="1:5">
      <c r="A61" t="s">
        <v>277</v>
      </c>
      <c r="B61" t="s">
        <v>273</v>
      </c>
      <c r="C61" t="s">
        <v>234</v>
      </c>
      <c r="E61" t="str">
        <f t="shared" si="1"/>
        <v>Not Started</v>
      </c>
    </row>
    <row r="62" spans="1:5">
      <c r="A62" t="s">
        <v>279</v>
      </c>
      <c r="B62" t="s">
        <v>273</v>
      </c>
      <c r="C62" t="s">
        <v>234</v>
      </c>
      <c r="E62" t="str">
        <f t="shared" si="1"/>
        <v>Not Started</v>
      </c>
    </row>
    <row r="63" spans="1:5">
      <c r="A63" t="s">
        <v>280</v>
      </c>
      <c r="B63" t="s">
        <v>273</v>
      </c>
      <c r="C63" t="s">
        <v>234</v>
      </c>
      <c r="E63" t="str">
        <f t="shared" si="1"/>
        <v>Not Started</v>
      </c>
    </row>
    <row r="64" spans="1:5">
      <c r="A64" t="s">
        <v>282</v>
      </c>
      <c r="B64" t="s">
        <v>273</v>
      </c>
      <c r="C64" t="s">
        <v>234</v>
      </c>
      <c r="E64" t="str">
        <f t="shared" si="1"/>
        <v>Not Started</v>
      </c>
    </row>
    <row r="65" spans="1:5">
      <c r="A65" t="s">
        <v>284</v>
      </c>
      <c r="B65" t="s">
        <v>273</v>
      </c>
      <c r="C65" t="s">
        <v>234</v>
      </c>
      <c r="E65" t="str">
        <f t="shared" si="1"/>
        <v>Not Started</v>
      </c>
    </row>
    <row r="66" spans="1:5">
      <c r="A66" t="s">
        <v>286</v>
      </c>
      <c r="B66" t="s">
        <v>273</v>
      </c>
      <c r="C66" t="s">
        <v>234</v>
      </c>
      <c r="E66" t="str">
        <f t="shared" ref="E66:E73" si="2">IF(C66="Ready for Release in Prod","Blocked in Prod",IF(C66="RELEASED IN PROD","Released",IF(LEFT(D66,3)="Yes","Blocked - Build/QA",IF(C66="NOT STARTED","Not Started",C66))))</f>
        <v>Not Started</v>
      </c>
    </row>
    <row r="67" spans="1:5">
      <c r="A67" t="s">
        <v>288</v>
      </c>
      <c r="B67" t="s">
        <v>273</v>
      </c>
      <c r="C67" t="s">
        <v>234</v>
      </c>
      <c r="E67" t="str">
        <f t="shared" si="2"/>
        <v>Not Started</v>
      </c>
    </row>
    <row r="68" spans="1:5">
      <c r="A68" t="s">
        <v>289</v>
      </c>
      <c r="B68" t="s">
        <v>273</v>
      </c>
      <c r="C68" t="s">
        <v>234</v>
      </c>
      <c r="E68" t="str">
        <f t="shared" si="2"/>
        <v>Not Started</v>
      </c>
    </row>
    <row r="69" spans="1:5">
      <c r="A69" t="s">
        <v>292</v>
      </c>
      <c r="B69" t="s">
        <v>273</v>
      </c>
      <c r="C69" t="s">
        <v>234</v>
      </c>
      <c r="E69" t="str">
        <f t="shared" si="2"/>
        <v>Not Started</v>
      </c>
    </row>
    <row r="70" spans="1:5">
      <c r="A70" t="s">
        <v>294</v>
      </c>
      <c r="B70" t="s">
        <v>273</v>
      </c>
      <c r="C70" t="s">
        <v>234</v>
      </c>
      <c r="E70" t="str">
        <f t="shared" si="2"/>
        <v>Not Started</v>
      </c>
    </row>
    <row r="71" spans="1:5">
      <c r="A71" t="s">
        <v>297</v>
      </c>
      <c r="B71" t="s">
        <v>273</v>
      </c>
      <c r="C71" t="s">
        <v>234</v>
      </c>
      <c r="E71" t="str">
        <f t="shared" si="2"/>
        <v>Not Started</v>
      </c>
    </row>
    <row r="72" spans="1:5">
      <c r="A72" t="s">
        <v>298</v>
      </c>
      <c r="B72" t="s">
        <v>273</v>
      </c>
      <c r="C72" t="s">
        <v>234</v>
      </c>
      <c r="E72" t="str">
        <f t="shared" si="2"/>
        <v>Not Started</v>
      </c>
    </row>
    <row r="73" spans="1:5">
      <c r="A73" t="s">
        <v>301</v>
      </c>
      <c r="B73" t="s">
        <v>273</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526</v>
      </c>
      <c r="B1" t="s">
        <v>527</v>
      </c>
      <c r="C1" t="s">
        <v>528</v>
      </c>
    </row>
    <row r="2" spans="1:3">
      <c r="A2" t="s">
        <v>512</v>
      </c>
      <c r="B2" t="s">
        <v>512</v>
      </c>
      <c r="C2" t="s">
        <v>512</v>
      </c>
    </row>
    <row r="3" spans="1:3">
      <c r="A3" t="str" cm="1">
        <f t="array" ref="A3:A7">_xlfn.LET(_xlpm.u,_xlfn.UNIQUE(_xlfn._xlws.FILTER(cmsMonth,(cmsDom="CMS")*(cmsMonth&lt;&gt;""))),_xlfn.SORTBY(_xlpm.u,MONTH(DATEVALUE("1 "&amp;_xlpm.u&amp;" 2026"))))</f>
        <v>July</v>
      </c>
      <c r="B3" t="s">
        <v>499</v>
      </c>
      <c r="C3" t="str" cm="1">
        <f t="array" ref="C3:C18">_xlfn.LET(_xlpm.v,_xlfn.VSTACK(cmsDBDev,cmsPBIDev,cmsQA),_xlpm.d,_xlfn.VSTACK(cmsDom,cmsDom,cmsDom),_xlfn._xlws.SORT(_xlfn.UNIQUE(_xlfn._xlws.FILTER(_xlpm.v,(_xlpm.d="CMS")*(_xlpm.v&lt;&gt;"")))))</f>
        <v>Bardia</v>
      </c>
    </row>
    <row r="4" spans="1:3">
      <c r="A4" t="str">
        <v>August</v>
      </c>
      <c r="B4" t="s">
        <v>500</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263</v>
      </c>
      <c r="C8" t="str">
        <v>Michael</v>
      </c>
    </row>
    <row r="9" spans="1:3">
      <c r="B9" t="s">
        <v>494</v>
      </c>
      <c r="C9" t="str">
        <v>Navya</v>
      </c>
    </row>
    <row r="10" spans="1:3">
      <c r="B10" t="s">
        <v>501</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Santosh Malvi</cp:lastModifiedBy>
  <cp:revision>0</cp:revision>
  <dcterms:created xsi:type="dcterms:W3CDTF">2026-07-21T14:32:59Z</dcterms:created>
  <dcterms:modified xsi:type="dcterms:W3CDTF">2026-10-19T18:32:00Z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