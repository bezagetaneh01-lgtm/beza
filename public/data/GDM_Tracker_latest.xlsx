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389" documentId="13_ncr:1_{52745E9B-3AA1-4770-AAD3-E6166BFC13AE}" xr6:coauthVersionLast="47" xr6:coauthVersionMax="47" xr10:uidLastSave="{72800A78-8FE8-43BF-90D6-9138BBF0B509}"/>
  <bookViews>
    <workbookView xWindow="-110" yWindow="-110" windowWidth="19420" windowHeight="10300" tabRatio="500" activeTab="4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H2" i="2"/>
  <c r="D3" i="2"/>
  <c r="AH3" i="2"/>
  <c r="D4" i="2"/>
  <c r="AH4" i="2"/>
  <c r="D5" i="2"/>
  <c r="AH5" i="2"/>
  <c r="D10" i="2"/>
  <c r="AH10" i="2"/>
  <c r="D11" i="2"/>
  <c r="AH11" i="2"/>
  <c r="D12" i="2"/>
  <c r="AH12" i="2"/>
  <c r="D13" i="2"/>
  <c r="AH13" i="2"/>
  <c r="D14" i="2"/>
  <c r="AH14" i="2"/>
  <c r="D15" i="2"/>
  <c r="AH15" i="2"/>
  <c r="D20" i="2"/>
  <c r="AH20" i="2"/>
  <c r="D21" i="2"/>
  <c r="AH21" i="2"/>
  <c r="D22" i="2"/>
  <c r="AH22" i="2"/>
  <c r="D23" i="2"/>
  <c r="AH23" i="2"/>
  <c r="D24" i="2"/>
  <c r="AH24" i="2"/>
  <c r="D25" i="2"/>
  <c r="AH25" i="2"/>
  <c r="D26" i="2"/>
  <c r="AH26" i="2"/>
  <c r="D27" i="2"/>
  <c r="AH27" i="2"/>
  <c r="D28" i="2"/>
  <c r="AH28" i="2"/>
  <c r="D29" i="2"/>
  <c r="AH29" i="2"/>
  <c r="D30" i="2"/>
  <c r="AH30" i="2"/>
  <c r="D31" i="2"/>
  <c r="AH31" i="2"/>
  <c r="D32" i="2"/>
  <c r="AH32" i="2"/>
  <c r="D33" i="2"/>
  <c r="D34" i="2"/>
  <c r="AH34" i="2"/>
  <c r="D35" i="2"/>
  <c r="AH35" i="2"/>
  <c r="D36" i="2"/>
  <c r="AH36" i="2"/>
  <c r="D37" i="2"/>
  <c r="AH37" i="2"/>
  <c r="D38" i="2"/>
  <c r="AH38" i="2"/>
  <c r="D39" i="2"/>
  <c r="AH39" i="2"/>
  <c r="AH40" i="2"/>
  <c r="D41" i="2"/>
  <c r="AH41" i="2"/>
  <c r="D42" i="2"/>
  <c r="D43" i="2"/>
  <c r="AH43" i="2"/>
  <c r="D44" i="2"/>
  <c r="AH44" i="2"/>
  <c r="D45" i="2"/>
  <c r="AH45" i="2"/>
  <c r="D46" i="2"/>
  <c r="AH46" i="2"/>
  <c r="D47" i="2"/>
  <c r="AH47" i="2"/>
  <c r="D48" i="2"/>
  <c r="AH48" i="2"/>
  <c r="D49" i="2"/>
  <c r="AH49" i="2"/>
  <c r="D50" i="2"/>
  <c r="AH50" i="2"/>
  <c r="D51" i="2"/>
  <c r="AH51" i="2"/>
  <c r="D52" i="2"/>
  <c r="AH52" i="2"/>
  <c r="D53" i="2"/>
  <c r="AH53" i="2"/>
  <c r="D54" i="2"/>
  <c r="AH54" i="2"/>
  <c r="D55" i="2"/>
  <c r="D56" i="2"/>
  <c r="AH56" i="2"/>
  <c r="D57" i="2"/>
  <c r="AH57" i="2"/>
  <c r="D58" i="2"/>
  <c r="AH58" i="2"/>
  <c r="D59" i="2"/>
  <c r="AH59" i="2"/>
  <c r="D60" i="2"/>
  <c r="AH60" i="2"/>
  <c r="D61" i="2"/>
  <c r="AH61" i="2"/>
  <c r="D62" i="2"/>
  <c r="AH62" i="2"/>
  <c r="D63" i="2"/>
  <c r="AH63" i="2"/>
  <c r="D64" i="2"/>
  <c r="AH64" i="2"/>
  <c r="D65" i="2"/>
  <c r="AH65" i="2"/>
  <c r="D66" i="2"/>
  <c r="AH66" i="2"/>
  <c r="D67" i="2"/>
  <c r="AH67" i="2"/>
  <c r="D68" i="2"/>
  <c r="AH68" i="2"/>
  <c r="D69" i="2"/>
  <c r="AH69" i="2"/>
  <c r="D70" i="2"/>
  <c r="AH70" i="2"/>
  <c r="D71" i="2"/>
  <c r="AH71" i="2"/>
  <c r="D72" i="2"/>
  <c r="AH72" i="2"/>
  <c r="AH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<sst xmlns="http://schemas.openxmlformats.org/spreadsheetml/2006/main" count="2588" uniqueCount="332">
  <si>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</si>
  <si>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</si>
  <si>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</si>
  <si>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</si>
  <si>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</si>
  <si>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</si>
  <si>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</si>
  <si>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</si>
  <si>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</si>
  <si>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</si>
  <si>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</si>
  <si>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</si>
  <si>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</si>
  <si>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</si>
  <si>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</si>
  <si>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</si>
  <si>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</si>
  <si>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</si>
  <si>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</si>
  <si>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</si>
  <si>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</si>
  <si>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</si>
  <si>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</si>
  <si>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</si>
  <si>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</si>
  <si>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</si>
  <si>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</si>
  <si>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</si>
  <si>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</si>
  <si>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</si>
  <si>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</si>
  <si>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</si>
  <si>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</si>
  <si>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</si>
  <si>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</si>
  <si>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</si>
  <si>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</si>
  <si>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</si>
  <si>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</si>
  <si>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</si>
  <si>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</si>
  <si>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</si>
  <si>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</si>
  <si>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</si>
  <si>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</si>
  <si>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</si>
  <si>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</si>
  <si>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</si>
  <si>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</si>
  <si>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</si>
  <si>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</si>
  <si>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</si>
  <si>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</si>
  <si>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</si>
  <si>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</si>
  <si>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</si>
  <si>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</si>
  <si>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</si>
  <si>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</si>
  <si>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</si>
  <si>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</si>
  <si>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</si>
  <si>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</si>
  <si>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</si>
  <si>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</si>
  <si>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</si>
  <si>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</si>
  <si>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</si>
  <si>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</si>
  <si>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</si>
  <si>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</si>
  <si>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</si>
  <si>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</si>
  <si>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</si>
  <si>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</si>
  <si>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</si>
  <si>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</si>
  <si>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</si>
  <si>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</si>
  <si>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</si>
  <si>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</si>
  <si>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</si>
  <si>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</si>
  <si>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</si>
  <si>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</si>
  <si>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</si>
  <si>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</si>
  <si>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</si>
  <si>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</si>
  <si>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</si>
  <si>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</si>
  <si>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</si>
  <si>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</si>
  <si>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</si>
  <si>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</si>
  <si>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</si>
  <si>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</si>
  <si>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</si>
  <si>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</si>
  <si>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</si>
  <si>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</si>
  <si>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</si>
  <si>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</si>
  <si>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</si>
  <si>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</si>
  <si>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</si>
  <si>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</si>
  <si>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</si>
  <si>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</si>
  <si>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</si>
  <si>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</si>
  <si>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</si>
  <si>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</si>
  <si>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</si>
  <si>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</si>
  <si>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</si>
  <si>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</si>
  <si>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</si>
  <si>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</si>
  <si>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</si>
  <si>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</si>
  <si>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</si>
  <si>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</si>
  <si>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</si>
  <si>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</si>
  <si>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</si>
  <si>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</si>
  <si>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</si>
  <si>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</si>
  <si>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</si>
  <si>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</si>
  <si>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</si>
  <si>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</si>
  <si>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</si>
  <si>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</si>
  <si>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</si>
  <si>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</si>
  <si>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</si>
  <si>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</si>
  <si>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DB Dev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</si>
  <si>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</si>
  <si>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</si>
  <si>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</si>
  <si>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</si>
  <si>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</si>
  <si>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</si>
  <si>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</si>
  <si>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</si>
  <si>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</si>
  <si>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</si>
  <si>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</si>
  <si>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</si>
  <si>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</si>
  <si>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</si>
  <si>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</si>
  <si>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</si>
  <si>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</si>
  <si>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</si>
  <si>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</si>
  <si>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</si>
  <si>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</si>
  <si>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</si>
  <si>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</si>
  <si>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</si>
  <si>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</si>
  <si>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</si>
  <si>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</si>
  <si>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</si>
  <si>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</si>
  <si>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</si>
  <si>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</si>
  <si>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</si>
  <si>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</si>
  <si>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</si>
  <si>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</si>
  <si>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</si>
  <si>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</si>
  <si>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</si>
  <si>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</si>
  <si>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</si>
  <si>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</si>
  <si>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</si>
  <si>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</si>
  <si>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</si>
  <si>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</si>
  <si>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</si>
  <si>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</si>
  <si>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</si>
  <si>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</si>
  <si>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</si>
  <si>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</si>
  <si>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</si>
  <si>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</si>
  <si>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</si>
  <si>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</si>
  <si>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</si>
  <si>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</si>
  <si>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</si>
  <si>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</si>
  <si>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</si>
  <si>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</si>
  <si>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</si>
  <si>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</si>
  <si>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</si>
  <si>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</si>
  <si>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</si>
  <si>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</si>
  <si>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</si>
  <si>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</si>
  <si>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</si>
  <si>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</si>
  <si>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</si>
  <si>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</si>
  <si>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</si>
  <si>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</si>
  <si>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</si>
  <si>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</si>
  <si>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</si>
  <si>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</si>
  <si>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</si>
  <si>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</si>
  <si>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</si>
  <si>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</si>
  <si>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</si>
  <si>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</si>
  <si>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</si>
  <si>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</si>
  <si>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</si>
  <si>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</si>
  <si>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</si>
  <si>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</si>
  <si>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</si>
  <si>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</si>
  <si>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</si>
  <si>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</si>
  <si>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</si>
  <si>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</si>
  <si>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</si>
  <si>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</si>
  <si>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</si>
  <si>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</si>
  <si>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</si>
  <si>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</si>
  <si>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</si>
  <si>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</si>
  <si>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</si>
  <si>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</si>
  <si>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</si>
  <si>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</si>
  <si>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</si>
  <si>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</si>
  <si>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</si>
  <si>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</si>
  <si>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</si>
  <si>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</si>
  <si>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</si>
  <si>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</si>
  <si>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</si>
  <si>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</si>
  <si>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</si>
  <si>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</si>
  <si>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</si>
  <si>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</si>
  <si>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</si>
  <si>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</si>
  <si>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</si>
  <si>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</si>
  <si>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</si>
  <si>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</si>
  <si>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</si>
  <si>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</si>
  <si>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</si>
  <si>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</si>
  <si>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</si>
  <si>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</si>
  <si>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</si>
  <si>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</si>
  <si>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</si>
  <si>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</si>
  <si>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</si>
  <si>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</si>
  <si>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</si>
  <si>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</si>
  <si>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</si>
  <si>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</si>
  <si>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</si>
  <si>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</si>
  <si>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</si>
  <si>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</si>
  <si>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</si>
  <si>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</si>
  <si>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</si>
  <si>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</si>
  <si>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</si>
  <si>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</si>
  <si>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</si>
  <si>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</si>
  <si>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</si>
  <si>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</si>
  <si>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</si>
  <si>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</si>
  <si>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</si>
  <si>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</si>
  <si>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</si>
  <si>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</si>
  <si>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</si>
  <si>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</si>
  <si>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</si>
  <si>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</si>
  <si>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</si>
  <si>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</si>
  <si>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</si>
  <si>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</si>
  <si>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</si>
  <si>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</si>
  <si>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</si>
  <si>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</si>
  <si>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</si>
  <si>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</si>
  <si>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</si>
  <si>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</si>
  <si>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</si>
  <si>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Row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</si>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</sst>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I115" dataDxfId="50">
  <autoFilter ref="A1:AI115" xr:uid="{00000000-0009-0000-0100-000001000000}">
    <filterColumn colId="0">
      <filters>
        <filter val="CMS"/>
      </filters>
    </filterColumn>
  </autoFilter>
  <tableColumns count="35">
    <tableColumn id="1" xr3:uid="{00000000-0010-0000-0000-000001000000}" name="Domain" dataDxfId="49"/>
    <tableColumn id="2" xr3:uid="{00000000-0010-0000-0000-000002000000}" name="Report Name" dataDxfId="48"/>
    <tableColumn id="3" xr3:uid="{00000000-0010-0000-0000-000003000000}" name="Current Status  (Update next stage after completion date)" dataDxfId="47"/>
    <tableColumn id="4" xr3:uid="{00000000-0010-0000-0000-000004000000}" name="Status Flag" dataDxfId="46"/>
    <tableColumn id="5" xr3:uid="{00000000-0010-0000-0000-000005000000}" name="Business Value Rank" dataDxfId="45"/>
    <tableColumn id="6" xr3:uid="{00000000-0010-0000-0000-000006000000}" name="PO" dataDxfId="44"/>
    <tableColumn id="10" xr3:uid="{00000000-0010-0000-0000-00000A000000}" name="Schema" dataDxfId="43"/>
    <tableColumn id="11" xr3:uid="{00000000-0010-0000-0000-00000B000000}" name="Plan Delivery Date" dataDxfId="42"/>
    <tableColumn id="12" xr3:uid="{00000000-0010-0000-0000-00000C000000}" name="Plan Delivery Month" dataDxfId="41"/>
    <tableColumn id="7" xr3:uid="{00000000-0010-0000-0000-000007000000}" name="DB Developer" dataDxfId="40"/>
    <tableColumn id="13" xr3:uid="{00000000-0010-0000-0000-00000D000000}" name="DB Dev Baseline Completion Date" dataDxfId="39"/>
    <tableColumn id="30" xr3:uid="{00000000-0010-0000-0000-00001E000000}" name="DB Dev Reforecast Completion Date" dataDxfId="38"/>
    <tableColumn id="14" xr3:uid="{00000000-0010-0000-0000-00000E000000}" name="DB Dev Actual Completion Date" dataDxfId="37"/>
    <tableColumn id="35" xr3:uid="{1A518B0C-8D73-4DAB-8F10-7B4DFF037343}" name="Build Sourc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I526"/>
  <sheetViews>
    <sheetView zoomScale="80" zoomScaleNormal="80" workbookViewId="0">
      <pane xSplit="2" topLeftCell="C59" activePane="topRight" state="frozen"/>
      <selection pane="topRight" activeCell="I48" sqref="I48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7" width="30" customWidth="1"/>
    <col min="28" max="28" width="42" customWidth="1"/>
    <col min="30" max="30" width="15" bestFit="1" customWidth="1"/>
    <col min="34" max="34" width="36.28515625" customWidth="1"/>
    <col min="35" max="35" width="25.85546875" customWidth="1"/>
  </cols>
  <sheetData>
    <row r="1" spans="1:35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23" t="s">
        <v>28</v>
      </c>
      <c r="AD1" s="19" t="s">
        <v>29</v>
      </c>
      <c r="AE1" s="24" t="s">
        <v>30</v>
      </c>
      <c r="AF1" s="20" t="s">
        <v>31</v>
      </c>
      <c r="AG1" s="25" t="s">
        <v>32</v>
      </c>
      <c r="AH1" s="26" t="s">
        <v>33</v>
      </c>
      <c r="AI1" s="27" t="s">
        <v>34</v>
      </c>
    </row>
    <row r="2" spans="1:35" ht="14.45" hidden="1">
      <c r="A2" s="33" t="s">
        <v>35</v>
      </c>
      <c r="B2" s="33" t="s">
        <v>36</v>
      </c>
      <c r="C2" s="33" t="s">
        <v>37</v>
      </c>
      <c r="D2" t="str">
        <f ca="1">IF($B2="","",IF(LEFT($AG2,3)="Yes","Blocked - "&amp;MID($AG2,7,100)&amp;IF(SUMPRODUCT(('Rework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Dev",IF(Q2="","No target set",IF(AND(Q2&lt;TODAY(),S2=""),"Overdue","On track")),IF(C2="QA",IF(V2="","No target set",IF(AND(V2&lt;TODAY(),X2=""),"Overdue","On track")),IF(C2="DPO Approval",IF(Z2="","No target set",IF(Z2&lt;TODAY(),"Overdue","On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38</v>
      </c>
      <c r="J2" s="33" t="s">
        <v>39</v>
      </c>
      <c r="K2" s="4">
        <v>46122</v>
      </c>
      <c r="L2" s="36"/>
      <c r="M2" s="36">
        <v>46115</v>
      </c>
      <c r="N2" s="36" t="s">
        <v>40</v>
      </c>
      <c r="O2" s="36"/>
      <c r="P2" s="64" t="s">
        <v>41</v>
      </c>
      <c r="Q2" s="4">
        <v>46129</v>
      </c>
      <c r="R2" s="36"/>
      <c r="S2" s="36">
        <v>46114</v>
      </c>
      <c r="T2" s="70"/>
      <c r="U2" s="33" t="s">
        <v>42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3" t="s">
        <v>43</v>
      </c>
      <c r="AC2" s="38" t="s">
        <v>44</v>
      </c>
      <c r="AD2" s="36">
        <v>46122</v>
      </c>
      <c r="AE2" s="39" t="s">
        <v>45</v>
      </c>
      <c r="AF2" s="33" t="s">
        <v>46</v>
      </c>
      <c r="AG2" s="40" t="s">
        <v>47</v>
      </c>
      <c r="AH2" s="74" t="str">
        <f>IF($B2="","",IF(AND(LEFT($AG2,3)="Yes",SUMPRODUCT(('Rework Log'!$A$3:$A$500=$B2)*('Rework Log'!$G$3:$G$500&lt;&gt;"Yes")*('Rework Log'!$G$3:$G$500&lt;&gt;"Did not pass re-test"))=0),"Blocked - log it on Rework Log",IF(AND(LEFT($AG2,3)&lt;&gt;"Yes",SUMPRODUCT(('Rework Log'!$A$3:$A$500=$B2)*('Rework Log'!$G$3:$G$500&lt;&gt;"Yes")*('Rework Log'!$G$3:$G$500&lt;&gt;"Did not pass re-test"))&gt;0),"Open rework row - mark Blocked? or close it",IF(AND($AG2="Yes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H)",IF(AND($AG2="Yes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H)",IF(AND($AG2="Yes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target",IF(AND(AD2&lt;&gt;"",Z2&lt;&gt;"",AD2&lt;Z2),"Confirmed Deployed date is before DPO Approval target",""))))))))))))</f>
        <v>Confirmed Deployed date is before DPO Approval target</v>
      </c>
      <c r="AI2" s="41" t="s">
        <v>48</v>
      </c>
    </row>
    <row r="3" spans="1:35" ht="14.45" hidden="1">
      <c r="A3" s="33" t="s">
        <v>35</v>
      </c>
      <c r="B3" s="33" t="s">
        <v>49</v>
      </c>
      <c r="C3" s="33" t="s">
        <v>37</v>
      </c>
      <c r="D3" t="str">
        <f ca="1">IF($B3="","",IF(LEFT($AG3,3)="Yes","Blocked - "&amp;MID($AG3,7,100)&amp;IF(SUMPRODUCT(('Rework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Dev",IF(Q3="","No target set",IF(AND(Q3&lt;TODAY(),S3=""),"Overdue","On track")),IF(C3="QA",IF(V3="","No target set",IF(AND(V3&lt;TODAY(),X3=""),"Overdue","On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38</v>
      </c>
      <c r="J3" s="33" t="s">
        <v>39</v>
      </c>
      <c r="K3" s="4">
        <v>46122</v>
      </c>
      <c r="L3" s="36"/>
      <c r="M3" s="36">
        <v>46115</v>
      </c>
      <c r="N3" s="36" t="s">
        <v>40</v>
      </c>
      <c r="O3" s="36"/>
      <c r="P3" s="64" t="s">
        <v>41</v>
      </c>
      <c r="Q3" s="4">
        <v>46129</v>
      </c>
      <c r="R3" s="36"/>
      <c r="S3" s="36">
        <v>46114</v>
      </c>
      <c r="T3" s="70"/>
      <c r="U3" s="33" t="s">
        <v>42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3" t="s">
        <v>43</v>
      </c>
      <c r="AC3" s="38" t="s">
        <v>44</v>
      </c>
      <c r="AD3" s="36">
        <v>46122</v>
      </c>
      <c r="AE3" s="39" t="s">
        <v>50</v>
      </c>
      <c r="AF3" s="33" t="s">
        <v>51</v>
      </c>
      <c r="AG3" s="40" t="s">
        <v>47</v>
      </c>
      <c r="AH3" s="74" t="e">
        <f>IF($B3="","",IF(AND(LEFT($AG3,3)="Yes",SUMPRODUCT(('Rework Log'!$A$3:$A$500=$B3)*('Rework Log'!$G$3:$G$500&lt;&gt;"Yes")*('Rework Log'!$G$3:$G$500&lt;&gt;"Did not pass re-test"))=0),"Blocked - log it on Rework Log",IF(AND(LEFT($AG3,3)&lt;&gt;"Yes",SUMPRODUCT(('Rework Log'!$A$3:$A$500=$B3)*('Rework Log'!$G$3:$G$500&lt;&gt;"Yes")*('Rework Log'!$G$3:$G$500&lt;&gt;"Did not pass re-test"))&gt;0),"Open rework row - mark Blocked? or close it",IF(AND($AG3="Yes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H)",IF(AND($AG3="Yes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H)",IF(AND($AG3="Yes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target",IF(AND(AD3&lt;&gt;"",#REF!&lt;&gt;"",AD3&lt;#REF!),"Confirmed Deployed date is before DPO Approval target",""))))))))))))</f>
        <v>#REF!</v>
      </c>
      <c r="AI3" s="41" t="s">
        <v>48</v>
      </c>
    </row>
    <row r="4" spans="1:35" ht="14.45" hidden="1">
      <c r="A4" s="33" t="s">
        <v>35</v>
      </c>
      <c r="B4" s="33" t="s">
        <v>52</v>
      </c>
      <c r="C4" s="33" t="s">
        <v>37</v>
      </c>
      <c r="D4" t="str">
        <f ca="1">IF($B4="","",IF(LEFT($AG4,3)="Yes","Blocked - "&amp;MID($AG4,7,100)&amp;IF(SUMPRODUCT(('Rework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Dev",IF(Q4="","No target set",IF(AND(Q4&lt;TODAY(),S4=""),"Overdue","On track")),IF(C4="QA",IF(V4="","No target set",IF(AND(V4&lt;TODAY(),X4=""),"Overdue","On track")),IF(C4="DPO Approval",IF(Z4="","No target set",IF(Z4&lt;TODAY(),"Overdue","On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38</v>
      </c>
      <c r="J4" s="33" t="s">
        <v>53</v>
      </c>
      <c r="K4" s="4">
        <v>46122</v>
      </c>
      <c r="L4" s="36"/>
      <c r="M4" s="36">
        <v>46115</v>
      </c>
      <c r="N4" s="36" t="s">
        <v>40</v>
      </c>
      <c r="O4" s="36"/>
      <c r="P4" s="64" t="s">
        <v>54</v>
      </c>
      <c r="Q4" s="4">
        <v>46129</v>
      </c>
      <c r="R4" s="36"/>
      <c r="S4" s="36">
        <v>46126</v>
      </c>
      <c r="T4" s="70"/>
      <c r="U4" s="33" t="s">
        <v>42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3" t="s">
        <v>43</v>
      </c>
      <c r="AC4" s="38" t="s">
        <v>44</v>
      </c>
      <c r="AD4" s="36">
        <v>46122</v>
      </c>
      <c r="AE4" s="39" t="s">
        <v>55</v>
      </c>
      <c r="AF4" s="33" t="s">
        <v>56</v>
      </c>
      <c r="AG4" s="40" t="s">
        <v>47</v>
      </c>
      <c r="AH4" s="74" t="str">
        <f>IF($B4="","",IF(AND(LEFT($AG4,3)="Yes",SUMPRODUCT(('Rework Log'!$A$3:$A$500=$B4)*('Rework Log'!$G$3:$G$500&lt;&gt;"Yes")*('Rework Log'!$G$3:$G$500&lt;&gt;"Did not pass re-test"))=0),"Blocked - log it on Rework Log",IF(AND(LEFT($AG4,3)&lt;&gt;"Yes",SUMPRODUCT(('Rework Log'!$A$3:$A$500=$B4)*('Rework Log'!$G$3:$G$500&lt;&gt;"Yes")*('Rework Log'!$G$3:$G$500&lt;&gt;"Did not pass re-test"))&gt;0),"Open rework row - mark Blocked? or close it",IF(AND($AG4="Yes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H)",IF(AND($AG4="Yes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H)",IF(AND($AG4="Yes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target",IF(AND(AD4&lt;&gt;"",Z4&lt;&gt;"",AD4&lt;Z4),"Confirmed Deployed date is before DPO Approval target",""))))))))))))</f>
        <v>Confirmed Deployed date is before DPO Approval target</v>
      </c>
      <c r="AI4" s="41" t="s">
        <v>57</v>
      </c>
    </row>
    <row r="5" spans="1:35" ht="14.45" hidden="1">
      <c r="A5" s="33" t="s">
        <v>35</v>
      </c>
      <c r="B5" s="33" t="s">
        <v>58</v>
      </c>
      <c r="C5" s="33" t="s">
        <v>37</v>
      </c>
      <c r="D5" t="str">
        <f ca="1">IF($B5="","",IF(LEFT($AG5,3)="Yes","Blocked - "&amp;MID($AG5,7,100)&amp;IF(SUMPRODUCT(('Rework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Dev",IF(Q5="","No target set",IF(AND(Q5&lt;TODAY(),S5=""),"Overdue","On track")),IF(C5="QA",IF(V5="","No target set",IF(AND(V5&lt;TODAY(),X5=""),"Overdue","On track")),IF(C5="DPO Approval",IF(Z5="","No target set",IF(Z5&lt;TODAY(),"Overdue","On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38</v>
      </c>
      <c r="J5" s="33" t="s">
        <v>59</v>
      </c>
      <c r="K5" s="4">
        <v>46122</v>
      </c>
      <c r="L5" s="36"/>
      <c r="M5" s="36">
        <v>46115</v>
      </c>
      <c r="N5" s="36" t="s">
        <v>40</v>
      </c>
      <c r="O5" s="36"/>
      <c r="P5" s="64" t="s">
        <v>41</v>
      </c>
      <c r="Q5" s="4">
        <v>46129</v>
      </c>
      <c r="R5" s="36"/>
      <c r="S5" s="36">
        <v>46120</v>
      </c>
      <c r="T5" s="70"/>
      <c r="U5" s="33" t="s">
        <v>42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3" t="s">
        <v>43</v>
      </c>
      <c r="AC5" s="38" t="s">
        <v>44</v>
      </c>
      <c r="AD5" s="36">
        <v>46122</v>
      </c>
      <c r="AE5" s="39" t="s">
        <v>60</v>
      </c>
      <c r="AF5" s="33" t="s">
        <v>61</v>
      </c>
      <c r="AG5" s="40" t="s">
        <v>47</v>
      </c>
      <c r="AH5" s="74" t="str">
        <f>IF($B5="","",IF(AND(LEFT($AG5,3)="Yes",SUMPRODUCT(('Rework Log'!$A$3:$A$500=$B5)*('Rework Log'!$G$3:$G$500&lt;&gt;"Yes")*('Rework Log'!$G$3:$G$500&lt;&gt;"Did not pass re-test"))=0),"Blocked - log it on Rework Log",IF(AND(LEFT($AG5,3)&lt;&gt;"Yes",SUMPRODUCT(('Rework Log'!$A$3:$A$500=$B5)*('Rework Log'!$G$3:$G$500&lt;&gt;"Yes")*('Rework Log'!$G$3:$G$500&lt;&gt;"Did not pass re-test"))&gt;0),"Open rework row - mark Blocked? or close it",IF(AND($AG5="Yes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H)",IF(AND($AG5="Yes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H)",IF(AND($AG5="Yes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target",IF(AND(AD5&lt;&gt;"",Z5&lt;&gt;"",AD5&lt;Z5),"Confirmed Deployed date is before DPO Approval target",""))))))))))))</f>
        <v>Confirmed Deployed date is before DPO Approval target</v>
      </c>
      <c r="AI5" s="41" t="s">
        <v>62</v>
      </c>
    </row>
    <row r="6" spans="1:35" ht="14.45" hidden="1">
      <c r="A6" s="33" t="s">
        <v>35</v>
      </c>
      <c r="B6" s="33" t="s">
        <v>63</v>
      </c>
      <c r="C6" s="33" t="s">
        <v>37</v>
      </c>
      <c r="D6" s="3" t="s">
        <v>64</v>
      </c>
      <c r="E6" s="33">
        <v>5</v>
      </c>
      <c r="F6" s="34"/>
      <c r="G6" s="33"/>
      <c r="H6" s="50">
        <v>46142</v>
      </c>
      <c r="I6" s="56" t="s">
        <v>38</v>
      </c>
      <c r="J6" s="33"/>
      <c r="K6" s="4"/>
      <c r="L6" s="47"/>
      <c r="M6" s="36"/>
      <c r="N6" s="36" t="s">
        <v>40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33" t="s">
        <v>43</v>
      </c>
      <c r="AC6" s="38" t="s">
        <v>44</v>
      </c>
      <c r="AD6" s="36">
        <v>46142</v>
      </c>
      <c r="AE6" s="39"/>
      <c r="AF6" s="33"/>
      <c r="AG6" s="40"/>
      <c r="AH6" s="48"/>
      <c r="AI6" s="41"/>
    </row>
    <row r="7" spans="1:35" ht="14.45" hidden="1">
      <c r="A7" s="33" t="s">
        <v>35</v>
      </c>
      <c r="B7" s="33" t="s">
        <v>65</v>
      </c>
      <c r="C7" s="33" t="s">
        <v>37</v>
      </c>
      <c r="D7" s="3" t="s">
        <v>64</v>
      </c>
      <c r="E7" s="33">
        <v>6</v>
      </c>
      <c r="F7" s="34"/>
      <c r="G7" s="33"/>
      <c r="H7" s="50">
        <v>46142</v>
      </c>
      <c r="I7" s="56" t="s">
        <v>38</v>
      </c>
      <c r="J7" s="33"/>
      <c r="K7" s="4"/>
      <c r="L7" s="47"/>
      <c r="M7" s="36"/>
      <c r="N7" s="36" t="s">
        <v>40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33" t="s">
        <v>43</v>
      </c>
      <c r="AC7" s="38" t="s">
        <v>44</v>
      </c>
      <c r="AD7" s="36">
        <v>46142</v>
      </c>
      <c r="AE7" s="39"/>
      <c r="AF7" s="33"/>
      <c r="AG7" s="40"/>
      <c r="AH7" s="48"/>
      <c r="AI7" s="41"/>
    </row>
    <row r="8" spans="1:35" ht="14.45" hidden="1">
      <c r="A8" s="33" t="s">
        <v>35</v>
      </c>
      <c r="B8" s="33" t="s">
        <v>66</v>
      </c>
      <c r="C8" s="33" t="s">
        <v>37</v>
      </c>
      <c r="D8" s="3" t="s">
        <v>64</v>
      </c>
      <c r="E8" s="33">
        <v>7</v>
      </c>
      <c r="F8" s="34"/>
      <c r="G8" s="33"/>
      <c r="H8" s="50">
        <v>46142</v>
      </c>
      <c r="I8" s="56" t="s">
        <v>38</v>
      </c>
      <c r="J8" s="33"/>
      <c r="K8" s="4"/>
      <c r="L8" s="47"/>
      <c r="M8" s="36"/>
      <c r="N8" s="36" t="s">
        <v>40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33" t="s">
        <v>43</v>
      </c>
      <c r="AC8" s="38" t="s">
        <v>44</v>
      </c>
      <c r="AD8" s="36">
        <v>46142</v>
      </c>
      <c r="AE8" s="39"/>
      <c r="AF8" s="33"/>
      <c r="AG8" s="40"/>
      <c r="AH8" s="48"/>
      <c r="AI8" s="41"/>
    </row>
    <row r="9" spans="1:35" ht="14.45" hidden="1">
      <c r="A9" s="33" t="s">
        <v>35</v>
      </c>
      <c r="B9" s="33" t="s">
        <v>67</v>
      </c>
      <c r="C9" s="33" t="s">
        <v>37</v>
      </c>
      <c r="D9" s="3" t="s">
        <v>64</v>
      </c>
      <c r="E9" s="33">
        <v>8</v>
      </c>
      <c r="F9" s="34"/>
      <c r="G9" s="33"/>
      <c r="H9" s="50">
        <v>46142</v>
      </c>
      <c r="I9" s="56" t="s">
        <v>38</v>
      </c>
      <c r="J9" s="33"/>
      <c r="K9" s="4"/>
      <c r="L9" s="47"/>
      <c r="M9" s="36"/>
      <c r="N9" s="36" t="s">
        <v>40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33" t="s">
        <v>43</v>
      </c>
      <c r="AC9" s="38" t="s">
        <v>44</v>
      </c>
      <c r="AD9" s="36">
        <v>46142</v>
      </c>
      <c r="AE9" s="39"/>
      <c r="AF9" s="33"/>
      <c r="AG9" s="40"/>
      <c r="AH9" s="48"/>
      <c r="AI9" s="41"/>
    </row>
    <row r="10" spans="1:35" ht="14.45" hidden="1">
      <c r="A10" s="33" t="s">
        <v>35</v>
      </c>
      <c r="B10" s="33" t="s">
        <v>68</v>
      </c>
      <c r="C10" s="33" t="s">
        <v>37</v>
      </c>
      <c r="D10" t="str">
        <f ca="1">IF($B10="","",IF(LEFT($AG10,3)="Yes","Blocked - "&amp;MID($AG10,7,100)&amp;IF(SUMPRODUCT(('Rework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Dev",IF(Q10="","No target set",IF(AND(Q10&lt;TODAY(),S10=""),"Overdue","On track")),IF(C10="QA",IF(V10="","No target set",IF(AND(V10&lt;TODAY(),X10=""),"Overdue","On track")),IF(C10="DPO Approval",IF(Z10="","No target set",IF(Z10&lt;TODAY(),"Overdue","On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69</v>
      </c>
      <c r="J10" s="33" t="s">
        <v>70</v>
      </c>
      <c r="K10" s="4">
        <v>46150</v>
      </c>
      <c r="L10" s="36"/>
      <c r="M10" s="36">
        <v>46157</v>
      </c>
      <c r="N10" s="36" t="s">
        <v>40</v>
      </c>
      <c r="O10" s="36"/>
      <c r="P10" s="64" t="s">
        <v>71</v>
      </c>
      <c r="Q10" s="4">
        <v>46157</v>
      </c>
      <c r="R10" s="36"/>
      <c r="S10" s="36">
        <v>46134</v>
      </c>
      <c r="T10" s="70"/>
      <c r="U10" s="33" t="s">
        <v>42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3" t="s">
        <v>43</v>
      </c>
      <c r="AC10" s="38" t="s">
        <v>44</v>
      </c>
      <c r="AD10" s="36">
        <v>46134</v>
      </c>
      <c r="AE10" s="39" t="s">
        <v>72</v>
      </c>
      <c r="AF10" s="33" t="s">
        <v>73</v>
      </c>
      <c r="AG10" s="40" t="s">
        <v>47</v>
      </c>
      <c r="AH10" s="74" t="str">
        <f>IF($B10="","",IF(AND(LEFT($AG10,3)="Yes",SUMPRODUCT(('Rework Log'!$A$3:$A$500=$B10)*('Rework Log'!$G$3:$G$500&lt;&gt;"Yes")*('Rework Log'!$G$3:$G$500&lt;&gt;"Did not pass re-test"))=0),"Blocked - log it on Rework Log",IF(AND(LEFT($AG10,3)&lt;&gt;"Yes",SUMPRODUCT(('Rework Log'!$A$3:$A$500=$B10)*('Rework Log'!$G$3:$G$500&lt;&gt;"Yes")*('Rework Log'!$G$3:$G$500&lt;&gt;"Did not pass re-test"))&gt;0),"Open rework row - mark Blocked? or close it",IF(AND($AG10="Yes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H)",IF(AND($AG10="Yes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H)",IF(AND($AG10="Yes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target",IF(AND(AD10&lt;&gt;"",Z10&lt;&gt;"",AD10&lt;Z10),"Confirmed Deployed date is before DPO Approval target",""))))))))))))</f>
        <v>Confirmed Deployed date is before DPO Approval target</v>
      </c>
      <c r="AI10" s="41"/>
    </row>
    <row r="11" spans="1:35" ht="14.45" hidden="1">
      <c r="A11" s="33" t="s">
        <v>35</v>
      </c>
      <c r="B11" s="33" t="s">
        <v>74</v>
      </c>
      <c r="C11" s="33" t="s">
        <v>37</v>
      </c>
      <c r="D11" t="str">
        <f ca="1">IF($B11="","",IF(LEFT($AG11,3)="Yes","Blocked - "&amp;MID($AG11,7,100)&amp;IF(SUMPRODUCT(('Rework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Dev",IF(Q11="","No target set",IF(AND(Q11&lt;TODAY(),S11=""),"Overdue","On track")),IF(C11="QA",IF(V11="","No target set",IF(AND(V11&lt;TODAY(),X11=""),"Overdue","On track")),IF(C11="DPO Approval",IF(Z11="","No target set",IF(Z11&lt;TODAY(),"Overdue","On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69</v>
      </c>
      <c r="J11" s="33" t="s">
        <v>53</v>
      </c>
      <c r="K11" s="4">
        <v>46150</v>
      </c>
      <c r="L11" s="36"/>
      <c r="M11" s="36">
        <v>46157</v>
      </c>
      <c r="N11" s="36" t="s">
        <v>40</v>
      </c>
      <c r="O11" s="36"/>
      <c r="P11" s="65" t="s">
        <v>71</v>
      </c>
      <c r="Q11" s="4">
        <v>46157</v>
      </c>
      <c r="R11" s="36"/>
      <c r="S11" s="36">
        <v>46139</v>
      </c>
      <c r="T11" s="70"/>
      <c r="U11" s="33" t="s">
        <v>42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3" t="s">
        <v>43</v>
      </c>
      <c r="AC11" s="38" t="s">
        <v>44</v>
      </c>
      <c r="AD11" s="36">
        <v>46139</v>
      </c>
      <c r="AE11" s="39" t="s">
        <v>75</v>
      </c>
      <c r="AF11" s="33" t="s">
        <v>76</v>
      </c>
      <c r="AG11" s="40" t="s">
        <v>47</v>
      </c>
      <c r="AH11" s="74" t="str">
        <f>IF($B11="","",IF(AND(LEFT($AG11,3)="Yes",SUMPRODUCT(('Rework Log'!$A$3:$A$500=$B11)*('Rework Log'!$G$3:$G$500&lt;&gt;"Yes")*('Rework Log'!$G$3:$G$500&lt;&gt;"Did not pass re-test"))=0),"Blocked - log it on Rework Log",IF(AND(LEFT($AG11,3)&lt;&gt;"Yes",SUMPRODUCT(('Rework Log'!$A$3:$A$500=$B11)*('Rework Log'!$G$3:$G$500&lt;&gt;"Yes")*('Rework Log'!$G$3:$G$500&lt;&gt;"Did not pass re-test"))&gt;0),"Open rework row - mark Blocked? or close it",IF(AND($AG11="Yes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H)",IF(AND($AG11="Yes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H)",IF(AND($AG11="Yes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target",IF(AND(AD11&lt;&gt;"",Z11&lt;&gt;"",AD11&lt;Z11),"Confirmed Deployed date is before DPO Approval target",""))))))))))))</f>
        <v>Confirmed Deployed date is before DPO Approval target</v>
      </c>
      <c r="AI11" s="41"/>
    </row>
    <row r="12" spans="1:35" ht="14.45" hidden="1">
      <c r="A12" s="33" t="s">
        <v>35</v>
      </c>
      <c r="B12" s="33" t="s">
        <v>77</v>
      </c>
      <c r="C12" s="33" t="s">
        <v>37</v>
      </c>
      <c r="D12" t="str">
        <f ca="1">IF($B12="","",IF(LEFT($AG12,3)="Yes","Blocked - "&amp;MID($AG12,7,100)&amp;IF(SUMPRODUCT(('Rework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Dev",IF(Q12="","No target set",IF(AND(Q12&lt;TODAY(),S12=""),"Overdue","On track")),IF(C12="QA",IF(V12="","No target set",IF(AND(V12&lt;TODAY(),X12=""),"Overdue","On track")),IF(C12="DPO Approval",IF(Z12="","No target set",IF(Z12&lt;TODAY(),"Overdue","On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69</v>
      </c>
      <c r="J12" s="33" t="s">
        <v>78</v>
      </c>
      <c r="K12" s="4">
        <v>46150</v>
      </c>
      <c r="L12" s="36"/>
      <c r="M12" s="36">
        <v>46157</v>
      </c>
      <c r="N12" s="36" t="s">
        <v>40</v>
      </c>
      <c r="O12" s="36"/>
      <c r="P12" s="64" t="s">
        <v>54</v>
      </c>
      <c r="Q12" s="4">
        <v>46157</v>
      </c>
      <c r="R12" s="36"/>
      <c r="S12" s="36">
        <v>46147</v>
      </c>
      <c r="T12" s="70"/>
      <c r="U12" s="33" t="s">
        <v>42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3" t="s">
        <v>43</v>
      </c>
      <c r="AC12" s="38" t="s">
        <v>44</v>
      </c>
      <c r="AD12" s="36">
        <v>46147</v>
      </c>
      <c r="AE12" s="39" t="s">
        <v>79</v>
      </c>
      <c r="AF12" s="33" t="s">
        <v>80</v>
      </c>
      <c r="AG12" s="40" t="s">
        <v>47</v>
      </c>
      <c r="AH12" s="74" t="str">
        <f>IF($B12="","",IF(AND(LEFT($AG12,3)="Yes",SUMPRODUCT(('Rework Log'!$A$3:$A$500=$B12)*('Rework Log'!$G$3:$G$500&lt;&gt;"Yes")*('Rework Log'!$G$3:$G$500&lt;&gt;"Did not pass re-test"))=0),"Blocked - log it on Rework Log",IF(AND(LEFT($AG12,3)&lt;&gt;"Yes",SUMPRODUCT(('Rework Log'!$A$3:$A$500=$B12)*('Rework Log'!$G$3:$G$500&lt;&gt;"Yes")*('Rework Log'!$G$3:$G$500&lt;&gt;"Did not pass re-test"))&gt;0),"Open rework row - mark Blocked? or close it",IF(AND($AG12="Yes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H)",IF(AND($AG12="Yes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H)",IF(AND($AG12="Yes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target",IF(AND(AD12&lt;&gt;"",Z12&lt;&gt;"",AD12&lt;Z12),"Confirmed Deployed date is before DPO Approval target",""))))))))))))</f>
        <v>Confirmed Deployed date is before DPO Approval target</v>
      </c>
      <c r="AI12" s="41"/>
    </row>
    <row r="13" spans="1:35" ht="14.45" hidden="1">
      <c r="A13" s="33" t="s">
        <v>35</v>
      </c>
      <c r="B13" s="33" t="s">
        <v>81</v>
      </c>
      <c r="C13" s="33" t="s">
        <v>37</v>
      </c>
      <c r="D13" t="str">
        <f ca="1">IF($B13="","",IF(LEFT($AG13,3)="Yes","Blocked - "&amp;MID($AG13,7,100)&amp;IF(SUMPRODUCT(('Rework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Dev",IF(Q13="","No target set",IF(AND(Q13&lt;TODAY(),S13=""),"Overdue","On track")),IF(C13="QA",IF(V13="","No target set",IF(AND(V13&lt;TODAY(),X13=""),"Overdue","On track")),IF(C13="DPO Approval",IF(Z13="","No target set",IF(Z13&lt;TODAY(),"Overdue","On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69</v>
      </c>
      <c r="J13" s="33" t="s">
        <v>78</v>
      </c>
      <c r="K13" s="4">
        <v>46150</v>
      </c>
      <c r="L13" s="36"/>
      <c r="M13" s="36">
        <v>46157</v>
      </c>
      <c r="N13" s="36" t="s">
        <v>40</v>
      </c>
      <c r="O13" s="36"/>
      <c r="P13" s="64" t="s">
        <v>41</v>
      </c>
      <c r="Q13" s="4">
        <v>46157</v>
      </c>
      <c r="R13" s="36"/>
      <c r="S13" s="36">
        <v>46175</v>
      </c>
      <c r="T13" s="70"/>
      <c r="U13" s="33" t="s">
        <v>82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3" t="s">
        <v>43</v>
      </c>
      <c r="AC13" s="38" t="s">
        <v>44</v>
      </c>
      <c r="AD13" s="36">
        <v>46179</v>
      </c>
      <c r="AE13" s="39" t="s">
        <v>83</v>
      </c>
      <c r="AF13" s="33"/>
      <c r="AG13" s="40" t="s">
        <v>47</v>
      </c>
      <c r="AH13" s="74" t="str">
        <f>IF($B13="","",IF(AND(LEFT($AG13,3)="Yes",SUMPRODUCT(('Rework Log'!$A$3:$A$500=$B13)*('Rework Log'!$G$3:$G$500&lt;&gt;"Yes")*('Rework Log'!$G$3:$G$500&lt;&gt;"Did not pass re-test"))=0),"Blocked - log it on Rework Log",IF(AND(LEFT($AG13,3)&lt;&gt;"Yes",SUMPRODUCT(('Rework Log'!$A$3:$A$500=$B13)*('Rework Log'!$G$3:$G$500&lt;&gt;"Yes")*('Rework Log'!$G$3:$G$500&lt;&gt;"Did not pass re-test"))&gt;0),"Open rework row - mark Blocked? or close it",IF(AND($AG13="Yes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H)",IF(AND($AG13="Yes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H)",IF(AND($AG13="Yes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target",IF(AND(AD13&lt;&gt;"",Z13&lt;&gt;"",AD13&lt;Z13),"Confirmed Deployed date is before DPO Approval target",""))))))))))))</f>
        <v/>
      </c>
      <c r="AI13" s="41"/>
    </row>
    <row r="14" spans="1:35" ht="14.45" hidden="1">
      <c r="A14" s="33" t="s">
        <v>35</v>
      </c>
      <c r="B14" s="33" t="s">
        <v>84</v>
      </c>
      <c r="C14" s="33" t="s">
        <v>37</v>
      </c>
      <c r="D14" t="str">
        <f ca="1">IF($B14="","",IF(LEFT($AG14,3)="Yes","Blocked - "&amp;MID($AG14,7,100)&amp;IF(SUMPRODUCT(('Rework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Dev",IF(Q14="","No target set",IF(AND(Q14&lt;TODAY(),S14=""),"Overdue","On track")),IF(C14="QA",IF(V14="","No target set",IF(AND(V14&lt;TODAY(),X14=""),"Overdue","On track")),IF(C14="DPO Approval",IF(Z14="","No target set",IF(Z14&lt;TODAY(),"Overdue","On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69</v>
      </c>
      <c r="J14" s="33" t="s">
        <v>39</v>
      </c>
      <c r="K14" s="4">
        <v>46150</v>
      </c>
      <c r="L14" s="36"/>
      <c r="M14" s="36">
        <v>46157</v>
      </c>
      <c r="N14" s="36" t="s">
        <v>40</v>
      </c>
      <c r="O14" s="36"/>
      <c r="P14" s="64" t="s">
        <v>54</v>
      </c>
      <c r="Q14" s="4">
        <v>46157</v>
      </c>
      <c r="R14" s="36"/>
      <c r="S14" s="36">
        <v>46143</v>
      </c>
      <c r="T14" s="70"/>
      <c r="U14" s="33" t="s">
        <v>82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3" t="s">
        <v>43</v>
      </c>
      <c r="AC14" s="38" t="s">
        <v>44</v>
      </c>
      <c r="AD14" s="36">
        <v>46184</v>
      </c>
      <c r="AE14" s="39" t="s">
        <v>85</v>
      </c>
      <c r="AF14" s="33" t="s">
        <v>86</v>
      </c>
      <c r="AG14" s="40" t="s">
        <v>47</v>
      </c>
      <c r="AH14" s="74" t="str">
        <f>IF($B14="","",IF(AND(LEFT($AG14,3)="Yes",SUMPRODUCT(('Rework Log'!$A$3:$A$500=$B14)*('Rework Log'!$G$3:$G$500&lt;&gt;"Yes")*('Rework Log'!$G$3:$G$500&lt;&gt;"Did not pass re-test"))=0),"Blocked - log it on Rework Log",IF(AND(LEFT($AG14,3)&lt;&gt;"Yes",SUMPRODUCT(('Rework Log'!$A$3:$A$500=$B14)*('Rework Log'!$G$3:$G$500&lt;&gt;"Yes")*('Rework Log'!$G$3:$G$500&lt;&gt;"Did not pass re-test"))&gt;0),"Open rework row - mark Blocked? or close it",IF(AND($AG14="Yes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H)",IF(AND($AG14="Yes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H)",IF(AND($AG14="Yes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target",IF(AND(AD14&lt;&gt;"",Z14&lt;&gt;"",AD14&lt;Z14),"Confirmed Deployed date is before DPO Approval target",""))))))))))))</f>
        <v/>
      </c>
      <c r="AI14" s="41"/>
    </row>
    <row r="15" spans="1:35" ht="14.45" hidden="1">
      <c r="A15" s="33" t="s">
        <v>35</v>
      </c>
      <c r="B15" s="33" t="s">
        <v>87</v>
      </c>
      <c r="C15" s="33" t="s">
        <v>37</v>
      </c>
      <c r="D15" t="str">
        <f ca="1">IF($B15="","",IF(LEFT($AG15,3)="Yes","Blocked - "&amp;MID($AG15,7,100)&amp;IF(SUMPRODUCT(('Rework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Dev",IF(Q15="","No target set",IF(AND(Q15&lt;TODAY(),S15=""),"Overdue","On track")),IF(C15="QA",IF(V15="","No target set",IF(AND(V15&lt;TODAY(),X15=""),"Overdue","On track")),IF(C15="DPO Approval",IF(Z15="","No target set",IF(Z15&lt;TODAY(),"Overdue","On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69</v>
      </c>
      <c r="J15" s="33" t="s">
        <v>39</v>
      </c>
      <c r="K15" s="4">
        <v>46150</v>
      </c>
      <c r="L15" s="36"/>
      <c r="M15" s="36">
        <v>46157</v>
      </c>
      <c r="N15" s="36" t="s">
        <v>40</v>
      </c>
      <c r="O15" s="36"/>
      <c r="P15" s="64" t="s">
        <v>71</v>
      </c>
      <c r="Q15" s="4">
        <v>46157</v>
      </c>
      <c r="R15" s="36"/>
      <c r="S15" s="36">
        <v>46178</v>
      </c>
      <c r="T15" s="70"/>
      <c r="U15" s="33" t="s">
        <v>42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3" t="s">
        <v>43</v>
      </c>
      <c r="AC15" s="38" t="s">
        <v>44</v>
      </c>
      <c r="AD15" s="36">
        <v>46192</v>
      </c>
      <c r="AE15" s="39" t="s">
        <v>88</v>
      </c>
      <c r="AF15" s="33"/>
      <c r="AG15" s="40" t="s">
        <v>47</v>
      </c>
      <c r="AH15" s="74" t="str">
        <f>IF($B15="","",IF(AND(LEFT($AG15,3)="Yes",SUMPRODUCT(('Rework Log'!$A$3:$A$500=$B15)*('Rework Log'!$G$3:$G$500&lt;&gt;"Yes")*('Rework Log'!$G$3:$G$500&lt;&gt;"Did not pass re-test"))=0),"Blocked - log it on Rework Log",IF(AND(LEFT($AG15,3)&lt;&gt;"Yes",SUMPRODUCT(('Rework Log'!$A$3:$A$500=$B15)*('Rework Log'!$G$3:$G$500&lt;&gt;"Yes")*('Rework Log'!$G$3:$G$500&lt;&gt;"Did not pass re-test"))&gt;0),"Open rework row - mark Blocked? or close it",IF(AND($AG15="Yes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H)",IF(AND($AG15="Yes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H)",IF(AND($AG15="Yes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target",IF(AND(AD15&lt;&gt;"",Z15&lt;&gt;"",AD15&lt;Z15),"Confirmed Deployed date is before DPO Approval target",""))))))))))))</f>
        <v/>
      </c>
      <c r="AI15" s="41" t="s">
        <v>89</v>
      </c>
    </row>
    <row r="16" spans="1:35" ht="14.45" hidden="1">
      <c r="A16" s="33" t="s">
        <v>35</v>
      </c>
      <c r="B16" s="33" t="s">
        <v>90</v>
      </c>
      <c r="C16" s="33" t="s">
        <v>37</v>
      </c>
      <c r="D16" s="3" t="s">
        <v>64</v>
      </c>
      <c r="E16" s="33">
        <v>15</v>
      </c>
      <c r="F16" s="34"/>
      <c r="G16" s="33"/>
      <c r="H16" s="50">
        <v>46173</v>
      </c>
      <c r="I16" s="56" t="s">
        <v>69</v>
      </c>
      <c r="J16" s="33"/>
      <c r="K16" s="4"/>
      <c r="L16" s="43"/>
      <c r="M16" s="36"/>
      <c r="N16" s="36" t="s">
        <v>40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33" t="s">
        <v>43</v>
      </c>
      <c r="AC16" s="38" t="s">
        <v>44</v>
      </c>
      <c r="AD16" s="36">
        <v>46203</v>
      </c>
      <c r="AE16" s="39"/>
      <c r="AF16" s="33"/>
      <c r="AG16" s="40"/>
      <c r="AH16" s="48"/>
      <c r="AI16" s="41"/>
    </row>
    <row r="17" spans="1:35" ht="14.45" hidden="1">
      <c r="A17" s="33" t="s">
        <v>35</v>
      </c>
      <c r="B17" s="33" t="s">
        <v>91</v>
      </c>
      <c r="C17" s="33" t="s">
        <v>37</v>
      </c>
      <c r="D17" s="3" t="s">
        <v>64</v>
      </c>
      <c r="E17" s="33">
        <v>16</v>
      </c>
      <c r="F17" s="34"/>
      <c r="G17" s="33"/>
      <c r="H17" s="50">
        <v>46173</v>
      </c>
      <c r="I17" s="56" t="s">
        <v>69</v>
      </c>
      <c r="J17" s="33"/>
      <c r="K17" s="4"/>
      <c r="L17" s="43"/>
      <c r="M17" s="36"/>
      <c r="N17" s="36" t="s">
        <v>40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33" t="s">
        <v>43</v>
      </c>
      <c r="AC17" s="38" t="s">
        <v>44</v>
      </c>
      <c r="AD17" s="36">
        <v>46203</v>
      </c>
      <c r="AE17" s="39"/>
      <c r="AF17" s="33"/>
      <c r="AG17" s="40"/>
      <c r="AH17" s="48"/>
      <c r="AI17" s="41"/>
    </row>
    <row r="18" spans="1:35" ht="14.45" hidden="1">
      <c r="A18" s="33" t="s">
        <v>35</v>
      </c>
      <c r="B18" s="33" t="s">
        <v>92</v>
      </c>
      <c r="C18" s="33" t="s">
        <v>37</v>
      </c>
      <c r="D18" s="3" t="s">
        <v>64</v>
      </c>
      <c r="E18" s="33">
        <v>17</v>
      </c>
      <c r="F18" s="34"/>
      <c r="G18" s="33"/>
      <c r="H18" s="50">
        <v>46173</v>
      </c>
      <c r="I18" s="56" t="s">
        <v>69</v>
      </c>
      <c r="J18" s="33"/>
      <c r="K18" s="4"/>
      <c r="L18" s="43"/>
      <c r="M18" s="36"/>
      <c r="N18" s="36" t="s">
        <v>40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33" t="s">
        <v>43</v>
      </c>
      <c r="AC18" s="38" t="s">
        <v>44</v>
      </c>
      <c r="AD18" s="36">
        <v>46203</v>
      </c>
      <c r="AE18" s="39"/>
      <c r="AF18" s="33"/>
      <c r="AG18" s="40"/>
      <c r="AH18" s="48"/>
      <c r="AI18" s="41"/>
    </row>
    <row r="19" spans="1:35" ht="14.45" hidden="1">
      <c r="A19" s="33" t="s">
        <v>35</v>
      </c>
      <c r="B19" s="33" t="s">
        <v>93</v>
      </c>
      <c r="C19" s="33" t="s">
        <v>37</v>
      </c>
      <c r="D19" s="3" t="s">
        <v>64</v>
      </c>
      <c r="E19" s="33">
        <v>18</v>
      </c>
      <c r="F19" s="34"/>
      <c r="G19" s="33"/>
      <c r="H19" s="50">
        <v>46173</v>
      </c>
      <c r="I19" s="56" t="s">
        <v>69</v>
      </c>
      <c r="J19" s="33"/>
      <c r="K19" s="4"/>
      <c r="L19" s="43"/>
      <c r="M19" s="36"/>
      <c r="N19" s="36" t="s">
        <v>40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33" t="s">
        <v>43</v>
      </c>
      <c r="AC19" s="38" t="s">
        <v>44</v>
      </c>
      <c r="AD19" s="36">
        <v>46203</v>
      </c>
      <c r="AE19" s="39"/>
      <c r="AF19" s="33"/>
      <c r="AG19" s="40"/>
      <c r="AH19" s="48"/>
      <c r="AI19" s="41"/>
    </row>
    <row r="20" spans="1:35" ht="14.45" hidden="1">
      <c r="A20" s="33" t="s">
        <v>35</v>
      </c>
      <c r="B20" s="33" t="s">
        <v>94</v>
      </c>
      <c r="C20" s="33" t="s">
        <v>37</v>
      </c>
      <c r="D20" t="str">
        <f ca="1">IF($B20="","",IF(LEFT($AG20,3)="Yes","Blocked - "&amp;MID($AG20,7,100)&amp;IF(SUMPRODUCT(('Rework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Dev",IF(Q20="","No target set",IF(AND(Q20&lt;TODAY(),S20=""),"Overdue","On track")),IF(C20="QA",IF(V20="","No target set",IF(AND(V20&lt;TODAY(),X20=""),"Overdue","On track")),IF(C20="DPO Approval",IF(Z20="","No target set",IF(Z20&lt;TODAY(),"Overdue","On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95</v>
      </c>
      <c r="J20" s="33" t="s">
        <v>96</v>
      </c>
      <c r="K20" s="4">
        <v>46185</v>
      </c>
      <c r="L20" s="36"/>
      <c r="M20" s="36">
        <v>46148</v>
      </c>
      <c r="N20" s="36" t="s">
        <v>40</v>
      </c>
      <c r="O20" s="36"/>
      <c r="P20" s="64" t="s">
        <v>54</v>
      </c>
      <c r="Q20" s="4">
        <v>46192</v>
      </c>
      <c r="R20" s="36"/>
      <c r="S20" s="36">
        <v>46183</v>
      </c>
      <c r="T20" s="70"/>
      <c r="U20" s="33" t="s">
        <v>42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3"/>
      <c r="AC20" s="38" t="s">
        <v>44</v>
      </c>
      <c r="AD20" s="36">
        <v>46195</v>
      </c>
      <c r="AE20" s="39"/>
      <c r="AF20" s="33"/>
      <c r="AG20" s="40" t="s">
        <v>47</v>
      </c>
      <c r="AH20" s="74" t="str">
        <f>IF($B20="","",IF(AND(LEFT($AG20,3)="Yes",SUMPRODUCT(('Rework Log'!$A$3:$A$500=$B20)*('Rework Log'!$G$3:$G$500&lt;&gt;"Yes")*('Rework Log'!$G$3:$G$500&lt;&gt;"Did not pass re-test"))=0),"Blocked - log it on Rework Log",IF(AND(LEFT($AG20,3)&lt;&gt;"Yes",SUMPRODUCT(('Rework Log'!$A$3:$A$500=$B20)*('Rework Log'!$G$3:$G$500&lt;&gt;"Yes")*('Rework Log'!$G$3:$G$500&lt;&gt;"Did not pass re-test"))&gt;0),"Open rework row - mark Blocked? or close it",IF(AND($AG20="Yes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H)",IF(AND($AG20="Yes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H)",IF(AND($AG20="Yes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target",IF(AND(AD20&lt;&gt;"",Z20&lt;&gt;"",AD20&lt;Z20),"Confirmed Deployed date is before DPO Approval target",""))))))))))))</f>
        <v>Confirmed Deployed date is before DPO Approval target</v>
      </c>
      <c r="AI20" s="41"/>
    </row>
    <row r="21" spans="1:35" ht="14.45" hidden="1">
      <c r="A21" s="33" t="s">
        <v>35</v>
      </c>
      <c r="B21" s="33" t="s">
        <v>97</v>
      </c>
      <c r="C21" s="33" t="s">
        <v>37</v>
      </c>
      <c r="D21" t="str">
        <f ca="1">IF($B21="","",IF(LEFT($AG21,3)="Yes","Blocked - "&amp;MID($AG21,7,100)&amp;IF(SUMPRODUCT(('Rework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Dev",IF(Q21="","No target set",IF(AND(Q21&lt;TODAY(),S21=""),"Overdue","On track")),IF(C21="QA",IF(V21="","No target set",IF(AND(V21&lt;TODAY(),X21=""),"Overdue","On track")),IF(C21="DPO Approval",IF(Z21="","No target set",IF(Z21&lt;TODAY(),"Overdue","On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95</v>
      </c>
      <c r="J21" s="33" t="s">
        <v>96</v>
      </c>
      <c r="K21" s="4">
        <v>46185</v>
      </c>
      <c r="L21" s="36"/>
      <c r="M21" s="36">
        <v>46162</v>
      </c>
      <c r="N21" s="36" t="s">
        <v>40</v>
      </c>
      <c r="O21" s="36"/>
      <c r="P21" s="64" t="s">
        <v>71</v>
      </c>
      <c r="Q21" s="4">
        <v>46192</v>
      </c>
      <c r="R21" s="36"/>
      <c r="S21" s="36">
        <v>46182</v>
      </c>
      <c r="T21" s="70"/>
      <c r="U21" s="33" t="s">
        <v>42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3"/>
      <c r="AC21" s="38" t="s">
        <v>44</v>
      </c>
      <c r="AD21" s="36">
        <v>46198</v>
      </c>
      <c r="AE21" s="39"/>
      <c r="AF21" s="33"/>
      <c r="AG21" s="40" t="s">
        <v>47</v>
      </c>
      <c r="AH21" s="74" t="str">
        <f>IF($B21="","",IF(AND(LEFT($AG21,3)="Yes",SUMPRODUCT(('Rework Log'!$A$3:$A$500=$B21)*('Rework Log'!$G$3:$G$500&lt;&gt;"Yes")*('Rework Log'!$G$3:$G$500&lt;&gt;"Did not pass re-test"))=0),"Blocked - log it on Rework Log",IF(AND(LEFT($AG21,3)&lt;&gt;"Yes",SUMPRODUCT(('Rework Log'!$A$3:$A$500=$B21)*('Rework Log'!$G$3:$G$500&lt;&gt;"Yes")*('Rework Log'!$G$3:$G$500&lt;&gt;"Did not pass re-test"))&gt;0),"Open rework row - mark Blocked? or close it",IF(AND($AG21="Yes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H)",IF(AND($AG21="Yes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H)",IF(AND($AG21="Yes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target",IF(AND(AD21&lt;&gt;"",Z21&lt;&gt;"",AD21&lt;Z21),"Confirmed Deployed date is before DPO Approval target",""))))))))))))</f>
        <v>Confirmed Deployed date is before DPO Approval target</v>
      </c>
      <c r="AI21" s="41" t="s">
        <v>98</v>
      </c>
    </row>
    <row r="22" spans="1:35" ht="14.45" hidden="1">
      <c r="A22" s="33" t="s">
        <v>35</v>
      </c>
      <c r="B22" s="33" t="s">
        <v>99</v>
      </c>
      <c r="C22" s="33" t="s">
        <v>37</v>
      </c>
      <c r="D22" t="str">
        <f ca="1">IF($B22="","",IF(LEFT($AG22,3)="Yes","Blocked - "&amp;MID($AG22,7,100)&amp;IF(SUMPRODUCT(('Rework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Dev",IF(Q22="","No target set",IF(AND(Q22&lt;TODAY(),S22=""),"Overdue","On track")),IF(C22="QA",IF(V22="","No target set",IF(AND(V22&lt;TODAY(),X22=""),"Overdue","On track")),IF(C22="DPO Approval",IF(Z22="","No target set",IF(Z22&lt;TODAY(),"Overdue","On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95</v>
      </c>
      <c r="J22" s="33" t="s">
        <v>39</v>
      </c>
      <c r="K22" s="4">
        <v>46185</v>
      </c>
      <c r="L22" s="36"/>
      <c r="M22" s="36">
        <v>46168</v>
      </c>
      <c r="N22" s="36" t="s">
        <v>40</v>
      </c>
      <c r="O22" s="36"/>
      <c r="P22" s="64" t="s">
        <v>54</v>
      </c>
      <c r="Q22" s="4">
        <v>46192</v>
      </c>
      <c r="R22" s="36"/>
      <c r="S22" s="36">
        <v>46183</v>
      </c>
      <c r="T22" s="70"/>
      <c r="U22" s="33" t="s">
        <v>42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3"/>
      <c r="AC22" s="38" t="s">
        <v>44</v>
      </c>
      <c r="AD22" s="36">
        <v>46198</v>
      </c>
      <c r="AE22" s="39"/>
      <c r="AF22" s="33"/>
      <c r="AG22" s="40" t="s">
        <v>47</v>
      </c>
      <c r="AH22" s="74" t="str">
        <f>IF($B22="","",IF(AND(LEFT($AG22,3)="Yes",SUMPRODUCT(('Rework Log'!$A$3:$A$500=$B22)*('Rework Log'!$G$3:$G$500&lt;&gt;"Yes")*('Rework Log'!$G$3:$G$500&lt;&gt;"Did not pass re-test"))=0),"Blocked - log it on Rework Log",IF(AND(LEFT($AG22,3)&lt;&gt;"Yes",SUMPRODUCT(('Rework Log'!$A$3:$A$500=$B22)*('Rework Log'!$G$3:$G$500&lt;&gt;"Yes")*('Rework Log'!$G$3:$G$500&lt;&gt;"Did not pass re-test"))&gt;0),"Open rework row - mark Blocked? or close it",IF(AND($AG22="Yes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H)",IF(AND($AG22="Yes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H)",IF(AND($AG22="Yes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target",IF(AND(AD22&lt;&gt;"",Z22&lt;&gt;"",AD22&lt;Z22),"Confirmed Deployed date is before DPO Approval target",""))))))))))))</f>
        <v>Confirmed Deployed date is before DPO Approval target</v>
      </c>
      <c r="AI22" s="41"/>
    </row>
    <row r="23" spans="1:35" ht="14.45" hidden="1">
      <c r="A23" s="33" t="s">
        <v>35</v>
      </c>
      <c r="B23" s="33" t="s">
        <v>100</v>
      </c>
      <c r="C23" s="33" t="s">
        <v>37</v>
      </c>
      <c r="D23" t="str">
        <f ca="1">IF($B23="","",IF(LEFT($AG23,3)="Yes","Blocked - "&amp;MID($AG23,7,100)&amp;IF(SUMPRODUCT(('Rework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Dev",IF(Q23="","No target set",IF(AND(Q23&lt;TODAY(),S23=""),"Overdue","On track")),IF(C23="QA",IF(V23="","No target set",IF(AND(V23&lt;TODAY(),X23=""),"Overdue","On track")),IF(C23="DPO Approval",IF(Z23="","No target set",IF(Z23&lt;TODAY(),"Overdue","On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95</v>
      </c>
      <c r="J23" s="33" t="s">
        <v>39</v>
      </c>
      <c r="K23" s="4">
        <v>46185</v>
      </c>
      <c r="L23" s="36"/>
      <c r="M23" s="36">
        <v>46165</v>
      </c>
      <c r="N23" s="36" t="s">
        <v>40</v>
      </c>
      <c r="O23" s="36"/>
      <c r="P23" s="64" t="s">
        <v>54</v>
      </c>
      <c r="Q23" s="4">
        <v>46192</v>
      </c>
      <c r="R23" s="36"/>
      <c r="S23" s="36">
        <v>46153</v>
      </c>
      <c r="T23" s="70"/>
      <c r="U23" s="33" t="s">
        <v>42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3"/>
      <c r="AC23" s="38" t="s">
        <v>44</v>
      </c>
      <c r="AD23" s="36">
        <v>46184</v>
      </c>
      <c r="AE23" s="39" t="s">
        <v>101</v>
      </c>
      <c r="AF23" s="33" t="s">
        <v>102</v>
      </c>
      <c r="AG23" s="40" t="s">
        <v>47</v>
      </c>
      <c r="AH23" s="74" t="str">
        <f>IF($B23="","",IF(AND(LEFT($AG23,3)="Yes",SUMPRODUCT(('Rework Log'!$A$3:$A$500=$B23)*('Rework Log'!$G$3:$G$500&lt;&gt;"Yes")*('Rework Log'!$G$3:$G$500&lt;&gt;"Did not pass re-test"))=0),"Blocked - log it on Rework Log",IF(AND(LEFT($AG23,3)&lt;&gt;"Yes",SUMPRODUCT(('Rework Log'!$A$3:$A$500=$B23)*('Rework Log'!$G$3:$G$500&lt;&gt;"Yes")*('Rework Log'!$G$3:$G$500&lt;&gt;"Did not pass re-test"))&gt;0),"Open rework row - mark Blocked? or close it",IF(AND($AG23="Yes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H)",IF(AND($AG23="Yes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H)",IF(AND($AG23="Yes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target",IF(AND(AD23&lt;&gt;"",Z23&lt;&gt;"",AD23&lt;Z23),"Confirmed Deployed date is before DPO Approval target",""))))))))))))</f>
        <v>Confirmed Deployed date is before DPO Approval target</v>
      </c>
      <c r="AI23" s="41"/>
    </row>
    <row r="24" spans="1:35" ht="14.45" hidden="1">
      <c r="A24" s="33" t="s">
        <v>35</v>
      </c>
      <c r="B24" s="33" t="s">
        <v>103</v>
      </c>
      <c r="C24" s="33" t="s">
        <v>37</v>
      </c>
      <c r="D24" t="str">
        <f ca="1">IF($B24="","",IF(LEFT($AG24,3)="Yes","Blocked - "&amp;MID($AG24,7,100)&amp;IF(SUMPRODUCT(('Rework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Dev",IF(Q24="","No target set",IF(AND(Q24&lt;TODAY(),S24=""),"Overdue","On track")),IF(C24="QA",IF(V24="","No target set",IF(AND(V24&lt;TODAY(),X24=""),"Overdue","On track")),IF(C24="DPO Approval",IF(Z24="","No target set",IF(Z24&lt;TODAY(),"Overdue","On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95</v>
      </c>
      <c r="J24" s="33" t="s">
        <v>53</v>
      </c>
      <c r="K24" s="4">
        <v>46185</v>
      </c>
      <c r="L24" s="36"/>
      <c r="M24" s="36">
        <v>46162</v>
      </c>
      <c r="N24" s="36" t="s">
        <v>40</v>
      </c>
      <c r="O24" s="36"/>
      <c r="P24" s="64" t="s">
        <v>41</v>
      </c>
      <c r="Q24" s="4">
        <v>46192</v>
      </c>
      <c r="R24" s="36"/>
      <c r="S24" s="36">
        <v>46186</v>
      </c>
      <c r="T24" s="70"/>
      <c r="U24" s="33" t="s">
        <v>82</v>
      </c>
      <c r="V24" s="60">
        <v>46199</v>
      </c>
      <c r="W24" s="36"/>
      <c r="X24" s="36"/>
      <c r="Y24" s="36"/>
      <c r="Z24" s="53">
        <v>46202</v>
      </c>
      <c r="AA24" s="36"/>
      <c r="AB24" s="33"/>
      <c r="AC24" s="38" t="s">
        <v>44</v>
      </c>
      <c r="AD24" s="36">
        <v>46227</v>
      </c>
      <c r="AE24" s="39"/>
      <c r="AF24" s="33"/>
      <c r="AG24" s="40" t="s">
        <v>47</v>
      </c>
      <c r="AH24" s="74" t="str">
        <f>IF($B24="","",IF(AND(LEFT($AG24,3)="Yes",SUMPRODUCT(('Rework Log'!$A$3:$A$500=$B24)*('Rework Log'!$G$3:$G$500&lt;&gt;"Yes")*('Rework Log'!$G$3:$G$500&lt;&gt;"Did not pass re-test"))=0),"Blocked - log it on Rework Log",IF(AND(LEFT($AG24,3)&lt;&gt;"Yes",SUMPRODUCT(('Rework Log'!$A$3:$A$500=$B24)*('Rework Log'!$G$3:$G$500&lt;&gt;"Yes")*('Rework Log'!$G$3:$G$500&lt;&gt;"Did not pass re-test"))&gt;0),"Open rework row - mark Blocked? or close it",IF(AND($AG24="Yes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H)",IF(AND($AG24="Yes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H)",IF(AND($AG24="Yes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target",IF(AND(AD24&lt;&gt;"",Z24&lt;&gt;"",AD24&lt;Z24),"Confirmed Deployed date is before DPO Approval target",""))))))))))))</f>
        <v/>
      </c>
      <c r="AI24" s="41" t="s">
        <v>104</v>
      </c>
    </row>
    <row r="25" spans="1:35" ht="14.45" hidden="1">
      <c r="A25" s="33" t="s">
        <v>35</v>
      </c>
      <c r="B25" s="33" t="s">
        <v>105</v>
      </c>
      <c r="C25" s="33" t="s">
        <v>37</v>
      </c>
      <c r="D25" t="str">
        <f ca="1">IF($B25="","",IF(LEFT($AG25,3)="Yes","Blocked - "&amp;MID($AG25,7,100)&amp;IF(SUMPRODUCT(('Rework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Dev",IF(Q25="","No target set",IF(AND(Q25&lt;TODAY(),S25=""),"Overdue","On track")),IF(C25="QA",IF(V25="","No target set",IF(AND(V25&lt;TODAY(),X25=""),"Overdue","On track")),IF(C25="DPO Approval",IF(Z25="","No target set",IF(Z25&lt;TODAY(),"Overdue","On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95</v>
      </c>
      <c r="J25" s="33" t="s">
        <v>53</v>
      </c>
      <c r="K25" s="4">
        <v>46185</v>
      </c>
      <c r="L25" s="36"/>
      <c r="M25" s="36">
        <v>46162</v>
      </c>
      <c r="N25" s="36" t="s">
        <v>40</v>
      </c>
      <c r="O25" s="36"/>
      <c r="P25" s="64" t="s">
        <v>71</v>
      </c>
      <c r="Q25" s="4">
        <v>46192</v>
      </c>
      <c r="R25" s="36"/>
      <c r="S25" s="36">
        <v>46164</v>
      </c>
      <c r="T25" s="70"/>
      <c r="U25" s="33" t="s">
        <v>42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3"/>
      <c r="AC25" s="38" t="s">
        <v>44</v>
      </c>
      <c r="AD25" s="36">
        <v>46204</v>
      </c>
      <c r="AE25" s="39"/>
      <c r="AF25" s="33"/>
      <c r="AG25" s="40" t="s">
        <v>47</v>
      </c>
      <c r="AH25" s="74" t="str">
        <f>IF($B25="","",IF(AND(LEFT($AG25,3)="Yes",SUMPRODUCT(('Rework Log'!$A$3:$A$500=$B25)*('Rework Log'!$G$3:$G$500&lt;&gt;"Yes")*('Rework Log'!$G$3:$G$500&lt;&gt;"Did not pass re-test"))=0),"Blocked - log it on Rework Log",IF(AND(LEFT($AG25,3)&lt;&gt;"Yes",SUMPRODUCT(('Rework Log'!$A$3:$A$500=$B25)*('Rework Log'!$G$3:$G$500&lt;&gt;"Yes")*('Rework Log'!$G$3:$G$500&lt;&gt;"Did not pass re-test"))&gt;0),"Open rework row - mark Blocked? or close it",IF(AND($AG25="Yes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H)",IF(AND($AG25="Yes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H)",IF(AND($AG25="Yes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target",IF(AND(AD25&lt;&gt;"",Z25&lt;&gt;"",AD25&lt;Z25),"Confirmed Deployed date is before DPO Approval target",""))))))))))))</f>
        <v/>
      </c>
      <c r="AI25" s="41" t="s">
        <v>104</v>
      </c>
    </row>
    <row r="26" spans="1:35" ht="14.45" hidden="1">
      <c r="A26" s="33" t="s">
        <v>35</v>
      </c>
      <c r="B26" s="33" t="s">
        <v>106</v>
      </c>
      <c r="C26" s="33" t="s">
        <v>37</v>
      </c>
      <c r="D26" t="str">
        <f ca="1">IF($B26="","",IF(LEFT($AG26,3)="Yes","Blocked - "&amp;MID($AG26,7,100)&amp;IF(SUMPRODUCT(('Rework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Dev",IF(Q26="","No target set",IF(AND(Q26&lt;TODAY(),S26=""),"Overdue","On track")),IF(C26="QA",IF(V26="","No target set",IF(AND(V26&lt;TODAY(),X26=""),"Overdue","On track")),IF(C26="DPO Approval",IF(Z26="","No target set",IF(Z26&lt;TODAY(),"Overdue","On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95</v>
      </c>
      <c r="J26" s="33" t="s">
        <v>107</v>
      </c>
      <c r="K26" s="4">
        <v>46185</v>
      </c>
      <c r="L26" s="36"/>
      <c r="M26" s="36">
        <v>46169</v>
      </c>
      <c r="N26" s="36" t="s">
        <v>40</v>
      </c>
      <c r="O26" s="36"/>
      <c r="P26" s="64" t="s">
        <v>54</v>
      </c>
      <c r="Q26" s="4">
        <v>46192</v>
      </c>
      <c r="R26" s="36"/>
      <c r="S26" s="36">
        <v>46191</v>
      </c>
      <c r="T26" s="70"/>
      <c r="U26" s="33" t="s">
        <v>82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3"/>
      <c r="AC26" s="38" t="s">
        <v>44</v>
      </c>
      <c r="AD26" s="36">
        <v>46196</v>
      </c>
      <c r="AE26" s="39" t="s">
        <v>108</v>
      </c>
      <c r="AF26" s="33" t="s">
        <v>109</v>
      </c>
      <c r="AG26" s="40" t="s">
        <v>47</v>
      </c>
      <c r="AH26" s="74" t="str">
        <f>IF($B26="","",IF(AND(LEFT($AG26,3)="Yes",SUMPRODUCT(('Rework Log'!$A$3:$A$500=$B26)*('Rework Log'!$G$3:$G$500&lt;&gt;"Yes")*('Rework Log'!$G$3:$G$500&lt;&gt;"Did not pass re-test"))=0),"Blocked - log it on Rework Log",IF(AND(LEFT($AG26,3)&lt;&gt;"Yes",SUMPRODUCT(('Rework Log'!$A$3:$A$500=$B26)*('Rework Log'!$G$3:$G$500&lt;&gt;"Yes")*('Rework Log'!$G$3:$G$500&lt;&gt;"Did not pass re-test"))&gt;0),"Open rework row - mark Blocked? or close it",IF(AND($AG26="Yes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H)",IF(AND($AG26="Yes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H)",IF(AND($AG26="Yes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target",IF(AND(AD26&lt;&gt;"",Z26&lt;&gt;"",AD26&lt;Z26),"Confirmed Deployed date is before DPO Approval target",""))))))))))))</f>
        <v>Confirmed Deployed date is before DPO Approval target</v>
      </c>
      <c r="AI26" s="41"/>
    </row>
    <row r="27" spans="1:35" ht="14.45" hidden="1">
      <c r="A27" s="33" t="s">
        <v>35</v>
      </c>
      <c r="B27" s="33" t="s">
        <v>110</v>
      </c>
      <c r="C27" s="33" t="s">
        <v>37</v>
      </c>
      <c r="D27" t="str">
        <f ca="1">IF($B27="","",IF(LEFT($AG27,3)="Yes","Blocked - "&amp;MID($AG27,7,100)&amp;IF(SUMPRODUCT(('Rework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Dev",IF(Q27="","No target set",IF(AND(Q27&lt;TODAY(),S27=""),"Overdue","On track")),IF(C27="QA",IF(V27="","No target set",IF(AND(V27&lt;TODAY(),X27=""),"Overdue","On track")),IF(C27="DPO Approval",IF(Z27="","No target set",IF(Z27&lt;TODAY(),"Overdue","On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95</v>
      </c>
      <c r="J27" s="33" t="s">
        <v>96</v>
      </c>
      <c r="K27" s="4">
        <v>46185</v>
      </c>
      <c r="L27" s="36"/>
      <c r="M27" s="36">
        <v>46168</v>
      </c>
      <c r="N27" s="36" t="s">
        <v>40</v>
      </c>
      <c r="O27" s="36"/>
      <c r="P27" s="64" t="s">
        <v>71</v>
      </c>
      <c r="Q27" s="4">
        <v>46192</v>
      </c>
      <c r="R27" s="36"/>
      <c r="S27" s="36">
        <v>46189</v>
      </c>
      <c r="T27" s="70"/>
      <c r="U27" s="55" t="s">
        <v>82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3"/>
      <c r="AC27" s="38" t="s">
        <v>44</v>
      </c>
      <c r="AD27" s="36">
        <v>46192</v>
      </c>
      <c r="AE27" s="39" t="s">
        <v>111</v>
      </c>
      <c r="AF27" s="33"/>
      <c r="AG27" s="40" t="s">
        <v>47</v>
      </c>
      <c r="AH27" s="74" t="str">
        <f>IF($B27="","",IF(AND(LEFT($AG27,3)="Yes",SUMPRODUCT(('Rework Log'!$A$3:$A$500=$B27)*('Rework Log'!$G$3:$G$500&lt;&gt;"Yes")*('Rework Log'!$G$3:$G$500&lt;&gt;"Did not pass re-test"))=0),"Blocked - log it on Rework Log",IF(AND(LEFT($AG27,3)&lt;&gt;"Yes",SUMPRODUCT(('Rework Log'!$A$3:$A$500=$B27)*('Rework Log'!$G$3:$G$500&lt;&gt;"Yes")*('Rework Log'!$G$3:$G$500&lt;&gt;"Did not pass re-test"))&gt;0),"Open rework row - mark Blocked? or close it",IF(AND($AG27="Yes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H)",IF(AND($AG27="Yes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H)",IF(AND($AG27="Yes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target",IF(AND(AD27&lt;&gt;"",Z27&lt;&gt;"",AD27&lt;Z27),"Confirmed Deployed date is before DPO Approval target",""))))))))))))</f>
        <v>Confirmed Deployed date is before DPO Approval target</v>
      </c>
      <c r="AI27" s="41"/>
    </row>
    <row r="28" spans="1:35" ht="14.45" hidden="1">
      <c r="A28" s="33" t="s">
        <v>35</v>
      </c>
      <c r="B28" s="33" t="s">
        <v>112</v>
      </c>
      <c r="C28" s="33" t="s">
        <v>37</v>
      </c>
      <c r="D28" t="str">
        <f ca="1">IF($B28="","",IF(LEFT($AG28,3)="Yes","Blocked - "&amp;MID($AG28,7,100)&amp;IF(SUMPRODUCT(('Rework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Dev",IF(Q28="","No target set",IF(AND(Q28&lt;TODAY(),S28=""),"Overdue","On track")),IF(C28="QA",IF(V28="","No target set",IF(AND(V28&lt;TODAY(),X28=""),"Overdue","On track")),IF(C28="DPO Approval",IF(Z28="","No target set",IF(Z28&lt;TODAY(),"Overdue","On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95</v>
      </c>
      <c r="J28" s="33" t="s">
        <v>78</v>
      </c>
      <c r="K28" s="4">
        <v>46185</v>
      </c>
      <c r="L28" s="36"/>
      <c r="M28" s="36">
        <v>46169</v>
      </c>
      <c r="N28" s="36" t="s">
        <v>40</v>
      </c>
      <c r="O28" s="36"/>
      <c r="P28" s="64" t="s">
        <v>71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3"/>
      <c r="AC28" s="38" t="s">
        <v>44</v>
      </c>
      <c r="AD28" s="36">
        <v>46197</v>
      </c>
      <c r="AE28" s="39"/>
      <c r="AF28" s="33"/>
      <c r="AG28" s="40" t="s">
        <v>47</v>
      </c>
      <c r="AH28" s="74" t="str">
        <f>IF($B28="","",IF(AND(LEFT($AG28,3)="Yes",SUMPRODUCT(('Rework Log'!$A$3:$A$500=$B28)*('Rework Log'!$G$3:$G$500&lt;&gt;"Yes")*('Rework Log'!$G$3:$G$500&lt;&gt;"Did not pass re-test"))=0),"Blocked - log it on Rework Log",IF(AND(LEFT($AG28,3)&lt;&gt;"Yes",SUMPRODUCT(('Rework Log'!$A$3:$A$500=$B28)*('Rework Log'!$G$3:$G$500&lt;&gt;"Yes")*('Rework Log'!$G$3:$G$500&lt;&gt;"Did not pass re-test"))&gt;0),"Open rework row - mark Blocked? or close it",IF(AND($AG28="Yes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H)",IF(AND($AG28="Yes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H)",IF(AND($AG28="Yes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target",IF(AND(AD28&lt;&gt;"",Z28&lt;&gt;"",AD28&lt;Z28),"Confirmed Deployed date is before DPO Approval target",""))))))))))))</f>
        <v>Confirmed Deployed date is before DPO Approval target</v>
      </c>
      <c r="AI28" s="41" t="s">
        <v>113</v>
      </c>
    </row>
    <row r="29" spans="1:35" ht="14.45">
      <c r="A29" s="33" t="s">
        <v>114</v>
      </c>
      <c r="B29" s="33" t="s">
        <v>115</v>
      </c>
      <c r="C29" s="33" t="s">
        <v>116</v>
      </c>
      <c r="D29" t="str">
        <f ca="1">IF($B29="","",IF(LEFT($AG29,3)="Yes","Blocked - "&amp;MID($AG29,7,100)&amp;IF(SUMPRODUCT(('Rework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Dev",IF(Q29="","No target set",IF(AND(Q29&lt;TODAY(),S29=""),"Overdue","On track")),IF(C29="QA",IF(V29="","No target set",IF(AND(V29&lt;TODAY(),X29=""),"Overdue","On track")),IF(C29="DPO Approval",IF(Z29="","No target set",IF(Z29&lt;TODAY(),"Overdue","On track")),IF(C29="RELEASED IN PROD","Delivered",""))))))))</f>
        <v>Overdue</v>
      </c>
      <c r="E29" s="33">
        <v>1</v>
      </c>
      <c r="F29" s="34" t="s">
        <v>117</v>
      </c>
      <c r="G29" s="33"/>
      <c r="H29" s="50">
        <v>46234</v>
      </c>
      <c r="I29" s="62" t="s">
        <v>118</v>
      </c>
      <c r="J29" s="33" t="s">
        <v>70</v>
      </c>
      <c r="K29" s="4">
        <v>46213</v>
      </c>
      <c r="L29" s="36">
        <v>46244</v>
      </c>
      <c r="M29" s="37">
        <v>46244</v>
      </c>
      <c r="N29" s="47" t="s">
        <v>40</v>
      </c>
      <c r="O29" s="36" t="s">
        <v>119</v>
      </c>
      <c r="P29" s="66" t="s">
        <v>54</v>
      </c>
      <c r="Q29" s="4">
        <v>46220</v>
      </c>
      <c r="R29" s="36">
        <v>46245</v>
      </c>
      <c r="S29" s="75">
        <v>46245</v>
      </c>
      <c r="T29" s="70"/>
      <c r="U29" s="55" t="s">
        <v>117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46258</v>
      </c>
      <c r="AB29" s="33"/>
      <c r="AC29" s="38"/>
      <c r="AD29" s="36"/>
      <c r="AE29" s="39"/>
      <c r="AF29" s="33"/>
      <c r="AG29" s="40" t="s">
        <v>47</v>
      </c>
      <c r="AH29" s="74" t="str">
        <f>IF($B29="","",IF(AND(LEFT($AG29,3)="Yes",SUMPRODUCT(('Rework Log'!$A$3:$A$500=$B29)*('Rework Log'!$G$3:$G$500&lt;&gt;"Yes")*('Rework Log'!$G$3:$G$500&lt;&gt;"Did not pass re-test"))=0),"Blocked - log it on Rework Log",IF(AND(LEFT($AG29,3)&lt;&gt;"Yes",SUMPRODUCT(('Rework Log'!$A$3:$A$500=$B29)*('Rework Log'!$G$3:$G$500&lt;&gt;"Yes")*('Rework Log'!$G$3:$G$500&lt;&gt;"Did not pass re-test"))&gt;0),"Open rework row - mark Blocked? or close it",IF(AND($AG29="Yes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H)",IF(AND($AG29="Yes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H)",IF(AND($AG29="Yes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target",IF(AND(AD29&lt;&gt;"",Z29&lt;&gt;"",AD29&lt;Z29),"Confirmed Deployed date is before DPO Approval target",""))))))))))))</f>
        <v/>
      </c>
      <c r="AI29" s="41" t="s">
        <v>120</v>
      </c>
    </row>
    <row r="30" spans="1:35" ht="14.45">
      <c r="A30" s="33" t="s">
        <v>114</v>
      </c>
      <c r="B30" s="33" t="s">
        <v>121</v>
      </c>
      <c r="C30" s="33" t="s">
        <v>116</v>
      </c>
      <c r="D30" t="str">
        <f ca="1">IF($B30="","",IF(LEFT($AG30,3)="Yes","Blocked - "&amp;MID($AG30,7,100)&amp;IF(SUMPRODUCT(('Rework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Dev",IF(Q30="","No target set",IF(AND(Q30&lt;TODAY(),S30=""),"Overdue","On track")),IF(C30="QA",IF(V30="","No target set",IF(AND(V30&lt;TODAY(),X30=""),"Overdue","On track")),IF(C30="DPO Approval",IF(Z30="","No target set",IF(Z30&lt;TODAY(),"Overdue","On track")),IF(C30="RELEASED IN PROD","Delivered",""))))))))</f>
        <v>Overdue</v>
      </c>
      <c r="E30" s="33">
        <v>2</v>
      </c>
      <c r="F30" s="34" t="s">
        <v>117</v>
      </c>
      <c r="G30" s="33"/>
      <c r="H30" s="50">
        <v>46234</v>
      </c>
      <c r="I30" s="62" t="s">
        <v>118</v>
      </c>
      <c r="J30" s="33" t="s">
        <v>107</v>
      </c>
      <c r="K30" s="4">
        <v>46213</v>
      </c>
      <c r="L30" s="36">
        <v>46244</v>
      </c>
      <c r="M30" s="35">
        <v>46245</v>
      </c>
      <c r="N30" s="47" t="s">
        <v>40</v>
      </c>
      <c r="O30" s="36" t="s">
        <v>119</v>
      </c>
      <c r="P30" s="66" t="s">
        <v>71</v>
      </c>
      <c r="Q30" s="4">
        <v>46220</v>
      </c>
      <c r="R30" s="36">
        <v>46245</v>
      </c>
      <c r="S30" s="36">
        <v>46246</v>
      </c>
      <c r="T30" s="70"/>
      <c r="U30" s="55" t="s">
        <v>117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46258</v>
      </c>
      <c r="AB30" s="33"/>
      <c r="AC30" s="38"/>
      <c r="AD30" s="36"/>
      <c r="AE30" s="39"/>
      <c r="AF30" s="33"/>
      <c r="AG30" s="40" t="s">
        <v>47</v>
      </c>
      <c r="AH30" s="74" t="str">
        <f>IF($B30="","",IF(AND(LEFT($AG30,3)="Yes",SUMPRODUCT(('Rework Log'!$A$3:$A$500=$B30)*('Rework Log'!$G$3:$G$500&lt;&gt;"Yes")*('Rework Log'!$G$3:$G$500&lt;&gt;"Did not pass re-test"))=0),"Blocked - log it on Rework Log",IF(AND(LEFT($AG30,3)&lt;&gt;"Yes",SUMPRODUCT(('Rework Log'!$A$3:$A$500=$B30)*('Rework Log'!$G$3:$G$500&lt;&gt;"Yes")*('Rework Log'!$G$3:$G$500&lt;&gt;"Did not pass re-test"))&gt;0),"Open rework row - mark Blocked? or close it",IF(AND($AG30="Yes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H)",IF(AND($AG30="Yes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H)",IF(AND($AG30="Yes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target",IF(AND(AD30&lt;&gt;"",Z30&lt;&gt;"",AD30&lt;Z30),"Confirmed Deployed date is before DPO Approval target",""))))))))))))</f>
        <v/>
      </c>
      <c r="AI30" s="41" t="s">
        <v>122</v>
      </c>
    </row>
    <row r="31" spans="1:35" ht="14.45">
      <c r="A31" s="33" t="s">
        <v>114</v>
      </c>
      <c r="B31" s="33" t="s">
        <v>123</v>
      </c>
      <c r="C31" s="33" t="s">
        <v>116</v>
      </c>
      <c r="D31" t="str">
        <f ca="1">IF($B31="","",IF(LEFT($AG31,3)="Yes","Blocked - "&amp;MID($AG31,7,100)&amp;IF(SUMPRODUCT(('Rework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Dev",IF(Q31="","No target set",IF(AND(Q31&lt;TODAY(),S31=""),"Overdue","On track")),IF(C31="QA",IF(V31="","No target set",IF(AND(V31&lt;TODAY(),X31=""),"Overdue","On track")),IF(C31="DPO Approval",IF(Z31="","No target set",IF(Z31&lt;TODAY(),"Overdue","On track")),IF(C31="RELEASED IN PROD","Delivered",""))))))))</f>
        <v>Overdue</v>
      </c>
      <c r="E31" s="33">
        <v>3</v>
      </c>
      <c r="F31" s="34" t="s">
        <v>117</v>
      </c>
      <c r="G31" s="33"/>
      <c r="H31" s="50">
        <v>46234</v>
      </c>
      <c r="I31" s="62" t="s">
        <v>118</v>
      </c>
      <c r="J31" s="33" t="s">
        <v>107</v>
      </c>
      <c r="K31" s="4">
        <v>46213</v>
      </c>
      <c r="L31" s="36">
        <v>46245</v>
      </c>
      <c r="M31" s="35">
        <v>46246</v>
      </c>
      <c r="N31" s="47" t="s">
        <v>40</v>
      </c>
      <c r="O31" s="36" t="s">
        <v>119</v>
      </c>
      <c r="P31" s="66" t="s">
        <v>71</v>
      </c>
      <c r="Q31" s="4">
        <v>46220</v>
      </c>
      <c r="R31" s="36">
        <v>46246</v>
      </c>
      <c r="S31" s="36">
        <v>46251</v>
      </c>
      <c r="T31" s="70"/>
      <c r="U31" s="55" t="s">
        <v>117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3"/>
      <c r="AC31" s="38"/>
      <c r="AD31" s="36"/>
      <c r="AE31" s="39"/>
      <c r="AF31" s="33"/>
      <c r="AG31" s="40" t="s">
        <v>47</v>
      </c>
      <c r="AH31" s="74" t="str">
        <f>IF($B31="","",IF(AND(LEFT($AG31,3)="Yes",SUMPRODUCT(('Rework Log'!$A$3:$A$500=$B31)*('Rework Log'!$G$3:$G$500&lt;&gt;"Yes")*('Rework Log'!$G$3:$G$500&lt;&gt;"Did not pass re-test"))=0),"Blocked - log it on Rework Log",IF(AND(LEFT($AG31,3)&lt;&gt;"Yes",SUMPRODUCT(('Rework Log'!$A$3:$A$500=$B31)*('Rework Log'!$G$3:$G$500&lt;&gt;"Yes")*('Rework Log'!$G$3:$G$500&lt;&gt;"Did not pass re-test"))&gt;0),"Open rework row - mark Blocked? or close it",IF(AND($AG31="Yes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H)",IF(AND($AG31="Yes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H)",IF(AND($AG31="Yes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target",IF(AND(AD31&lt;&gt;"",Z31&lt;&gt;"",AD31&lt;Z31),"Confirmed Deployed date is before DPO Approval target",""))))))))))))</f>
        <v/>
      </c>
      <c r="AI31" s="41" t="s">
        <v>124</v>
      </c>
    </row>
    <row r="32" spans="1:35" ht="14.45">
      <c r="A32" s="33" t="s">
        <v>114</v>
      </c>
      <c r="B32" s="33" t="s">
        <v>125</v>
      </c>
      <c r="C32" s="33" t="s">
        <v>126</v>
      </c>
      <c r="D32" t="str">
        <f ca="1">IF($B32="","",IF(LEFT($AG32,3)="Yes","Blocked - "&amp;MID($AG32,7,100)&amp;IF(SUMPRODUCT(('Rework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Dev",IF(Q32="","No target set",IF(AND(Q32&lt;TODAY(),S32=""),"Overdue","On track")),IF(C32="QA",IF(V32="","No target set",IF(AND(V32&lt;TODAY(),X32=""),"Overdue","On track")),IF(C32="DPO Approval",IF(Z32="","No target set",IF(Z32&lt;TODAY(),"Overdue","On track")),IF(C32="RELEASED IN PROD","Delivered",""))))))))</f>
        <v>Blocked - needs DB Dev to fix - unclaimed</v>
      </c>
      <c r="E32" s="33">
        <v>4</v>
      </c>
      <c r="F32" s="34" t="s">
        <v>117</v>
      </c>
      <c r="G32" s="33"/>
      <c r="H32" s="50">
        <v>46234</v>
      </c>
      <c r="I32" s="62" t="s">
        <v>118</v>
      </c>
      <c r="J32" s="33" t="s">
        <v>53</v>
      </c>
      <c r="K32" s="4">
        <v>46213</v>
      </c>
      <c r="L32" s="36">
        <v>46248</v>
      </c>
      <c r="M32" s="37">
        <v>46248</v>
      </c>
      <c r="N32" s="47" t="s">
        <v>40</v>
      </c>
      <c r="O32" s="36" t="s">
        <v>119</v>
      </c>
      <c r="P32" s="66" t="s">
        <v>41</v>
      </c>
      <c r="Q32" s="4">
        <v>46220</v>
      </c>
      <c r="R32" s="36">
        <v>46251</v>
      </c>
      <c r="S32" s="36">
        <v>46253</v>
      </c>
      <c r="T32" s="70"/>
      <c r="U32" s="55" t="s">
        <v>42</v>
      </c>
      <c r="V32" s="60">
        <v>46227</v>
      </c>
      <c r="W32" s="36">
        <v>46251</v>
      </c>
      <c r="X32" s="36"/>
      <c r="Y32" s="36"/>
      <c r="Z32" s="53">
        <v>46232</v>
      </c>
      <c r="AA32" s="36">
        <v>46260</v>
      </c>
      <c r="AB32" s="33"/>
      <c r="AC32" s="38"/>
      <c r="AD32" s="36"/>
      <c r="AE32" s="39"/>
      <c r="AF32" s="33"/>
      <c r="AG32" s="40" t="s">
        <v>127</v>
      </c>
      <c r="AH32" s="74" t="str">
        <f>IF($B32="","",IF(AND(LEFT($AG32,3)="Yes",SUMPRODUCT(('Rework Log'!$A$3:$A$500=$B32)*('Rework Log'!$G$3:$G$500&lt;&gt;"Yes")*('Rework Log'!$G$3:$G$500&lt;&gt;"Did not pass re-test"))=0),"Blocked - log it on Rework Log",IF(AND(LEFT($AG32,3)&lt;&gt;"Yes",SUMPRODUCT(('Rework Log'!$A$3:$A$500=$B32)*('Rework Log'!$G$3:$G$500&lt;&gt;"Yes")*('Rework Log'!$G$3:$G$500&lt;&gt;"Did not pass re-test"))&gt;0),"Open rework row - mark Blocked? or close it",IF(AND($AG32="Yes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H)",IF(AND($AG32="Yes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H)",IF(AND($AG32="Yes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target",IF(AND(AD32&lt;&gt;"",Z32&lt;&gt;"",AD32&lt;Z32),"Confirmed Deployed date is before DPO Approval target",""))))))))))))</f>
        <v/>
      </c>
      <c r="AI32" s="41" t="s">
        <v>128</v>
      </c>
    </row>
    <row r="33" spans="1:35" ht="14.45">
      <c r="A33" s="33" t="s">
        <v>114</v>
      </c>
      <c r="B33" s="33" t="s">
        <v>129</v>
      </c>
      <c r="C33" s="33" t="s">
        <v>116</v>
      </c>
      <c r="D33" t="str">
        <f ca="1">IF($B33="","",IF(LEFT($AG33,3)="Yes","Blocked - "&amp;MID($AG33,7,100)&amp;IF(SUMPRODUCT(('Rework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Dev",IF(Q33="","No target set",IF(AND(Q33&lt;TODAY(),S33=""),"Overdue","On track")),IF(C33="QA",IF(V33="","No target set",IF(AND(V33&lt;TODAY(),X33=""),"Overdue","On track")),IF(C33="DPO Approval",IF(Z33="","No target set",IF(Z33&lt;TODAY(),"Overdue","On track")),IF(C33="RELEASED IN PROD","Delivered",""))))))))</f>
        <v>Overdue</v>
      </c>
      <c r="E33" s="33">
        <v>5</v>
      </c>
      <c r="F33" s="34" t="s">
        <v>117</v>
      </c>
      <c r="G33" s="33"/>
      <c r="H33" s="50">
        <v>46234</v>
      </c>
      <c r="I33" s="62" t="s">
        <v>118</v>
      </c>
      <c r="J33" s="33" t="s">
        <v>96</v>
      </c>
      <c r="K33" s="4">
        <v>46213</v>
      </c>
      <c r="L33" s="36">
        <v>46246</v>
      </c>
      <c r="M33" s="37">
        <v>46244</v>
      </c>
      <c r="N33" s="47" t="s">
        <v>40</v>
      </c>
      <c r="O33" s="36" t="s">
        <v>119</v>
      </c>
      <c r="P33" s="66" t="s">
        <v>71</v>
      </c>
      <c r="Q33" s="4">
        <v>46220</v>
      </c>
      <c r="R33" s="36">
        <v>46246</v>
      </c>
      <c r="S33" s="36">
        <v>46244</v>
      </c>
      <c r="T33" s="70"/>
      <c r="U33" s="55" t="s">
        <v>42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46260</v>
      </c>
      <c r="AB33" s="33"/>
      <c r="AC33" s="38"/>
      <c r="AD33" s="36"/>
      <c r="AE33" s="39"/>
      <c r="AF33" s="33"/>
      <c r="AG33" s="40" t="s">
        <v>47</v>
      </c>
      <c r="AH33" s="74"/>
      <c r="AI33" s="41" t="s">
        <v>130</v>
      </c>
    </row>
    <row r="34" spans="1:35" ht="14.45">
      <c r="A34" s="33" t="s">
        <v>114</v>
      </c>
      <c r="B34" s="33" t="s">
        <v>131</v>
      </c>
      <c r="C34" s="33" t="s">
        <v>126</v>
      </c>
      <c r="D34" t="str">
        <f ca="1">IF($B34="","",IF(LEFT($AG34,3)="Yes","Blocked - "&amp;MID($AG34,7,100)&amp;IF(SUMPRODUCT(('Rework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Dev",IF(Q34="","No target set",IF(AND(Q34&lt;TODAY(),S34=""),"Overdue","On track")),IF(C34="QA",IF(V34="","No target set",IF(AND(V34&lt;TODAY(),X34=""),"Overdue","On track")),IF(C34="DPO Approval",IF(Z34="","No target set",IF(Z34&lt;TODAY(),"Overdue","On track")),IF(C34="RELEASED IN PROD","Delivered",""))))))))</f>
        <v>On track</v>
      </c>
      <c r="E34" s="33">
        <v>6</v>
      </c>
      <c r="F34" s="34" t="s">
        <v>132</v>
      </c>
      <c r="G34" s="33"/>
      <c r="H34" s="50">
        <v>46234</v>
      </c>
      <c r="I34" s="62" t="s">
        <v>118</v>
      </c>
      <c r="J34" s="33" t="s">
        <v>78</v>
      </c>
      <c r="K34" s="4">
        <v>46213</v>
      </c>
      <c r="L34" s="36">
        <v>46246</v>
      </c>
      <c r="M34" s="36">
        <v>46246</v>
      </c>
      <c r="N34" s="36" t="s">
        <v>40</v>
      </c>
      <c r="O34" s="36" t="s">
        <v>119</v>
      </c>
      <c r="P34" s="66" t="s">
        <v>54</v>
      </c>
      <c r="Q34" s="4">
        <v>46220</v>
      </c>
      <c r="R34" s="36">
        <v>46246</v>
      </c>
      <c r="S34" s="36">
        <v>46251</v>
      </c>
      <c r="T34" s="70"/>
      <c r="U34" s="55" t="s">
        <v>132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46259</v>
      </c>
      <c r="AB34" s="33"/>
      <c r="AC34" s="38"/>
      <c r="AD34" s="36"/>
      <c r="AE34" s="39"/>
      <c r="AF34" s="33"/>
      <c r="AG34" s="40" t="s">
        <v>47</v>
      </c>
      <c r="AH34" s="74" t="str">
        <f>IF($B34="","",IF(AND(LEFT($AG34,3)="Yes",SUMPRODUCT(('Rework Log'!$A$3:$A$500=$B34)*('Rework Log'!$G$3:$G$500&lt;&gt;"Yes")*('Rework Log'!$G$3:$G$500&lt;&gt;"Did not pass re-test"))=0),"Blocked - log it on Rework Log",IF(AND(LEFT($AG34,3)&lt;&gt;"Yes",SUMPRODUCT(('Rework Log'!$A$3:$A$500=$B34)*('Rework Log'!$G$3:$G$500&lt;&gt;"Yes")*('Rework Log'!$G$3:$G$500&lt;&gt;"Did not pass re-test"))&gt;0),"Open rework row - mark Blocked? or close it",IF(AND($AG34="Yes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H)",IF(AND($AG34="Yes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H)",IF(AND($AG34="Yes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target",IF(AND(AD34&lt;&gt;"",Z34&lt;&gt;"",AD34&lt;Z34),"Confirmed Deployed date is before DPO Approval target",""))))))))))))</f>
        <v/>
      </c>
      <c r="AI34" s="41" t="s">
        <v>133</v>
      </c>
    </row>
    <row r="35" spans="1:35" ht="14.45">
      <c r="A35" s="33" t="s">
        <v>114</v>
      </c>
      <c r="B35" s="33" t="s">
        <v>134</v>
      </c>
      <c r="C35" s="33" t="s">
        <v>135</v>
      </c>
      <c r="D35" t="str">
        <f ca="1">IF($B35="","",IF(LEFT($AG35,3)="Yes","Blocked - "&amp;MID($AG35,7,100)&amp;IF(SUMPRODUCT(('Rework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Dev",IF(Q35="","No target set",IF(AND(Q35&lt;TODAY(),S35=""),"Overdue","On track")),IF(C35="QA",IF(V35="","No target set",IF(AND(V35&lt;TODAY(),X35=""),"Overdue","On track")),IF(C35="DPO Approval",IF(Z35="","No target set",IF(Z35&lt;TODAY(),"Overdue","On track")),IF(C35="RELEASED IN PROD","Delivered",""))))))))</f>
        <v>Blocked - needs PBI Dev to fix - unclaimed</v>
      </c>
      <c r="E35" s="33">
        <v>7</v>
      </c>
      <c r="F35" s="34" t="s">
        <v>132</v>
      </c>
      <c r="G35" s="33"/>
      <c r="H35" s="50">
        <v>46234</v>
      </c>
      <c r="I35" s="62" t="s">
        <v>118</v>
      </c>
      <c r="J35" s="33" t="s">
        <v>107</v>
      </c>
      <c r="K35" s="4">
        <v>46213</v>
      </c>
      <c r="L35" s="36">
        <v>46244</v>
      </c>
      <c r="M35" s="35">
        <v>46248</v>
      </c>
      <c r="N35" s="47" t="s">
        <v>40</v>
      </c>
      <c r="O35" s="36" t="s">
        <v>119</v>
      </c>
      <c r="P35" s="66" t="s">
        <v>41</v>
      </c>
      <c r="Q35" s="4">
        <v>46220</v>
      </c>
      <c r="R35" s="36">
        <v>46251</v>
      </c>
      <c r="S35" s="36">
        <v>46251</v>
      </c>
      <c r="T35" s="70"/>
      <c r="U35" s="55" t="s">
        <v>132</v>
      </c>
      <c r="V35" s="60">
        <v>46227</v>
      </c>
      <c r="W35" s="36">
        <v>46258</v>
      </c>
      <c r="X35" s="36"/>
      <c r="Y35" s="36"/>
      <c r="Z35" s="53">
        <v>46232</v>
      </c>
      <c r="AA35" s="36">
        <v>46259</v>
      </c>
      <c r="AB35" s="33"/>
      <c r="AC35" s="38"/>
      <c r="AD35" s="36"/>
      <c r="AE35" s="39"/>
      <c r="AF35" s="33"/>
      <c r="AG35" s="40" t="s">
        <v>136</v>
      </c>
      <c r="AH35" s="74" t="str">
        <f>IF($B35="","",IF(AND(LEFT($AG35,3)="Yes",SUMPRODUCT(('Rework Log'!$A$3:$A$500=$B35)*('Rework Log'!$G$3:$G$500&lt;&gt;"Yes")*('Rework Log'!$G$3:$G$500&lt;&gt;"Did not pass re-test"))=0),"Blocked - log it on Rework Log",IF(AND(LEFT($AG35,3)&lt;&gt;"Yes",SUMPRODUCT(('Rework Log'!$A$3:$A$500=$B35)*('Rework Log'!$G$3:$G$500&lt;&gt;"Yes")*('Rework Log'!$G$3:$G$500&lt;&gt;"Did not pass re-test"))&gt;0),"Open rework row - mark Blocked? or close it",IF(AND($AG35="Yes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H)",IF(AND($AG35="Yes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H)",IF(AND($AG35="Yes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target",IF(AND(AD35&lt;&gt;"",Z35&lt;&gt;"",AD35&lt;Z35),"Confirmed Deployed date is before DPO Approval target",""))))))))))))</f>
        <v/>
      </c>
      <c r="AI35" s="41" t="s">
        <v>137</v>
      </c>
    </row>
    <row r="36" spans="1:35" ht="14.45">
      <c r="A36" s="33" t="s">
        <v>114</v>
      </c>
      <c r="B36" s="33" t="s">
        <v>138</v>
      </c>
      <c r="C36" s="33" t="s">
        <v>139</v>
      </c>
      <c r="D36" t="str">
        <f ca="1">IF($B36="","",IF(LEFT($AG36,3)="Yes","Blocked - "&amp;MID($AG36,7,100)&amp;IF(SUMPRODUCT(('Rework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Dev",IF(Q36="","No target set",IF(AND(Q36&lt;TODAY(),S36=""),"Overdue","On track")),IF(C36="QA",IF(V36="","No target set",IF(AND(V36&lt;TODAY(),X36=""),"Overdue","On track")),IF(C36="DPO Approval",IF(Z36="","No target set",IF(Z36&lt;TODAY(),"Overdue","On track")),IF(C36="RELEASED IN PROD","Delivered",""))))))))</f>
        <v>Blocked - needs DB Dev to fix - unclaimed</v>
      </c>
      <c r="E36" s="33">
        <v>8</v>
      </c>
      <c r="F36" s="34" t="s">
        <v>132</v>
      </c>
      <c r="G36" s="33"/>
      <c r="H36" s="50">
        <v>46234</v>
      </c>
      <c r="I36" s="62" t="s">
        <v>118</v>
      </c>
      <c r="J36" s="33" t="s">
        <v>107</v>
      </c>
      <c r="K36" s="4">
        <v>46213</v>
      </c>
      <c r="L36" s="36">
        <v>46245</v>
      </c>
      <c r="M36" s="36">
        <v>46245</v>
      </c>
      <c r="N36" s="36" t="s">
        <v>40</v>
      </c>
      <c r="O36" s="36" t="s">
        <v>119</v>
      </c>
      <c r="P36" s="66" t="s">
        <v>71</v>
      </c>
      <c r="Q36" s="4">
        <v>46220</v>
      </c>
      <c r="R36" s="36">
        <v>46246</v>
      </c>
      <c r="S36" s="36">
        <v>46246</v>
      </c>
      <c r="T36" s="70"/>
      <c r="U36" s="55" t="s">
        <v>132</v>
      </c>
      <c r="V36" s="60">
        <v>46227</v>
      </c>
      <c r="W36" s="36"/>
      <c r="X36" s="36"/>
      <c r="Y36" s="36"/>
      <c r="Z36" s="53">
        <v>46232</v>
      </c>
      <c r="AA36" s="36">
        <v>46259</v>
      </c>
      <c r="AB36" s="33"/>
      <c r="AC36" s="38"/>
      <c r="AD36" s="36"/>
      <c r="AE36" s="39"/>
      <c r="AF36" s="33"/>
      <c r="AG36" s="40" t="s">
        <v>127</v>
      </c>
      <c r="AH36" s="74" t="str">
        <f>IF($B36="","",IF(AND(LEFT($AG36,3)="Yes",SUMPRODUCT(('Rework Log'!$A$3:$A$500=$B36)*('Rework Log'!$G$3:$G$500&lt;&gt;"Yes")*('Rework Log'!$G$3:$G$500&lt;&gt;"Did not pass re-test"))=0),"Blocked - log it on Rework Log",IF(AND(LEFT($AG36,3)&lt;&gt;"Yes",SUMPRODUCT(('Rework Log'!$A$3:$A$500=$B36)*('Rework Log'!$G$3:$G$500&lt;&gt;"Yes")*('Rework Log'!$G$3:$G$500&lt;&gt;"Did not pass re-test"))&gt;0),"Open rework row - mark Blocked? or close it",IF(AND($AG36="Yes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H)",IF(AND($AG36="Yes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H)",IF(AND($AG36="Yes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target",IF(AND(AD36&lt;&gt;"",Z36&lt;&gt;"",AD36&lt;Z36),"Confirmed Deployed date is before DPO Approval target",""))))))))))))</f>
        <v/>
      </c>
      <c r="AI36" s="41" t="s">
        <v>122</v>
      </c>
    </row>
    <row r="37" spans="1:35" ht="14.45">
      <c r="A37" s="33" t="s">
        <v>114</v>
      </c>
      <c r="B37" s="33" t="s">
        <v>140</v>
      </c>
      <c r="C37" s="33" t="s">
        <v>126</v>
      </c>
      <c r="D37" t="str">
        <f ca="1">IF($B37="","",IF(LEFT($AG37,3)="Yes","Blocked - "&amp;MID($AG37,7,100)&amp;IF(SUMPRODUCT(('Rework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Dev",IF(Q37="","No target set",IF(AND(Q37&lt;TODAY(),S37=""),"Overdue","On track")),IF(C37="QA",IF(V37="","No target set",IF(AND(V37&lt;TODAY(),X37=""),"Overdue","On track")),IF(C37="DPO Approval",IF(Z37="","No target set",IF(Z37&lt;TODAY(),"Overdue","On track")),IF(C37="RELEASED IN PROD","Delivered",""))))))))</f>
        <v>On track</v>
      </c>
      <c r="E37" s="33">
        <v>9</v>
      </c>
      <c r="F37" s="34" t="s">
        <v>132</v>
      </c>
      <c r="G37" s="33"/>
      <c r="H37" s="50">
        <v>46234</v>
      </c>
      <c r="I37" s="62" t="s">
        <v>118</v>
      </c>
      <c r="J37" s="33" t="s">
        <v>78</v>
      </c>
      <c r="K37" s="4">
        <v>46213</v>
      </c>
      <c r="L37" s="36">
        <v>46246</v>
      </c>
      <c r="M37" s="36">
        <v>46246</v>
      </c>
      <c r="N37" s="36" t="s">
        <v>40</v>
      </c>
      <c r="O37" s="36" t="s">
        <v>119</v>
      </c>
      <c r="P37" s="66" t="s">
        <v>54</v>
      </c>
      <c r="Q37" s="4">
        <v>46220</v>
      </c>
      <c r="R37" s="36">
        <v>46255</v>
      </c>
      <c r="S37" s="36">
        <v>46255</v>
      </c>
      <c r="T37" s="70"/>
      <c r="U37" s="55" t="s">
        <v>132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46259</v>
      </c>
      <c r="AB37" s="33"/>
      <c r="AC37" s="38"/>
      <c r="AD37" s="36"/>
      <c r="AE37" s="39"/>
      <c r="AF37" s="33"/>
      <c r="AG37" s="40" t="s">
        <v>47</v>
      </c>
      <c r="AH37" s="74" t="str">
        <f>IF($B37="","",IF(AND(LEFT($AG37,3)="Yes",SUMPRODUCT(('Rework Log'!$A$3:$A$500=$B37)*('Rework Log'!$G$3:$G$500&lt;&gt;"Yes")*('Rework Log'!$G$3:$G$500&lt;&gt;"Did not pass re-test"))=0),"Blocked - log it on Rework Log",IF(AND(LEFT($AG37,3)&lt;&gt;"Yes",SUMPRODUCT(('Rework Log'!$A$3:$A$500=$B37)*('Rework Log'!$G$3:$G$500&lt;&gt;"Yes")*('Rework Log'!$G$3:$G$500&lt;&gt;"Did not pass re-test"))&gt;0),"Open rework row - mark Blocked? or close it",IF(AND($AG37="Yes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H)",IF(AND($AG37="Yes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H)",IF(AND($AG37="Yes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target",IF(AND(AD37&lt;&gt;"",Z37&lt;&gt;"",AD37&lt;Z37),"Confirmed Deployed date is before DPO Approval target",""))))))))))))</f>
        <v/>
      </c>
      <c r="AI37" s="41" t="s">
        <v>141</v>
      </c>
    </row>
    <row r="38" spans="1:35" ht="14.45">
      <c r="A38" s="33" t="s">
        <v>114</v>
      </c>
      <c r="B38" s="33" t="s">
        <v>142</v>
      </c>
      <c r="C38" s="33" t="s">
        <v>126</v>
      </c>
      <c r="D38" t="str">
        <f ca="1">IF($B38="","",IF(LEFT($AG38,3)="Yes","Blocked - "&amp;MID($AG38,7,100)&amp;IF(SUMPRODUCT(('Rework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Dev",IF(Q38="","No target set",IF(AND(Q38&lt;TODAY(),S38=""),"Overdue","On track")),IF(C38="QA",IF(V38="","No target set",IF(AND(V38&lt;TODAY(),X38=""),"Overdue","On track")),IF(C38="DPO Approval",IF(Z38="","No target set",IF(Z38&lt;TODAY(),"Overdue","On track")),IF(C38="RELEASED IN PROD","Delivered",""))))))))</f>
        <v>On track</v>
      </c>
      <c r="E38" s="33" t="s">
        <v>143</v>
      </c>
      <c r="F38" s="34" t="s">
        <v>132</v>
      </c>
      <c r="G38" s="33"/>
      <c r="H38" s="50">
        <v>46234</v>
      </c>
      <c r="I38" s="62" t="s">
        <v>118</v>
      </c>
      <c r="J38" s="33" t="s">
        <v>144</v>
      </c>
      <c r="K38" s="4">
        <v>46213</v>
      </c>
      <c r="L38" s="36">
        <v>46246</v>
      </c>
      <c r="M38" s="35">
        <v>46245</v>
      </c>
      <c r="N38" s="47" t="s">
        <v>40</v>
      </c>
      <c r="O38" s="36" t="s">
        <v>119</v>
      </c>
      <c r="P38" s="66" t="s">
        <v>54</v>
      </c>
      <c r="Q38" s="4">
        <v>46220</v>
      </c>
      <c r="R38" s="36">
        <v>46254</v>
      </c>
      <c r="S38" s="36">
        <v>46254</v>
      </c>
      <c r="T38" s="70"/>
      <c r="U38" s="55" t="s">
        <v>132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46259</v>
      </c>
      <c r="AB38" s="33"/>
      <c r="AC38" s="38"/>
      <c r="AD38" s="36"/>
      <c r="AE38" s="39"/>
      <c r="AF38" s="33"/>
      <c r="AG38" s="40" t="s">
        <v>47</v>
      </c>
      <c r="AH38" s="74" t="str">
        <f>IF($B38="","",IF(AND(LEFT($AG38,3)="Yes",SUMPRODUCT(('Rework Log'!$A$3:$A$500=$B38)*('Rework Log'!$G$3:$G$500&lt;&gt;"Yes")*('Rework Log'!$G$3:$G$500&lt;&gt;"Did not pass re-test"))=0),"Blocked - log it on Rework Log",IF(AND(LEFT($AG38,3)&lt;&gt;"Yes",SUMPRODUCT(('Rework Log'!$A$3:$A$500=$B38)*('Rework Log'!$G$3:$G$500&lt;&gt;"Yes")*('Rework Log'!$G$3:$G$500&lt;&gt;"Did not pass re-test"))&gt;0),"Open rework row - mark Blocked? or close it",IF(AND($AG38="Yes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H)",IF(AND($AG38="Yes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H)",IF(AND($AG38="Yes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target",IF(AND(AD38&lt;&gt;"",Z38&lt;&gt;"",AD38&lt;Z38),"Confirmed Deployed date is before DPO Approval target",""))))))))))))</f>
        <v/>
      </c>
      <c r="AI38" s="41" t="s">
        <v>145</v>
      </c>
    </row>
    <row r="39" spans="1:35" ht="14.45">
      <c r="A39" s="33" t="s">
        <v>114</v>
      </c>
      <c r="B39" s="33" t="s">
        <v>146</v>
      </c>
      <c r="C39" s="33" t="s">
        <v>135</v>
      </c>
      <c r="D39" t="str">
        <f ca="1">IF($B39="","",IF(LEFT($AG39,3)="Yes","Blocked - "&amp;MID($AG39,7,100)&amp;IF(SUMPRODUCT(('Rework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Dev",IF(Q39="","No target set",IF(AND(Q39&lt;TODAY(),S39=""),"Overdue","On track")),IF(C39="QA",IF(V39="","No target set",IF(AND(V39&lt;TODAY(),X39=""),"Overdue","On track")),IF(C39="DPO Approval",IF(Z39="","No target set",IF(Z39&lt;TODAY(),"Overdue","On track")),IF(C39="RELEASED IN PROD","Delivered",""))))))))</f>
        <v>Blocked - needs PBI Dev to fix - unclaimed</v>
      </c>
      <c r="E39" s="33">
        <v>11</v>
      </c>
      <c r="F39" s="34" t="s">
        <v>132</v>
      </c>
      <c r="G39" s="33"/>
      <c r="H39" s="50">
        <v>46234</v>
      </c>
      <c r="I39" s="62" t="s">
        <v>118</v>
      </c>
      <c r="J39" s="33" t="s">
        <v>144</v>
      </c>
      <c r="K39" s="4">
        <v>46213</v>
      </c>
      <c r="L39" s="36">
        <v>46246</v>
      </c>
      <c r="M39" s="36">
        <v>46245</v>
      </c>
      <c r="N39" s="36" t="s">
        <v>40</v>
      </c>
      <c r="O39" s="36" t="s">
        <v>119</v>
      </c>
      <c r="P39" s="66" t="s">
        <v>71</v>
      </c>
      <c r="Q39" s="4">
        <v>46220</v>
      </c>
      <c r="R39" s="36">
        <v>46247</v>
      </c>
      <c r="S39" s="36">
        <v>46247</v>
      </c>
      <c r="T39" s="70"/>
      <c r="U39" s="55" t="s">
        <v>42</v>
      </c>
      <c r="V39" s="60">
        <v>46227</v>
      </c>
      <c r="W39" s="36">
        <v>46247</v>
      </c>
      <c r="X39" s="36">
        <v>46247</v>
      </c>
      <c r="Y39" s="36"/>
      <c r="Z39" s="53">
        <v>46232</v>
      </c>
      <c r="AA39" s="36">
        <v>46259</v>
      </c>
      <c r="AB39" s="33"/>
      <c r="AC39" s="38"/>
      <c r="AD39" s="36"/>
      <c r="AE39" s="39"/>
      <c r="AF39" s="33"/>
      <c r="AG39" s="40" t="s">
        <v>136</v>
      </c>
      <c r="AH39" s="74" t="str">
        <f>IF($B39="","",IF(AND(LEFT($AG39,3)="Yes",SUMPRODUCT(('Rework Log'!$A$3:$A$500=$B39)*('Rework Log'!$G$3:$G$500&lt;&gt;"Yes")*('Rework Log'!$G$3:$G$500&lt;&gt;"Did not pass re-test"))=0),"Blocked - log it on Rework Log",IF(AND(LEFT($AG39,3)&lt;&gt;"Yes",SUMPRODUCT(('Rework Log'!$A$3:$A$500=$B39)*('Rework Log'!$G$3:$G$500&lt;&gt;"Yes")*('Rework Log'!$G$3:$G$500&lt;&gt;"Did not pass re-test"))&gt;0),"Open rework row - mark Blocked? or close it",IF(AND($AG39="Yes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H)",IF(AND($AG39="Yes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H)",IF(AND($AG39="Yes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target",IF(AND(AD39&lt;&gt;"",Z39&lt;&gt;"",AD39&lt;Z39),"Confirmed Deployed date is before DPO Approval target",""))))))))))))</f>
        <v/>
      </c>
      <c r="AI39" s="41" t="s">
        <v>147</v>
      </c>
    </row>
    <row r="40" spans="1:35" ht="14.45">
      <c r="A40" s="33" t="s">
        <v>114</v>
      </c>
      <c r="B40" s="33" t="s">
        <v>148</v>
      </c>
      <c r="C40" s="33" t="s">
        <v>116</v>
      </c>
      <c r="D40" s="3" t="s">
        <v>149</v>
      </c>
      <c r="E40" s="33">
        <v>13</v>
      </c>
      <c r="F40" s="34" t="s">
        <v>117</v>
      </c>
      <c r="G40" s="33"/>
      <c r="H40" s="50">
        <v>46234</v>
      </c>
      <c r="I40" s="62" t="s">
        <v>118</v>
      </c>
      <c r="J40" s="33" t="s">
        <v>70</v>
      </c>
      <c r="K40" s="4">
        <v>46213</v>
      </c>
      <c r="L40" s="36">
        <v>46251</v>
      </c>
      <c r="M40" s="37"/>
      <c r="N40" s="47" t="s">
        <v>40</v>
      </c>
      <c r="O40" s="36" t="s">
        <v>119</v>
      </c>
      <c r="P40" s="66" t="s">
        <v>71</v>
      </c>
      <c r="Q40" s="4">
        <v>46220</v>
      </c>
      <c r="R40" s="36">
        <v>46251</v>
      </c>
      <c r="S40" s="36">
        <v>46255</v>
      </c>
      <c r="T40" s="70"/>
      <c r="U40" s="55" t="s">
        <v>42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3"/>
      <c r="AC40" s="38"/>
      <c r="AD40" s="36"/>
      <c r="AE40" s="39"/>
      <c r="AF40" s="33"/>
      <c r="AG40" s="40" t="s">
        <v>47</v>
      </c>
      <c r="AH40" s="74" t="str">
        <f>IF($B40="","",IF(AND(LEFT($AG40,3)="Yes",SUMPRODUCT(('Rework Log'!$A$3:$A$500=$B40)*('Rework Log'!$G$3:$G$500&lt;&gt;"Yes")*('Rework Log'!$G$3:$G$500&lt;&gt;"Did not pass re-test"))=0),"Blocked - log it on Rework Log",IF(AND(LEFT($AG40,3)&lt;&gt;"Yes",SUMPRODUCT(('Rework Log'!$A$3:$A$500=$B40)*('Rework Log'!$G$3:$G$500&lt;&gt;"Yes")*('Rework Log'!$G$3:$G$500&lt;&gt;"Did not pass re-test"))&gt;0),"Open rework row - mark Blocked? or close it",IF(AND($AG40="Yes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H)",IF(AND($AG40="Yes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H)",IF(AND($AG40="Yes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target",IF(AND(AD40&lt;&gt;"",Z40&lt;&gt;"",AD40&lt;Z40),"Confirmed Deployed date is before DPO Approval target",""))))))))))))</f>
        <v/>
      </c>
      <c r="AI40" s="41" t="s">
        <v>150</v>
      </c>
    </row>
    <row r="41" spans="1:35" ht="14.45">
      <c r="A41" s="33" t="s">
        <v>114</v>
      </c>
      <c r="B41" s="33" t="s">
        <v>151</v>
      </c>
      <c r="C41" s="33" t="s">
        <v>116</v>
      </c>
      <c r="D41" t="str">
        <f ca="1">IF($B41="","",IF(LEFT($AG41,3)="Yes","Blocked - "&amp;MID($AG41,7,100)&amp;IF(SUMPRODUCT(('Rework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Dev",IF(Q41="","No target set",IF(AND(Q41&lt;TODAY(),S41=""),"Overdue","On track")),IF(C41="QA",IF(V41="","No target set",IF(AND(V41&lt;TODAY(),X41=""),"Overdue","On track")),IF(C41="DPO Approval",IF(Z41="","No target set",IF(Z41&lt;TODAY(),"Overdue","On track")),IF(C41="RELEASED IN PROD","Delivered",""))))))))</f>
        <v>Overdue</v>
      </c>
      <c r="E41" s="33">
        <v>14</v>
      </c>
      <c r="F41" s="34" t="s">
        <v>117</v>
      </c>
      <c r="G41" s="33"/>
      <c r="H41" s="50">
        <v>46234</v>
      </c>
      <c r="I41" s="62" t="s">
        <v>118</v>
      </c>
      <c r="J41" s="33" t="s">
        <v>53</v>
      </c>
      <c r="K41" s="4">
        <v>46213</v>
      </c>
      <c r="L41" s="35">
        <v>46248</v>
      </c>
      <c r="M41" s="37">
        <v>46248</v>
      </c>
      <c r="N41" s="47" t="s">
        <v>40</v>
      </c>
      <c r="O41" s="36" t="s">
        <v>119</v>
      </c>
      <c r="P41" s="66" t="s">
        <v>54</v>
      </c>
      <c r="Q41" s="4">
        <v>46220</v>
      </c>
      <c r="R41" s="36">
        <v>46251</v>
      </c>
      <c r="S41" s="36">
        <v>46251</v>
      </c>
      <c r="T41" s="70"/>
      <c r="U41" s="55" t="s">
        <v>42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3"/>
      <c r="AC41" s="38"/>
      <c r="AD41" s="36"/>
      <c r="AE41" s="39"/>
      <c r="AF41" s="33"/>
      <c r="AG41" s="40" t="s">
        <v>47</v>
      </c>
      <c r="AH41" s="74" t="str">
        <f>IF($B41="","",IF(AND(LEFT($AG41,3)="Yes",SUMPRODUCT(('Rework Log'!$A$3:$A$500=$B41)*('Rework Log'!$G$3:$G$500&lt;&gt;"Yes")*('Rework Log'!$G$3:$G$500&lt;&gt;"Did not pass re-test"))=0),"Blocked - log it on Rework Log",IF(AND(LEFT($AG41,3)&lt;&gt;"Yes",SUMPRODUCT(('Rework Log'!$A$3:$A$500=$B41)*('Rework Log'!$G$3:$G$500&lt;&gt;"Yes")*('Rework Log'!$G$3:$G$500&lt;&gt;"Did not pass re-test"))&gt;0),"Open rework row - mark Blocked? or close it",IF(AND($AG41="Yes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H)",IF(AND($AG41="Yes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H)",IF(AND($AG41="Yes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target",IF(AND(AD41&lt;&gt;"",Z41&lt;&gt;"",AD41&lt;Z41),"Confirmed Deployed date is before DPO Approval target",""))))))))))))</f>
        <v/>
      </c>
      <c r="AI41" s="41" t="s">
        <v>152</v>
      </c>
    </row>
    <row r="42" spans="1:35" ht="14.45">
      <c r="A42" s="33" t="s">
        <v>114</v>
      </c>
      <c r="B42" s="33" t="s">
        <v>153</v>
      </c>
      <c r="C42" s="33" t="s">
        <v>126</v>
      </c>
      <c r="D42" t="str">
        <f ca="1">IF($B42="","",IF(LEFT($AG42,3)="Yes","Blocked - "&amp;MID($AG42,7,100)&amp;IF(SUMPRODUCT(('Rework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Dev",IF(Q42="","No target set",IF(AND(Q42&lt;TODAY(),S42=""),"Overdue","On track")),IF(C42="QA",IF(V42="","No target set",IF(AND(V42&lt;TODAY(),X42=""),"Overdue","On track")),IF(C42="DPO Approval",IF(Z42="","No target set",IF(Z42&lt;TODAY(),"Overdue","On track")),IF(C42="RELEASED IN PROD","Delivered",""))))))))</f>
        <v>Blocked - needs DB Dev to fix</v>
      </c>
      <c r="E42" s="33">
        <v>15</v>
      </c>
      <c r="F42" s="34" t="s">
        <v>132</v>
      </c>
      <c r="G42" s="33"/>
      <c r="H42" s="50">
        <v>46234</v>
      </c>
      <c r="I42" s="62" t="s">
        <v>118</v>
      </c>
      <c r="J42" s="33" t="s">
        <v>70</v>
      </c>
      <c r="K42" s="4">
        <v>46213</v>
      </c>
      <c r="L42" s="36">
        <v>46245</v>
      </c>
      <c r="M42" s="36">
        <v>46245</v>
      </c>
      <c r="N42" s="36" t="s">
        <v>40</v>
      </c>
      <c r="O42" s="36" t="s">
        <v>154</v>
      </c>
      <c r="P42" s="66" t="s">
        <v>41</v>
      </c>
      <c r="Q42" s="4">
        <v>46220</v>
      </c>
      <c r="R42" s="36">
        <v>46248</v>
      </c>
      <c r="S42" s="36">
        <v>46248</v>
      </c>
      <c r="T42" s="70"/>
      <c r="U42" s="55" t="s">
        <v>42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3"/>
      <c r="AC42" s="38"/>
      <c r="AD42" s="36"/>
      <c r="AE42" s="39"/>
      <c r="AF42" s="33"/>
      <c r="AG42" s="40" t="s">
        <v>127</v>
      </c>
      <c r="AH42" s="48"/>
      <c r="AI42" s="41"/>
    </row>
    <row r="43" spans="1:35" ht="14.45">
      <c r="A43" s="33" t="s">
        <v>114</v>
      </c>
      <c r="B43" s="33" t="s">
        <v>155</v>
      </c>
      <c r="C43" s="33" t="s">
        <v>135</v>
      </c>
      <c r="D43" t="str">
        <f ca="1">IF($B43="","",IF(LEFT($AG43,3)="Yes","Blocked - "&amp;MID($AG43,7,100)&amp;IF(SUMPRODUCT(('Rework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Dev",IF(Q43="","No target set",IF(AND(Q43&lt;TODAY(),S43=""),"Overdue","On track")),IF(C43="QA",IF(V43="","No target set",IF(AND(V43&lt;TODAY(),X43=""),"Overdue","On track")),IF(C43="DPO Approval",IF(Z43="","No target set",IF(Z43&lt;TODAY(),"Overdue","On track")),IF(C43="RELEASED IN PROD","Delivered",""))))))))</f>
        <v>Blocked - needs DB Dev to fix</v>
      </c>
      <c r="E43" s="33" t="s">
        <v>156</v>
      </c>
      <c r="F43" s="34" t="s">
        <v>132</v>
      </c>
      <c r="G43" s="33"/>
      <c r="H43" s="50">
        <v>46265</v>
      </c>
      <c r="I43" s="62" t="s">
        <v>157</v>
      </c>
      <c r="J43" s="33" t="s">
        <v>96</v>
      </c>
      <c r="K43" s="4">
        <v>46234</v>
      </c>
      <c r="L43" s="36">
        <v>46251</v>
      </c>
      <c r="M43" s="36">
        <v>46252</v>
      </c>
      <c r="N43" s="36" t="s">
        <v>40</v>
      </c>
      <c r="O43" s="36" t="s">
        <v>158</v>
      </c>
      <c r="P43" s="66" t="s">
        <v>54</v>
      </c>
      <c r="Q43" s="4">
        <v>46241</v>
      </c>
      <c r="R43" s="36">
        <v>46259</v>
      </c>
      <c r="S43" s="36"/>
      <c r="T43" s="70"/>
      <c r="U43" s="55" t="s">
        <v>42</v>
      </c>
      <c r="V43" s="60">
        <v>46255</v>
      </c>
      <c r="W43" s="36"/>
      <c r="X43" s="36"/>
      <c r="Y43" s="36"/>
      <c r="Z43" s="53">
        <v>46260</v>
      </c>
      <c r="AA43" s="36"/>
      <c r="AB43" s="33"/>
      <c r="AC43" s="38"/>
      <c r="AD43" s="36"/>
      <c r="AE43" s="39"/>
      <c r="AF43" s="33"/>
      <c r="AG43" s="40" t="s">
        <v>127</v>
      </c>
      <c r="AH43" s="74" t="str">
        <f>IF($B43="","",IF(AND(LEFT($AG43,3)="Yes",SUMPRODUCT(('Rework Log'!$A$3:$A$500=$B43)*('Rework Log'!$G$3:$G$500&lt;&gt;"Yes")*('Rework Log'!$G$3:$G$500&lt;&gt;"Did not pass re-test"))=0),"Blocked - log it on Rework Log",IF(AND(LEFT($AG43,3)&lt;&gt;"Yes",SUMPRODUCT(('Rework Log'!$A$3:$A$500=$B43)*('Rework Log'!$G$3:$G$500&lt;&gt;"Yes")*('Rework Log'!$G$3:$G$500&lt;&gt;"Did not pass re-test"))&gt;0),"Open rework row - mark Blocked? or close it",IF(AND($AG43="Yes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H)",IF(AND($AG43="Yes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H)",IF(AND($AG43="Yes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target",IF(AND(AD43&lt;&gt;"",Z43&lt;&gt;"",AD43&lt;Z43),"Confirmed Deployed date is before DPO Approval target",""))))))))))))</f>
        <v>Blocked - log it on Rework Log</v>
      </c>
      <c r="AI43" s="41" t="s">
        <v>159</v>
      </c>
    </row>
    <row r="44" spans="1:35" ht="14.45">
      <c r="A44" s="33" t="s">
        <v>114</v>
      </c>
      <c r="B44" s="33" t="s">
        <v>160</v>
      </c>
      <c r="C44" s="33" t="s">
        <v>126</v>
      </c>
      <c r="D44" t="str">
        <f ca="1">IF($B44="","",IF(LEFT($AG44,3)="Yes","Blocked - "&amp;MID($AG44,7,100)&amp;IF(SUMPRODUCT(('Rework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Dev",IF(Q44="","No target set",IF(AND(Q44&lt;TODAY(),S44=""),"Overdue","On track")),IF(C44="QA",IF(V44="","No target set",IF(AND(V44&lt;TODAY(),X44=""),"Overdue","On track")),IF(C44="DPO Approval",IF(Z44="","No target set",IF(Z44&lt;TODAY(),"Overdue","On track")),IF(C44="RELEASED IN PROD","Delivered",""))))))))</f>
        <v>Overdue</v>
      </c>
      <c r="E44" s="33">
        <v>18</v>
      </c>
      <c r="F44" s="34" t="s">
        <v>132</v>
      </c>
      <c r="G44" s="33"/>
      <c r="H44" s="50">
        <v>46265</v>
      </c>
      <c r="I44" s="62" t="s">
        <v>157</v>
      </c>
      <c r="J44" s="33" t="s">
        <v>53</v>
      </c>
      <c r="K44" s="4">
        <v>46234</v>
      </c>
      <c r="L44" s="36">
        <v>46255</v>
      </c>
      <c r="M44" s="36"/>
      <c r="N44" s="36" t="s">
        <v>40</v>
      </c>
      <c r="O44" s="36" t="s">
        <v>158</v>
      </c>
      <c r="P44" s="66" t="s">
        <v>41</v>
      </c>
      <c r="Q44" s="4">
        <v>46241</v>
      </c>
      <c r="R44" s="36">
        <v>46258</v>
      </c>
      <c r="S44" s="36">
        <v>46258</v>
      </c>
      <c r="T44" s="70"/>
      <c r="U44" s="55" t="s">
        <v>132</v>
      </c>
      <c r="V44" s="60">
        <v>46255</v>
      </c>
      <c r="W44" s="36"/>
      <c r="X44" s="36"/>
      <c r="Y44" s="36"/>
      <c r="Z44" s="53">
        <v>46260</v>
      </c>
      <c r="AA44" s="36"/>
      <c r="AB44" s="33"/>
      <c r="AC44" s="38"/>
      <c r="AD44" s="36"/>
      <c r="AE44" s="39"/>
      <c r="AF44" s="33"/>
      <c r="AG44" s="40" t="s">
        <v>47</v>
      </c>
      <c r="AH44" s="74" t="str">
        <f>IF($B44="","",IF(AND(LEFT($AG44,3)="Yes",SUMPRODUCT(('Rework Log'!$A$3:$A$500=$B44)*('Rework Log'!$G$3:$G$500&lt;&gt;"Yes")*('Rework Log'!$G$3:$G$500&lt;&gt;"Did not pass re-test"))=0),"Blocked - log it on Rework Log",IF(AND(LEFT($AG44,3)&lt;&gt;"Yes",SUMPRODUCT(('Rework Log'!$A$3:$A$500=$B44)*('Rework Log'!$G$3:$G$500&lt;&gt;"Yes")*('Rework Log'!$G$3:$G$500&lt;&gt;"Did not pass re-test"))&gt;0),"Open rework row - mark Blocked? or close it",IF(AND($AG44="Yes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H)",IF(AND($AG44="Yes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H)",IF(AND($AG44="Yes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target",IF(AND(AD44&lt;&gt;"",Z44&lt;&gt;"",AD44&lt;Z44),"Confirmed Deployed date is before DPO Approval target",""))))))))))))</f>
        <v/>
      </c>
      <c r="AI44" s="41" t="s">
        <v>161</v>
      </c>
    </row>
    <row r="45" spans="1:35" ht="14.45">
      <c r="A45" s="33" t="s">
        <v>114</v>
      </c>
      <c r="B45" s="33" t="s">
        <v>162</v>
      </c>
      <c r="C45" s="33" t="s">
        <v>126</v>
      </c>
      <c r="D45" t="str">
        <f ca="1">IF($B45="","",IF(LEFT($AG45,3)="Yes","Blocked - "&amp;MID($AG45,7,100)&amp;IF(SUMPRODUCT(('Rework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Dev",IF(Q45="","No target set",IF(AND(Q45&lt;TODAY(),S45=""),"Overdue","On track")),IF(C45="QA",IF(V45="","No target set",IF(AND(V45&lt;TODAY(),X45=""),"Overdue","On track")),IF(C45="DPO Approval",IF(Z45="","No target set",IF(Z45&lt;TODAY(),"Overdue","On track")),IF(C45="RELEASED IN PROD","Delivered",""))))))))</f>
        <v>Overdue</v>
      </c>
      <c r="E45" s="33">
        <v>19</v>
      </c>
      <c r="F45" s="34" t="s">
        <v>117</v>
      </c>
      <c r="G45" s="33"/>
      <c r="H45" s="50">
        <v>46265</v>
      </c>
      <c r="I45" s="62" t="s">
        <v>157</v>
      </c>
      <c r="J45" s="33" t="s">
        <v>39</v>
      </c>
      <c r="K45" s="4">
        <v>46234</v>
      </c>
      <c r="L45" s="36">
        <v>46249</v>
      </c>
      <c r="M45" s="36">
        <v>46244</v>
      </c>
      <c r="N45" s="36"/>
      <c r="O45" s="36" t="s">
        <v>158</v>
      </c>
      <c r="P45" s="66" t="s">
        <v>71</v>
      </c>
      <c r="Q45" s="4">
        <v>46241</v>
      </c>
      <c r="R45" s="36">
        <v>46252</v>
      </c>
      <c r="S45" s="36">
        <v>46251</v>
      </c>
      <c r="T45" s="70"/>
      <c r="U45" s="55" t="s">
        <v>117</v>
      </c>
      <c r="V45" s="60">
        <v>46255</v>
      </c>
      <c r="W45" s="36"/>
      <c r="X45" s="36"/>
      <c r="Y45" s="36"/>
      <c r="Z45" s="53">
        <v>46260</v>
      </c>
      <c r="AA45" s="36"/>
      <c r="AB45" s="33"/>
      <c r="AC45" s="38"/>
      <c r="AD45" s="36"/>
      <c r="AE45" s="39"/>
      <c r="AF45" s="33"/>
      <c r="AG45" s="40" t="s">
        <v>47</v>
      </c>
      <c r="AH45" s="74" t="str">
        <f>IF($B45="","",IF(AND(LEFT($AG45,3)="Yes",SUMPRODUCT(('Rework Log'!$A$3:$A$500=$B45)*('Rework Log'!$G$3:$G$500&lt;&gt;"Yes")*('Rework Log'!$G$3:$G$500&lt;&gt;"Did not pass re-test"))=0),"Blocked - log it on Rework Log",IF(AND(LEFT($AG45,3)&lt;&gt;"Yes",SUMPRODUCT(('Rework Log'!$A$3:$A$500=$B45)*('Rework Log'!$G$3:$G$500&lt;&gt;"Yes")*('Rework Log'!$G$3:$G$500&lt;&gt;"Did not pass re-test"))&gt;0),"Open rework row - mark Blocked? or close it",IF(AND($AG45="Yes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H)",IF(AND($AG45="Yes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H)",IF(AND($AG45="Yes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target",IF(AND(AD45&lt;&gt;"",Z45&lt;&gt;"",AD45&lt;Z45),"Confirmed Deployed date is before DPO Approval target",""))))))))))))</f>
        <v/>
      </c>
      <c r="AI45" s="41"/>
    </row>
    <row r="46" spans="1:35" ht="14.45">
      <c r="A46" s="33" t="s">
        <v>114</v>
      </c>
      <c r="B46" s="33" t="s">
        <v>163</v>
      </c>
      <c r="C46" s="33" t="s">
        <v>135</v>
      </c>
      <c r="D46" t="str">
        <f ca="1">IF($B46="","",IF(LEFT($AG46,3)="Yes","Blocked - "&amp;MID($AG46,7,100)&amp;IF(SUMPRODUCT(('Rework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Dev",IF(Q46="","No target set",IF(AND(Q46&lt;TODAY(),S46=""),"Overdue","On track")),IF(C46="QA",IF(V46="","No target set",IF(AND(V46&lt;TODAY(),X46=""),"Overdue","On track")),IF(C46="DPO Approval",IF(Z46="","No target set",IF(Z46&lt;TODAY(),"Overdue","On track")),IF(C46="RELEASED IN PROD","Delivered",""))))))))</f>
        <v>Overdue</v>
      </c>
      <c r="E46" s="33">
        <v>20</v>
      </c>
      <c r="F46" s="34" t="s">
        <v>117</v>
      </c>
      <c r="G46" s="33"/>
      <c r="H46" s="50">
        <v>46265</v>
      </c>
      <c r="I46" s="62" t="s">
        <v>157</v>
      </c>
      <c r="J46" s="33" t="s">
        <v>78</v>
      </c>
      <c r="K46" s="4">
        <v>46234</v>
      </c>
      <c r="L46" s="36">
        <v>46213</v>
      </c>
      <c r="M46" s="36">
        <v>46244</v>
      </c>
      <c r="N46" s="36"/>
      <c r="O46" s="36" t="s">
        <v>164</v>
      </c>
      <c r="P46" s="66" t="s">
        <v>54</v>
      </c>
      <c r="Q46" s="4">
        <v>46241</v>
      </c>
      <c r="R46" s="36">
        <v>46259</v>
      </c>
      <c r="S46" s="36"/>
      <c r="T46" s="70"/>
      <c r="U46" s="55" t="s">
        <v>117</v>
      </c>
      <c r="V46" s="60">
        <v>46255</v>
      </c>
      <c r="W46" s="36"/>
      <c r="X46" s="36"/>
      <c r="Y46" s="36"/>
      <c r="Z46" s="53">
        <v>46260</v>
      </c>
      <c r="AA46" s="36"/>
      <c r="AB46" s="33"/>
      <c r="AC46" s="38"/>
      <c r="AD46" s="36"/>
      <c r="AE46" s="39"/>
      <c r="AF46" s="33"/>
      <c r="AG46" s="40" t="s">
        <v>47</v>
      </c>
      <c r="AH46" s="74" t="str">
        <f>IF($B46="","",IF(AND(LEFT($AG46,3)="Yes",SUMPRODUCT(('Rework Log'!$A$3:$A$500=$B46)*('Rework Log'!$G$3:$G$500&lt;&gt;"Yes")*('Rework Log'!$G$3:$G$500&lt;&gt;"Did not pass re-test"))=0),"Blocked - log it on Rework Log",IF(AND(LEFT($AG46,3)&lt;&gt;"Yes",SUMPRODUCT(('Rework Log'!$A$3:$A$500=$B46)*('Rework Log'!$G$3:$G$500&lt;&gt;"Yes")*('Rework Log'!$G$3:$G$500&lt;&gt;"Did not pass re-test"))&gt;0),"Open rework row - mark Blocked? or close it",IF(AND($AG46="Yes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H)",IF(AND($AG46="Yes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H)",IF(AND($AG46="Yes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target",IF(AND(AD46&lt;&gt;"",Z46&lt;&gt;"",AD46&lt;Z46),"Confirmed Deployed date is before DPO Approval target",""))))))))))))</f>
        <v/>
      </c>
      <c r="AI46" s="41"/>
    </row>
    <row r="47" spans="1:35" ht="14.45">
      <c r="A47" s="33" t="s">
        <v>114</v>
      </c>
      <c r="B47" s="33" t="s">
        <v>165</v>
      </c>
      <c r="C47" s="33" t="s">
        <v>135</v>
      </c>
      <c r="D47" t="str">
        <f ca="1">IF($B47="","",IF(LEFT($AG47,3)="Yes","Blocked - "&amp;MID($AG47,7,100)&amp;IF(SUMPRODUCT(('Rework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Dev",IF(Q47="","No target set",IF(AND(Q47&lt;TODAY(),S47=""),"Overdue","On track")),IF(C47="QA",IF(V47="","No target set",IF(AND(V47&lt;TODAY(),X47=""),"Overdue","On track")),IF(C47="DPO Approval",IF(Z47="","No target set",IF(Z47&lt;TODAY(),"Overdue","On track")),IF(C47="RELEASED IN PROD","Delivered",""))))))))</f>
        <v>Overdue</v>
      </c>
      <c r="E47" s="33">
        <v>21</v>
      </c>
      <c r="F47" s="34" t="s">
        <v>117</v>
      </c>
      <c r="G47" s="33"/>
      <c r="H47" s="50">
        <v>46265</v>
      </c>
      <c r="I47" s="62" t="s">
        <v>157</v>
      </c>
      <c r="J47" s="33" t="s">
        <v>144</v>
      </c>
      <c r="K47" s="4">
        <v>46234</v>
      </c>
      <c r="L47" s="36">
        <v>46246</v>
      </c>
      <c r="M47" s="36">
        <v>46246</v>
      </c>
      <c r="N47" s="36"/>
      <c r="O47" s="36" t="s">
        <v>166</v>
      </c>
      <c r="P47" s="66" t="s">
        <v>71</v>
      </c>
      <c r="Q47" s="4">
        <v>46241</v>
      </c>
      <c r="R47" s="36"/>
      <c r="S47" s="36"/>
      <c r="T47" s="70"/>
      <c r="U47" s="55" t="s">
        <v>117</v>
      </c>
      <c r="V47" s="60">
        <v>46255</v>
      </c>
      <c r="W47" s="36"/>
      <c r="X47" s="36"/>
      <c r="Y47" s="36"/>
      <c r="Z47" s="53">
        <v>46260</v>
      </c>
      <c r="AA47" s="36"/>
      <c r="AB47" s="33"/>
      <c r="AC47" s="38"/>
      <c r="AD47" s="36"/>
      <c r="AE47" s="39"/>
      <c r="AF47" s="33"/>
      <c r="AG47" s="40" t="s">
        <v>47</v>
      </c>
      <c r="AH47" s="74" t="str">
        <f>IF($B47="","",IF(AND(LEFT($AG47,3)="Yes",SUMPRODUCT(('Rework Log'!$A$3:$A$500=$B47)*('Rework Log'!$G$3:$G$500&lt;&gt;"Yes")*('Rework Log'!$G$3:$G$500&lt;&gt;"Did not pass re-test"))=0),"Blocked - log it on Rework Log",IF(AND(LEFT($AG47,3)&lt;&gt;"Yes",SUMPRODUCT(('Rework Log'!$A$3:$A$500=$B47)*('Rework Log'!$G$3:$G$500&lt;&gt;"Yes")*('Rework Log'!$G$3:$G$500&lt;&gt;"Did not pass re-test"))&gt;0),"Open rework row - mark Blocked? or close it",IF(AND($AG47="Yes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H)",IF(AND($AG47="Yes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H)",IF(AND($AG47="Yes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target",IF(AND(AD47&lt;&gt;"",Z47&lt;&gt;"",AD47&lt;Z47),"Confirmed Deployed date is before DPO Approval target",""))))))))))))</f>
        <v/>
      </c>
      <c r="AI47" s="41" t="s">
        <v>167</v>
      </c>
    </row>
    <row r="48" spans="1:35" ht="14.45">
      <c r="A48" s="33" t="s">
        <v>114</v>
      </c>
      <c r="B48" s="33" t="s">
        <v>168</v>
      </c>
      <c r="C48" s="33" t="s">
        <v>139</v>
      </c>
      <c r="D48" t="str">
        <f ca="1">IF($B48="","",IF(LEFT($AG48,3)="Yes","Blocked - "&amp;MID($AG48,7,100)&amp;IF(SUMPRODUCT(('Rework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Dev",IF(Q48="","No target set",IF(AND(Q48&lt;TODAY(),S48=""),"Overdue","On track")),IF(C48="QA",IF(V48="","No target set",IF(AND(V48&lt;TODAY(),X48=""),"Overdue","On track")),IF(C48="DPO Approval",IF(Z48="","No target set",IF(Z48&lt;TODAY(),"Overdue","On track")),IF(C48="RELEASED IN PROD","Delivered",""))))))))</f>
        <v>On track</v>
      </c>
      <c r="E48" s="33">
        <v>22</v>
      </c>
      <c r="F48" s="34" t="s">
        <v>132</v>
      </c>
      <c r="G48" s="33"/>
      <c r="H48" s="50">
        <v>46265</v>
      </c>
      <c r="I48" s="62" t="s">
        <v>157</v>
      </c>
      <c r="J48" s="33" t="s">
        <v>96</v>
      </c>
      <c r="K48" s="4">
        <v>46234</v>
      </c>
      <c r="L48" s="36">
        <v>46255</v>
      </c>
      <c r="M48" s="36">
        <v>46253</v>
      </c>
      <c r="N48" s="36"/>
      <c r="O48" s="36" t="s">
        <v>166</v>
      </c>
      <c r="P48" s="66" t="s">
        <v>41</v>
      </c>
      <c r="Q48" s="4">
        <v>46241</v>
      </c>
      <c r="R48" s="36">
        <v>46255</v>
      </c>
      <c r="S48" s="36">
        <v>46255</v>
      </c>
      <c r="T48" s="70"/>
      <c r="U48" s="55" t="s">
        <v>132</v>
      </c>
      <c r="V48" s="60">
        <v>46255</v>
      </c>
      <c r="W48" s="36"/>
      <c r="X48" s="36"/>
      <c r="Y48" s="36"/>
      <c r="Z48" s="53">
        <v>46260</v>
      </c>
      <c r="AA48" s="36"/>
      <c r="AB48" s="33"/>
      <c r="AC48" s="38"/>
      <c r="AD48" s="36"/>
      <c r="AE48" s="39"/>
      <c r="AF48" s="33"/>
      <c r="AG48" s="40" t="s">
        <v>47</v>
      </c>
      <c r="AH48" s="74" t="str">
        <f>IF($B48="","",IF(AND(LEFT($AG48,3)="Yes",SUMPRODUCT(('Rework Log'!$A$3:$A$500=$B48)*('Rework Log'!$G$3:$G$500&lt;&gt;"Yes")*('Rework Log'!$G$3:$G$500&lt;&gt;"Did not pass re-test"))=0),"Blocked - log it on Rework Log",IF(AND(LEFT($AG48,3)&lt;&gt;"Yes",SUMPRODUCT(('Rework Log'!$A$3:$A$500=$B48)*('Rework Log'!$G$3:$G$500&lt;&gt;"Yes")*('Rework Log'!$G$3:$G$500&lt;&gt;"Did not pass re-test"))&gt;0),"Open rework row - mark Blocked? or close it",IF(AND($AG48="Yes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H)",IF(AND($AG48="Yes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H)",IF(AND($AG48="Yes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target",IF(AND(AD48&lt;&gt;"",Z48&lt;&gt;"",AD48&lt;Z48),"Confirmed Deployed date is before DPO Approval target",""))))))))))))</f>
        <v/>
      </c>
      <c r="AI48" s="41"/>
    </row>
    <row r="49" spans="1:35" ht="14.45">
      <c r="A49" s="33" t="s">
        <v>114</v>
      </c>
      <c r="B49" s="33" t="s">
        <v>169</v>
      </c>
      <c r="C49" s="33" t="s">
        <v>139</v>
      </c>
      <c r="D49" t="str">
        <f ca="1">IF($B49="","",IF(LEFT($AG49,3)="Yes","Blocked - "&amp;MID($AG49,7,100)&amp;IF(SUMPRODUCT(('Rework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Dev",IF(Q49="","No target set",IF(AND(Q49&lt;TODAY(),S49=""),"Overdue","On track")),IF(C49="QA",IF(V49="","No target set",IF(AND(V49&lt;TODAY(),X49=""),"Overdue","On track")),IF(C49="DPO Approval",IF(Z49="","No target set",IF(Z49&lt;TODAY(),"Overdue","On track")),IF(C49="RELEASED IN PROD","Delivered",""))))))))</f>
        <v>On track</v>
      </c>
      <c r="E49" s="33">
        <v>23</v>
      </c>
      <c r="F49" s="34" t="s">
        <v>117</v>
      </c>
      <c r="G49" s="33"/>
      <c r="H49" s="50">
        <v>46265</v>
      </c>
      <c r="I49" s="62" t="s">
        <v>157</v>
      </c>
      <c r="J49" s="33" t="s">
        <v>144</v>
      </c>
      <c r="K49" s="4">
        <v>46234</v>
      </c>
      <c r="L49" s="36">
        <v>46253</v>
      </c>
      <c r="M49" s="36">
        <v>46252</v>
      </c>
      <c r="N49" s="36"/>
      <c r="O49" s="36" t="s">
        <v>119</v>
      </c>
      <c r="P49" s="66" t="s">
        <v>41</v>
      </c>
      <c r="Q49" s="4">
        <v>46241</v>
      </c>
      <c r="R49" s="36">
        <v>46259</v>
      </c>
      <c r="S49" s="36"/>
      <c r="T49" s="70"/>
      <c r="U49" s="55" t="s">
        <v>117</v>
      </c>
      <c r="V49" s="60">
        <v>46255</v>
      </c>
      <c r="W49" s="36"/>
      <c r="X49" s="36"/>
      <c r="Y49" s="36"/>
      <c r="Z49" s="53">
        <v>46260</v>
      </c>
      <c r="AA49" s="36"/>
      <c r="AB49" s="33"/>
      <c r="AC49" s="38"/>
      <c r="AD49" s="36"/>
      <c r="AE49" s="39"/>
      <c r="AF49" s="33"/>
      <c r="AG49" s="40" t="s">
        <v>47</v>
      </c>
      <c r="AH49" s="74" t="str">
        <f>IF($B49="","",IF(AND(LEFT($AG49,3)="Yes",SUMPRODUCT(('Rework Log'!$A$3:$A$500=$B49)*('Rework Log'!$G$3:$G$500&lt;&gt;"Yes")*('Rework Log'!$G$3:$G$500&lt;&gt;"Did not pass re-test"))=0),"Blocked - log it on Rework Log",IF(AND(LEFT($AG49,3)&lt;&gt;"Yes",SUMPRODUCT(('Rework Log'!$A$3:$A$500=$B49)*('Rework Log'!$G$3:$G$500&lt;&gt;"Yes")*('Rework Log'!$G$3:$G$500&lt;&gt;"Did not pass re-test"))&gt;0),"Open rework row - mark Blocked? or close it",IF(AND($AG49="Yes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H)",IF(AND($AG49="Yes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H)",IF(AND($AG49="Yes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target",IF(AND(AD49&lt;&gt;"",Z49&lt;&gt;"",AD49&lt;Z49),"Confirmed Deployed date is before DPO Approval target",""))))))))))))</f>
        <v/>
      </c>
      <c r="AI49" s="41"/>
    </row>
    <row r="50" spans="1:35" ht="15" customHeight="1">
      <c r="A50" s="33" t="s">
        <v>114</v>
      </c>
      <c r="B50" s="33" t="s">
        <v>170</v>
      </c>
      <c r="C50" s="33" t="s">
        <v>126</v>
      </c>
      <c r="D50" t="str">
        <f ca="1">IF($B50="","",IF(LEFT($AG50,3)="Yes","Blocked - "&amp;MID($AG50,7,100)&amp;IF(SUMPRODUCT(('Rework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Dev",IF(Q50="","No target set",IF(AND(Q50&lt;TODAY(),S50=""),"Overdue","On track")),IF(C50="QA",IF(V50="","No target set",IF(AND(V50&lt;TODAY(),X50=""),"Overdue","On track")),IF(C50="DPO Approval",IF(Z50="","No target set",IF(Z50&lt;TODAY(),"Overdue","On track")),IF(C50="RELEASED IN PROD","Delivered",""))))))))</f>
        <v>Overdue</v>
      </c>
      <c r="E50" s="33">
        <v>25</v>
      </c>
      <c r="F50" s="34" t="s">
        <v>132</v>
      </c>
      <c r="G50" s="33"/>
      <c r="H50" s="50">
        <v>46265</v>
      </c>
      <c r="I50" s="62" t="s">
        <v>157</v>
      </c>
      <c r="J50" s="33" t="s">
        <v>39</v>
      </c>
      <c r="K50" s="4">
        <v>46234</v>
      </c>
      <c r="L50" s="36">
        <v>46249</v>
      </c>
      <c r="M50" s="36">
        <v>46245</v>
      </c>
      <c r="N50" s="36"/>
      <c r="O50" s="36" t="s">
        <v>166</v>
      </c>
      <c r="P50" s="66" t="s">
        <v>54</v>
      </c>
      <c r="Q50" s="4">
        <v>46241</v>
      </c>
      <c r="R50" s="36">
        <v>46252</v>
      </c>
      <c r="S50" s="36">
        <v>46252</v>
      </c>
      <c r="T50" s="70"/>
      <c r="U50" s="55" t="s">
        <v>132</v>
      </c>
      <c r="V50" s="60">
        <v>46255</v>
      </c>
      <c r="W50" s="36"/>
      <c r="X50" s="36"/>
      <c r="Y50" s="36"/>
      <c r="Z50" s="53">
        <v>46260</v>
      </c>
      <c r="AA50" s="36"/>
      <c r="AB50" s="33"/>
      <c r="AC50" s="38"/>
      <c r="AD50" s="36"/>
      <c r="AE50" s="39"/>
      <c r="AF50" s="33"/>
      <c r="AG50" s="40" t="s">
        <v>47</v>
      </c>
      <c r="AH50" s="74" t="str">
        <f>IF($B50="","",IF(AND(LEFT($AG50,3)="Yes",SUMPRODUCT(('Rework Log'!$A$3:$A$500=$B50)*('Rework Log'!$G$3:$G$500&lt;&gt;"Yes")*('Rework Log'!$G$3:$G$500&lt;&gt;"Did not pass re-test"))=0),"Blocked - log it on Rework Log",IF(AND(LEFT($AG50,3)&lt;&gt;"Yes",SUMPRODUCT(('Rework Log'!$A$3:$A$500=$B50)*('Rework Log'!$G$3:$G$500&lt;&gt;"Yes")*('Rework Log'!$G$3:$G$500&lt;&gt;"Did not pass re-test"))&gt;0),"Open rework row - mark Blocked? or close it",IF(AND($AG50="Yes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H)",IF(AND($AG50="Yes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H)",IF(AND($AG50="Yes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target",IF(AND(AD50&lt;&gt;"",Z50&lt;&gt;"",AD50&lt;Z50),"Confirmed Deployed date is before DPO Approval target",""))))))))))))</f>
        <v/>
      </c>
      <c r="AI50" s="41"/>
    </row>
    <row r="51" spans="1:35" ht="14.45">
      <c r="A51" s="33" t="s">
        <v>114</v>
      </c>
      <c r="B51" s="33" t="s">
        <v>171</v>
      </c>
      <c r="C51" s="33" t="s">
        <v>135</v>
      </c>
      <c r="D51" t="str">
        <f ca="1">IF($B51="","",IF(LEFT($AG51,3)="Yes","Blocked - "&amp;MID($AG51,7,100)&amp;IF(SUMPRODUCT(('Rework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Dev",IF(Q51="","No target set",IF(AND(Q51&lt;TODAY(),S51=""),"Overdue","On track")),IF(C51="QA",IF(V51="","No target set",IF(AND(V51&lt;TODAY(),X51=""),"Overdue","On track")),IF(C51="DPO Approval",IF(Z51="","No target set",IF(Z51&lt;TODAY(),"Overdue","On track")),IF(C51="RELEASED IN PROD","Delivered",""))))))))</f>
        <v>Overdue</v>
      </c>
      <c r="E51" s="33">
        <v>26</v>
      </c>
      <c r="F51" s="34" t="s">
        <v>132</v>
      </c>
      <c r="G51" s="33"/>
      <c r="H51" s="50">
        <v>46265</v>
      </c>
      <c r="I51" s="62" t="s">
        <v>157</v>
      </c>
      <c r="J51" s="33" t="s">
        <v>70</v>
      </c>
      <c r="K51" s="4">
        <v>46234</v>
      </c>
      <c r="L51" s="36">
        <v>46248</v>
      </c>
      <c r="M51" s="36">
        <v>46248</v>
      </c>
      <c r="N51" s="36"/>
      <c r="O51" s="36" t="s">
        <v>166</v>
      </c>
      <c r="P51" s="66" t="s">
        <v>71</v>
      </c>
      <c r="Q51" s="4">
        <v>46241</v>
      </c>
      <c r="R51" s="36">
        <v>46255</v>
      </c>
      <c r="S51" s="36"/>
      <c r="T51" s="70"/>
      <c r="U51" s="55" t="s">
        <v>132</v>
      </c>
      <c r="V51" s="60">
        <v>46255</v>
      </c>
      <c r="W51" s="36"/>
      <c r="X51" s="36"/>
      <c r="Y51" s="36"/>
      <c r="Z51" s="53">
        <v>46260</v>
      </c>
      <c r="AA51" s="36"/>
      <c r="AB51" s="33"/>
      <c r="AC51" s="38"/>
      <c r="AD51" s="36"/>
      <c r="AE51" s="39"/>
      <c r="AF51" s="33"/>
      <c r="AG51" s="40" t="s">
        <v>47</v>
      </c>
      <c r="AH51" s="74" t="str">
        <f>IF($B51="","",IF(AND(LEFT($AG51,3)="Yes",SUMPRODUCT(('Rework Log'!$A$3:$A$500=$B51)*('Rework Log'!$G$3:$G$500&lt;&gt;"Yes")*('Rework Log'!$G$3:$G$500&lt;&gt;"Did not pass re-test"))=0),"Blocked - log it on Rework Log",IF(AND(LEFT($AG51,3)&lt;&gt;"Yes",SUMPRODUCT(('Rework Log'!$A$3:$A$500=$B51)*('Rework Log'!$G$3:$G$500&lt;&gt;"Yes")*('Rework Log'!$G$3:$G$500&lt;&gt;"Did not pass re-test"))&gt;0),"Open rework row - mark Blocked? or close it",IF(AND($AG51="Yes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H)",IF(AND($AG51="Yes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H)",IF(AND($AG51="Yes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target",IF(AND(AD51&lt;&gt;"",Z51&lt;&gt;"",AD51&lt;Z51),"Confirmed Deployed date is before DPO Approval target",""))))))))))))</f>
        <v/>
      </c>
      <c r="AI51" s="31"/>
    </row>
    <row r="52" spans="1:35" ht="14.45">
      <c r="A52" s="33" t="s">
        <v>114</v>
      </c>
      <c r="B52" s="33" t="s">
        <v>172</v>
      </c>
      <c r="C52" s="33" t="s">
        <v>139</v>
      </c>
      <c r="D52" t="str">
        <f ca="1">IF($B52="","",IF(LEFT($AG52,3)="Yes","Blocked - "&amp;MID($AG52,7,100)&amp;IF(SUMPRODUCT(('Rework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Dev",IF(Q52="","No target set",IF(AND(Q52&lt;TODAY(),S52=""),"Overdue","On track")),IF(C52="QA",IF(V52="","No target set",IF(AND(V52&lt;TODAY(),X52=""),"Overdue","On track")),IF(C52="DPO Approval",IF(Z52="","No target set",IF(Z52&lt;TODAY(),"Overdue","On track")),IF(C52="RELEASED IN PROD","Delivered",""))))))))</f>
        <v>On track</v>
      </c>
      <c r="E52" s="33">
        <v>27</v>
      </c>
      <c r="F52" s="34" t="s">
        <v>117</v>
      </c>
      <c r="G52" s="33"/>
      <c r="H52" s="50">
        <v>46265</v>
      </c>
      <c r="I52" s="62" t="s">
        <v>157</v>
      </c>
      <c r="J52" s="33" t="s">
        <v>107</v>
      </c>
      <c r="K52" s="4">
        <v>46234</v>
      </c>
      <c r="L52" s="36">
        <v>46253</v>
      </c>
      <c r="M52" s="36">
        <v>46252</v>
      </c>
      <c r="N52" s="36"/>
      <c r="O52" s="36" t="s">
        <v>166</v>
      </c>
      <c r="P52" s="66" t="s">
        <v>41</v>
      </c>
      <c r="Q52" s="4">
        <v>46241</v>
      </c>
      <c r="R52" s="36"/>
      <c r="S52" s="36"/>
      <c r="T52" s="70"/>
      <c r="U52" s="55" t="s">
        <v>42</v>
      </c>
      <c r="V52" s="60">
        <v>46255</v>
      </c>
      <c r="W52" s="36"/>
      <c r="X52" s="36"/>
      <c r="Y52" s="36"/>
      <c r="Z52" s="53">
        <v>46260</v>
      </c>
      <c r="AA52" s="36"/>
      <c r="AB52" s="33"/>
      <c r="AC52" s="38"/>
      <c r="AD52" s="36"/>
      <c r="AE52" s="39"/>
      <c r="AF52" s="33"/>
      <c r="AG52" s="40" t="s">
        <v>47</v>
      </c>
      <c r="AH52" s="74" t="str">
        <f>IF($B52="","",IF(AND(LEFT($AG52,3)="Yes",SUMPRODUCT(('Rework Log'!$A$3:$A$500=$B52)*('Rework Log'!$G$3:$G$500&lt;&gt;"Yes")*('Rework Log'!$G$3:$G$500&lt;&gt;"Did not pass re-test"))=0),"Blocked - log it on Rework Log",IF(AND(LEFT($AG52,3)&lt;&gt;"Yes",SUMPRODUCT(('Rework Log'!$A$3:$A$500=$B52)*('Rework Log'!$G$3:$G$500&lt;&gt;"Yes")*('Rework Log'!$G$3:$G$500&lt;&gt;"Did not pass re-test"))&gt;0),"Open rework row - mark Blocked? or close it",IF(AND($AG52="Yes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H)",IF(AND($AG52="Yes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H)",IF(AND($AG52="Yes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target",IF(AND(AD52&lt;&gt;"",Z52&lt;&gt;"",AD52&lt;Z52),"Confirmed Deployed date is before DPO Approval target",""))))))))))))</f>
        <v/>
      </c>
      <c r="AI52" s="41" t="s">
        <v>173</v>
      </c>
    </row>
    <row r="53" spans="1:35" ht="14.45">
      <c r="A53" s="33" t="s">
        <v>114</v>
      </c>
      <c r="B53" s="33" t="s">
        <v>174</v>
      </c>
      <c r="C53" s="33" t="s">
        <v>135</v>
      </c>
      <c r="D53" t="str">
        <f ca="1">IF($B53="","",IF(LEFT($AG53,3)="Yes","Blocked - "&amp;MID($AG53,7,100)&amp;IF(SUMPRODUCT(('Rework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Dev",IF(Q53="","No target set",IF(AND(Q53&lt;TODAY(),S53=""),"Overdue","On track")),IF(C53="QA",IF(V53="","No target set",IF(AND(V53&lt;TODAY(),X53=""),"Overdue","On track")),IF(C53="DPO Approval",IF(Z53="","No target set",IF(Z53&lt;TODAY(),"Overdue","On track")),IF(C53="RELEASED IN PROD","Delivered",""))))))))</f>
        <v>Overdue</v>
      </c>
      <c r="E53" s="33">
        <v>29</v>
      </c>
      <c r="F53" s="34" t="s">
        <v>132</v>
      </c>
      <c r="G53" s="33"/>
      <c r="H53" s="50">
        <v>46265</v>
      </c>
      <c r="I53" s="62" t="s">
        <v>157</v>
      </c>
      <c r="J53" s="33" t="s">
        <v>70</v>
      </c>
      <c r="K53" s="4">
        <v>46234</v>
      </c>
      <c r="L53" s="36">
        <v>46251</v>
      </c>
      <c r="M53" s="36">
        <v>46251</v>
      </c>
      <c r="N53" s="36"/>
      <c r="O53" s="36" t="s">
        <v>119</v>
      </c>
      <c r="P53" s="66" t="s">
        <v>71</v>
      </c>
      <c r="Q53" s="4">
        <v>46241</v>
      </c>
      <c r="R53" s="36"/>
      <c r="S53" s="36"/>
      <c r="T53" s="70"/>
      <c r="U53" s="55" t="s">
        <v>42</v>
      </c>
      <c r="V53" s="60">
        <v>46255</v>
      </c>
      <c r="W53" s="36"/>
      <c r="X53" s="36"/>
      <c r="Y53" s="36"/>
      <c r="Z53" s="53">
        <v>46260</v>
      </c>
      <c r="AA53" s="36"/>
      <c r="AB53" s="33"/>
      <c r="AC53" s="38"/>
      <c r="AD53" s="36"/>
      <c r="AE53" s="39"/>
      <c r="AF53" s="33"/>
      <c r="AG53" s="40" t="s">
        <v>47</v>
      </c>
      <c r="AH53" s="74" t="str">
        <f>IF($B53="","",IF(AND(LEFT($AG53,3)="Yes",SUMPRODUCT(('Rework Log'!$A$3:$A$500=$B53)*('Rework Log'!$G$3:$G$500&lt;&gt;"Yes")*('Rework Log'!$G$3:$G$500&lt;&gt;"Did not pass re-test"))=0),"Blocked - log it on Rework Log",IF(AND(LEFT($AG53,3)&lt;&gt;"Yes",SUMPRODUCT(('Rework Log'!$A$3:$A$500=$B53)*('Rework Log'!$G$3:$G$500&lt;&gt;"Yes")*('Rework Log'!$G$3:$G$500&lt;&gt;"Did not pass re-test"))&gt;0),"Open rework row - mark Blocked? or close it",IF(AND($AG53="Yes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H)",IF(AND($AG53="Yes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H)",IF(AND($AG53="Yes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target",IF(AND(AD53&lt;&gt;"",Z53&lt;&gt;"",AD53&lt;Z53),"Confirmed Deployed date is before DPO Approval target",""))))))))))))</f>
        <v/>
      </c>
      <c r="AI53" s="41"/>
    </row>
    <row r="54" spans="1:35" ht="14.45">
      <c r="A54" s="33" t="s">
        <v>114</v>
      </c>
      <c r="B54" s="33" t="s">
        <v>175</v>
      </c>
      <c r="C54" s="33" t="s">
        <v>135</v>
      </c>
      <c r="D54" t="str">
        <f ca="1">IF($B54="","",IF(LEFT($AG54,3)="Yes","Blocked - "&amp;MID($AG54,7,100)&amp;IF(SUMPRODUCT(('Rework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Dev",IF(Q54="","No target set",IF(AND(Q54&lt;TODAY(),S54=""),"Overdue","On track")),IF(C54="QA",IF(V54="","No target set",IF(AND(V54&lt;TODAY(),X54=""),"Overdue","On track")),IF(C54="DPO Approval",IF(Z54="","No target set",IF(Z54&lt;TODAY(),"Overdue","On track")),IF(C54="RELEASED IN PROD","Delivered",""))))))))</f>
        <v>Overdue</v>
      </c>
      <c r="E54" s="33">
        <v>30</v>
      </c>
      <c r="F54" s="34" t="s">
        <v>117</v>
      </c>
      <c r="G54" s="33"/>
      <c r="H54" s="50">
        <v>46265</v>
      </c>
      <c r="I54" s="62" t="s">
        <v>157</v>
      </c>
      <c r="J54" s="33" t="s">
        <v>78</v>
      </c>
      <c r="K54" s="4">
        <v>46234</v>
      </c>
      <c r="L54" s="36">
        <v>46255</v>
      </c>
      <c r="M54" s="36">
        <v>46253</v>
      </c>
      <c r="N54" s="36"/>
      <c r="O54" s="36" t="s">
        <v>119</v>
      </c>
      <c r="P54" s="66" t="s">
        <v>54</v>
      </c>
      <c r="Q54" s="4">
        <v>46241</v>
      </c>
      <c r="R54" s="36"/>
      <c r="S54" s="36"/>
      <c r="T54" s="70"/>
      <c r="U54" s="55" t="s">
        <v>42</v>
      </c>
      <c r="V54" s="60">
        <v>46255</v>
      </c>
      <c r="W54" s="36"/>
      <c r="X54" s="36"/>
      <c r="Y54" s="36"/>
      <c r="Z54" s="53">
        <v>46260</v>
      </c>
      <c r="AA54" s="36"/>
      <c r="AB54" s="33"/>
      <c r="AC54" s="38"/>
      <c r="AD54" s="36"/>
      <c r="AE54" s="39"/>
      <c r="AF54" s="33"/>
      <c r="AG54" s="40" t="s">
        <v>47</v>
      </c>
      <c r="AH54" s="74" t="str">
        <f>IF($B54="","",IF(AND(LEFT($AG54,3)="Yes",SUMPRODUCT(('Rework Log'!$A$3:$A$500=$B54)*('Rework Log'!$G$3:$G$500&lt;&gt;"Yes")*('Rework Log'!$G$3:$G$500&lt;&gt;"Did not pass re-test"))=0),"Blocked - log it on Rework Log",IF(AND(LEFT($AG54,3)&lt;&gt;"Yes",SUMPRODUCT(('Rework Log'!$A$3:$A$500=$B54)*('Rework Log'!$G$3:$G$500&lt;&gt;"Yes")*('Rework Log'!$G$3:$G$500&lt;&gt;"Did not pass re-test"))&gt;0),"Open rework row - mark Blocked? or close it",IF(AND($AG54="Yes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H)",IF(AND($AG54="Yes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H)",IF(AND($AG54="Yes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target",IF(AND(AD54&lt;&gt;"",Z54&lt;&gt;"",AD54&lt;Z54),"Confirmed Deployed date is before DPO Approval target",""))))))))))))</f>
        <v/>
      </c>
      <c r="AI54" s="41"/>
    </row>
    <row r="55" spans="1:35" ht="14.45">
      <c r="A55" s="33" t="s">
        <v>114</v>
      </c>
      <c r="B55" s="33" t="s">
        <v>176</v>
      </c>
      <c r="C55" s="33" t="s">
        <v>135</v>
      </c>
      <c r="D55" t="str">
        <f ca="1">IF($B55="","",IF(LEFT($AG55,3)="Yes","Blocked - "&amp;MID($AG55,7,100)&amp;IF(SUMPRODUCT(('Rework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Dev",IF(Q55="","No target set",IF(AND(Q55&lt;TODAY(),S55=""),"Overdue","On track")),IF(C55="QA",IF(V55="","No target set",IF(AND(V55&lt;TODAY(),X55=""),"Overdue","On track")),IF(C55="DPO Approval",IF(Z55="","No target set",IF(Z55&lt;TODAY(),"Overdue","On track")),IF(C55="RELEASED IN PROD","Delivered",""))))))))</f>
        <v>On track</v>
      </c>
      <c r="E55" s="33">
        <v>31</v>
      </c>
      <c r="F55" s="34" t="s">
        <v>132</v>
      </c>
      <c r="G55" s="33"/>
      <c r="H55" s="50">
        <v>46295</v>
      </c>
      <c r="I55" s="56" t="s">
        <v>177</v>
      </c>
      <c r="J55" s="33" t="s">
        <v>70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 t="s">
        <v>71</v>
      </c>
      <c r="Q55" s="4">
        <v>46269</v>
      </c>
      <c r="R55" s="36"/>
      <c r="S55" s="36"/>
      <c r="T55" s="70"/>
      <c r="U55" s="33"/>
      <c r="V55" s="60">
        <v>46276</v>
      </c>
      <c r="W55" s="36"/>
      <c r="X55" s="36"/>
      <c r="Y55" s="36"/>
      <c r="Z55" s="53">
        <v>46290</v>
      </c>
      <c r="AA55" s="36"/>
      <c r="AB55" s="33"/>
      <c r="AC55" s="38"/>
      <c r="AD55" s="36"/>
      <c r="AE55" s="39"/>
      <c r="AF55" s="33"/>
      <c r="AG55" s="40" t="s">
        <v>47</v>
      </c>
      <c r="AH55" s="74" t="str">
        <f>IF($B55="","",IF(AND(LEFT($AG55,3)="Yes",SUMPRODUCT(('Rework Log'!$A$3:$A$500=$B55)*('Rework Log'!$G$3:$G$500&lt;&gt;"Yes")*('Rework Log'!$G$3:$G$500&lt;&gt;"Did not pass re-test"))=0),"Blocked - log it on Rework Log",IF(AND(LEFT($AG55,3)&lt;&gt;"Yes",SUMPRODUCT(('Rework Log'!$A$3:$A$500=$B55)*('Rework Log'!$G$3:$G$500&lt;&gt;"Yes")*('Rework Log'!$G$3:$G$500&lt;&gt;"Did not pass re-test"))&gt;0),"Open rework row - mark Blocked? or close it",IF(AND($AG55="Yes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H)",IF(AND($AG55="Yes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H)",IF(AND($AG55="Yes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target",IF(AND(AD55&lt;&gt;"",Z55&lt;&gt;"",AD55&lt;Z55),"Confirmed Deployed date is before DPO Approval target",""))))))))))))</f>
        <v/>
      </c>
      <c r="AI55" s="41"/>
    </row>
    <row r="56" spans="1:35" ht="14.45">
      <c r="A56" s="33" t="s">
        <v>114</v>
      </c>
      <c r="B56" s="33" t="s">
        <v>179</v>
      </c>
      <c r="C56" s="33" t="s">
        <v>135</v>
      </c>
      <c r="D56" t="str">
        <f ca="1">IF($B56="","",IF(LEFT($AG56,3)="Yes","Blocked - "&amp;MID($AG56,7,100)&amp;IF(SUMPRODUCT(('Rework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Dev",IF(Q56="","No target set",IF(AND(Q56&lt;TODAY(),S56=""),"Overdue","On track")),IF(C56="QA",IF(V56="","No target set",IF(AND(V56&lt;TODAY(),X56=""),"Overdue","On track")),IF(C56="DPO Approval",IF(Z56="","No target set",IF(Z56&lt;TODAY(),"Overdue","On track")),IF(C56="RELEASED IN PROD","Delivered",""))))))))</f>
        <v>On track</v>
      </c>
      <c r="E56" s="33">
        <v>32</v>
      </c>
      <c r="F56" s="34" t="s">
        <v>117</v>
      </c>
      <c r="G56" s="33"/>
      <c r="H56" s="50">
        <v>46295</v>
      </c>
      <c r="I56" s="56" t="s">
        <v>177</v>
      </c>
      <c r="J56" s="33" t="s">
        <v>70</v>
      </c>
      <c r="K56" s="4">
        <v>46262</v>
      </c>
      <c r="L56" s="36">
        <v>46253</v>
      </c>
      <c r="M56" s="36">
        <v>46253</v>
      </c>
      <c r="N56" s="36"/>
      <c r="O56" s="36" t="s">
        <v>178</v>
      </c>
      <c r="P56" s="64" t="s">
        <v>54</v>
      </c>
      <c r="Q56" s="4">
        <v>46269</v>
      </c>
      <c r="R56" s="36"/>
      <c r="S56" s="36"/>
      <c r="T56" s="70"/>
      <c r="U56" s="33"/>
      <c r="V56" s="60">
        <v>46276</v>
      </c>
      <c r="W56" s="36"/>
      <c r="X56" s="36"/>
      <c r="Y56" s="36"/>
      <c r="Z56" s="53">
        <v>46290</v>
      </c>
      <c r="AA56" s="36"/>
      <c r="AB56" s="33"/>
      <c r="AC56" s="38"/>
      <c r="AD56" s="36"/>
      <c r="AE56" s="39"/>
      <c r="AF56" s="33"/>
      <c r="AG56" s="40" t="s">
        <v>47</v>
      </c>
      <c r="AH56" s="74" t="str">
        <f>IF($B56="","",IF(AND(LEFT($AG56,3)="Yes",SUMPRODUCT(('Rework Log'!$A$3:$A$500=$B56)*('Rework Log'!$G$3:$G$500&lt;&gt;"Yes")*('Rework Log'!$G$3:$G$500&lt;&gt;"Did not pass re-test"))=0),"Blocked - log it on Rework Log",IF(AND(LEFT($AG56,3)&lt;&gt;"Yes",SUMPRODUCT(('Rework Log'!$A$3:$A$500=$B56)*('Rework Log'!$G$3:$G$500&lt;&gt;"Yes")*('Rework Log'!$G$3:$G$500&lt;&gt;"Did not pass re-test"))&gt;0),"Open rework row - mark Blocked? or close it",IF(AND($AG56="Yes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H)",IF(AND($AG56="Yes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H)",IF(AND($AG56="Yes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target",IF(AND(AD56&lt;&gt;"",Z56&lt;&gt;"",AD56&lt;Z56),"Confirmed Deployed date is before DPO Approval target",""))))))))))))</f>
        <v/>
      </c>
      <c r="AI56" s="41" t="s">
        <v>173</v>
      </c>
    </row>
    <row r="57" spans="1:35" ht="14.45">
      <c r="A57" s="33" t="s">
        <v>114</v>
      </c>
      <c r="B57" s="33" t="s">
        <v>180</v>
      </c>
      <c r="C57" s="33" t="s">
        <v>181</v>
      </c>
      <c r="D57" t="str">
        <f ca="1">IF($B57="","",IF(LEFT($AG57,3)="Yes","Blocked - "&amp;MID($AG57,7,100)&amp;IF(SUMPRODUCT(('Rework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Dev",IF(Q57="","No target set",IF(AND(Q57&lt;TODAY(),S57=""),"Overdue","On track")),IF(C57="QA",IF(V57="","No target set",IF(AND(V57&lt;TODAY(),X57=""),"Overdue","On track")),IF(C57="DPO Approval",IF(Z57="","No target set",IF(Z57&lt;TODAY(),"Overdue","On track")),IF(C57="RELEASED IN PROD","Delivered",""))))))))</f>
        <v>On track</v>
      </c>
      <c r="E57" s="33">
        <v>33</v>
      </c>
      <c r="F57" s="34" t="s">
        <v>132</v>
      </c>
      <c r="G57" s="33"/>
      <c r="H57" s="50">
        <v>46295</v>
      </c>
      <c r="I57" s="56" t="s">
        <v>177</v>
      </c>
      <c r="J57" s="33" t="s">
        <v>107</v>
      </c>
      <c r="K57" s="4">
        <v>46262</v>
      </c>
      <c r="L57" s="36">
        <v>46254</v>
      </c>
      <c r="M57" s="36"/>
      <c r="N57" s="36"/>
      <c r="O57" s="36" t="s">
        <v>178</v>
      </c>
      <c r="P57" s="64" t="s">
        <v>41</v>
      </c>
      <c r="Q57" s="4">
        <v>46269</v>
      </c>
      <c r="R57" s="36"/>
      <c r="S57" s="36"/>
      <c r="T57" s="70"/>
      <c r="U57" s="33"/>
      <c r="V57" s="60">
        <v>46276</v>
      </c>
      <c r="W57" s="36"/>
      <c r="X57" s="36"/>
      <c r="Y57" s="36"/>
      <c r="Z57" s="53">
        <v>46290</v>
      </c>
      <c r="AA57" s="36"/>
      <c r="AB57" s="33"/>
      <c r="AC57" s="38"/>
      <c r="AD57" s="36"/>
      <c r="AE57" s="39"/>
      <c r="AF57" s="33"/>
      <c r="AG57" s="40" t="s">
        <v>47</v>
      </c>
      <c r="AH57" s="74" t="str">
        <f>IF($B57="","",IF(AND(LEFT($AG57,3)="Yes",SUMPRODUCT(('Rework Log'!$A$3:$A$500=$B57)*('Rework Log'!$G$3:$G$500&lt;&gt;"Yes")*('Rework Log'!$G$3:$G$500&lt;&gt;"Did not pass re-test"))=0),"Blocked - log it on Rework Log",IF(AND(LEFT($AG57,3)&lt;&gt;"Yes",SUMPRODUCT(('Rework Log'!$A$3:$A$500=$B57)*('Rework Log'!$G$3:$G$500&lt;&gt;"Yes")*('Rework Log'!$G$3:$G$500&lt;&gt;"Did not pass re-test"))&gt;0),"Open rework row - mark Blocked? or close it",IF(AND($AG57="Yes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H)",IF(AND($AG57="Yes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H)",IF(AND($AG57="Yes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target",IF(AND(AD57&lt;&gt;"",Z57&lt;&gt;"",AD57&lt;Z57),"Confirmed Deployed date is before DPO Approval target",""))))))))))))</f>
        <v/>
      </c>
      <c r="AI57" s="41" t="s">
        <v>173</v>
      </c>
    </row>
    <row r="58" spans="1:35" ht="14.45">
      <c r="A58" s="33" t="s">
        <v>114</v>
      </c>
      <c r="B58" s="33" t="s">
        <v>182</v>
      </c>
      <c r="C58" s="33" t="s">
        <v>181</v>
      </c>
      <c r="D58" t="str">
        <f ca="1">IF($B58="","",IF(LEFT($AG58,3)="Yes","Blocked - "&amp;MID($AG58,7,100)&amp;IF(SUMPRODUCT(('Rework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Dev",IF(Q58="","No target set",IF(AND(Q58&lt;TODAY(),S58=""),"Overdue","On track")),IF(C58="QA",IF(V58="","No target set",IF(AND(V58&lt;TODAY(),X58=""),"Overdue","On track")),IF(C58="DPO Approval",IF(Z58="","No target set",IF(Z58&lt;TODAY(),"Overdue","On track")),IF(C58="RELEASED IN PROD","Delivered",""))))))))</f>
        <v>On track</v>
      </c>
      <c r="E58" s="33">
        <v>34</v>
      </c>
      <c r="F58" s="34" t="s">
        <v>117</v>
      </c>
      <c r="G58" s="33"/>
      <c r="H58" s="50">
        <v>46295</v>
      </c>
      <c r="I58" s="56" t="s">
        <v>177</v>
      </c>
      <c r="J58" s="33" t="s">
        <v>107</v>
      </c>
      <c r="K58" s="4">
        <v>46262</v>
      </c>
      <c r="L58" s="36">
        <v>46254</v>
      </c>
      <c r="M58" s="36"/>
      <c r="N58" s="36"/>
      <c r="O58" s="36" t="s">
        <v>178</v>
      </c>
      <c r="P58" s="64" t="s">
        <v>71</v>
      </c>
      <c r="Q58" s="4">
        <v>46269</v>
      </c>
      <c r="R58" s="36"/>
      <c r="S58" s="36"/>
      <c r="T58" s="70"/>
      <c r="U58" s="33"/>
      <c r="V58" s="60">
        <v>46276</v>
      </c>
      <c r="W58" s="36"/>
      <c r="X58" s="36"/>
      <c r="Y58" s="36"/>
      <c r="Z58" s="53">
        <v>46290</v>
      </c>
      <c r="AA58" s="36"/>
      <c r="AB58" s="33"/>
      <c r="AC58" s="38"/>
      <c r="AD58" s="36"/>
      <c r="AE58" s="39"/>
      <c r="AF58" s="33"/>
      <c r="AG58" s="40" t="s">
        <v>47</v>
      </c>
      <c r="AH58" s="74" t="str">
        <f>IF($B58="","",IF(AND(LEFT($AG58,3)="Yes",SUMPRODUCT(('Rework Log'!$A$3:$A$500=$B58)*('Rework Log'!$G$3:$G$500&lt;&gt;"Yes")*('Rework Log'!$G$3:$G$500&lt;&gt;"Did not pass re-test"))=0),"Blocked - log it on Rework Log",IF(AND(LEFT($AG58,3)&lt;&gt;"Yes",SUMPRODUCT(('Rework Log'!$A$3:$A$500=$B58)*('Rework Log'!$G$3:$G$500&lt;&gt;"Yes")*('Rework Log'!$G$3:$G$500&lt;&gt;"Did not pass re-test"))&gt;0),"Open rework row - mark Blocked? or close it",IF(AND($AG58="Yes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H)",IF(AND($AG58="Yes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H)",IF(AND($AG58="Yes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target",IF(AND(AD58&lt;&gt;"",Z58&lt;&gt;"",AD58&lt;Z58),"Confirmed Deployed date is before DPO Approval target",""))))))))))))</f>
        <v/>
      </c>
      <c r="AI58" s="41"/>
    </row>
    <row r="59" spans="1:35" ht="14.45">
      <c r="A59" s="33" t="s">
        <v>114</v>
      </c>
      <c r="B59" s="33" t="s">
        <v>183</v>
      </c>
      <c r="C59" s="33" t="s">
        <v>135</v>
      </c>
      <c r="D59" t="str">
        <f ca="1">IF($B59="","",IF(LEFT($AG59,3)="Yes","Blocked - "&amp;MID($AG59,7,100)&amp;IF(SUMPRODUCT(('Rework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Dev",IF(Q59="","No target set",IF(AND(Q59&lt;TODAY(),S59=""),"Overdue","On track")),IF(C59="QA",IF(V59="","No target set",IF(AND(V59&lt;TODAY(),X59=""),"Overdue","On track")),IF(C59="DPO Approval",IF(Z59="","No target set",IF(Z59&lt;TODAY(),"Overdue","On track")),IF(C59="RELEASED IN PROD","Delivered",""))))))))</f>
        <v>On track</v>
      </c>
      <c r="E59" s="33">
        <v>35</v>
      </c>
      <c r="F59" s="34" t="s">
        <v>132</v>
      </c>
      <c r="G59" s="33"/>
      <c r="H59" s="50">
        <v>46295</v>
      </c>
      <c r="I59" s="56" t="s">
        <v>177</v>
      </c>
      <c r="J59" s="33" t="s">
        <v>39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 t="s">
        <v>54</v>
      </c>
      <c r="Q59" s="4">
        <v>46269</v>
      </c>
      <c r="R59" s="36"/>
      <c r="S59" s="36"/>
      <c r="T59" s="70"/>
      <c r="U59" s="33"/>
      <c r="V59" s="60">
        <v>46276</v>
      </c>
      <c r="W59" s="36"/>
      <c r="X59" s="36"/>
      <c r="Y59" s="36"/>
      <c r="Z59" s="53">
        <v>46290</v>
      </c>
      <c r="AA59" s="36"/>
      <c r="AB59" s="33"/>
      <c r="AC59" s="38"/>
      <c r="AD59" s="36"/>
      <c r="AE59" s="39"/>
      <c r="AF59" s="33"/>
      <c r="AG59" s="40" t="s">
        <v>47</v>
      </c>
      <c r="AH59" s="74" t="str">
        <f>IF($B59="","",IF(AND(LEFT($AG59,3)="Yes",SUMPRODUCT(('Rework Log'!$A$3:$A$500=$B59)*('Rework Log'!$G$3:$G$500&lt;&gt;"Yes")*('Rework Log'!$G$3:$G$500&lt;&gt;"Did not pass re-test"))=0),"Blocked - log it on Rework Log",IF(AND(LEFT($AG59,3)&lt;&gt;"Yes",SUMPRODUCT(('Rework Log'!$A$3:$A$500=$B59)*('Rework Log'!$G$3:$G$500&lt;&gt;"Yes")*('Rework Log'!$G$3:$G$500&lt;&gt;"Did not pass re-test"))&gt;0),"Open rework row - mark Blocked? or close it",IF(AND($AG59="Yes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H)",IF(AND($AG59="Yes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H)",IF(AND($AG59="Yes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target",IF(AND(AD59&lt;&gt;"",Z59&lt;&gt;"",AD59&lt;Z59),"Confirmed Deployed date is before DPO Approval target",""))))))))))))</f>
        <v/>
      </c>
      <c r="AI59" s="41"/>
    </row>
    <row r="60" spans="1:35" ht="14.45">
      <c r="A60" s="33" t="s">
        <v>114</v>
      </c>
      <c r="B60" s="33" t="s">
        <v>184</v>
      </c>
      <c r="C60" s="33" t="s">
        <v>135</v>
      </c>
      <c r="D60" t="str">
        <f ca="1">IF($B60="","",IF(LEFT($AG60,3)="Yes","Blocked - "&amp;MID($AG60,7,100)&amp;IF(SUMPRODUCT(('Rework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Dev",IF(Q60="","No target set",IF(AND(Q60&lt;TODAY(),S60=""),"Overdue","On track")),IF(C60="QA",IF(V60="","No target set",IF(AND(V60&lt;TODAY(),X60=""),"Overdue","On track")),IF(C60="DPO Approval",IF(Z60="","No target set",IF(Z60&lt;TODAY(),"Overdue","On track")),IF(C60="RELEASED IN PROD","Delivered",""))))))))</f>
        <v>On track</v>
      </c>
      <c r="E60" s="33">
        <v>36</v>
      </c>
      <c r="F60" s="34" t="s">
        <v>132</v>
      </c>
      <c r="G60" s="33"/>
      <c r="H60" s="50">
        <v>46295</v>
      </c>
      <c r="I60" s="56" t="s">
        <v>177</v>
      </c>
      <c r="J60" s="33" t="s">
        <v>144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 t="s">
        <v>41</v>
      </c>
      <c r="Q60" s="4">
        <v>46269</v>
      </c>
      <c r="R60" s="36"/>
      <c r="S60" s="36"/>
      <c r="T60" s="70"/>
      <c r="U60" s="33"/>
      <c r="V60" s="60">
        <v>46276</v>
      </c>
      <c r="W60" s="36"/>
      <c r="X60" s="36"/>
      <c r="Y60" s="36"/>
      <c r="Z60" s="53">
        <v>46290</v>
      </c>
      <c r="AA60" s="36"/>
      <c r="AB60" s="33"/>
      <c r="AC60" s="38"/>
      <c r="AD60" s="36"/>
      <c r="AE60" s="39"/>
      <c r="AF60" s="33"/>
      <c r="AG60" s="40" t="s">
        <v>47</v>
      </c>
      <c r="AH60" s="74" t="str">
        <f>IF($B60="","",IF(AND(LEFT($AG60,3)="Yes",SUMPRODUCT(('Rework Log'!$A$3:$A$500=$B60)*('Rework Log'!$G$3:$G$500&lt;&gt;"Yes")*('Rework Log'!$G$3:$G$500&lt;&gt;"Did not pass re-test"))=0),"Blocked - log it on Rework Log",IF(AND(LEFT($AG60,3)&lt;&gt;"Yes",SUMPRODUCT(('Rework Log'!$A$3:$A$500=$B60)*('Rework Log'!$G$3:$G$500&lt;&gt;"Yes")*('Rework Log'!$G$3:$G$500&lt;&gt;"Did not pass re-test"))&gt;0),"Open rework row - mark Blocked? or close it",IF(AND($AG60="Yes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H)",IF(AND($AG60="Yes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H)",IF(AND($AG60="Yes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target",IF(AND(AD60&lt;&gt;"",Z60&lt;&gt;"",AD60&lt;Z60),"Confirmed Deployed date is before DPO Approval target",""))))))))))))</f>
        <v/>
      </c>
      <c r="AI60" s="41"/>
    </row>
    <row r="61" spans="1:35" ht="14.45">
      <c r="A61" s="33" t="s">
        <v>114</v>
      </c>
      <c r="B61" s="33" t="s">
        <v>185</v>
      </c>
      <c r="C61" s="33" t="s">
        <v>126</v>
      </c>
      <c r="D61" t="str">
        <f ca="1">IF($B61="","",IF(LEFT($AG61,3)="Yes","Blocked - "&amp;MID($AG61,7,100)&amp;IF(SUMPRODUCT(('Rework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Dev",IF(Q61="","No target set",IF(AND(Q61&lt;TODAY(),S61=""),"Overdue","On track")),IF(C61="QA",IF(V61="","No target set",IF(AND(V61&lt;TODAY(),X61=""),"Overdue","On track")),IF(C61="DPO Approval",IF(Z61="","No target set",IF(Z61&lt;TODAY(),"Overdue","On track")),IF(C61="RELEASED IN PROD","Delivered",""))))))))</f>
        <v>On track</v>
      </c>
      <c r="E61" s="33">
        <v>37</v>
      </c>
      <c r="F61" s="34" t="s">
        <v>117</v>
      </c>
      <c r="G61" s="33"/>
      <c r="H61" s="50">
        <v>46295</v>
      </c>
      <c r="I61" s="56" t="s">
        <v>177</v>
      </c>
      <c r="J61" s="33" t="s">
        <v>39</v>
      </c>
      <c r="K61" s="4">
        <v>46262</v>
      </c>
      <c r="L61" s="36">
        <v>46255</v>
      </c>
      <c r="M61" s="36"/>
      <c r="N61" s="36"/>
      <c r="O61" s="36" t="s">
        <v>178</v>
      </c>
      <c r="P61" s="64" t="s">
        <v>54</v>
      </c>
      <c r="Q61" s="4">
        <v>46269</v>
      </c>
      <c r="R61" s="36"/>
      <c r="S61" s="36"/>
      <c r="T61" s="70"/>
      <c r="U61" s="33"/>
      <c r="V61" s="60">
        <v>46276</v>
      </c>
      <c r="W61" s="36"/>
      <c r="X61" s="36"/>
      <c r="Y61" s="36"/>
      <c r="Z61" s="53">
        <v>46290</v>
      </c>
      <c r="AA61" s="36"/>
      <c r="AB61" s="33"/>
      <c r="AC61" s="38"/>
      <c r="AD61" s="36"/>
      <c r="AE61" s="39"/>
      <c r="AF61" s="33"/>
      <c r="AG61" s="40" t="s">
        <v>47</v>
      </c>
      <c r="AH61" s="74" t="str">
        <f>IF($B61="","",IF(AND(LEFT($AG61,3)="Yes",SUMPRODUCT(('Rework Log'!$A$3:$A$500=$B61)*('Rework Log'!$G$3:$G$500&lt;&gt;"Yes")*('Rework Log'!$G$3:$G$500&lt;&gt;"Did not pass re-test"))=0),"Blocked - log it on Rework Log",IF(AND(LEFT($AG61,3)&lt;&gt;"Yes",SUMPRODUCT(('Rework Log'!$A$3:$A$500=$B61)*('Rework Log'!$G$3:$G$500&lt;&gt;"Yes")*('Rework Log'!$G$3:$G$500&lt;&gt;"Did not pass re-test"))&gt;0),"Open rework row - mark Blocked? or close it",IF(AND($AG61="Yes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H)",IF(AND($AG61="Yes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H)",IF(AND($AG61="Yes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target",IF(AND(AD61&lt;&gt;"",Z61&lt;&gt;"",AD61&lt;Z61),"Confirmed Deployed date is before DPO Approval target",""))))))))))))</f>
        <v/>
      </c>
      <c r="AI61" s="41"/>
    </row>
    <row r="62" spans="1:35" ht="14.45">
      <c r="A62" s="33" t="s">
        <v>114</v>
      </c>
      <c r="B62" s="33" t="s">
        <v>186</v>
      </c>
      <c r="C62" s="33" t="s">
        <v>181</v>
      </c>
      <c r="D62" t="str">
        <f ca="1">IF($B62="","",IF(LEFT($AG62,3)="Yes","Blocked - "&amp;MID($AG62,7,100)&amp;IF(SUMPRODUCT(('Rework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Dev",IF(Q62="","No target set",IF(AND(Q62&lt;TODAY(),S62=""),"Overdue","On track")),IF(C62="QA",IF(V62="","No target set",IF(AND(V62&lt;TODAY(),X62=""),"Overdue","On track")),IF(C62="DPO Approval",IF(Z62="","No target set",IF(Z62&lt;TODAY(),"Overdue","On track")),IF(C62="RELEASED IN PROD","Delivered",""))))))))</f>
        <v>On track</v>
      </c>
      <c r="E62" s="33">
        <v>38</v>
      </c>
      <c r="F62" s="34" t="s">
        <v>132</v>
      </c>
      <c r="G62" s="33"/>
      <c r="H62" s="50">
        <v>46295</v>
      </c>
      <c r="I62" s="56" t="s">
        <v>177</v>
      </c>
      <c r="J62" s="33" t="s">
        <v>78</v>
      </c>
      <c r="K62" s="4">
        <v>46262</v>
      </c>
      <c r="L62" s="36">
        <v>46260</v>
      </c>
      <c r="M62" s="36">
        <v>46259</v>
      </c>
      <c r="N62" s="36"/>
      <c r="O62" s="36" t="s">
        <v>178</v>
      </c>
      <c r="P62" s="64" t="s">
        <v>71</v>
      </c>
      <c r="Q62" s="4">
        <v>46269</v>
      </c>
      <c r="R62" s="36"/>
      <c r="S62" s="36"/>
      <c r="T62" s="70"/>
      <c r="U62" s="33"/>
      <c r="V62" s="60">
        <v>46276</v>
      </c>
      <c r="W62" s="36"/>
      <c r="X62" s="36"/>
      <c r="Y62" s="36"/>
      <c r="Z62" s="53">
        <v>46290</v>
      </c>
      <c r="AA62" s="36"/>
      <c r="AB62" s="33"/>
      <c r="AC62" s="38"/>
      <c r="AD62" s="36"/>
      <c r="AE62" s="39"/>
      <c r="AF62" s="33"/>
      <c r="AG62" s="40" t="s">
        <v>47</v>
      </c>
      <c r="AH62" s="74" t="str">
        <f>IF($B62="","",IF(AND(LEFT($AG62,3)="Yes",SUMPRODUCT(('Rework Log'!$A$3:$A$500=$B62)*('Rework Log'!$G$3:$G$500&lt;&gt;"Yes")*('Rework Log'!$G$3:$G$500&lt;&gt;"Did not pass re-test"))=0),"Blocked - log it on Rework Log",IF(AND(LEFT($AG62,3)&lt;&gt;"Yes",SUMPRODUCT(('Rework Log'!$A$3:$A$500=$B62)*('Rework Log'!$G$3:$G$500&lt;&gt;"Yes")*('Rework Log'!$G$3:$G$500&lt;&gt;"Did not pass re-test"))&gt;0),"Open rework row - mark Blocked? or close it",IF(AND($AG62="Yes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H)",IF(AND($AG62="Yes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H)",IF(AND($AG62="Yes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target",IF(AND(AD62&lt;&gt;"",Z62&lt;&gt;"",AD62&lt;Z62),"Confirmed Deployed date is before DPO Approval target",""))))))))))))</f>
        <v/>
      </c>
      <c r="AI62" s="41"/>
    </row>
    <row r="63" spans="1:35" ht="14.45">
      <c r="A63" s="33" t="s">
        <v>114</v>
      </c>
      <c r="B63" s="33" t="s">
        <v>187</v>
      </c>
      <c r="C63" s="33" t="s">
        <v>181</v>
      </c>
      <c r="D63" t="str">
        <f ca="1">IF($B63="","",IF(LEFT($AG63,3)="Yes","Blocked - "&amp;MID($AG63,7,100)&amp;IF(SUMPRODUCT(('Rework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Dev",IF(Q63="","No target set",IF(AND(Q63&lt;TODAY(),S63=""),"Overdue","On track")),IF(C63="QA",IF(V63="","No target set",IF(AND(V63&lt;TODAY(),X63=""),"Overdue","On track")),IF(C63="DPO Approval",IF(Z63="","No target set",IF(Z63&lt;TODAY(),"Overdue","On track")),IF(C63="RELEASED IN PROD","Delivered",""))))))))</f>
        <v>On track</v>
      </c>
      <c r="E63" s="33">
        <v>39</v>
      </c>
      <c r="F63" s="34" t="s">
        <v>132</v>
      </c>
      <c r="G63" s="33"/>
      <c r="H63" s="50">
        <v>46295</v>
      </c>
      <c r="I63" s="56" t="s">
        <v>177</v>
      </c>
      <c r="J63" s="33" t="s">
        <v>78</v>
      </c>
      <c r="K63" s="4">
        <v>46276</v>
      </c>
      <c r="L63" s="36">
        <v>46276</v>
      </c>
      <c r="M63" s="36"/>
      <c r="N63" s="36"/>
      <c r="O63" s="36" t="s">
        <v>178</v>
      </c>
      <c r="P63" s="64" t="s">
        <v>41</v>
      </c>
      <c r="Q63" s="4">
        <v>46286</v>
      </c>
      <c r="R63" s="36"/>
      <c r="S63" s="36"/>
      <c r="T63" s="70"/>
      <c r="U63" s="33"/>
      <c r="V63" s="60">
        <v>46290</v>
      </c>
      <c r="W63" s="36"/>
      <c r="X63" s="36"/>
      <c r="Y63" s="36"/>
      <c r="Z63" s="53">
        <v>46295</v>
      </c>
      <c r="AA63" s="36"/>
      <c r="AB63" s="33"/>
      <c r="AC63" s="38"/>
      <c r="AD63" s="36"/>
      <c r="AE63" s="39"/>
      <c r="AF63" s="33"/>
      <c r="AG63" s="40" t="s">
        <v>47</v>
      </c>
      <c r="AH63" s="74" t="str">
        <f>IF($B63="","",IF(AND(LEFT($AG63,3)="Yes",SUMPRODUCT(('Rework Log'!$A$3:$A$500=$B63)*('Rework Log'!$G$3:$G$500&lt;&gt;"Yes")*('Rework Log'!$G$3:$G$500&lt;&gt;"Did not pass re-test"))=0),"Blocked - log it on Rework Log",IF(AND(LEFT($AG63,3)&lt;&gt;"Yes",SUMPRODUCT(('Rework Log'!$A$3:$A$500=$B63)*('Rework Log'!$G$3:$G$500&lt;&gt;"Yes")*('Rework Log'!$G$3:$G$500&lt;&gt;"Did not pass re-test"))&gt;0),"Open rework row - mark Blocked? or close it",IF(AND($AG63="Yes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H)",IF(AND($AG63="Yes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H)",IF(AND($AG63="Yes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target",IF(AND(AD63&lt;&gt;"",Z63&lt;&gt;"",AD63&lt;Z63),"Confirmed Deployed date is before DPO Approval target",""))))))))))))</f>
        <v/>
      </c>
      <c r="AI63" s="41"/>
    </row>
    <row r="64" spans="1:35" ht="14.45">
      <c r="A64" s="33" t="s">
        <v>114</v>
      </c>
      <c r="B64" s="33" t="s">
        <v>188</v>
      </c>
      <c r="C64" s="33" t="s">
        <v>181</v>
      </c>
      <c r="D64" t="str">
        <f ca="1">IF($B64="","",IF(LEFT($AG64,3)="Yes","Blocked - "&amp;MID($AG64,7,100)&amp;IF(SUMPRODUCT(('Rework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Dev",IF(Q64="","No target set",IF(AND(Q64&lt;TODAY(),S64=""),"Overdue","On track")),IF(C64="QA",IF(V64="","No target set",IF(AND(V64&lt;TODAY(),X64=""),"Overdue","On track")),IF(C64="DPO Approval",IF(Z64="","No target set",IF(Z64&lt;TODAY(),"Overdue","On track")),IF(C64="RELEASED IN PROD","Delivered",""))))))))</f>
        <v>On track</v>
      </c>
      <c r="E64" s="33">
        <v>40</v>
      </c>
      <c r="F64" s="34" t="s">
        <v>117</v>
      </c>
      <c r="G64" s="33"/>
      <c r="H64" s="50">
        <v>46295</v>
      </c>
      <c r="I64" s="56" t="s">
        <v>177</v>
      </c>
      <c r="J64" s="33" t="s">
        <v>96</v>
      </c>
      <c r="K64" s="4">
        <v>46276</v>
      </c>
      <c r="L64" s="36"/>
      <c r="M64" s="36"/>
      <c r="N64" s="36"/>
      <c r="O64" s="36" t="s">
        <v>178</v>
      </c>
      <c r="P64" s="64" t="s">
        <v>54</v>
      </c>
      <c r="Q64" s="4">
        <v>46286</v>
      </c>
      <c r="R64" s="36"/>
      <c r="S64" s="36"/>
      <c r="T64" s="70"/>
      <c r="U64" s="33"/>
      <c r="V64" s="60">
        <v>46290</v>
      </c>
      <c r="W64" s="36"/>
      <c r="X64" s="36"/>
      <c r="Y64" s="36"/>
      <c r="Z64" s="53">
        <v>46295</v>
      </c>
      <c r="AA64" s="36"/>
      <c r="AB64" s="33"/>
      <c r="AC64" s="38"/>
      <c r="AD64" s="36"/>
      <c r="AE64" s="39"/>
      <c r="AF64" s="33"/>
      <c r="AG64" s="40" t="s">
        <v>47</v>
      </c>
      <c r="AH64" s="74" t="str">
        <f>IF($B64="","",IF(AND(LEFT($AG64,3)="Yes",SUMPRODUCT(('Rework Log'!$A$3:$A$500=$B64)*('Rework Log'!$G$3:$G$500&lt;&gt;"Yes")*('Rework Log'!$G$3:$G$500&lt;&gt;"Did not pass re-test"))=0),"Blocked - log it on Rework Log",IF(AND(LEFT($AG64,3)&lt;&gt;"Yes",SUMPRODUCT(('Rework Log'!$A$3:$A$500=$B64)*('Rework Log'!$G$3:$G$500&lt;&gt;"Yes")*('Rework Log'!$G$3:$G$500&lt;&gt;"Did not pass re-test"))&gt;0),"Open rework row - mark Blocked? or close it",IF(AND($AG64="Yes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H)",IF(AND($AG64="Yes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H)",IF(AND($AG64="Yes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target",IF(AND(AD64&lt;&gt;"",Z64&lt;&gt;"",AD64&lt;Z64),"Confirmed Deployed date is before DPO Approval target",""))))))))))))</f>
        <v/>
      </c>
      <c r="AI64" s="41"/>
    </row>
    <row r="65" spans="1:35" ht="14.45">
      <c r="A65" s="33" t="s">
        <v>114</v>
      </c>
      <c r="B65" s="33" t="s">
        <v>189</v>
      </c>
      <c r="C65" s="33" t="s">
        <v>139</v>
      </c>
      <c r="D65" t="str">
        <f ca="1">IF($B65="","",IF(LEFT($AG65,3)="Yes","Blocked - "&amp;MID($AG65,7,100)&amp;IF(SUMPRODUCT(('Rework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Dev",IF(Q65="","No target set",IF(AND(Q65&lt;TODAY(),S65=""),"Overdue","On track")),IF(C65="QA",IF(V65="","No target set",IF(AND(V65&lt;TODAY(),X65=""),"Overdue","On track")),IF(C65="DPO Approval",IF(Z65="","No target set",IF(Z65&lt;TODAY(),"Overdue","On track")),IF(C65="RELEASED IN PROD","Delivered",""))))))))</f>
        <v>On track</v>
      </c>
      <c r="E65" s="33">
        <v>41</v>
      </c>
      <c r="F65" s="34" t="s">
        <v>117</v>
      </c>
      <c r="G65" s="33"/>
      <c r="H65" s="50">
        <v>46295</v>
      </c>
      <c r="I65" s="56" t="s">
        <v>177</v>
      </c>
      <c r="J65" s="33" t="s">
        <v>144</v>
      </c>
      <c r="K65" s="4">
        <v>46276</v>
      </c>
      <c r="L65" s="36"/>
      <c r="M65" s="36"/>
      <c r="N65" s="36"/>
      <c r="O65" s="36" t="s">
        <v>178</v>
      </c>
      <c r="P65" s="64" t="s">
        <v>71</v>
      </c>
      <c r="Q65" s="4">
        <v>46286</v>
      </c>
      <c r="R65" s="36"/>
      <c r="S65" s="36"/>
      <c r="T65" s="70"/>
      <c r="U65" s="33"/>
      <c r="V65" s="60">
        <v>46290</v>
      </c>
      <c r="W65" s="36"/>
      <c r="X65" s="36"/>
      <c r="Y65" s="36"/>
      <c r="Z65" s="53">
        <v>46295</v>
      </c>
      <c r="AA65" s="36"/>
      <c r="AB65" s="33"/>
      <c r="AC65" s="38"/>
      <c r="AD65" s="36"/>
      <c r="AE65" s="39"/>
      <c r="AF65" s="33"/>
      <c r="AG65" s="40" t="s">
        <v>47</v>
      </c>
      <c r="AH65" s="74" t="str">
        <f>IF($B65="","",IF(AND(LEFT($AG65,3)="Yes",SUMPRODUCT(('Rework Log'!$A$3:$A$500=$B65)*('Rework Log'!$G$3:$G$500&lt;&gt;"Yes")*('Rework Log'!$G$3:$G$500&lt;&gt;"Did not pass re-test"))=0),"Blocked - log it on Rework Log",IF(AND(LEFT($AG65,3)&lt;&gt;"Yes",SUMPRODUCT(('Rework Log'!$A$3:$A$500=$B65)*('Rework Log'!$G$3:$G$500&lt;&gt;"Yes")*('Rework Log'!$G$3:$G$500&lt;&gt;"Did not pass re-test"))&gt;0),"Open rework row - mark Blocked? or close it",IF(AND($AG65="Yes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H)",IF(AND($AG65="Yes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H)",IF(AND($AG65="Yes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target",IF(AND(AD65&lt;&gt;"",Z65&lt;&gt;"",AD65&lt;Z65),"Confirmed Deployed date is before DPO Approval target",""))))))))))))</f>
        <v/>
      </c>
      <c r="AI65" s="41"/>
    </row>
    <row r="66" spans="1:35" ht="14.45">
      <c r="A66" s="33" t="s">
        <v>114</v>
      </c>
      <c r="B66" s="33" t="s">
        <v>190</v>
      </c>
      <c r="C66" s="33" t="s">
        <v>181</v>
      </c>
      <c r="D66" t="str">
        <f ca="1">IF($B66="","",IF(LEFT($AG66,3)="Yes","Blocked - "&amp;MID($AG66,7,100)&amp;IF(SUMPRODUCT(('Rework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Dev",IF(Q66="","No target set",IF(AND(Q66&lt;TODAY(),S66=""),"Overdue","On track")),IF(C66="QA",IF(V66="","No target set",IF(AND(V66&lt;TODAY(),X66=""),"Overdue","On track")),IF(C66="DPO Approval",IF(Z66="","No target set",IF(Z66&lt;TODAY(),"Overdue","On track")),IF(C66="RELEASED IN PROD","Delivered",""))))))))</f>
        <v>On track</v>
      </c>
      <c r="E66" s="33">
        <v>42</v>
      </c>
      <c r="F66" s="34" t="s">
        <v>117</v>
      </c>
      <c r="G66" s="33"/>
      <c r="H66" s="50">
        <v>46295</v>
      </c>
      <c r="I66" s="56" t="s">
        <v>177</v>
      </c>
      <c r="J66" s="33" t="s">
        <v>39</v>
      </c>
      <c r="K66" s="4">
        <v>46276</v>
      </c>
      <c r="L66" s="36"/>
      <c r="M66" s="36"/>
      <c r="N66" s="36"/>
      <c r="O66" s="36" t="s">
        <v>178</v>
      </c>
      <c r="P66" s="64" t="s">
        <v>41</v>
      </c>
      <c r="Q66" s="4">
        <v>46286</v>
      </c>
      <c r="R66" s="36"/>
      <c r="S66" s="36"/>
      <c r="T66" s="70"/>
      <c r="U66" s="33"/>
      <c r="V66" s="60">
        <v>46290</v>
      </c>
      <c r="W66" s="36"/>
      <c r="X66" s="36"/>
      <c r="Y66" s="36"/>
      <c r="Z66" s="53">
        <v>46295</v>
      </c>
      <c r="AA66" s="36"/>
      <c r="AB66" s="33"/>
      <c r="AC66" s="38"/>
      <c r="AD66" s="36"/>
      <c r="AE66" s="39"/>
      <c r="AF66" s="33"/>
      <c r="AG66" s="40" t="s">
        <v>47</v>
      </c>
      <c r="AH66" s="74" t="str">
        <f>IF($B66="","",IF(AND(LEFT($AG66,3)="Yes",SUMPRODUCT(('Rework Log'!$A$3:$A$500=$B66)*('Rework Log'!$G$3:$G$500&lt;&gt;"Yes")*('Rework Log'!$G$3:$G$500&lt;&gt;"Did not pass re-test"))=0),"Blocked - log it on Rework Log",IF(AND(LEFT($AG66,3)&lt;&gt;"Yes",SUMPRODUCT(('Rework Log'!$A$3:$A$500=$B66)*('Rework Log'!$G$3:$G$500&lt;&gt;"Yes")*('Rework Log'!$G$3:$G$500&lt;&gt;"Did not pass re-test"))&gt;0),"Open rework row - mark Blocked? or close it",IF(AND($AG66="Yes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H)",IF(AND($AG66="Yes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H)",IF(AND($AG66="Yes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target",IF(AND(AD66&lt;&gt;"",Z66&lt;&gt;"",AD66&lt;Z66),"Confirmed Deployed date is before DPO Approval target",""))))))))))))</f>
        <v/>
      </c>
      <c r="AI66" s="41"/>
    </row>
    <row r="67" spans="1:35" ht="14.45">
      <c r="A67" s="33" t="s">
        <v>114</v>
      </c>
      <c r="B67" s="33" t="s">
        <v>191</v>
      </c>
      <c r="C67" s="33" t="s">
        <v>181</v>
      </c>
      <c r="D67" t="str">
        <f ca="1">IF($B67="","",IF(LEFT($AG67,3)="Yes","Blocked - "&amp;MID($AG67,7,100)&amp;IF(SUMPRODUCT(('Rework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Dev",IF(Q67="","No target set",IF(AND(Q67&lt;TODAY(),S67=""),"Overdue","On track")),IF(C67="QA",IF(V67="","No target set",IF(AND(V67&lt;TODAY(),X67=""),"Overdue","On track")),IF(C67="DPO Approval",IF(Z67="","No target set",IF(Z67&lt;TODAY(),"Overdue","On track")),IF(C67="RELEASED IN PROD","Delivered",""))))))))</f>
        <v>On track</v>
      </c>
      <c r="E67" s="33">
        <v>43</v>
      </c>
      <c r="F67" s="34" t="s">
        <v>117</v>
      </c>
      <c r="G67" s="33"/>
      <c r="H67" s="50">
        <v>46295</v>
      </c>
      <c r="I67" s="56" t="s">
        <v>177</v>
      </c>
      <c r="J67" s="33" t="s">
        <v>39</v>
      </c>
      <c r="K67" s="4">
        <v>46276</v>
      </c>
      <c r="L67" s="36"/>
      <c r="M67" s="36"/>
      <c r="N67" s="36"/>
      <c r="O67" s="36" t="s">
        <v>178</v>
      </c>
      <c r="P67" s="64" t="s">
        <v>54</v>
      </c>
      <c r="Q67" s="4">
        <v>46286</v>
      </c>
      <c r="R67" s="36">
        <v>46254</v>
      </c>
      <c r="S67" s="36"/>
      <c r="T67" s="70"/>
      <c r="U67" s="33"/>
      <c r="V67" s="60">
        <v>46290</v>
      </c>
      <c r="W67" s="36"/>
      <c r="X67" s="36"/>
      <c r="Y67" s="36"/>
      <c r="Z67" s="53">
        <v>46295</v>
      </c>
      <c r="AA67" s="36"/>
      <c r="AB67" s="33"/>
      <c r="AC67" s="38"/>
      <c r="AD67" s="36"/>
      <c r="AE67" s="39"/>
      <c r="AF67" s="33"/>
      <c r="AG67" s="40" t="s">
        <v>47</v>
      </c>
      <c r="AH67" s="74" t="str">
        <f>IF($B67="","",IF(AND(LEFT($AG67,3)="Yes",SUMPRODUCT(('Rework Log'!$A$3:$A$500=$B67)*('Rework Log'!$G$3:$G$500&lt;&gt;"Yes")*('Rework Log'!$G$3:$G$500&lt;&gt;"Did not pass re-test"))=0),"Blocked - log it on Rework Log",IF(AND(LEFT($AG67,3)&lt;&gt;"Yes",SUMPRODUCT(('Rework Log'!$A$3:$A$500=$B67)*('Rework Log'!$G$3:$G$500&lt;&gt;"Yes")*('Rework Log'!$G$3:$G$500&lt;&gt;"Did not pass re-test"))&gt;0),"Open rework row - mark Blocked? or close it",IF(AND($AG67="Yes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H)",IF(AND($AG67="Yes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H)",IF(AND($AG67="Yes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target",IF(AND(AD67&lt;&gt;"",Z67&lt;&gt;"",AD67&lt;Z67),"Confirmed Deployed date is before DPO Approval target",""))))))))))))</f>
        <v/>
      </c>
      <c r="AI67" s="41"/>
    </row>
    <row r="68" spans="1:35" ht="14.45">
      <c r="A68" s="33" t="s">
        <v>114</v>
      </c>
      <c r="B68" s="33" t="s">
        <v>192</v>
      </c>
      <c r="C68" s="33" t="s">
        <v>135</v>
      </c>
      <c r="D68" t="str">
        <f ca="1">IF($B68="","",IF(LEFT($AG68,3)="Yes","Blocked - "&amp;MID($AG68,7,100)&amp;IF(SUMPRODUCT(('Rework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Dev",IF(Q68="","No target set",IF(AND(Q68&lt;TODAY(),S68=""),"Overdue","On track")),IF(C68="QA",IF(V68="","No target set",IF(AND(V68&lt;TODAY(),X68=""),"Overdue","On track")),IF(C68="DPO Approval",IF(Z68="","No target set",IF(Z68&lt;TODAY(),"Overdue","On track")),IF(C68="RELEASED IN PROD","Delivered",""))))))))</f>
        <v>On track</v>
      </c>
      <c r="E68" s="33">
        <v>44</v>
      </c>
      <c r="F68" s="34" t="s">
        <v>117</v>
      </c>
      <c r="G68" s="33"/>
      <c r="H68" s="50">
        <v>46295</v>
      </c>
      <c r="I68" s="56" t="s">
        <v>177</v>
      </c>
      <c r="J68" s="33" t="s">
        <v>193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 t="s">
        <v>71</v>
      </c>
      <c r="Q68" s="4">
        <v>46286</v>
      </c>
      <c r="R68" s="36"/>
      <c r="S68" s="36"/>
      <c r="T68" s="70"/>
      <c r="U68" s="33"/>
      <c r="V68" s="60">
        <v>46290</v>
      </c>
      <c r="W68" s="36"/>
      <c r="X68" s="36"/>
      <c r="Y68" s="36"/>
      <c r="Z68" s="53">
        <v>46295</v>
      </c>
      <c r="AA68" s="36"/>
      <c r="AB68" s="33"/>
      <c r="AC68" s="38"/>
      <c r="AD68" s="36"/>
      <c r="AE68" s="39"/>
      <c r="AF68" s="33"/>
      <c r="AG68" s="40" t="s">
        <v>47</v>
      </c>
      <c r="AH68" s="74" t="str">
        <f>IF($B68="","",IF(AND(LEFT($AG68,3)="Yes",SUMPRODUCT(('Rework Log'!$A$3:$A$500=$B68)*('Rework Log'!$G$3:$G$500&lt;&gt;"Yes")*('Rework Log'!$G$3:$G$500&lt;&gt;"Did not pass re-test"))=0),"Blocked - log it on Rework Log",IF(AND(LEFT($AG68,3)&lt;&gt;"Yes",SUMPRODUCT(('Rework Log'!$A$3:$A$500=$B68)*('Rework Log'!$G$3:$G$500&lt;&gt;"Yes")*('Rework Log'!$G$3:$G$500&lt;&gt;"Did not pass re-test"))&gt;0),"Open rework row - mark Blocked? or close it",IF(AND($AG68="Yes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H)",IF(AND($AG68="Yes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H)",IF(AND($AG68="Yes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target",IF(AND(AD68&lt;&gt;"",Z68&lt;&gt;"",AD68&lt;Z68),"Confirmed Deployed date is before DPO Approval target",""))))))))))))</f>
        <v/>
      </c>
      <c r="AI68" s="41"/>
    </row>
    <row r="69" spans="1:35" ht="14.45">
      <c r="A69" s="33" t="s">
        <v>114</v>
      </c>
      <c r="B69" s="33" t="s">
        <v>194</v>
      </c>
      <c r="C69" s="33" t="s">
        <v>181</v>
      </c>
      <c r="D69" t="str">
        <f ca="1">IF($B69="","",IF(LEFT($AG69,3)="Yes","Blocked - "&amp;MID($AG69,7,100)&amp;IF(SUMPRODUCT(('Rework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Dev",IF(Q69="","No target set",IF(AND(Q69&lt;TODAY(),S69=""),"Overdue","On track")),IF(C69="QA",IF(V69="","No target set",IF(AND(V69&lt;TODAY(),X69=""),"Overdue","On track")),IF(C69="DPO Approval",IF(Z69="","No target set",IF(Z69&lt;TODAY(),"Overdue","On track")),IF(C69="RELEASED IN PROD","Delivered",""))))))))</f>
        <v>On track</v>
      </c>
      <c r="E69" s="33">
        <v>45</v>
      </c>
      <c r="F69" s="34" t="s">
        <v>132</v>
      </c>
      <c r="G69" s="33"/>
      <c r="H69" s="50">
        <v>46295</v>
      </c>
      <c r="I69" s="56" t="s">
        <v>177</v>
      </c>
      <c r="J69" s="33" t="s">
        <v>53</v>
      </c>
      <c r="K69" s="4">
        <v>46276</v>
      </c>
      <c r="L69" s="36"/>
      <c r="M69" s="36"/>
      <c r="N69" s="36"/>
      <c r="O69" s="36" t="s">
        <v>178</v>
      </c>
      <c r="P69" s="64" t="s">
        <v>41</v>
      </c>
      <c r="Q69" s="4">
        <v>46286</v>
      </c>
      <c r="R69" s="36"/>
      <c r="S69" s="36"/>
      <c r="T69" s="70"/>
      <c r="U69" s="33"/>
      <c r="V69" s="60">
        <v>46290</v>
      </c>
      <c r="W69" s="36"/>
      <c r="X69" s="36"/>
      <c r="Y69" s="36"/>
      <c r="Z69" s="53">
        <v>46295</v>
      </c>
      <c r="AA69" s="36"/>
      <c r="AB69" s="33"/>
      <c r="AC69" s="38"/>
      <c r="AD69" s="36"/>
      <c r="AE69" s="39"/>
      <c r="AF69" s="33"/>
      <c r="AG69" s="40" t="s">
        <v>47</v>
      </c>
      <c r="AH69" s="74" t="str">
        <f>IF($B69="","",IF(AND(LEFT($AG69,3)="Yes",SUMPRODUCT(('Rework Log'!$A$3:$A$500=$B69)*('Rework Log'!$G$3:$G$500&lt;&gt;"Yes")*('Rework Log'!$G$3:$G$500&lt;&gt;"Did not pass re-test"))=0),"Blocked - log it on Rework Log",IF(AND(LEFT($AG69,3)&lt;&gt;"Yes",SUMPRODUCT(('Rework Log'!$A$3:$A$500=$B69)*('Rework Log'!$G$3:$G$500&lt;&gt;"Yes")*('Rework Log'!$G$3:$G$500&lt;&gt;"Did not pass re-test"))&gt;0),"Open rework row - mark Blocked? or close it",IF(AND($AG69="Yes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H)",IF(AND($AG69="Yes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H)",IF(AND($AG69="Yes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target",IF(AND(AD69&lt;&gt;"",Z69&lt;&gt;"",AD69&lt;Z69),"Confirmed Deployed date is before DPO Approval target",""))))))))))))</f>
        <v/>
      </c>
      <c r="AI69" s="41"/>
    </row>
    <row r="70" spans="1:35" ht="14.45">
      <c r="A70" s="33" t="s">
        <v>114</v>
      </c>
      <c r="B70" s="33" t="s">
        <v>195</v>
      </c>
      <c r="C70" s="33" t="s">
        <v>181</v>
      </c>
      <c r="D70" t="str">
        <f ca="1">IF($B70="","",IF(LEFT($AG70,3)="Yes","Blocked - "&amp;MID($AG70,7,100)&amp;IF(SUMPRODUCT(('Rework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Dev",IF(Q70="","No target set",IF(AND(Q70&lt;TODAY(),S70=""),"Overdue","On track")),IF(C70="QA",IF(V70="","No target set",IF(AND(V70&lt;TODAY(),X70=""),"Overdue","On track")),IF(C70="DPO Approval",IF(Z70="","No target set",IF(Z70&lt;TODAY(),"Overdue","On track")),IF(C70="RELEASED IN PROD","Delivered",""))))))))</f>
        <v>On track</v>
      </c>
      <c r="E70" s="33">
        <v>46</v>
      </c>
      <c r="F70" s="34" t="s">
        <v>132</v>
      </c>
      <c r="G70" s="33"/>
      <c r="H70" s="50">
        <v>46295</v>
      </c>
      <c r="I70" s="56" t="s">
        <v>177</v>
      </c>
      <c r="J70" s="33" t="s">
        <v>107</v>
      </c>
      <c r="K70" s="4">
        <v>46276</v>
      </c>
      <c r="L70" s="36">
        <v>46262</v>
      </c>
      <c r="M70" s="36"/>
      <c r="N70" s="36"/>
      <c r="O70" s="36" t="s">
        <v>178</v>
      </c>
      <c r="P70" s="64" t="s">
        <v>41</v>
      </c>
      <c r="Q70" s="4">
        <v>46286</v>
      </c>
      <c r="R70" s="36"/>
      <c r="S70" s="36"/>
      <c r="T70" s="70"/>
      <c r="U70" s="33"/>
      <c r="V70" s="60">
        <v>46290</v>
      </c>
      <c r="W70" s="36"/>
      <c r="X70" s="36"/>
      <c r="Y70" s="36"/>
      <c r="Z70" s="53">
        <v>46295</v>
      </c>
      <c r="AA70" s="36"/>
      <c r="AB70" s="33"/>
      <c r="AC70" s="38"/>
      <c r="AD70" s="36"/>
      <c r="AE70" s="39"/>
      <c r="AF70" s="33"/>
      <c r="AG70" s="40" t="s">
        <v>47</v>
      </c>
      <c r="AH70" s="74" t="str">
        <f>IF($B70="","",IF(AND(LEFT($AG70,3)="Yes",SUMPRODUCT(('Rework Log'!$A$3:$A$500=$B70)*('Rework Log'!$G$3:$G$500&lt;&gt;"Yes")*('Rework Log'!$G$3:$G$500&lt;&gt;"Did not pass re-test"))=0),"Blocked - log it on Rework Log",IF(AND(LEFT($AG70,3)&lt;&gt;"Yes",SUMPRODUCT(('Rework Log'!$A$3:$A$500=$B70)*('Rework Log'!$G$3:$G$500&lt;&gt;"Yes")*('Rework Log'!$G$3:$G$500&lt;&gt;"Did not pass re-test"))&gt;0),"Open rework row - mark Blocked? or close it",IF(AND($AG70="Yes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H)",IF(AND($AG70="Yes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H)",IF(AND($AG70="Yes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target",IF(AND(AD70&lt;&gt;"",Z70&lt;&gt;"",AD70&lt;Z70),"Confirmed Deployed date is before DPO Approval target",""))))))))))))</f>
        <v/>
      </c>
      <c r="AI70" s="41"/>
    </row>
    <row r="71" spans="1:35" ht="14.45">
      <c r="A71" s="33" t="s">
        <v>114</v>
      </c>
      <c r="B71" s="33" t="s">
        <v>196</v>
      </c>
      <c r="C71" s="33" t="s">
        <v>181</v>
      </c>
      <c r="D71" t="str">
        <f ca="1">IF($B71="","",IF(LEFT($AG71,3)="Yes","Blocked - "&amp;MID($AG71,7,100)&amp;IF(SUMPRODUCT(('Rework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Dev",IF(Q71="","No target set",IF(AND(Q71&lt;TODAY(),S71=""),"Overdue","On track")),IF(C71="QA",IF(V71="","No target set",IF(AND(V71&lt;TODAY(),X71=""),"Overdue","On track")),IF(C71="DPO Approval",IF(Z71="","No target set",IF(Z71&lt;TODAY(),"Overdue","On track")),IF(C71="RELEASED IN PROD","Delivered",""))))))))</f>
        <v>On track</v>
      </c>
      <c r="E71" s="33">
        <v>47</v>
      </c>
      <c r="F71" s="34" t="s">
        <v>132</v>
      </c>
      <c r="G71" s="33"/>
      <c r="H71" s="50">
        <v>46295</v>
      </c>
      <c r="I71" s="56" t="s">
        <v>177</v>
      </c>
      <c r="J71" s="33" t="s">
        <v>39</v>
      </c>
      <c r="K71" s="4">
        <v>46276</v>
      </c>
      <c r="L71" s="36"/>
      <c r="M71" s="36"/>
      <c r="N71" s="36"/>
      <c r="O71" s="36" t="s">
        <v>178</v>
      </c>
      <c r="P71" s="64" t="s">
        <v>54</v>
      </c>
      <c r="Q71" s="4">
        <v>46286</v>
      </c>
      <c r="R71" s="36"/>
      <c r="S71" s="36"/>
      <c r="T71" s="70"/>
      <c r="U71" s="33"/>
      <c r="V71" s="60">
        <v>46290</v>
      </c>
      <c r="W71" s="36"/>
      <c r="X71" s="36"/>
      <c r="Y71" s="36"/>
      <c r="Z71" s="53">
        <v>46295</v>
      </c>
      <c r="AA71" s="36"/>
      <c r="AB71" s="33"/>
      <c r="AC71" s="38"/>
      <c r="AD71" s="36"/>
      <c r="AE71" s="39"/>
      <c r="AF71" s="33"/>
      <c r="AG71" s="40" t="s">
        <v>47</v>
      </c>
      <c r="AH71" s="74" t="str">
        <f>IF($B71="","",IF(AND(LEFT($AG71,3)="Yes",SUMPRODUCT(('Rework Log'!$A$3:$A$500=$B71)*('Rework Log'!$G$3:$G$500&lt;&gt;"Yes")*('Rework Log'!$G$3:$G$500&lt;&gt;"Did not pass re-test"))=0),"Blocked - log it on Rework Log",IF(AND(LEFT($AG71,3)&lt;&gt;"Yes",SUMPRODUCT(('Rework Log'!$A$3:$A$500=$B71)*('Rework Log'!$G$3:$G$500&lt;&gt;"Yes")*('Rework Log'!$G$3:$G$500&lt;&gt;"Did not pass re-test"))&gt;0),"Open rework row - mark Blocked? or close it",IF(AND($AG71="Yes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H)",IF(AND($AG71="Yes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H)",IF(AND($AG71="Yes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target",IF(AND(AD71&lt;&gt;"",Z71&lt;&gt;"",AD71&lt;Z71),"Confirmed Deployed date is before DPO Approval target",""))))))))))))</f>
        <v/>
      </c>
      <c r="AI71" s="41"/>
    </row>
    <row r="72" spans="1:35" ht="14.45">
      <c r="A72" s="33" t="s">
        <v>114</v>
      </c>
      <c r="B72" s="33" t="s">
        <v>197</v>
      </c>
      <c r="C72" s="33" t="s">
        <v>135</v>
      </c>
      <c r="D72" t="str">
        <f ca="1">IF($B72="","",IF(LEFT($AG72,3)="Yes","Blocked - "&amp;MID($AG72,7,100)&amp;IF(SUMPRODUCT(('Rework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Dev",IF(Q72="","No target set",IF(AND(Q72&lt;TODAY(),S72=""),"Overdue","On track")),IF(C72="QA",IF(V72="","No target set",IF(AND(V72&lt;TODAY(),X72=""),"Overdue","On track")),IF(C72="DPO Approval",IF(Z72="","No target set",IF(Z72&lt;TODAY(),"Overdue","On track")),IF(C72="RELEASED IN PROD","Delivered",""))))))))</f>
        <v>On track</v>
      </c>
      <c r="E72" s="33">
        <v>48</v>
      </c>
      <c r="F72" s="34" t="s">
        <v>117</v>
      </c>
      <c r="G72" s="33"/>
      <c r="H72" s="50">
        <v>46295</v>
      </c>
      <c r="I72" s="56" t="s">
        <v>177</v>
      </c>
      <c r="J72" s="33" t="s">
        <v>70</v>
      </c>
      <c r="K72" s="4">
        <v>46276</v>
      </c>
      <c r="L72" s="36">
        <v>46258</v>
      </c>
      <c r="M72" s="36">
        <v>46258</v>
      </c>
      <c r="N72" s="36"/>
      <c r="O72" s="36" t="s">
        <v>178</v>
      </c>
      <c r="P72" s="64" t="s">
        <v>71</v>
      </c>
      <c r="Q72" s="4">
        <v>46286</v>
      </c>
      <c r="R72" s="36"/>
      <c r="S72" s="36"/>
      <c r="T72" s="70"/>
      <c r="U72" s="33"/>
      <c r="V72" s="60">
        <v>46290</v>
      </c>
      <c r="W72" s="36"/>
      <c r="X72" s="36"/>
      <c r="Y72" s="36"/>
      <c r="Z72" s="53">
        <v>46295</v>
      </c>
      <c r="AA72" s="36"/>
      <c r="AB72" s="33"/>
      <c r="AC72" s="38"/>
      <c r="AD72" s="36"/>
      <c r="AE72" s="39"/>
      <c r="AF72" s="33"/>
      <c r="AG72" s="40" t="s">
        <v>47</v>
      </c>
      <c r="AH72" s="74" t="str">
        <f>IF($B72="","",IF(AND(LEFT($AG72,3)="Yes",SUMPRODUCT(('Rework Log'!$A$3:$A$500=$B72)*('Rework Log'!$G$3:$G$500&lt;&gt;"Yes")*('Rework Log'!$G$3:$G$500&lt;&gt;"Did not pass re-test"))=0),"Blocked - log it on Rework Log",IF(AND(LEFT($AG72,3)&lt;&gt;"Yes",SUMPRODUCT(('Rework Log'!$A$3:$A$500=$B72)*('Rework Log'!$G$3:$G$500&lt;&gt;"Yes")*('Rework Log'!$G$3:$G$500&lt;&gt;"Did not pass re-test"))&gt;0),"Open rework row - mark Blocked? or close it",IF(AND($AG72="Yes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H)",IF(AND($AG72="Yes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H)",IF(AND($AG72="Yes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target",IF(AND(AD72&lt;&gt;"",Z72&lt;&gt;"",AD72&lt;Z72),"Confirmed Deployed date is before DPO Approval target",""))))))))))))</f>
        <v/>
      </c>
      <c r="AI72" s="41"/>
    </row>
    <row r="73" spans="1:35" ht="14.45">
      <c r="A73" s="31" t="s">
        <v>114</v>
      </c>
      <c r="B73" s="31" t="s">
        <v>198</v>
      </c>
      <c r="C73" s="31" t="s">
        <v>181</v>
      </c>
      <c r="D73" s="3"/>
      <c r="E73" s="31">
        <v>49</v>
      </c>
      <c r="F73" s="31"/>
      <c r="G73" s="31"/>
      <c r="H73" s="50">
        <v>46325</v>
      </c>
      <c r="I73" s="57" t="s">
        <v>199</v>
      </c>
      <c r="J73" s="31" t="s">
        <v>70</v>
      </c>
      <c r="K73" s="51"/>
      <c r="L73" s="43"/>
      <c r="M73" s="44"/>
      <c r="N73" s="44"/>
      <c r="O73" s="44" t="s">
        <v>178</v>
      </c>
      <c r="P73" s="67"/>
      <c r="Q73" s="51"/>
      <c r="R73" s="43"/>
      <c r="S73" s="44"/>
      <c r="T73" s="71"/>
      <c r="U73" s="31"/>
      <c r="W73" s="43"/>
      <c r="X73" s="31"/>
      <c r="Y73" s="31"/>
      <c r="AA73" s="43"/>
      <c r="AB73" s="31"/>
      <c r="AC73" s="31"/>
      <c r="AD73" s="31"/>
      <c r="AE73" s="31"/>
      <c r="AF73" s="31"/>
      <c r="AG73" s="31"/>
      <c r="AH73" s="31"/>
      <c r="AI73" s="31"/>
    </row>
    <row r="74" spans="1:35">
      <c r="A74" s="31" t="s">
        <v>114</v>
      </c>
      <c r="B74" s="31" t="s">
        <v>200</v>
      </c>
      <c r="C74" s="31" t="s">
        <v>181</v>
      </c>
      <c r="D74" s="3"/>
      <c r="E74" s="31">
        <v>50</v>
      </c>
      <c r="F74" s="31"/>
      <c r="G74" s="31"/>
      <c r="H74" s="50">
        <v>46325</v>
      </c>
      <c r="I74" s="57" t="s">
        <v>199</v>
      </c>
      <c r="J74" s="55"/>
      <c r="K74" s="51"/>
      <c r="L74" s="43"/>
      <c r="M74" s="44"/>
      <c r="N74" s="44"/>
      <c r="O74" s="44"/>
      <c r="P74" s="76"/>
      <c r="Q74" s="51"/>
      <c r="R74" s="43"/>
      <c r="S74" s="44"/>
      <c r="T74" s="70"/>
      <c r="U74" s="47"/>
      <c r="W74" s="43"/>
      <c r="X74" s="31"/>
      <c r="Y74" s="36"/>
      <c r="AA74" s="43"/>
      <c r="AB74" s="31"/>
      <c r="AC74" s="31"/>
      <c r="AD74" s="31"/>
      <c r="AE74" s="31"/>
      <c r="AF74" s="31"/>
      <c r="AG74" s="31"/>
      <c r="AH74" s="31"/>
      <c r="AI74" s="31"/>
    </row>
    <row r="75" spans="1:35" ht="14.45">
      <c r="A75" s="31" t="s">
        <v>114</v>
      </c>
      <c r="B75" s="31" t="s">
        <v>201</v>
      </c>
      <c r="C75" s="31" t="s">
        <v>181</v>
      </c>
      <c r="D75" s="3"/>
      <c r="E75" s="31">
        <v>51</v>
      </c>
      <c r="F75" s="31"/>
      <c r="G75" s="31"/>
      <c r="H75" s="50">
        <v>46325</v>
      </c>
      <c r="I75" s="57" t="s">
        <v>199</v>
      </c>
      <c r="J75" s="55"/>
      <c r="K75" s="51"/>
      <c r="L75" s="43"/>
      <c r="M75" s="44"/>
      <c r="N75" s="44"/>
      <c r="O75" s="36"/>
      <c r="P75" s="76"/>
      <c r="Q75" s="51"/>
      <c r="R75" s="43"/>
      <c r="S75" s="44"/>
      <c r="T75" s="70"/>
      <c r="U75" s="47"/>
      <c r="W75" s="43"/>
      <c r="X75" s="31"/>
      <c r="Y75" s="36"/>
      <c r="AA75" s="43"/>
      <c r="AB75" s="31"/>
      <c r="AC75" s="31"/>
      <c r="AD75" s="31"/>
      <c r="AE75" s="31"/>
      <c r="AF75" s="31"/>
      <c r="AG75" s="31"/>
      <c r="AH75" s="31"/>
      <c r="AI75" s="31"/>
    </row>
    <row r="76" spans="1:35" ht="14.45">
      <c r="A76" s="31" t="s">
        <v>114</v>
      </c>
      <c r="B76" s="31" t="s">
        <v>202</v>
      </c>
      <c r="C76" s="31" t="s">
        <v>181</v>
      </c>
      <c r="D76" s="3"/>
      <c r="E76" s="31">
        <v>52</v>
      </c>
      <c r="F76" s="31"/>
      <c r="G76" s="31"/>
      <c r="H76" s="50">
        <v>46325</v>
      </c>
      <c r="I76" s="57" t="s">
        <v>199</v>
      </c>
      <c r="J76" s="55"/>
      <c r="K76" s="51"/>
      <c r="L76" s="43"/>
      <c r="M76" s="44"/>
      <c r="N76" s="44"/>
      <c r="O76" s="36"/>
      <c r="P76" s="76"/>
      <c r="Q76" s="51"/>
      <c r="R76" s="43"/>
      <c r="S76" s="44"/>
      <c r="T76" s="70"/>
      <c r="U76" s="47"/>
      <c r="W76" s="43"/>
      <c r="X76" s="31"/>
      <c r="Y76" s="36"/>
      <c r="AA76" s="43"/>
      <c r="AB76" s="31"/>
      <c r="AC76" s="31"/>
      <c r="AD76" s="31"/>
      <c r="AE76" s="31"/>
      <c r="AF76" s="31"/>
      <c r="AG76" s="31"/>
      <c r="AH76" s="31"/>
      <c r="AI76" s="31"/>
    </row>
    <row r="77" spans="1:35" ht="14.45">
      <c r="A77" s="31" t="s">
        <v>114</v>
      </c>
      <c r="B77" s="31" t="s">
        <v>203</v>
      </c>
      <c r="C77" s="31" t="s">
        <v>181</v>
      </c>
      <c r="D77" s="3"/>
      <c r="E77" s="31">
        <v>53</v>
      </c>
      <c r="F77" s="31"/>
      <c r="G77" s="31"/>
      <c r="H77" s="50">
        <v>46325</v>
      </c>
      <c r="I77" s="57" t="s">
        <v>199</v>
      </c>
      <c r="J77" s="55"/>
      <c r="K77" s="51"/>
      <c r="L77" s="43"/>
      <c r="M77" s="44"/>
      <c r="N77" s="44"/>
      <c r="O77" s="36"/>
      <c r="P77" s="76"/>
      <c r="Q77" s="51"/>
      <c r="R77" s="43"/>
      <c r="S77" s="44"/>
      <c r="T77" s="70"/>
      <c r="U77" s="47"/>
      <c r="W77" s="43"/>
      <c r="X77" s="31"/>
      <c r="Y77" s="36"/>
      <c r="AA77" s="43"/>
      <c r="AB77" s="31"/>
      <c r="AC77" s="31"/>
      <c r="AD77" s="31"/>
      <c r="AE77" s="31"/>
      <c r="AF77" s="31"/>
      <c r="AG77" s="31"/>
      <c r="AH77" s="31"/>
      <c r="AI77" s="31"/>
    </row>
    <row r="78" spans="1:35" ht="14.45">
      <c r="A78" s="31" t="s">
        <v>114</v>
      </c>
      <c r="B78" s="31" t="s">
        <v>204</v>
      </c>
      <c r="C78" s="31" t="s">
        <v>181</v>
      </c>
      <c r="D78" s="3"/>
      <c r="E78" s="31">
        <v>54</v>
      </c>
      <c r="F78" s="31"/>
      <c r="G78" s="31"/>
      <c r="H78" s="50">
        <v>46325</v>
      </c>
      <c r="I78" s="57" t="s">
        <v>199</v>
      </c>
      <c r="J78" s="55" t="s">
        <v>39</v>
      </c>
      <c r="K78" s="51"/>
      <c r="L78" s="43"/>
      <c r="M78" s="44"/>
      <c r="N78" s="44"/>
      <c r="O78" s="36"/>
      <c r="P78" s="76"/>
      <c r="Q78" s="51"/>
      <c r="R78" s="43"/>
      <c r="S78" s="44"/>
      <c r="T78" s="70"/>
      <c r="U78" s="47"/>
      <c r="W78" s="43"/>
      <c r="X78" s="31"/>
      <c r="Y78" s="36"/>
      <c r="AA78" s="43"/>
      <c r="AB78" s="31"/>
      <c r="AC78" s="31"/>
      <c r="AD78" s="31"/>
      <c r="AE78" s="31"/>
      <c r="AF78" s="31"/>
      <c r="AG78" s="31"/>
      <c r="AH78" s="31"/>
      <c r="AI78" s="31"/>
    </row>
    <row r="79" spans="1:35" ht="14.45">
      <c r="A79" s="31" t="s">
        <v>114</v>
      </c>
      <c r="B79" s="31" t="s">
        <v>205</v>
      </c>
      <c r="C79" s="31" t="s">
        <v>181</v>
      </c>
      <c r="D79" s="3"/>
      <c r="E79" s="31">
        <v>55</v>
      </c>
      <c r="F79" s="31"/>
      <c r="G79" s="31"/>
      <c r="H79" s="50">
        <v>46325</v>
      </c>
      <c r="I79" s="57" t="s">
        <v>199</v>
      </c>
      <c r="J79" s="55"/>
      <c r="K79" s="51"/>
      <c r="L79" s="43"/>
      <c r="M79" s="44"/>
      <c r="N79" s="44"/>
      <c r="O79" s="36"/>
      <c r="P79" s="76"/>
      <c r="Q79" s="51"/>
      <c r="R79" s="43"/>
      <c r="S79" s="44"/>
      <c r="T79" s="70"/>
      <c r="U79" s="47"/>
      <c r="W79" s="43"/>
      <c r="X79" s="31"/>
      <c r="Y79" s="36"/>
      <c r="AA79" s="43"/>
      <c r="AB79" s="31"/>
      <c r="AC79" s="31"/>
      <c r="AD79" s="31"/>
      <c r="AE79" s="31"/>
      <c r="AF79" s="31"/>
      <c r="AG79" s="31"/>
      <c r="AH79" s="31"/>
      <c r="AI79" s="31"/>
    </row>
    <row r="80" spans="1:35" ht="14.45">
      <c r="A80" s="31" t="s">
        <v>114</v>
      </c>
      <c r="B80" s="31" t="s">
        <v>206</v>
      </c>
      <c r="C80" s="31" t="s">
        <v>181</v>
      </c>
      <c r="D80" s="3"/>
      <c r="E80" s="31">
        <v>56</v>
      </c>
      <c r="F80" s="31"/>
      <c r="G80" s="31"/>
      <c r="H80" s="50">
        <v>46325</v>
      </c>
      <c r="I80" s="57" t="s">
        <v>199</v>
      </c>
      <c r="J80" s="55"/>
      <c r="K80" s="51"/>
      <c r="L80" s="43"/>
      <c r="M80" s="44"/>
      <c r="N80" s="44"/>
      <c r="O80" s="36"/>
      <c r="P80" s="76"/>
      <c r="Q80" s="51"/>
      <c r="R80" s="43"/>
      <c r="S80" s="44"/>
      <c r="T80" s="70"/>
      <c r="U80" s="47"/>
      <c r="W80" s="43"/>
      <c r="X80" s="31"/>
      <c r="Y80" s="36"/>
      <c r="AA80" s="43"/>
      <c r="AB80" s="31"/>
      <c r="AC80" s="31"/>
      <c r="AD80" s="31"/>
      <c r="AE80" s="31"/>
      <c r="AF80" s="31"/>
      <c r="AG80" s="31"/>
      <c r="AH80" s="31"/>
      <c r="AI80" s="31"/>
    </row>
    <row r="81" spans="1:35" ht="14.45">
      <c r="A81" s="31" t="s">
        <v>114</v>
      </c>
      <c r="B81" s="31" t="s">
        <v>207</v>
      </c>
      <c r="C81" s="31" t="s">
        <v>181</v>
      </c>
      <c r="D81" s="3"/>
      <c r="E81" s="31">
        <v>57</v>
      </c>
      <c r="F81" s="31"/>
      <c r="G81" s="31"/>
      <c r="H81" s="50">
        <v>46325</v>
      </c>
      <c r="I81" s="57" t="s">
        <v>199</v>
      </c>
      <c r="J81" s="55"/>
      <c r="K81" s="51"/>
      <c r="L81" s="43"/>
      <c r="M81" s="44"/>
      <c r="N81" s="44"/>
      <c r="O81" s="36"/>
      <c r="P81" s="76"/>
      <c r="Q81" s="51"/>
      <c r="R81" s="43"/>
      <c r="S81" s="44"/>
      <c r="T81" s="70"/>
      <c r="U81" s="47"/>
      <c r="W81" s="43"/>
      <c r="X81" s="31"/>
      <c r="Y81" s="36"/>
      <c r="AA81" s="43"/>
      <c r="AB81" s="31"/>
      <c r="AC81" s="31"/>
      <c r="AD81" s="31"/>
      <c r="AE81" s="31"/>
      <c r="AF81" s="31"/>
      <c r="AG81" s="31"/>
      <c r="AH81" s="31"/>
      <c r="AI81" s="31"/>
    </row>
    <row r="82" spans="1:35" ht="14.45">
      <c r="A82" s="31" t="s">
        <v>114</v>
      </c>
      <c r="B82" s="31" t="s">
        <v>208</v>
      </c>
      <c r="C82" s="31" t="s">
        <v>181</v>
      </c>
      <c r="D82" s="3"/>
      <c r="E82" s="31">
        <v>58</v>
      </c>
      <c r="F82" s="31"/>
      <c r="G82" s="31"/>
      <c r="H82" s="50">
        <v>46325</v>
      </c>
      <c r="I82" s="57" t="s">
        <v>199</v>
      </c>
      <c r="J82" s="55"/>
      <c r="K82" s="51"/>
      <c r="L82" s="43"/>
      <c r="M82" s="44"/>
      <c r="N82" s="44"/>
      <c r="O82" s="36"/>
      <c r="P82" s="76"/>
      <c r="Q82" s="51"/>
      <c r="R82" s="43"/>
      <c r="S82" s="44"/>
      <c r="T82" s="70"/>
      <c r="U82" s="47"/>
      <c r="W82" s="43"/>
      <c r="X82" s="31"/>
      <c r="Y82" s="36"/>
      <c r="AA82" s="43"/>
      <c r="AB82" s="31"/>
      <c r="AC82" s="31"/>
      <c r="AD82" s="31"/>
      <c r="AE82" s="31"/>
      <c r="AF82" s="31"/>
      <c r="AG82" s="31"/>
      <c r="AH82" s="31"/>
      <c r="AI82" s="31"/>
    </row>
    <row r="83" spans="1:35" ht="14.45">
      <c r="A83" s="31" t="s">
        <v>114</v>
      </c>
      <c r="B83" s="31" t="s">
        <v>209</v>
      </c>
      <c r="C83" s="31" t="s">
        <v>181</v>
      </c>
      <c r="D83" s="3"/>
      <c r="E83" s="31">
        <v>59</v>
      </c>
      <c r="F83" s="31"/>
      <c r="G83" s="31"/>
      <c r="H83" s="50">
        <v>46325</v>
      </c>
      <c r="I83" s="57" t="s">
        <v>199</v>
      </c>
      <c r="J83" s="55"/>
      <c r="K83" s="51"/>
      <c r="L83" s="43"/>
      <c r="M83" s="44"/>
      <c r="N83" s="44"/>
      <c r="O83" s="36"/>
      <c r="P83" s="76"/>
      <c r="Q83" s="51"/>
      <c r="R83" s="43"/>
      <c r="S83" s="44"/>
      <c r="T83" s="70"/>
      <c r="U83" s="47"/>
      <c r="W83" s="43"/>
      <c r="X83" s="31"/>
      <c r="Y83" s="36"/>
      <c r="AA83" s="43"/>
      <c r="AB83" s="31"/>
      <c r="AC83" s="31"/>
      <c r="AD83" s="31"/>
      <c r="AE83" s="31"/>
      <c r="AF83" s="31"/>
      <c r="AG83" s="31"/>
      <c r="AH83" s="31"/>
      <c r="AI83" s="31"/>
    </row>
    <row r="84" spans="1:35" ht="14.45">
      <c r="A84" s="31" t="s">
        <v>114</v>
      </c>
      <c r="B84" s="31" t="s">
        <v>210</v>
      </c>
      <c r="C84" s="31" t="s">
        <v>181</v>
      </c>
      <c r="D84" s="3"/>
      <c r="E84" s="31">
        <v>60</v>
      </c>
      <c r="F84" s="31"/>
      <c r="G84" s="31"/>
      <c r="H84" s="50">
        <v>46325</v>
      </c>
      <c r="I84" s="57" t="s">
        <v>199</v>
      </c>
      <c r="J84" s="55"/>
      <c r="K84" s="51"/>
      <c r="L84" s="43"/>
      <c r="M84" s="44"/>
      <c r="N84" s="44"/>
      <c r="O84" s="36"/>
      <c r="P84" s="76"/>
      <c r="Q84" s="51"/>
      <c r="R84" s="43"/>
      <c r="S84" s="44"/>
      <c r="T84" s="70"/>
      <c r="U84" s="47"/>
      <c r="W84" s="43"/>
      <c r="X84" s="31"/>
      <c r="Y84" s="36"/>
      <c r="AA84" s="43"/>
      <c r="AB84" s="31"/>
      <c r="AC84" s="31"/>
      <c r="AD84" s="31"/>
      <c r="AE84" s="31"/>
      <c r="AF84" s="31"/>
      <c r="AG84" s="31"/>
      <c r="AH84" s="31"/>
      <c r="AI84" s="31"/>
    </row>
    <row r="85" spans="1:35" ht="14.45">
      <c r="A85" s="31" t="s">
        <v>114</v>
      </c>
      <c r="B85" s="31" t="s">
        <v>211</v>
      </c>
      <c r="C85" s="31" t="s">
        <v>181</v>
      </c>
      <c r="D85" s="3"/>
      <c r="E85" s="31" t="s">
        <v>212</v>
      </c>
      <c r="F85" s="31"/>
      <c r="G85" s="31"/>
      <c r="H85" s="50">
        <v>46325</v>
      </c>
      <c r="I85" s="57" t="s">
        <v>199</v>
      </c>
      <c r="J85" s="55"/>
      <c r="K85" s="51"/>
      <c r="L85" s="43"/>
      <c r="M85" s="44"/>
      <c r="N85" s="44"/>
      <c r="O85" s="36"/>
      <c r="P85" s="76"/>
      <c r="Q85" s="51"/>
      <c r="R85" s="43"/>
      <c r="S85" s="44"/>
      <c r="T85" s="70"/>
      <c r="U85" s="47"/>
      <c r="W85" s="43"/>
      <c r="X85" s="31"/>
      <c r="Y85" s="36"/>
      <c r="AA85" s="43"/>
      <c r="AB85" s="31"/>
      <c r="AC85" s="31"/>
      <c r="AD85" s="31"/>
      <c r="AE85" s="31"/>
      <c r="AF85" s="31"/>
      <c r="AG85" s="31"/>
      <c r="AH85" s="31"/>
      <c r="AI85" s="31"/>
    </row>
    <row r="86" spans="1:35" ht="14.45">
      <c r="A86" s="31" t="s">
        <v>114</v>
      </c>
      <c r="B86" s="31" t="s">
        <v>213</v>
      </c>
      <c r="C86" s="31" t="s">
        <v>181</v>
      </c>
      <c r="D86" s="77"/>
      <c r="E86" s="31">
        <v>67</v>
      </c>
      <c r="F86" s="31"/>
      <c r="G86" s="31"/>
      <c r="H86" s="50">
        <v>46356</v>
      </c>
      <c r="I86" s="57" t="s">
        <v>214</v>
      </c>
      <c r="J86" s="55"/>
      <c r="K86" s="51"/>
      <c r="L86" s="43"/>
      <c r="M86" s="44"/>
      <c r="N86" s="44"/>
      <c r="O86" s="36"/>
      <c r="P86" s="76"/>
      <c r="Q86" s="51"/>
      <c r="R86" s="43"/>
      <c r="S86" s="44"/>
      <c r="T86" s="70"/>
      <c r="U86" s="47"/>
      <c r="W86" s="43"/>
      <c r="X86" s="31"/>
      <c r="Y86" s="36"/>
      <c r="AA86" s="43"/>
      <c r="AB86" s="31"/>
      <c r="AC86" s="31"/>
      <c r="AD86" s="31"/>
      <c r="AE86" s="31"/>
      <c r="AF86" s="31"/>
      <c r="AG86" s="31"/>
      <c r="AH86" s="31"/>
      <c r="AI86" s="31"/>
    </row>
    <row r="87" spans="1:35" ht="14.45">
      <c r="A87" s="31" t="s">
        <v>114</v>
      </c>
      <c r="B87" s="31" t="s">
        <v>215</v>
      </c>
      <c r="C87" s="31" t="s">
        <v>181</v>
      </c>
      <c r="D87" s="77"/>
      <c r="E87" s="31">
        <v>68</v>
      </c>
      <c r="F87" s="31"/>
      <c r="G87" s="31"/>
      <c r="H87" s="50">
        <v>46356</v>
      </c>
      <c r="I87" s="57" t="s">
        <v>214</v>
      </c>
      <c r="J87" s="55"/>
      <c r="K87" s="51"/>
      <c r="L87" s="43"/>
      <c r="M87" s="44"/>
      <c r="N87" s="44"/>
      <c r="O87" s="36"/>
      <c r="P87" s="76"/>
      <c r="Q87" s="51"/>
      <c r="R87" s="43"/>
      <c r="S87" s="44"/>
      <c r="T87" s="70"/>
      <c r="U87" s="47"/>
      <c r="W87" s="43"/>
      <c r="X87" s="31"/>
      <c r="Y87" s="36"/>
      <c r="AA87" s="43"/>
      <c r="AB87" s="31"/>
      <c r="AC87" s="31"/>
      <c r="AD87" s="31"/>
      <c r="AE87" s="31"/>
      <c r="AF87" s="31"/>
      <c r="AG87" s="31"/>
      <c r="AH87" s="31"/>
      <c r="AI87" s="31"/>
    </row>
    <row r="88" spans="1:35" ht="14.45">
      <c r="A88" s="31" t="s">
        <v>114</v>
      </c>
      <c r="B88" s="31" t="s">
        <v>216</v>
      </c>
      <c r="C88" s="31" t="s">
        <v>181</v>
      </c>
      <c r="D88" s="77"/>
      <c r="E88" s="31">
        <v>69</v>
      </c>
      <c r="F88" s="31"/>
      <c r="G88" s="31"/>
      <c r="H88" s="50">
        <v>46356</v>
      </c>
      <c r="I88" s="57" t="s">
        <v>214</v>
      </c>
      <c r="J88" s="55"/>
      <c r="K88" s="51"/>
      <c r="L88" s="43"/>
      <c r="M88" s="44"/>
      <c r="N88" s="44"/>
      <c r="O88" s="36"/>
      <c r="P88" s="76"/>
      <c r="Q88" s="51"/>
      <c r="R88" s="43"/>
      <c r="S88" s="44"/>
      <c r="T88" s="70"/>
      <c r="U88" s="47"/>
      <c r="W88" s="43"/>
      <c r="X88" s="31"/>
      <c r="Y88" s="36"/>
      <c r="AA88" s="43"/>
      <c r="AB88" s="31"/>
      <c r="AC88" s="31"/>
      <c r="AD88" s="31"/>
      <c r="AE88" s="31"/>
      <c r="AF88" s="31"/>
      <c r="AG88" s="31"/>
      <c r="AH88" s="31"/>
      <c r="AI88" s="31"/>
    </row>
    <row r="89" spans="1:35" ht="14.45">
      <c r="A89" s="31" t="s">
        <v>114</v>
      </c>
      <c r="B89" s="31" t="s">
        <v>217</v>
      </c>
      <c r="C89" s="31" t="s">
        <v>181</v>
      </c>
      <c r="D89" s="77"/>
      <c r="E89" s="31">
        <v>70</v>
      </c>
      <c r="F89" s="31"/>
      <c r="G89" s="31"/>
      <c r="H89" s="50">
        <v>46356</v>
      </c>
      <c r="I89" s="57" t="s">
        <v>214</v>
      </c>
      <c r="J89" s="55"/>
      <c r="K89" s="51"/>
      <c r="L89" s="43"/>
      <c r="M89" s="44"/>
      <c r="N89" s="44"/>
      <c r="O89" s="36"/>
      <c r="P89" s="76"/>
      <c r="Q89" s="51"/>
      <c r="R89" s="43"/>
      <c r="S89" s="44"/>
      <c r="T89" s="70"/>
      <c r="U89" s="47"/>
      <c r="W89" s="43"/>
      <c r="X89" s="31"/>
      <c r="Y89" s="36"/>
      <c r="AA89" s="43"/>
      <c r="AB89" s="31"/>
      <c r="AC89" s="31"/>
      <c r="AD89" s="31"/>
      <c r="AE89" s="31"/>
      <c r="AF89" s="31"/>
      <c r="AG89" s="31"/>
      <c r="AH89" s="31"/>
      <c r="AI89" s="31"/>
    </row>
    <row r="90" spans="1:35" ht="14.45">
      <c r="A90" s="31" t="s">
        <v>114</v>
      </c>
      <c r="B90" s="31" t="s">
        <v>218</v>
      </c>
      <c r="C90" s="31" t="s">
        <v>181</v>
      </c>
      <c r="D90" s="77"/>
      <c r="E90" s="31">
        <v>71</v>
      </c>
      <c r="F90" s="31"/>
      <c r="G90" s="31"/>
      <c r="H90" s="50">
        <v>46356</v>
      </c>
      <c r="I90" s="57" t="s">
        <v>214</v>
      </c>
      <c r="J90" s="55"/>
      <c r="K90" s="51"/>
      <c r="L90" s="43"/>
      <c r="M90" s="44"/>
      <c r="N90" s="44"/>
      <c r="O90" s="36"/>
      <c r="P90" s="76"/>
      <c r="Q90" s="51"/>
      <c r="R90" s="43"/>
      <c r="S90" s="44"/>
      <c r="T90" s="70"/>
      <c r="U90" s="47"/>
      <c r="W90" s="43"/>
      <c r="X90" s="31"/>
      <c r="Y90" s="36"/>
      <c r="AA90" s="43"/>
      <c r="AB90" s="31"/>
      <c r="AC90" s="31"/>
      <c r="AD90" s="31"/>
      <c r="AE90" s="31"/>
      <c r="AF90" s="31"/>
      <c r="AG90" s="31"/>
      <c r="AH90" s="31"/>
      <c r="AI90" s="31"/>
    </row>
    <row r="91" spans="1:35" ht="14.45">
      <c r="A91" s="31" t="s">
        <v>114</v>
      </c>
      <c r="B91" s="31" t="s">
        <v>219</v>
      </c>
      <c r="C91" s="31" t="s">
        <v>181</v>
      </c>
      <c r="D91" s="77"/>
      <c r="E91" s="31">
        <v>72</v>
      </c>
      <c r="F91" s="31"/>
      <c r="G91" s="31"/>
      <c r="H91" s="50">
        <v>46356</v>
      </c>
      <c r="I91" s="57" t="s">
        <v>214</v>
      </c>
      <c r="J91" s="55"/>
      <c r="K91" s="51"/>
      <c r="L91" s="43"/>
      <c r="M91" s="44"/>
      <c r="N91" s="44"/>
      <c r="O91" s="36"/>
      <c r="P91" s="76"/>
      <c r="Q91" s="51"/>
      <c r="R91" s="43"/>
      <c r="S91" s="44"/>
      <c r="T91" s="70"/>
      <c r="U91" s="47"/>
      <c r="W91" s="43"/>
      <c r="X91" s="31"/>
      <c r="Y91" s="36"/>
      <c r="AA91" s="43"/>
      <c r="AB91" s="31"/>
      <c r="AC91" s="31"/>
      <c r="AD91" s="31"/>
      <c r="AE91" s="31"/>
      <c r="AF91" s="31"/>
      <c r="AG91" s="31"/>
      <c r="AH91" s="31"/>
      <c r="AI91" s="31"/>
    </row>
    <row r="92" spans="1:35" ht="14.45">
      <c r="A92" s="31" t="s">
        <v>114</v>
      </c>
      <c r="B92" s="31" t="s">
        <v>220</v>
      </c>
      <c r="C92" s="31" t="s">
        <v>181</v>
      </c>
      <c r="D92" s="77"/>
      <c r="E92" s="31">
        <v>73</v>
      </c>
      <c r="F92" s="31"/>
      <c r="G92" s="31"/>
      <c r="H92" s="50">
        <v>46356</v>
      </c>
      <c r="I92" s="57" t="s">
        <v>214</v>
      </c>
      <c r="J92" s="55"/>
      <c r="K92" s="51"/>
      <c r="L92" s="43"/>
      <c r="M92" s="44"/>
      <c r="N92" s="44"/>
      <c r="O92" s="36"/>
      <c r="P92" s="76"/>
      <c r="Q92" s="51"/>
      <c r="R92" s="43"/>
      <c r="S92" s="44"/>
      <c r="T92" s="70"/>
      <c r="U92" s="47"/>
      <c r="W92" s="43"/>
      <c r="X92" s="31"/>
      <c r="Y92" s="36"/>
      <c r="AA92" s="43"/>
      <c r="AB92" s="31"/>
      <c r="AC92" s="31"/>
      <c r="AD92" s="31"/>
      <c r="AE92" s="31"/>
      <c r="AF92" s="31"/>
      <c r="AG92" s="31"/>
      <c r="AH92" s="31"/>
      <c r="AI92" s="31"/>
    </row>
    <row r="93" spans="1:35" ht="14.45">
      <c r="A93" s="31" t="s">
        <v>114</v>
      </c>
      <c r="B93" s="31" t="s">
        <v>221</v>
      </c>
      <c r="C93" s="31" t="s">
        <v>181</v>
      </c>
      <c r="D93" s="77"/>
      <c r="E93" s="31">
        <v>74</v>
      </c>
      <c r="F93" s="31"/>
      <c r="G93" s="31"/>
      <c r="H93" s="50">
        <v>46356</v>
      </c>
      <c r="I93" s="57" t="s">
        <v>214</v>
      </c>
      <c r="J93" s="55"/>
      <c r="K93" s="51"/>
      <c r="L93" s="43"/>
      <c r="M93" s="44"/>
      <c r="N93" s="44"/>
      <c r="O93" s="36"/>
      <c r="P93" s="76"/>
      <c r="Q93" s="51"/>
      <c r="R93" s="43"/>
      <c r="S93" s="44"/>
      <c r="T93" s="70"/>
      <c r="U93" s="47"/>
      <c r="W93" s="43"/>
      <c r="X93" s="31"/>
      <c r="Y93" s="36"/>
      <c r="AA93" s="43"/>
      <c r="AB93" s="31"/>
      <c r="AC93" s="31"/>
      <c r="AD93" s="31"/>
      <c r="AE93" s="31"/>
      <c r="AF93" s="31"/>
      <c r="AG93" s="31"/>
      <c r="AH93" s="31"/>
      <c r="AI93" s="31"/>
    </row>
    <row r="94" spans="1:35" ht="14.45">
      <c r="A94" s="31" t="s">
        <v>114</v>
      </c>
      <c r="B94" s="31" t="s">
        <v>222</v>
      </c>
      <c r="C94" s="31" t="s">
        <v>181</v>
      </c>
      <c r="D94" s="77"/>
      <c r="E94" s="31">
        <v>80</v>
      </c>
      <c r="F94" s="31"/>
      <c r="G94" s="31"/>
      <c r="H94" s="50">
        <v>46356</v>
      </c>
      <c r="I94" s="57" t="s">
        <v>214</v>
      </c>
      <c r="J94" s="55"/>
      <c r="K94" s="51"/>
      <c r="L94" s="43"/>
      <c r="M94" s="44"/>
      <c r="N94" s="44"/>
      <c r="O94" s="36"/>
      <c r="P94" s="76"/>
      <c r="Q94" s="51"/>
      <c r="R94" s="43"/>
      <c r="S94" s="44"/>
      <c r="T94" s="70"/>
      <c r="U94" s="47"/>
      <c r="W94" s="43"/>
      <c r="X94" s="31"/>
      <c r="Y94" s="36"/>
      <c r="AA94" s="43"/>
      <c r="AB94" s="31"/>
      <c r="AC94" s="31"/>
      <c r="AD94" s="31"/>
      <c r="AE94" s="31"/>
      <c r="AF94" s="31"/>
      <c r="AG94" s="31"/>
      <c r="AH94" s="31"/>
      <c r="AI94" s="31"/>
    </row>
    <row r="95" spans="1:35" ht="14.45">
      <c r="A95" s="31" t="s">
        <v>114</v>
      </c>
      <c r="B95" s="31" t="s">
        <v>223</v>
      </c>
      <c r="C95" s="31" t="s">
        <v>181</v>
      </c>
      <c r="D95" s="77"/>
      <c r="E95" s="31">
        <v>81</v>
      </c>
      <c r="F95" s="31"/>
      <c r="G95" s="31"/>
      <c r="H95" s="50">
        <v>46356</v>
      </c>
      <c r="I95" s="57" t="s">
        <v>214</v>
      </c>
      <c r="J95" s="55"/>
      <c r="K95" s="51"/>
      <c r="L95" s="43"/>
      <c r="M95" s="44"/>
      <c r="N95" s="44"/>
      <c r="O95" s="36"/>
      <c r="P95" s="76"/>
      <c r="Q95" s="51"/>
      <c r="R95" s="43"/>
      <c r="S95" s="44"/>
      <c r="T95" s="70"/>
      <c r="U95" s="47"/>
      <c r="W95" s="43"/>
      <c r="X95" s="31"/>
      <c r="Y95" s="36"/>
      <c r="AA95" s="43"/>
      <c r="AB95" s="31"/>
      <c r="AC95" s="31"/>
      <c r="AD95" s="31"/>
      <c r="AE95" s="31"/>
      <c r="AF95" s="31"/>
      <c r="AG95" s="31"/>
      <c r="AH95" s="31"/>
      <c r="AI95" s="31"/>
    </row>
    <row r="96" spans="1:35" ht="14.45">
      <c r="A96" s="31" t="s">
        <v>114</v>
      </c>
      <c r="B96" s="31" t="s">
        <v>224</v>
      </c>
      <c r="C96" s="31" t="s">
        <v>181</v>
      </c>
      <c r="D96" s="77"/>
      <c r="E96" s="31">
        <v>82</v>
      </c>
      <c r="F96" s="31"/>
      <c r="G96" s="31"/>
      <c r="H96" s="50">
        <v>46356</v>
      </c>
      <c r="I96" s="57" t="s">
        <v>214</v>
      </c>
      <c r="J96" s="55"/>
      <c r="K96" s="51"/>
      <c r="L96" s="43"/>
      <c r="M96" s="44"/>
      <c r="N96" s="44"/>
      <c r="O96" s="36"/>
      <c r="P96" s="76"/>
      <c r="Q96" s="51"/>
      <c r="R96" s="43"/>
      <c r="S96" s="44"/>
      <c r="T96" s="70"/>
      <c r="U96" s="47"/>
      <c r="W96" s="43"/>
      <c r="X96" s="31"/>
      <c r="Y96" s="36"/>
      <c r="AA96" s="43"/>
      <c r="AB96" s="31"/>
      <c r="AC96" s="31"/>
      <c r="AD96" s="31"/>
      <c r="AE96" s="31"/>
      <c r="AF96" s="31"/>
      <c r="AG96" s="31"/>
      <c r="AH96" s="31"/>
      <c r="AI96" s="31"/>
    </row>
    <row r="97" spans="1:35" ht="14.45">
      <c r="A97" s="31" t="s">
        <v>114</v>
      </c>
      <c r="B97" s="31" t="s">
        <v>225</v>
      </c>
      <c r="C97" s="31" t="s">
        <v>181</v>
      </c>
      <c r="D97" s="77"/>
      <c r="E97" s="31">
        <v>83</v>
      </c>
      <c r="F97" s="31"/>
      <c r="G97" s="31"/>
      <c r="H97" s="50">
        <v>46356</v>
      </c>
      <c r="I97" s="57" t="s">
        <v>214</v>
      </c>
      <c r="J97" s="55"/>
      <c r="K97" s="51"/>
      <c r="L97" s="43"/>
      <c r="M97" s="44"/>
      <c r="N97" s="44"/>
      <c r="O97" s="36"/>
      <c r="P97" s="76"/>
      <c r="Q97" s="51"/>
      <c r="R97" s="43"/>
      <c r="S97" s="44"/>
      <c r="T97" s="70"/>
      <c r="U97" s="47"/>
      <c r="W97" s="43"/>
      <c r="X97" s="31"/>
      <c r="Y97" s="36"/>
      <c r="AA97" s="43"/>
      <c r="AB97" s="31"/>
      <c r="AC97" s="31"/>
      <c r="AD97" s="31"/>
      <c r="AE97" s="31"/>
      <c r="AF97" s="31"/>
      <c r="AG97" s="31"/>
      <c r="AH97" s="31"/>
      <c r="AI97" s="31"/>
    </row>
    <row r="98" spans="1:35" ht="14.45">
      <c r="A98" s="31" t="s">
        <v>114</v>
      </c>
      <c r="B98" s="31" t="s">
        <v>226</v>
      </c>
      <c r="C98" s="31" t="s">
        <v>181</v>
      </c>
      <c r="D98" s="77"/>
      <c r="E98" s="31">
        <v>84</v>
      </c>
      <c r="F98" s="31"/>
      <c r="G98" s="31"/>
      <c r="H98" s="50">
        <v>46356</v>
      </c>
      <c r="I98" s="57" t="s">
        <v>214</v>
      </c>
      <c r="J98" s="55"/>
      <c r="K98" s="51"/>
      <c r="L98" s="43"/>
      <c r="M98" s="44"/>
      <c r="N98" s="44"/>
      <c r="O98" s="36"/>
      <c r="P98" s="76"/>
      <c r="Q98" s="51"/>
      <c r="R98" s="43"/>
      <c r="S98" s="44"/>
      <c r="T98" s="70"/>
      <c r="U98" s="47"/>
      <c r="W98" s="43"/>
      <c r="X98" s="31"/>
      <c r="Y98" s="36"/>
      <c r="AA98" s="43"/>
      <c r="AB98" s="31"/>
      <c r="AC98" s="31"/>
      <c r="AD98" s="31"/>
      <c r="AE98" s="31"/>
      <c r="AF98" s="31"/>
      <c r="AG98" s="31"/>
      <c r="AH98" s="31"/>
      <c r="AI98" s="31"/>
    </row>
    <row r="99" spans="1:35" ht="14.45">
      <c r="A99" s="31" t="s">
        <v>114</v>
      </c>
      <c r="B99" s="31" t="s">
        <v>227</v>
      </c>
      <c r="C99" s="31" t="s">
        <v>181</v>
      </c>
      <c r="D99" s="77"/>
      <c r="E99" s="31" t="s">
        <v>228</v>
      </c>
      <c r="F99" s="31"/>
      <c r="G99" s="31"/>
      <c r="H99" s="50">
        <v>46356</v>
      </c>
      <c r="I99" s="57" t="s">
        <v>214</v>
      </c>
      <c r="J99" s="55"/>
      <c r="K99" s="51"/>
      <c r="L99" s="43"/>
      <c r="M99" s="44"/>
      <c r="N99" s="44"/>
      <c r="O99" s="36"/>
      <c r="P99" s="76"/>
      <c r="Q99" s="51"/>
      <c r="R99" s="43"/>
      <c r="S99" s="44"/>
      <c r="T99" s="70"/>
      <c r="U99" s="47"/>
      <c r="W99" s="43"/>
      <c r="X99" s="31"/>
      <c r="Y99" s="36"/>
      <c r="AA99" s="43"/>
      <c r="AB99" s="31"/>
      <c r="AC99" s="31"/>
      <c r="AD99" s="31"/>
      <c r="AE99" s="31"/>
      <c r="AF99" s="31"/>
      <c r="AG99" s="31"/>
      <c r="AH99" s="31"/>
      <c r="AI99" s="31"/>
    </row>
    <row r="100" spans="1:35" ht="14.45">
      <c r="A100" s="31" t="s">
        <v>114</v>
      </c>
      <c r="B100" s="31" t="s">
        <v>229</v>
      </c>
      <c r="C100" s="31" t="s">
        <v>181</v>
      </c>
      <c r="D100" s="77"/>
      <c r="E100" s="31">
        <v>85</v>
      </c>
      <c r="F100" s="31"/>
      <c r="G100" s="31"/>
      <c r="H100" s="50">
        <v>46356</v>
      </c>
      <c r="I100" s="57" t="s">
        <v>214</v>
      </c>
      <c r="J100" s="55"/>
      <c r="K100" s="51"/>
      <c r="L100" s="43"/>
      <c r="M100" s="44"/>
      <c r="N100" s="44"/>
      <c r="O100" s="36"/>
      <c r="P100" s="76"/>
      <c r="Q100" s="51"/>
      <c r="R100" s="43"/>
      <c r="S100" s="44"/>
      <c r="T100" s="70"/>
      <c r="U100" s="47"/>
      <c r="W100" s="43"/>
      <c r="X100" s="31"/>
      <c r="Y100" s="36"/>
      <c r="AA100" s="43"/>
      <c r="AB100" s="31"/>
      <c r="AC100" s="31"/>
      <c r="AD100" s="31"/>
      <c r="AE100" s="31"/>
      <c r="AF100" s="31"/>
      <c r="AG100" s="31"/>
      <c r="AH100" s="31"/>
      <c r="AI100" s="31"/>
    </row>
    <row r="101" spans="1:35" ht="14.45">
      <c r="A101" s="31" t="s">
        <v>230</v>
      </c>
      <c r="B101" s="31" t="s">
        <v>231</v>
      </c>
      <c r="C101" s="31" t="s">
        <v>181</v>
      </c>
      <c r="E101" s="31">
        <v>1</v>
      </c>
      <c r="F101" s="31" t="s">
        <v>117</v>
      </c>
      <c r="G101" s="31"/>
      <c r="H101" s="28">
        <v>46387</v>
      </c>
      <c r="I101" s="57" t="s">
        <v>232</v>
      </c>
      <c r="J101" s="55"/>
      <c r="L101" s="43"/>
      <c r="M101" s="31"/>
      <c r="N101" s="31"/>
      <c r="O101" s="36"/>
      <c r="P101" s="76"/>
      <c r="R101" s="43"/>
      <c r="S101" s="31"/>
      <c r="T101" s="70"/>
      <c r="U101" s="47"/>
      <c r="W101" s="43"/>
      <c r="X101" s="31"/>
      <c r="Y101" s="36"/>
      <c r="AA101" s="43"/>
      <c r="AB101" s="31"/>
      <c r="AC101" s="31"/>
      <c r="AD101" s="31"/>
      <c r="AE101" s="31"/>
      <c r="AF101" s="31"/>
      <c r="AG101" s="31"/>
      <c r="AH101" s="31"/>
      <c r="AI101" s="31"/>
    </row>
    <row r="102" spans="1:35" ht="14.45">
      <c r="A102" s="31" t="s">
        <v>230</v>
      </c>
      <c r="B102" s="31" t="s">
        <v>233</v>
      </c>
      <c r="C102" s="31" t="s">
        <v>181</v>
      </c>
      <c r="E102" s="31">
        <v>2</v>
      </c>
      <c r="F102" s="31" t="s">
        <v>117</v>
      </c>
      <c r="G102" s="31"/>
      <c r="H102" s="28">
        <v>46387</v>
      </c>
      <c r="I102" s="57" t="s">
        <v>232</v>
      </c>
      <c r="J102" s="55"/>
      <c r="L102" s="43"/>
      <c r="M102" s="31"/>
      <c r="N102" s="31"/>
      <c r="O102" s="36"/>
      <c r="P102" s="76"/>
      <c r="R102" s="43"/>
      <c r="S102" s="31"/>
      <c r="T102" s="70"/>
      <c r="U102" s="47"/>
      <c r="W102" s="43"/>
      <c r="X102" s="31"/>
      <c r="Y102" s="36"/>
      <c r="AA102" s="43"/>
      <c r="AB102" s="31"/>
      <c r="AC102" s="31"/>
      <c r="AD102" s="31"/>
      <c r="AE102" s="31"/>
      <c r="AF102" s="31"/>
      <c r="AG102" s="31"/>
      <c r="AH102" s="31"/>
      <c r="AI102" s="31"/>
    </row>
    <row r="103" spans="1:35" ht="14.45">
      <c r="A103" s="31" t="s">
        <v>230</v>
      </c>
      <c r="B103" s="31" t="s">
        <v>234</v>
      </c>
      <c r="C103" s="31" t="s">
        <v>181</v>
      </c>
      <c r="E103" s="31">
        <v>3</v>
      </c>
      <c r="F103" s="31" t="s">
        <v>117</v>
      </c>
      <c r="G103" s="31"/>
      <c r="H103" s="28">
        <v>46387</v>
      </c>
      <c r="I103" s="57" t="s">
        <v>232</v>
      </c>
      <c r="J103" s="55"/>
      <c r="L103" s="43"/>
      <c r="M103" s="31"/>
      <c r="N103" s="31"/>
      <c r="O103" s="36"/>
      <c r="P103" s="76"/>
      <c r="R103" s="43"/>
      <c r="S103" s="31"/>
      <c r="T103" s="70"/>
      <c r="U103" s="47"/>
      <c r="W103" s="43"/>
      <c r="X103" s="31"/>
      <c r="Y103" s="36"/>
      <c r="AA103" s="43"/>
      <c r="AB103" s="31"/>
      <c r="AC103" s="31"/>
      <c r="AD103" s="31"/>
      <c r="AE103" s="31"/>
      <c r="AF103" s="31"/>
      <c r="AG103" s="31"/>
      <c r="AH103" s="31"/>
      <c r="AI103" s="31"/>
    </row>
    <row r="104" spans="1:35" ht="14.45">
      <c r="A104" s="31" t="s">
        <v>235</v>
      </c>
      <c r="B104" s="31" t="s">
        <v>236</v>
      </c>
      <c r="C104" s="31" t="s">
        <v>181</v>
      </c>
      <c r="E104" s="31">
        <v>4</v>
      </c>
      <c r="F104" s="31" t="s">
        <v>132</v>
      </c>
      <c r="G104" s="31"/>
      <c r="H104" s="28">
        <v>46387</v>
      </c>
      <c r="I104" s="57" t="s">
        <v>232</v>
      </c>
      <c r="J104" s="55"/>
      <c r="L104" s="43"/>
      <c r="M104" s="31"/>
      <c r="N104" s="31"/>
      <c r="O104" s="36"/>
      <c r="P104" s="76"/>
      <c r="R104" s="43"/>
      <c r="S104" s="31"/>
      <c r="T104" s="70"/>
      <c r="U104" s="47"/>
      <c r="W104" s="43"/>
      <c r="X104" s="31"/>
      <c r="Y104" s="36"/>
      <c r="AA104" s="43"/>
      <c r="AB104" s="31"/>
      <c r="AC104" s="31"/>
      <c r="AD104" s="31"/>
      <c r="AE104" s="31"/>
      <c r="AF104" s="31"/>
      <c r="AG104" s="31"/>
      <c r="AH104" s="31"/>
      <c r="AI104" s="31"/>
    </row>
    <row r="105" spans="1:35" ht="14.45">
      <c r="A105" s="31" t="s">
        <v>230</v>
      </c>
      <c r="B105" s="31" t="s">
        <v>237</v>
      </c>
      <c r="C105" s="31" t="s">
        <v>181</v>
      </c>
      <c r="E105" s="31">
        <v>5</v>
      </c>
      <c r="F105" s="31" t="s">
        <v>117</v>
      </c>
      <c r="G105" s="31"/>
      <c r="H105" s="28">
        <v>46387</v>
      </c>
      <c r="I105" s="57" t="s">
        <v>232</v>
      </c>
      <c r="J105" s="55"/>
      <c r="L105" s="43"/>
      <c r="M105" s="31"/>
      <c r="N105" s="31"/>
      <c r="O105" s="36"/>
      <c r="P105" s="76"/>
      <c r="R105" s="43"/>
      <c r="S105" s="31"/>
      <c r="T105" s="70"/>
      <c r="U105" s="47"/>
      <c r="W105" s="43"/>
      <c r="X105" s="31"/>
      <c r="Y105" s="36"/>
      <c r="AA105" s="43"/>
      <c r="AB105" s="31"/>
      <c r="AC105" s="31"/>
      <c r="AD105" s="31"/>
      <c r="AE105" s="31"/>
      <c r="AF105" s="31"/>
      <c r="AG105" s="31"/>
      <c r="AH105" s="31"/>
      <c r="AI105" s="31"/>
    </row>
    <row r="106" spans="1:35" ht="14.45">
      <c r="A106" s="31" t="s">
        <v>230</v>
      </c>
      <c r="B106" s="31" t="s">
        <v>238</v>
      </c>
      <c r="C106" s="31" t="s">
        <v>181</v>
      </c>
      <c r="E106" s="31">
        <v>6</v>
      </c>
      <c r="F106" s="31" t="s">
        <v>117</v>
      </c>
      <c r="G106" s="31"/>
      <c r="H106" s="28">
        <v>46387</v>
      </c>
      <c r="I106" s="57" t="s">
        <v>232</v>
      </c>
      <c r="J106" s="55"/>
      <c r="L106" s="43"/>
      <c r="M106" s="31"/>
      <c r="N106" s="31"/>
      <c r="O106" s="36"/>
      <c r="P106" s="76"/>
      <c r="R106" s="43"/>
      <c r="S106" s="31"/>
      <c r="T106" s="70"/>
      <c r="U106" s="47"/>
      <c r="W106" s="43"/>
      <c r="X106" s="31"/>
      <c r="Y106" s="36"/>
      <c r="AA106" s="43"/>
      <c r="AB106" s="31"/>
      <c r="AC106" s="31"/>
      <c r="AD106" s="31"/>
      <c r="AE106" s="31"/>
      <c r="AF106" s="31"/>
      <c r="AG106" s="31"/>
      <c r="AH106" s="31"/>
      <c r="AI106" s="31"/>
    </row>
    <row r="107" spans="1:35" ht="14.45">
      <c r="A107" s="31" t="s">
        <v>230</v>
      </c>
      <c r="B107" s="31" t="s">
        <v>239</v>
      </c>
      <c r="C107" s="31" t="s">
        <v>181</v>
      </c>
      <c r="E107" s="31">
        <v>7</v>
      </c>
      <c r="F107" s="31" t="s">
        <v>117</v>
      </c>
      <c r="G107" s="31"/>
      <c r="H107" s="28">
        <v>46387</v>
      </c>
      <c r="I107" s="57" t="s">
        <v>232</v>
      </c>
      <c r="J107" s="55"/>
      <c r="L107" s="43"/>
      <c r="M107" s="31"/>
      <c r="N107" s="31"/>
      <c r="O107" s="36"/>
      <c r="P107" s="76"/>
      <c r="R107" s="43"/>
      <c r="S107" s="31"/>
      <c r="T107" s="70"/>
      <c r="U107" s="47"/>
      <c r="W107" s="43"/>
      <c r="X107" s="31"/>
      <c r="Y107" s="36"/>
      <c r="AA107" s="43"/>
      <c r="AB107" s="31"/>
      <c r="AC107" s="31"/>
      <c r="AD107" s="31"/>
      <c r="AE107" s="31"/>
      <c r="AF107" s="31"/>
      <c r="AG107" s="31"/>
      <c r="AH107" s="31"/>
      <c r="AI107" s="31"/>
    </row>
    <row r="108" spans="1:35" ht="14.45">
      <c r="A108" s="31" t="s">
        <v>230</v>
      </c>
      <c r="B108" s="31" t="s">
        <v>240</v>
      </c>
      <c r="C108" s="31" t="s">
        <v>181</v>
      </c>
      <c r="E108" s="31">
        <v>8</v>
      </c>
      <c r="F108" s="31" t="s">
        <v>117</v>
      </c>
      <c r="G108" s="31"/>
      <c r="H108" s="28">
        <v>46387</v>
      </c>
      <c r="I108" s="57" t="s">
        <v>232</v>
      </c>
      <c r="J108" s="55"/>
      <c r="L108" s="43"/>
      <c r="M108" s="31"/>
      <c r="N108" s="31"/>
      <c r="O108" s="36"/>
      <c r="P108" s="76"/>
      <c r="R108" s="43"/>
      <c r="S108" s="31"/>
      <c r="T108" s="70"/>
      <c r="U108" s="47"/>
      <c r="W108" s="43"/>
      <c r="X108" s="31"/>
      <c r="Y108" s="36"/>
      <c r="AA108" s="43"/>
      <c r="AB108" s="31"/>
      <c r="AC108" s="31"/>
      <c r="AD108" s="31"/>
      <c r="AE108" s="31"/>
      <c r="AF108" s="31"/>
      <c r="AG108" s="31"/>
      <c r="AH108" s="31"/>
      <c r="AI108" s="31"/>
    </row>
    <row r="109" spans="1:35" ht="14.45">
      <c r="A109" s="31" t="s">
        <v>235</v>
      </c>
      <c r="B109" s="31" t="s">
        <v>241</v>
      </c>
      <c r="C109" s="31" t="s">
        <v>181</v>
      </c>
      <c r="E109" s="31">
        <v>9</v>
      </c>
      <c r="F109" s="31" t="s">
        <v>132</v>
      </c>
      <c r="G109" s="31"/>
      <c r="H109" s="28">
        <v>46387</v>
      </c>
      <c r="I109" s="57" t="s">
        <v>232</v>
      </c>
      <c r="J109" s="55"/>
      <c r="L109" s="43"/>
      <c r="M109" s="31"/>
      <c r="N109" s="31"/>
      <c r="O109" s="36"/>
      <c r="P109" s="76"/>
      <c r="R109" s="43"/>
      <c r="S109" s="31"/>
      <c r="T109" s="70"/>
      <c r="U109" s="47"/>
      <c r="W109" s="43"/>
      <c r="X109" s="31"/>
      <c r="Y109" s="36"/>
      <c r="AA109" s="43"/>
      <c r="AB109" s="31"/>
      <c r="AC109" s="31"/>
      <c r="AD109" s="31"/>
      <c r="AE109" s="31"/>
      <c r="AF109" s="31"/>
      <c r="AG109" s="31"/>
      <c r="AH109" s="31"/>
      <c r="AI109" s="31"/>
    </row>
    <row r="110" spans="1:35" ht="14.45">
      <c r="A110" s="31" t="s">
        <v>230</v>
      </c>
      <c r="B110" s="31" t="s">
        <v>242</v>
      </c>
      <c r="C110" s="31" t="s">
        <v>181</v>
      </c>
      <c r="E110" s="31">
        <v>10</v>
      </c>
      <c r="F110" s="31" t="s">
        <v>117</v>
      </c>
      <c r="G110" s="31"/>
      <c r="H110" s="28">
        <v>46387</v>
      </c>
      <c r="I110" s="57" t="s">
        <v>232</v>
      </c>
      <c r="J110" s="55"/>
      <c r="L110" s="43"/>
      <c r="M110" s="31"/>
      <c r="N110" s="31"/>
      <c r="O110" s="36"/>
      <c r="P110" s="76"/>
      <c r="R110" s="43"/>
      <c r="S110" s="31"/>
      <c r="T110" s="70"/>
      <c r="U110" s="47"/>
      <c r="W110" s="43"/>
      <c r="X110" s="31"/>
      <c r="Y110" s="36"/>
      <c r="AA110" s="43"/>
      <c r="AB110" s="31"/>
      <c r="AC110" s="31"/>
      <c r="AD110" s="31"/>
      <c r="AE110" s="31"/>
      <c r="AF110" s="31"/>
      <c r="AG110" s="31"/>
      <c r="AH110" s="31"/>
      <c r="AI110" s="31"/>
    </row>
    <row r="111" spans="1:35" ht="14.45">
      <c r="A111" s="31" t="s">
        <v>235</v>
      </c>
      <c r="B111" s="31" t="s">
        <v>243</v>
      </c>
      <c r="C111" s="31" t="s">
        <v>181</v>
      </c>
      <c r="E111" s="31">
        <v>11</v>
      </c>
      <c r="F111" s="31" t="s">
        <v>132</v>
      </c>
      <c r="G111" s="31"/>
      <c r="H111" s="28">
        <v>46387</v>
      </c>
      <c r="I111" s="57" t="s">
        <v>232</v>
      </c>
      <c r="J111" s="55"/>
      <c r="L111" s="43"/>
      <c r="M111" s="31"/>
      <c r="N111" s="31"/>
      <c r="O111" s="36"/>
      <c r="P111" s="76"/>
      <c r="R111" s="43"/>
      <c r="S111" s="31"/>
      <c r="T111" s="70"/>
      <c r="U111" s="47"/>
      <c r="W111" s="43"/>
      <c r="X111" s="31"/>
      <c r="Y111" s="36"/>
      <c r="AA111" s="43"/>
      <c r="AB111" s="31"/>
      <c r="AC111" s="31"/>
      <c r="AD111" s="31"/>
      <c r="AE111" s="31"/>
      <c r="AF111" s="31"/>
      <c r="AG111" s="31"/>
      <c r="AH111" s="31"/>
      <c r="AI111" s="31"/>
    </row>
    <row r="112" spans="1:35" ht="14.45">
      <c r="A112" s="31" t="s">
        <v>235</v>
      </c>
      <c r="B112" s="31" t="s">
        <v>244</v>
      </c>
      <c r="C112" s="31" t="s">
        <v>181</v>
      </c>
      <c r="E112" s="31">
        <v>12</v>
      </c>
      <c r="F112" s="31" t="s">
        <v>132</v>
      </c>
      <c r="G112" s="31"/>
      <c r="H112" s="28">
        <v>46387</v>
      </c>
      <c r="I112" s="57" t="s">
        <v>232</v>
      </c>
      <c r="J112" s="55"/>
      <c r="L112" s="43"/>
      <c r="M112" s="31"/>
      <c r="N112" s="31"/>
      <c r="O112" s="36"/>
      <c r="P112" s="76"/>
      <c r="R112" s="43"/>
      <c r="S112" s="31"/>
      <c r="T112" s="70"/>
      <c r="U112" s="47"/>
      <c r="W112" s="43"/>
      <c r="X112" s="31"/>
      <c r="Y112" s="36"/>
      <c r="AA112" s="43"/>
      <c r="AB112" s="31"/>
      <c r="AC112" s="31"/>
      <c r="AD112" s="31"/>
      <c r="AE112" s="31"/>
      <c r="AF112" s="31"/>
      <c r="AG112" s="31"/>
      <c r="AH112" s="31"/>
      <c r="AI112" s="31"/>
    </row>
    <row r="113" spans="1:35" ht="14.45">
      <c r="A113" s="31" t="s">
        <v>235</v>
      </c>
      <c r="B113" s="31" t="s">
        <v>245</v>
      </c>
      <c r="C113" s="31" t="s">
        <v>181</v>
      </c>
      <c r="E113" s="31">
        <v>13</v>
      </c>
      <c r="F113" s="31" t="s">
        <v>132</v>
      </c>
      <c r="G113" s="31"/>
      <c r="H113" s="28">
        <v>46387</v>
      </c>
      <c r="I113" s="57" t="s">
        <v>232</v>
      </c>
      <c r="J113" s="55"/>
      <c r="L113" s="43"/>
      <c r="M113" s="31"/>
      <c r="N113" s="31"/>
      <c r="O113" s="36"/>
      <c r="P113" s="76"/>
      <c r="R113" s="43"/>
      <c r="S113" s="31"/>
      <c r="T113" s="70"/>
      <c r="U113" s="47"/>
      <c r="W113" s="43"/>
      <c r="X113" s="31"/>
      <c r="Y113" s="36"/>
      <c r="AA113" s="43"/>
      <c r="AB113" s="31"/>
      <c r="AC113" s="31"/>
      <c r="AD113" s="31"/>
      <c r="AE113" s="31"/>
      <c r="AF113" s="31"/>
      <c r="AG113" s="31"/>
      <c r="AH113" s="31"/>
      <c r="AI113" s="31"/>
    </row>
    <row r="114" spans="1:35" ht="14.45">
      <c r="A114" s="31" t="s">
        <v>235</v>
      </c>
      <c r="B114" s="31" t="s">
        <v>246</v>
      </c>
      <c r="C114" s="31" t="s">
        <v>181</v>
      </c>
      <c r="E114" s="31">
        <v>14</v>
      </c>
      <c r="F114" s="31" t="s">
        <v>132</v>
      </c>
      <c r="G114" s="31"/>
      <c r="H114" s="28">
        <v>46387</v>
      </c>
      <c r="I114" s="57" t="s">
        <v>232</v>
      </c>
      <c r="J114" s="55"/>
      <c r="L114" s="43"/>
      <c r="M114" s="31"/>
      <c r="N114" s="31"/>
      <c r="O114" s="36"/>
      <c r="P114" s="76"/>
      <c r="R114" s="43"/>
      <c r="S114" s="31"/>
      <c r="T114" s="70"/>
      <c r="U114" s="47"/>
      <c r="W114" s="43"/>
      <c r="X114" s="31"/>
      <c r="Y114" s="36"/>
      <c r="AA114" s="43"/>
      <c r="AB114" s="31"/>
      <c r="AC114" s="31"/>
      <c r="AD114" s="31"/>
      <c r="AE114" s="31"/>
      <c r="AF114" s="31"/>
      <c r="AG114" s="31"/>
      <c r="AH114" s="31"/>
      <c r="AI114" s="31"/>
    </row>
    <row r="115" spans="1:35" ht="14.45">
      <c r="A115" s="31" t="s">
        <v>235</v>
      </c>
      <c r="B115" s="31" t="s">
        <v>247</v>
      </c>
      <c r="C115" s="31" t="s">
        <v>181</v>
      </c>
      <c r="E115" s="31">
        <v>15</v>
      </c>
      <c r="F115" s="31" t="s">
        <v>132</v>
      </c>
      <c r="G115" s="31"/>
      <c r="H115" s="28">
        <v>46387</v>
      </c>
      <c r="I115" s="57" t="s">
        <v>232</v>
      </c>
      <c r="J115" s="55"/>
      <c r="L115" s="43"/>
      <c r="M115" s="31"/>
      <c r="N115" s="31"/>
      <c r="O115" s="36"/>
      <c r="P115" s="76"/>
      <c r="R115" s="43"/>
      <c r="S115" s="31"/>
      <c r="T115" s="70"/>
      <c r="U115" s="47"/>
      <c r="W115" s="43"/>
      <c r="X115" s="31"/>
      <c r="Y115" s="36"/>
      <c r="AA115" s="43"/>
      <c r="AB115" s="31"/>
      <c r="AC115" s="31"/>
      <c r="AD115" s="31"/>
      <c r="AE115" s="31"/>
      <c r="AF115" s="31"/>
      <c r="AG115" s="31"/>
      <c r="AH115" s="31"/>
      <c r="AI115" s="31"/>
    </row>
    <row r="116" spans="1:3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F116" s="31"/>
    </row>
    <row r="117" spans="1:3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F117" s="31"/>
    </row>
    <row r="118" spans="1:3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F118" s="31"/>
    </row>
    <row r="119" spans="1:3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F119" s="31"/>
    </row>
    <row r="120" spans="1:3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F120" s="31"/>
    </row>
    <row r="121" spans="1:3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F121" s="31"/>
    </row>
    <row r="122" spans="1:3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F122" s="31"/>
    </row>
    <row r="123" spans="1:3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F123" s="31"/>
    </row>
    <row r="124" spans="1:3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F124" s="31"/>
    </row>
    <row r="125" spans="1:3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F125" s="31"/>
    </row>
    <row r="126" spans="1:3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F126" s="31"/>
    </row>
    <row r="127" spans="1:3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F127" s="31"/>
    </row>
    <row r="128" spans="1:3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F128" s="31"/>
    </row>
    <row r="129" spans="1:32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F129" s="31"/>
    </row>
    <row r="130" spans="1:32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F130" s="31"/>
    </row>
    <row r="131" spans="1:32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F131" s="31"/>
    </row>
    <row r="132" spans="1:32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F132" s="31"/>
    </row>
    <row r="133" spans="1:32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F133" s="31"/>
    </row>
    <row r="134" spans="1:32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F134" s="31"/>
    </row>
    <row r="135" spans="1:32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F135" s="31"/>
    </row>
    <row r="136" spans="1:32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F136" s="31"/>
    </row>
    <row r="137" spans="1:32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F137" s="31"/>
    </row>
    <row r="138" spans="1:32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F138" s="31"/>
    </row>
    <row r="139" spans="1:32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F139" s="31"/>
    </row>
    <row r="140" spans="1:32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F140" s="31"/>
    </row>
    <row r="141" spans="1:32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F141" s="31"/>
    </row>
    <row r="142" spans="1:32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F142" s="31"/>
    </row>
    <row r="143" spans="1:32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F143" s="31"/>
    </row>
    <row r="144" spans="1:32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F144" s="31"/>
    </row>
    <row r="145" spans="1:32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F145" s="31"/>
    </row>
    <row r="146" spans="1:32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F146" s="31"/>
    </row>
    <row r="147" spans="1:32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F147" s="31"/>
    </row>
    <row r="148" spans="1:32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F148" s="31"/>
    </row>
    <row r="149" spans="1:32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F149" s="31"/>
    </row>
    <row r="150" spans="1:32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F150" s="31"/>
    </row>
    <row r="151" spans="1:32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F151" s="31"/>
    </row>
    <row r="152" spans="1:32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F152" s="31"/>
    </row>
    <row r="153" spans="1:32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F153" s="31"/>
    </row>
    <row r="154" spans="1:32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F154" s="31"/>
    </row>
    <row r="155" spans="1:32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F155" s="31"/>
    </row>
    <row r="156" spans="1:32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F156" s="31"/>
    </row>
    <row r="157" spans="1:32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F157" s="31"/>
    </row>
    <row r="158" spans="1:32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F158" s="31"/>
    </row>
    <row r="159" spans="1:32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F159" s="31"/>
    </row>
    <row r="160" spans="1:32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F160" s="31"/>
    </row>
    <row r="161" spans="1:32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F161" s="31"/>
    </row>
    <row r="162" spans="1:32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F162" s="31"/>
    </row>
    <row r="163" spans="1:32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F163" s="31"/>
    </row>
    <row r="164" spans="1:32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F164" s="31"/>
    </row>
    <row r="165" spans="1:32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F165" s="31"/>
    </row>
    <row r="166" spans="1:32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F166" s="31"/>
    </row>
    <row r="167" spans="1:32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F167" s="31"/>
    </row>
    <row r="168" spans="1:32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F168" s="31"/>
    </row>
    <row r="169" spans="1:32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F169" s="31"/>
    </row>
    <row r="170" spans="1:32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F170" s="31"/>
    </row>
    <row r="171" spans="1:32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F171" s="31"/>
    </row>
    <row r="172" spans="1:32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F172" s="31"/>
    </row>
    <row r="173" spans="1:32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F173" s="31"/>
    </row>
    <row r="174" spans="1:32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F174" s="31"/>
    </row>
    <row r="175" spans="1:32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F175" s="31"/>
    </row>
    <row r="176" spans="1:32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F176" s="31"/>
    </row>
    <row r="177" spans="1:32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F177" s="31"/>
    </row>
    <row r="178" spans="1:32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F178" s="31"/>
    </row>
    <row r="179" spans="1:32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F179" s="31"/>
    </row>
    <row r="180" spans="1:32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F180" s="31"/>
    </row>
    <row r="181" spans="1:32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F181" s="31"/>
    </row>
    <row r="182" spans="1:32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F182" s="31"/>
    </row>
    <row r="183" spans="1:32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F183" s="31"/>
    </row>
    <row r="184" spans="1:32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F184" s="31"/>
    </row>
    <row r="185" spans="1:32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F185" s="31"/>
    </row>
    <row r="186" spans="1:32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F186" s="31"/>
    </row>
    <row r="187" spans="1:32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F187" s="31"/>
    </row>
    <row r="188" spans="1:32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F188" s="31"/>
    </row>
    <row r="189" spans="1:32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F189" s="31"/>
    </row>
    <row r="190" spans="1:32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F190" s="31"/>
    </row>
    <row r="191" spans="1:32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F191" s="31"/>
    </row>
    <row r="192" spans="1:32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F192" s="31"/>
    </row>
    <row r="193" spans="1:32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F193" s="31"/>
    </row>
    <row r="194" spans="1:32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F194" s="31"/>
    </row>
    <row r="195" spans="1:32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F195" s="31"/>
    </row>
    <row r="196" spans="1:32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F196" s="31"/>
    </row>
    <row r="197" spans="1:32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F197" s="31"/>
    </row>
    <row r="198" spans="1:32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F198" s="31"/>
    </row>
    <row r="199" spans="1:32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F199" s="31"/>
    </row>
    <row r="200" spans="1:32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F200" s="31"/>
    </row>
    <row r="201" spans="1:32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F201" s="31"/>
    </row>
    <row r="202" spans="1:32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F202" s="31"/>
    </row>
    <row r="203" spans="1:32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F203" s="31"/>
    </row>
    <row r="204" spans="1:32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F204" s="31"/>
    </row>
    <row r="205" spans="1:32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F205" s="31"/>
    </row>
    <row r="206" spans="1:32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F206" s="31"/>
    </row>
    <row r="207" spans="1:32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F207" s="31"/>
    </row>
    <row r="208" spans="1:32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F208" s="31"/>
    </row>
    <row r="209" spans="1:32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F209" s="31"/>
    </row>
    <row r="210" spans="1:32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F210" s="31"/>
    </row>
    <row r="211" spans="1:32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F211" s="31"/>
    </row>
    <row r="212" spans="1:32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F212" s="31"/>
    </row>
    <row r="213" spans="1:32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F213" s="31"/>
    </row>
    <row r="214" spans="1:32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F214" s="31"/>
    </row>
    <row r="215" spans="1:32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F215" s="31"/>
    </row>
    <row r="216" spans="1:32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F216" s="31"/>
    </row>
    <row r="217" spans="1:32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F217" s="31"/>
    </row>
    <row r="218" spans="1:32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F218" s="31"/>
    </row>
    <row r="219" spans="1:32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F219" s="31"/>
    </row>
    <row r="220" spans="1:32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F220" s="31"/>
    </row>
    <row r="221" spans="1:32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F221" s="31"/>
    </row>
    <row r="222" spans="1:32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F222" s="31"/>
    </row>
    <row r="223" spans="1:32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F223" s="31"/>
    </row>
    <row r="224" spans="1:32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F224" s="31"/>
    </row>
    <row r="225" spans="1:32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F225" s="31"/>
    </row>
    <row r="226" spans="1:32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F226" s="31"/>
    </row>
    <row r="227" spans="1:32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F227" s="31"/>
    </row>
    <row r="228" spans="1:32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F228" s="31"/>
    </row>
    <row r="229" spans="1:32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F229" s="31"/>
    </row>
    <row r="230" spans="1:32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F230" s="31"/>
    </row>
    <row r="231" spans="1:32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F231" s="31"/>
    </row>
    <row r="232" spans="1:32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F232" s="31"/>
    </row>
    <row r="233" spans="1:32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F233" s="31"/>
    </row>
    <row r="234" spans="1:32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F234" s="31"/>
    </row>
    <row r="235" spans="1:32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F235" s="31"/>
    </row>
    <row r="236" spans="1:32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F236" s="31"/>
    </row>
    <row r="237" spans="1:32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F237" s="31"/>
    </row>
    <row r="238" spans="1:32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F238" s="31"/>
    </row>
    <row r="239" spans="1:32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F239" s="31"/>
    </row>
    <row r="240" spans="1:32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F240" s="31"/>
    </row>
    <row r="241" spans="1:32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F241" s="31"/>
    </row>
    <row r="242" spans="1:32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F242" s="31"/>
    </row>
    <row r="243" spans="1:32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F243" s="31"/>
    </row>
    <row r="244" spans="1:32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F244" s="31"/>
    </row>
    <row r="245" spans="1:32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F245" s="31"/>
    </row>
    <row r="246" spans="1:32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F246" s="31"/>
    </row>
    <row r="247" spans="1:32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F247" s="31"/>
    </row>
    <row r="248" spans="1:32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F248" s="31"/>
    </row>
    <row r="249" spans="1:32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F249" s="31"/>
    </row>
    <row r="250" spans="1:32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F250" s="31"/>
    </row>
    <row r="251" spans="1:32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F251" s="31"/>
    </row>
    <row r="252" spans="1:32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F252" s="31"/>
    </row>
    <row r="253" spans="1:32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F253" s="31"/>
    </row>
    <row r="254" spans="1:32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F254" s="31"/>
    </row>
    <row r="255" spans="1:32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F255" s="31"/>
    </row>
    <row r="256" spans="1:32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F256" s="31"/>
    </row>
    <row r="257" spans="1:32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F257" s="31"/>
    </row>
    <row r="258" spans="1:32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F258" s="31"/>
    </row>
    <row r="259" spans="1:32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F259" s="31"/>
    </row>
    <row r="260" spans="1:32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F260" s="31"/>
    </row>
    <row r="261" spans="1:32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F261" s="31"/>
    </row>
    <row r="262" spans="1:32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F262" s="31"/>
    </row>
    <row r="263" spans="1:32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F263" s="31"/>
    </row>
    <row r="264" spans="1:32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F264" s="31"/>
    </row>
    <row r="265" spans="1:32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F265" s="31"/>
    </row>
    <row r="266" spans="1:32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F266" s="31"/>
    </row>
    <row r="267" spans="1:32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F267" s="31"/>
    </row>
    <row r="268" spans="1:32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F268" s="31"/>
    </row>
    <row r="269" spans="1:32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F269" s="31"/>
    </row>
    <row r="270" spans="1:32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F270" s="31"/>
    </row>
    <row r="271" spans="1:32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F271" s="31"/>
    </row>
    <row r="272" spans="1:32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F272" s="31"/>
    </row>
    <row r="273" spans="1:32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F273" s="31"/>
    </row>
    <row r="274" spans="1:32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F274" s="31"/>
    </row>
    <row r="275" spans="1:32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F275" s="31"/>
    </row>
    <row r="276" spans="1:32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F276" s="31"/>
    </row>
    <row r="277" spans="1:32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F277" s="31"/>
    </row>
    <row r="278" spans="1:32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F278" s="31"/>
    </row>
    <row r="279" spans="1:32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F279" s="31"/>
    </row>
    <row r="280" spans="1:32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F280" s="31"/>
    </row>
    <row r="281" spans="1:32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F281" s="31"/>
    </row>
    <row r="282" spans="1:32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F282" s="31"/>
    </row>
    <row r="283" spans="1:32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F283" s="31"/>
    </row>
    <row r="284" spans="1:32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F284" s="31"/>
    </row>
    <row r="285" spans="1:32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F285" s="31"/>
    </row>
    <row r="286" spans="1:32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F286" s="31"/>
    </row>
    <row r="287" spans="1:32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F287" s="31"/>
    </row>
    <row r="288" spans="1:32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F288" s="31"/>
    </row>
    <row r="289" spans="1:32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F289" s="31"/>
    </row>
    <row r="290" spans="1:32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F290" s="31"/>
    </row>
    <row r="291" spans="1:32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F291" s="31"/>
    </row>
    <row r="292" spans="1:32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F292" s="31"/>
    </row>
    <row r="293" spans="1:32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F293" s="31"/>
    </row>
    <row r="294" spans="1:32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F294" s="31"/>
    </row>
    <row r="295" spans="1:32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F295" s="31"/>
    </row>
    <row r="296" spans="1:32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F296" s="31"/>
    </row>
    <row r="297" spans="1:32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F297" s="31"/>
    </row>
    <row r="298" spans="1:32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F298" s="31"/>
    </row>
    <row r="299" spans="1:32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F299" s="31"/>
    </row>
    <row r="300" spans="1:32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F300" s="31"/>
    </row>
    <row r="301" spans="1:32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F301" s="31"/>
    </row>
    <row r="302" spans="1:32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F302" s="31"/>
    </row>
    <row r="303" spans="1:32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F303" s="31"/>
    </row>
    <row r="304" spans="1:32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F304" s="31"/>
    </row>
    <row r="305" spans="1:32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F305" s="31"/>
    </row>
    <row r="306" spans="1:32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F306" s="31"/>
    </row>
    <row r="307" spans="1:32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F307" s="31"/>
    </row>
    <row r="308" spans="1:32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F308" s="31"/>
    </row>
    <row r="309" spans="1:32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F309" s="31"/>
    </row>
    <row r="310" spans="1:32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F310" s="31"/>
    </row>
    <row r="311" spans="1:32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F311" s="31"/>
    </row>
    <row r="312" spans="1:32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F312" s="31"/>
    </row>
    <row r="313" spans="1:32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F313" s="31"/>
    </row>
    <row r="314" spans="1:32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F314" s="31"/>
    </row>
    <row r="315" spans="1:32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F315" s="31"/>
    </row>
    <row r="316" spans="1:32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F316" s="31"/>
    </row>
    <row r="317" spans="1:32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F317" s="31"/>
    </row>
    <row r="318" spans="1:32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F318" s="31"/>
    </row>
    <row r="319" spans="1:32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F319" s="31"/>
    </row>
    <row r="320" spans="1:32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F320" s="31"/>
    </row>
    <row r="321" spans="1:32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F321" s="31"/>
    </row>
    <row r="322" spans="1:32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F322" s="31"/>
    </row>
    <row r="323" spans="1:32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F323" s="31"/>
    </row>
    <row r="324" spans="1:32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F324" s="31"/>
    </row>
    <row r="325" spans="1:32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F325" s="31"/>
    </row>
    <row r="326" spans="1:32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F326" s="31"/>
    </row>
    <row r="327" spans="1:32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F327" s="31"/>
    </row>
    <row r="328" spans="1:32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F328" s="31"/>
    </row>
    <row r="329" spans="1:32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F329" s="31"/>
    </row>
    <row r="330" spans="1:32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F330" s="31"/>
    </row>
    <row r="331" spans="1:32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F331" s="31"/>
    </row>
    <row r="332" spans="1:32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F332" s="31"/>
    </row>
    <row r="333" spans="1:32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F333" s="31"/>
    </row>
    <row r="334" spans="1:32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F334" s="31"/>
    </row>
    <row r="335" spans="1:32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F335" s="31"/>
    </row>
    <row r="336" spans="1:32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F336" s="31"/>
    </row>
    <row r="337" spans="1:32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F337" s="31"/>
    </row>
    <row r="338" spans="1:32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F338" s="31"/>
    </row>
    <row r="339" spans="1:32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F339" s="31"/>
    </row>
    <row r="340" spans="1:32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F340" s="31"/>
    </row>
    <row r="341" spans="1:32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F341" s="31"/>
    </row>
    <row r="342" spans="1:32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F342" s="31"/>
    </row>
    <row r="343" spans="1:32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F343" s="31"/>
    </row>
    <row r="344" spans="1:32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F344" s="31"/>
    </row>
    <row r="345" spans="1:32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F345" s="31"/>
    </row>
    <row r="346" spans="1:32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F346" s="31"/>
    </row>
    <row r="347" spans="1:32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F347" s="31"/>
    </row>
    <row r="348" spans="1:32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F348" s="31"/>
    </row>
    <row r="349" spans="1:32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F349" s="31"/>
    </row>
    <row r="350" spans="1:32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F350" s="31"/>
    </row>
    <row r="351" spans="1:32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F351" s="31"/>
    </row>
    <row r="352" spans="1:32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F352" s="31"/>
    </row>
    <row r="353" spans="1:32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F353" s="31"/>
    </row>
    <row r="354" spans="1:32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F354" s="31"/>
    </row>
    <row r="355" spans="1:32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F355" s="31"/>
    </row>
    <row r="356" spans="1:32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F356" s="31"/>
    </row>
    <row r="357" spans="1:32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F357" s="31"/>
    </row>
    <row r="358" spans="1:32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F358" s="31"/>
    </row>
    <row r="359" spans="1:32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F359" s="31"/>
    </row>
    <row r="360" spans="1:32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F360" s="31"/>
    </row>
    <row r="361" spans="1:32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F361" s="31"/>
    </row>
    <row r="362" spans="1:32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F362" s="31"/>
    </row>
    <row r="363" spans="1:32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F363" s="31"/>
    </row>
    <row r="364" spans="1:32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F364" s="31"/>
    </row>
    <row r="365" spans="1:32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F365" s="31"/>
    </row>
    <row r="366" spans="1:32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F366" s="31"/>
    </row>
    <row r="367" spans="1:32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F367" s="31"/>
    </row>
    <row r="368" spans="1:32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F368" s="31"/>
    </row>
    <row r="369" spans="1:32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F369" s="31"/>
    </row>
    <row r="370" spans="1:32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F370" s="31"/>
    </row>
    <row r="371" spans="1:32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F371" s="31"/>
    </row>
    <row r="372" spans="1:32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F372" s="31"/>
    </row>
    <row r="373" spans="1:32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F373" s="31"/>
    </row>
    <row r="374" spans="1:32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F374" s="31"/>
    </row>
    <row r="375" spans="1:32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F375" s="31"/>
    </row>
    <row r="376" spans="1:32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F376" s="31"/>
    </row>
    <row r="377" spans="1:32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F377" s="31"/>
    </row>
    <row r="378" spans="1:32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F378" s="31"/>
    </row>
    <row r="379" spans="1:32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F379" s="31"/>
    </row>
    <row r="380" spans="1:32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F380" s="31"/>
    </row>
    <row r="381" spans="1:32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F381" s="31"/>
    </row>
    <row r="382" spans="1:32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F382" s="31"/>
    </row>
    <row r="383" spans="1:32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F383" s="31"/>
    </row>
    <row r="384" spans="1:32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F384" s="31"/>
    </row>
    <row r="385" spans="1:32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F385" s="31"/>
    </row>
    <row r="386" spans="1:32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F386" s="31"/>
    </row>
    <row r="387" spans="1:32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F387" s="31"/>
    </row>
    <row r="388" spans="1:32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F388" s="31"/>
    </row>
    <row r="389" spans="1:32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F389" s="31"/>
    </row>
    <row r="390" spans="1:32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F390" s="31"/>
    </row>
    <row r="391" spans="1:32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F391" s="31"/>
    </row>
    <row r="392" spans="1:32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F392" s="31"/>
    </row>
    <row r="393" spans="1:32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F393" s="31"/>
    </row>
    <row r="394" spans="1:32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F394" s="31"/>
    </row>
    <row r="395" spans="1:32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F395" s="31"/>
    </row>
    <row r="396" spans="1:32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F396" s="31"/>
    </row>
    <row r="397" spans="1:32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F397" s="31"/>
    </row>
    <row r="398" spans="1:32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F398" s="31"/>
    </row>
    <row r="399" spans="1:32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F399" s="31"/>
    </row>
    <row r="400" spans="1:32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F400" s="31"/>
    </row>
    <row r="401" spans="1:32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F401" s="31"/>
    </row>
    <row r="402" spans="1:32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F402" s="31"/>
    </row>
    <row r="403" spans="1:32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F403" s="31"/>
    </row>
    <row r="404" spans="1:32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F404" s="31"/>
    </row>
    <row r="405" spans="1:32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F405" s="31"/>
    </row>
    <row r="406" spans="1:32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F406" s="31"/>
    </row>
    <row r="407" spans="1:32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F407" s="31"/>
    </row>
    <row r="408" spans="1:32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F408" s="31"/>
    </row>
    <row r="409" spans="1:32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F409" s="31"/>
    </row>
    <row r="410" spans="1:32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F410" s="31"/>
    </row>
    <row r="411" spans="1:32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F411" s="31"/>
    </row>
    <row r="412" spans="1:32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F412" s="31"/>
    </row>
    <row r="413" spans="1:32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F413" s="31"/>
    </row>
    <row r="414" spans="1:32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F414" s="31"/>
    </row>
    <row r="415" spans="1:32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F415" s="31"/>
    </row>
    <row r="416" spans="1:32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F416" s="31"/>
    </row>
    <row r="417" spans="1:32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F417" s="31"/>
    </row>
    <row r="418" spans="1:32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F418" s="31"/>
    </row>
    <row r="419" spans="1:32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F419" s="31"/>
    </row>
    <row r="420" spans="1:32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F420" s="31"/>
    </row>
    <row r="421" spans="1:32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F421" s="31"/>
    </row>
    <row r="422" spans="1:32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F422" s="31"/>
    </row>
    <row r="423" spans="1:32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F423" s="31"/>
    </row>
    <row r="424" spans="1:32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F424" s="31"/>
    </row>
    <row r="425" spans="1:32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F425" s="31"/>
    </row>
    <row r="426" spans="1:32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F426" s="31"/>
    </row>
    <row r="427" spans="1:32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F427" s="31"/>
    </row>
    <row r="428" spans="1:32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F428" s="31"/>
    </row>
    <row r="429" spans="1:32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F429" s="31"/>
    </row>
    <row r="430" spans="1:32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F430" s="31"/>
    </row>
    <row r="431" spans="1:32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F431" s="31"/>
    </row>
    <row r="432" spans="1:32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F432" s="31"/>
    </row>
    <row r="433" spans="1:32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F433" s="31"/>
    </row>
    <row r="434" spans="1:32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F434" s="31"/>
    </row>
    <row r="435" spans="1:32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F435" s="31"/>
    </row>
    <row r="436" spans="1:32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F436" s="31"/>
    </row>
    <row r="437" spans="1:32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F437" s="31"/>
    </row>
    <row r="438" spans="1:32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F438" s="31"/>
    </row>
    <row r="439" spans="1:32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F439" s="31"/>
    </row>
    <row r="440" spans="1:32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F440" s="31"/>
    </row>
    <row r="441" spans="1:32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F441" s="31"/>
    </row>
    <row r="442" spans="1:32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F442" s="31"/>
    </row>
    <row r="443" spans="1:32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F443" s="31"/>
    </row>
    <row r="444" spans="1:32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F444" s="31"/>
    </row>
    <row r="445" spans="1:32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F445" s="31"/>
    </row>
    <row r="446" spans="1:32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F446" s="31"/>
    </row>
    <row r="447" spans="1:32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F447" s="31"/>
    </row>
    <row r="448" spans="1:32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F448" s="31"/>
    </row>
    <row r="449" spans="1:32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F449" s="31"/>
    </row>
    <row r="450" spans="1:32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F450" s="31"/>
    </row>
    <row r="451" spans="1:32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F451" s="31"/>
    </row>
    <row r="452" spans="1:32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F452" s="31"/>
    </row>
    <row r="453" spans="1:32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F453" s="31"/>
    </row>
    <row r="454" spans="1:32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F454" s="31"/>
    </row>
    <row r="455" spans="1:32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F455" s="31"/>
    </row>
    <row r="456" spans="1:32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F456" s="31"/>
    </row>
    <row r="457" spans="1:32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F457" s="31"/>
    </row>
    <row r="458" spans="1:32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F458" s="31"/>
    </row>
    <row r="459" spans="1:32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F459" s="31"/>
    </row>
    <row r="460" spans="1:32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F460" s="31"/>
    </row>
    <row r="461" spans="1:32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F461" s="31"/>
    </row>
    <row r="462" spans="1:32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F462" s="31"/>
    </row>
    <row r="463" spans="1:32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F463" s="31"/>
    </row>
    <row r="464" spans="1:32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F464" s="31"/>
    </row>
    <row r="465" spans="1:32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F465" s="31"/>
    </row>
    <row r="466" spans="1:32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F466" s="31"/>
    </row>
    <row r="467" spans="1:32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F467" s="31"/>
    </row>
    <row r="468" spans="1:32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F468" s="31"/>
    </row>
    <row r="469" spans="1:32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F469" s="31"/>
    </row>
    <row r="470" spans="1:32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F470" s="31"/>
    </row>
    <row r="471" spans="1:32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F471" s="31"/>
    </row>
    <row r="472" spans="1:32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F472" s="31"/>
    </row>
    <row r="473" spans="1:32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F473" s="31"/>
    </row>
    <row r="474" spans="1:32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F474" s="31"/>
    </row>
    <row r="475" spans="1:32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F475" s="31"/>
    </row>
    <row r="476" spans="1:32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F476" s="31"/>
    </row>
    <row r="477" spans="1:32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F477" s="31"/>
    </row>
    <row r="478" spans="1:32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F478" s="31"/>
    </row>
    <row r="479" spans="1:32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F479" s="31"/>
    </row>
    <row r="480" spans="1:32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F480" s="31"/>
    </row>
    <row r="481" spans="1:32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F481" s="31"/>
    </row>
    <row r="482" spans="1:32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F482" s="31"/>
    </row>
    <row r="483" spans="1:32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F483" s="31"/>
    </row>
    <row r="484" spans="1:32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F484" s="31"/>
    </row>
    <row r="485" spans="1:32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F485" s="31"/>
    </row>
    <row r="486" spans="1:32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F486" s="31"/>
    </row>
    <row r="487" spans="1:32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F487" s="31"/>
    </row>
    <row r="488" spans="1:32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F488" s="31"/>
    </row>
    <row r="489" spans="1:32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F489" s="31"/>
    </row>
    <row r="490" spans="1:32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F490" s="31"/>
    </row>
    <row r="491" spans="1:32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F491" s="31"/>
    </row>
    <row r="492" spans="1:32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F492" s="31"/>
    </row>
    <row r="493" spans="1:32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F493" s="31"/>
    </row>
    <row r="494" spans="1:32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F494" s="31"/>
    </row>
    <row r="495" spans="1:32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F495" s="31"/>
    </row>
    <row r="496" spans="1:32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F496" s="31"/>
    </row>
    <row r="497" spans="1:32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F497" s="31"/>
    </row>
    <row r="498" spans="1:32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F498" s="31"/>
    </row>
    <row r="499" spans="1:32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F499" s="31"/>
    </row>
    <row r="500" spans="1:32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F500" s="31"/>
    </row>
    <row r="501" spans="1:32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F501" s="31"/>
    </row>
    <row r="502" spans="1:32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F502" s="31"/>
    </row>
    <row r="503" spans="1:32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F503" s="31"/>
    </row>
    <row r="504" spans="1:32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F504" s="31"/>
    </row>
    <row r="505" spans="1:32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F505" s="31"/>
    </row>
    <row r="506" spans="1:32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F506" s="31"/>
    </row>
    <row r="507" spans="1:32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F507" s="31"/>
    </row>
    <row r="508" spans="1:32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F508" s="31"/>
    </row>
    <row r="509" spans="1:32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F509" s="31"/>
    </row>
    <row r="510" spans="1:32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F510" s="31"/>
    </row>
    <row r="511" spans="1:32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F511" s="31"/>
    </row>
    <row r="512" spans="1:32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F512" s="31"/>
    </row>
    <row r="513" spans="1:32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F513" s="31"/>
    </row>
    <row r="514" spans="1:32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F514" s="31"/>
    </row>
    <row r="515" spans="1:32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F515" s="31"/>
    </row>
    <row r="516" spans="1:32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F516" s="31"/>
    </row>
    <row r="517" spans="1:32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F517" s="31"/>
    </row>
    <row r="518" spans="1:32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F518" s="31"/>
    </row>
    <row r="519" spans="1:32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F519" s="31"/>
    </row>
    <row r="520" spans="1:32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F520" s="31"/>
    </row>
    <row r="521" spans="1:32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F521" s="31"/>
    </row>
    <row r="522" spans="1:32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F522" s="31"/>
    </row>
    <row r="523" spans="1:32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F523" s="31"/>
    </row>
    <row r="524" spans="1:32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F524" s="31"/>
    </row>
    <row r="525" spans="1:32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F525" s="31"/>
    </row>
    <row r="526" spans="1:32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F526" s="31"/>
    </row>
  </sheetData>
  <sheetProtection formatColumns="0" formatRows="0" sort="0" autoFilter="0"/>
  <phoneticPr fontId="19" type="noConversion"/>
  <conditionalFormatting sqref="A101:AB526 A2:F115 G2:V40 L41:V42 G43:V73 G41:J42 W2:AI2 W3:Y3 AA3:AI3 W4:AI46 W47:AH47 W48:AI50 W51:AH51 W52:AI72 W73:AE73 N3:N44 A74:AE100">
    <cfRule type="expression" dxfId="98" priority="34">
      <formula>AND($B2&lt;&gt;"",MOD(ROW(),2)=0)</formula>
    </cfRule>
  </conditionalFormatting>
  <conditionalFormatting sqref="D2:D526"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0">
      <formula>ISNUMBER(SEARCH("no target",$D2))</formula>
    </cfRule>
    <cfRule type="expression" dxfId="94" priority="21">
      <formula>ISNUMBER(SEARCH("Review",$D2))</formula>
    </cfRule>
    <cfRule type="expression" dxfId="93" priority="22">
      <formula>OR($D2="On track",$D2="Delivered")</formula>
    </cfRule>
  </conditionalFormatting>
  <conditionalFormatting sqref="J2:O191">
    <cfRule type="expression" dxfId="92" priority="1">
      <formula>$AG2="Yes – needs DB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$AG41="Yes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$AG41="Yes – needs DB Dev to fix"</formula>
    </cfRule>
  </conditionalFormatting>
  <conditionalFormatting sqref="K73:L100">
    <cfRule type="expression" dxfId="87" priority="93">
      <formula>$AC73="Yes – needs DB Dev to fix"</formula>
    </cfRule>
  </conditionalFormatting>
  <conditionalFormatting sqref="K101:L526">
    <cfRule type="expression" dxfId="86" priority="27">
      <formula>$Z101="Yes – needs DB Dev to fix"</formula>
    </cfRule>
  </conditionalFormatting>
  <conditionalFormatting sqref="M73:P100">
    <cfRule type="expression" dxfId="85" priority="278">
      <formula>$AB73="Yes – needs PBI Dev to fix"</formula>
    </cfRule>
  </conditionalFormatting>
  <conditionalFormatting sqref="M101:P526">
    <cfRule type="expression" dxfId="84" priority="280">
      <formula>$Z101="Yes – needs PBI Dev to fix"</formula>
    </cfRule>
  </conditionalFormatting>
  <conditionalFormatting sqref="Q73:Q100">
    <cfRule type="expression" dxfId="83" priority="97">
      <formula>$AC73="Yes – needs PBI Dev to fix"</formula>
    </cfRule>
  </conditionalFormatting>
  <conditionalFormatting sqref="Q101:R526">
    <cfRule type="expression" dxfId="82" priority="29">
      <formula>$Z101="Yes – needs QA to fix"</formula>
    </cfRule>
  </conditionalFormatting>
  <conditionalFormatting sqref="Q2:U115 K40:K41 J29 M29:P29 J32:J33 M32:P33 M40:P41">
    <cfRule type="expression" dxfId="81" priority="8">
      <formula>$AG2="Yes – needs PBI Dev to fix"</formula>
    </cfRule>
  </conditionalFormatting>
  <conditionalFormatting sqref="R73:U100">
    <cfRule type="expression" dxfId="80" priority="99">
      <formula>$AC73="Yes – needs QA to fix"</formula>
    </cfRule>
  </conditionalFormatting>
  <conditionalFormatting sqref="S101:U526">
    <cfRule type="expression" dxfId="79" priority="30">
      <formula>$Z101="Yes – needs DPO Approval to fix"</formula>
    </cfRule>
  </conditionalFormatting>
  <conditionalFormatting sqref="U10:V19">
    <cfRule type="expression" dxfId="78" priority="17">
      <formula>$AG10="Yes – needs PBI Dev to fix"</formula>
    </cfRule>
  </conditionalFormatting>
  <conditionalFormatting sqref="U101:V526">
    <cfRule type="expression" dxfId="77" priority="26">
      <formula>$V101="Yes"</formula>
    </cfRule>
  </conditionalFormatting>
  <conditionalFormatting sqref="U73:W100">
    <cfRule type="expression" dxfId="76" priority="101">
      <formula>$AC73="Yes – needs DPO Approval to fix"</formula>
    </cfRule>
  </conditionalFormatting>
  <conditionalFormatting sqref="U2:Y115">
    <cfRule type="expression" dxfId="75" priority="72">
      <formula>$AG2="Yes – needs QA to fix"</formula>
    </cfRule>
  </conditionalFormatting>
  <conditionalFormatting sqref="X73:Y100">
    <cfRule type="expression" dxfId="74" priority="103">
      <formula>$X73="Yes"</formula>
    </cfRule>
  </conditionalFormatting>
  <conditionalFormatting sqref="Z3">
    <cfRule type="expression" dxfId="73" priority="288">
      <formula>AND($B3&lt;&gt;"",MOD(ROW(),2)=0)</formula>
    </cfRule>
    <cfRule type="expression" dxfId="72" priority="289">
      <formula>$AG3="Yes – needs DPO Approval to fix"</formula>
    </cfRule>
  </conditionalFormatting>
  <conditionalFormatting sqref="Z101:Z526">
    <cfRule type="expression" dxfId="71" priority="23">
      <formula>LEFT($Z101,3)="Yes"</formula>
    </cfRule>
  </conditionalFormatting>
  <conditionalFormatting sqref="Z2:AB2 AA3:AB3 Z4:AB100">
    <cfRule type="expression" dxfId="70" priority="75">
      <formula>$AG2="Yes – needs DPO Approval to fix"</formula>
    </cfRule>
  </conditionalFormatting>
  <conditionalFormatting sqref="AA101:AA526">
    <cfRule type="expression" dxfId="69" priority="31">
      <formula>ISNUMBER(SEARCH("Move old",$AA101))</formula>
    </cfRule>
    <cfRule type="expression" dxfId="68" priority="31">
      <formula>ISNUMBER(SEARCH("log it",$AA101))</formula>
    </cfRule>
    <cfRule type="expression" dxfId="67" priority="31">
      <formula>ISNUMBER(SEARCH("Open rework",$AA101))</formula>
    </cfRule>
    <cfRule type="expression" dxfId="66" priority="32">
      <formula>ISNUMBER(SEARCH("Duplicate",$AA101))</formula>
    </cfRule>
    <cfRule type="expression" dxfId="65" priority="33">
      <formula>$AA101&lt;&gt;""</formula>
    </cfRule>
  </conditionalFormatting>
  <conditionalFormatting sqref="AC2:AC115">
    <cfRule type="expression" dxfId="64" priority="47">
      <formula>$AC2="Yes"</formula>
    </cfRule>
  </conditionalFormatting>
  <conditionalFormatting sqref="AC73:AC100">
    <cfRule type="expression" dxfId="63" priority="105">
      <formula>LEFT($AC73,3)="Yes"</formula>
    </cfRule>
  </conditionalFormatting>
  <conditionalFormatting sqref="AD73:AD100">
    <cfRule type="expression" dxfId="62" priority="111">
      <formula>ISNUMBER(SEARCH("Open rework",$AD73))</formula>
    </cfRule>
    <cfRule type="expression" dxfId="61" priority="112">
      <formula>ISNUMBER(SEARCH("Move old",$AD73))</formula>
    </cfRule>
    <cfRule type="expression" dxfId="60" priority="113">
      <formula>ISNUMBER(SEARCH("log it",$AD73))</formula>
    </cfRule>
    <cfRule type="expression" dxfId="59" priority="114">
      <formula>ISNUMBER(SEARCH("Duplicate",$AD73))</formula>
    </cfRule>
    <cfRule type="expression" dxfId="58" priority="115">
      <formula>$AD73&lt;&gt;""</formula>
    </cfRule>
  </conditionalFormatting>
  <conditionalFormatting sqref="AG2:AG115">
    <cfRule type="expression" dxfId="57" priority="49">
      <formula>LEFT($AG2,3)="Yes"</formula>
    </cfRule>
  </conditionalFormatting>
  <conditionalFormatting sqref="AH2:AH115">
    <cfRule type="expression" dxfId="56" priority="55">
      <formula>ISNUMBER(SEARCH("log it",$AH2))</formula>
    </cfRule>
    <cfRule type="expression" dxfId="55" priority="56">
      <formula>ISNUMBER(SEARCH("Open rework",$AH2))</formula>
    </cfRule>
    <cfRule type="expression" dxfId="54" priority="57">
      <formula>ISNUMBER(SEARCH("Move old",$AH2))</formula>
    </cfRule>
    <cfRule type="expression" dxfId="53" priority="58">
      <formula>ISNUMBER(SEARCH("Duplicate",$AH2))</formula>
    </cfRule>
    <cfRule type="expression" dxfId="52" priority="59">
      <formula>$AH2&lt;&gt;""</formula>
    </cfRule>
  </conditionalFormatting>
  <conditionalFormatting sqref="AI47">
    <cfRule type="expression" dxfId="51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D2:AD72 AA2:AA72 Q101:S526 H2:H526 Q2:R73 T2:V73 S2:S28 S30:S73 Z2:Z100 Q74:V100 W2:Y72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AC2:AC72 U101:V526 X73:Y100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AC73:AC100 AG2:AG115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Validation'!$R$2:$R$3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248</v>
      </c>
    </row>
    <row r="2" spans="1:5">
      <c r="A2" s="6" t="s">
        <v>249</v>
      </c>
    </row>
    <row r="4" spans="1:5" ht="21.95" customHeight="1">
      <c r="A4" s="5" t="s">
        <v>250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251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15</v>
      </c>
      <c r="B12" s="79" t="str">
        <f>IF($B$4="","",IFERROR(INDEX('Combined Delivery Data'!$P:$P,MATCH($B$4,'Combined Delivery Data'!$B:$B,0)),""))</f>
        <v/>
      </c>
      <c r="C12" s="83"/>
      <c r="D12" s="83"/>
      <c r="E12" s="84"/>
    </row>
    <row r="13" spans="1:5" ht="15">
      <c r="A13" s="42" t="s">
        <v>20</v>
      </c>
      <c r="B13" s="79" t="str">
        <f>IF($B$4="","",IFERROR(INDEX('Combined Delivery Data'!$U:$U,MATCH($B$4,'Combined Delivery Data'!$B:$B,0)),""))</f>
        <v/>
      </c>
      <c r="C13" s="83"/>
      <c r="D13" s="83"/>
      <c r="E13" s="84"/>
    </row>
    <row r="14" spans="1:5" ht="15">
      <c r="A14" s="42" t="s">
        <v>252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253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254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255</v>
      </c>
      <c r="B17" s="78" t="str">
        <f>IF($B$4="","",IFERROR(INDEX('Combined Delivery Data'!$O:$O,MATCH($B$4,'Combined Delivery Data'!$B:$B,0)),""))</f>
        <v/>
      </c>
      <c r="C17" s="83"/>
      <c r="D17" s="83"/>
      <c r="E17" s="84"/>
    </row>
    <row r="18" spans="1:5" ht="15">
      <c r="A18" s="42" t="s">
        <v>256</v>
      </c>
      <c r="B18" s="78" t="str">
        <f>IF($B$4="","",IFERROR(INDEX('Combined Delivery Data'!$Q:$Q,MATCH($B$4,'Combined Delivery Data'!$B:$B,0)),""))</f>
        <v/>
      </c>
      <c r="C18" s="83"/>
      <c r="D18" s="83"/>
      <c r="E18" s="84"/>
    </row>
    <row r="19" spans="1:5" ht="15">
      <c r="A19" s="42" t="s">
        <v>257</v>
      </c>
      <c r="B19" s="78" t="str">
        <f>IF($B$4="","",IFERROR(INDEX('Combined Delivery Data'!$R:$R,MATCH($B$4,'Combined Delivery Data'!$B:$B,0)),""))</f>
        <v/>
      </c>
      <c r="C19" s="83"/>
      <c r="D19" s="83"/>
      <c r="E19" s="84"/>
    </row>
    <row r="20" spans="1:5" ht="15">
      <c r="A20" s="42" t="s">
        <v>258</v>
      </c>
      <c r="B20" s="78" t="str">
        <f>IF($B$4="","",IFERROR(INDEX('Combined Delivery Data'!$S:$S,MATCH($B$4,'Combined Delivery Data'!$B:$B,0)),""))</f>
        <v/>
      </c>
      <c r="C20" s="83"/>
      <c r="D20" s="83"/>
      <c r="E20" s="84"/>
    </row>
    <row r="21" spans="1:5" ht="15">
      <c r="A21" s="42" t="s">
        <v>27</v>
      </c>
      <c r="B21" s="79" t="str">
        <f>IF($B$4="","",IFERROR(INDEX('Combined Delivery Data'!$T:$T,MATCH($B$4,'Combined Delivery Data'!$B:$B,0)),""))</f>
        <v/>
      </c>
      <c r="C21" s="83"/>
      <c r="D21" s="83"/>
      <c r="E21" s="84"/>
    </row>
    <row r="22" spans="1:5" ht="15">
      <c r="A22" s="42" t="s">
        <v>28</v>
      </c>
      <c r="B22" s="79" t="str">
        <f>IF($B$4="","",IFERROR(INDEX('Combined Delivery Data'!$V:$V,MATCH($B$4,'Combined Delivery Data'!$B:$B,0)),""))</f>
        <v/>
      </c>
      <c r="C22" s="83"/>
      <c r="D22" s="83"/>
      <c r="E22" s="84"/>
    </row>
    <row r="23" spans="1:5" ht="15">
      <c r="A23" s="42" t="s">
        <v>29</v>
      </c>
      <c r="B23" s="78" t="str">
        <f>IF($B$4="","",IFERROR(INDEX('Combined Delivery Data'!$W:$W,MATCH($B$4,'Combined Delivery Data'!$B:$B,0)),""))</f>
        <v/>
      </c>
      <c r="C23" s="83"/>
      <c r="D23" s="83"/>
      <c r="E23" s="84"/>
    </row>
    <row r="24" spans="1:5" ht="15">
      <c r="A24" s="42" t="s">
        <v>32</v>
      </c>
      <c r="B24" s="79" t="str">
        <f>IF($B$4="","",IFERROR(INDEX('Combined Delivery Data'!$Z:$Z,MATCH($B$4,'Combined Delivery Data'!$B:$B,0)),""))</f>
        <v/>
      </c>
      <c r="C24" s="83"/>
      <c r="D24" s="83"/>
      <c r="E24" s="84"/>
    </row>
    <row r="25" spans="1:5" ht="15">
      <c r="A25" s="42" t="s">
        <v>33</v>
      </c>
      <c r="B25" s="79" t="str">
        <f>IF($B$4="","",IFERROR(INDEX('Combined Delivery Data'!$AA:$AA,MATCH($B$4,'Combined Delivery Data'!$B:$B,0)),""))</f>
        <v/>
      </c>
      <c r="C25" s="83"/>
      <c r="D25" s="83"/>
      <c r="E25" s="84"/>
    </row>
    <row r="26" spans="1:5">
      <c r="A26" s="42" t="s">
        <v>259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260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261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262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34</v>
      </c>
      <c r="B31" s="85" t="str">
        <f>IF($B$4="","",IFERROR(INDEX('Combined Delivery Data'!$AB:$AB,MATCH($B$4,'Combined Delivery Data'!$B:$B,0)),""))</f>
        <v/>
      </c>
      <c r="C31" s="82"/>
      <c r="D31" s="82"/>
      <c r="E31" s="8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F3" activePane="bottomLeft" state="frozen"/>
      <selection pane="bottomLeft" activeCell="I24" sqref="I2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263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264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265</v>
      </c>
      <c r="C2" s="17" t="s">
        <v>266</v>
      </c>
      <c r="D2" s="17" t="s">
        <v>267</v>
      </c>
      <c r="E2" s="17" t="s">
        <v>268</v>
      </c>
      <c r="F2" s="17" t="s">
        <v>269</v>
      </c>
      <c r="G2" s="17" t="s">
        <v>270</v>
      </c>
      <c r="H2" s="30" t="s">
        <v>271</v>
      </c>
      <c r="I2" s="30" t="s">
        <v>272</v>
      </c>
      <c r="J2" s="30" t="s">
        <v>273</v>
      </c>
      <c r="K2" s="30" t="s">
        <v>274</v>
      </c>
      <c r="L2" s="30" t="s">
        <v>275</v>
      </c>
      <c r="M2" s="21" t="s">
        <v>276</v>
      </c>
      <c r="N2" s="21" t="s">
        <v>277</v>
      </c>
      <c r="P2" s="13" t="s">
        <v>1</v>
      </c>
      <c r="Q2" s="13" t="s">
        <v>259</v>
      </c>
      <c r="R2" s="13" t="s">
        <v>260</v>
      </c>
      <c r="S2" s="13" t="s">
        <v>261</v>
      </c>
      <c r="T2" s="13" t="s">
        <v>262</v>
      </c>
    </row>
    <row r="3" spans="1:20">
      <c r="A3" s="33" t="s">
        <v>131</v>
      </c>
      <c r="B3" s="36">
        <v>46230</v>
      </c>
      <c r="C3" s="33" t="s">
        <v>126</v>
      </c>
      <c r="D3" s="33" t="s">
        <v>139</v>
      </c>
      <c r="E3" s="33" t="s">
        <v>132</v>
      </c>
      <c r="F3" s="33" t="s">
        <v>278</v>
      </c>
      <c r="G3" s="33" t="s">
        <v>44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44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142</v>
      </c>
      <c r="B4" s="32">
        <v>46237</v>
      </c>
      <c r="C4" s="31" t="s">
        <v>126</v>
      </c>
      <c r="D4" s="31" t="s">
        <v>139</v>
      </c>
      <c r="E4" s="31" t="s">
        <v>132</v>
      </c>
      <c r="F4" s="31" t="s">
        <v>279</v>
      </c>
      <c r="G4" s="31" t="s">
        <v>44</v>
      </c>
      <c r="H4" s="32"/>
      <c r="I4" s="32"/>
      <c r="J4" s="32">
        <v>46247</v>
      </c>
      <c r="K4" s="31" t="s">
        <v>54</v>
      </c>
      <c r="L4" s="31" t="s">
        <v>280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44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115</v>
      </c>
      <c r="B5" s="32">
        <v>46238</v>
      </c>
      <c r="C5" s="31" t="s">
        <v>126</v>
      </c>
      <c r="D5" s="31" t="s">
        <v>139</v>
      </c>
      <c r="E5" s="31" t="s">
        <v>117</v>
      </c>
      <c r="F5" s="31" t="s">
        <v>281</v>
      </c>
      <c r="G5" s="31" t="s">
        <v>44</v>
      </c>
      <c r="H5" s="32"/>
      <c r="I5" s="32"/>
      <c r="J5" s="32"/>
      <c r="K5" s="31"/>
      <c r="L5" s="31"/>
      <c r="M5" s="3" t="str">
        <f t="shared" ca="1" si="4"/>
        <v>UNCLAIMED 21 d</v>
      </c>
      <c r="N5" t="s">
        <v>44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129</v>
      </c>
      <c r="B6" s="32">
        <v>46234</v>
      </c>
      <c r="C6" s="31" t="s">
        <v>126</v>
      </c>
      <c r="D6" s="31" t="s">
        <v>139</v>
      </c>
      <c r="E6" s="31" t="s">
        <v>117</v>
      </c>
      <c r="F6" s="31" t="s">
        <v>282</v>
      </c>
      <c r="G6" s="31" t="s">
        <v>44</v>
      </c>
      <c r="H6" s="32"/>
      <c r="I6" s="32"/>
      <c r="J6" s="32"/>
      <c r="K6" s="31"/>
      <c r="L6" s="31"/>
      <c r="M6" s="3" t="str">
        <f t="shared" ca="1" si="4"/>
        <v>UNCLAIMED 25 d</v>
      </c>
      <c r="N6" t="s">
        <v>44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121</v>
      </c>
      <c r="B7" s="32">
        <v>46239</v>
      </c>
      <c r="C7" s="31" t="s">
        <v>126</v>
      </c>
      <c r="D7" s="31" t="s">
        <v>139</v>
      </c>
      <c r="E7" s="31" t="s">
        <v>117</v>
      </c>
      <c r="F7" s="31" t="s">
        <v>283</v>
      </c>
      <c r="G7" s="31" t="s">
        <v>44</v>
      </c>
      <c r="H7" s="32"/>
      <c r="I7" s="32"/>
      <c r="J7" s="32"/>
      <c r="K7" s="31"/>
      <c r="L7" s="31"/>
      <c r="M7" s="3" t="str">
        <f t="shared" ca="1" si="4"/>
        <v>UNCLAIMED 20 d</v>
      </c>
      <c r="N7" t="s">
        <v>44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121</v>
      </c>
      <c r="B8" s="32">
        <v>46246</v>
      </c>
      <c r="C8" s="31" t="s">
        <v>126</v>
      </c>
      <c r="D8" s="31" t="s">
        <v>139</v>
      </c>
      <c r="E8" s="31" t="s">
        <v>117</v>
      </c>
      <c r="F8" s="31" t="s">
        <v>284</v>
      </c>
      <c r="G8" s="31" t="s">
        <v>44</v>
      </c>
      <c r="H8" s="32"/>
      <c r="I8" s="32"/>
      <c r="J8" s="32"/>
      <c r="K8" s="31"/>
      <c r="L8" s="31"/>
      <c r="M8" s="3" t="str">
        <f t="shared" ca="1" si="4"/>
        <v>UNCLAIMED 13 d</v>
      </c>
      <c r="N8" t="s">
        <v>285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142</v>
      </c>
      <c r="B9" s="32">
        <v>46251</v>
      </c>
      <c r="C9" s="31" t="s">
        <v>126</v>
      </c>
      <c r="D9" s="31" t="s">
        <v>139</v>
      </c>
      <c r="E9" s="31" t="s">
        <v>132</v>
      </c>
      <c r="F9" s="31" t="s">
        <v>286</v>
      </c>
      <c r="G9" s="31" t="s">
        <v>44</v>
      </c>
      <c r="H9" s="32"/>
      <c r="I9" s="32"/>
      <c r="J9" s="32"/>
      <c r="K9" s="31"/>
      <c r="L9" s="31"/>
      <c r="M9" s="3" t="str">
        <f t="shared" ca="1" si="4"/>
        <v>UNCLAIMED 8 d</v>
      </c>
      <c r="N9" t="s">
        <v>285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131</v>
      </c>
      <c r="B10" s="32">
        <v>46237</v>
      </c>
      <c r="C10" s="31" t="s">
        <v>126</v>
      </c>
      <c r="D10" s="31" t="s">
        <v>139</v>
      </c>
      <c r="E10" s="31" t="s">
        <v>132</v>
      </c>
      <c r="F10" s="31" t="s">
        <v>279</v>
      </c>
      <c r="G10" s="31" t="s">
        <v>44</v>
      </c>
      <c r="H10" s="32"/>
      <c r="I10" s="32"/>
      <c r="J10" s="32"/>
      <c r="K10" s="31"/>
      <c r="L10" s="31"/>
      <c r="M10" s="3" t="str">
        <f t="shared" ca="1" si="4"/>
        <v>UNCLAIMED 22 d</v>
      </c>
      <c r="N10" t="s">
        <v>285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121</v>
      </c>
      <c r="B11" s="32">
        <v>46254</v>
      </c>
      <c r="C11" s="31" t="s">
        <v>126</v>
      </c>
      <c r="D11" s="31" t="s">
        <v>139</v>
      </c>
      <c r="E11" s="31" t="s">
        <v>117</v>
      </c>
      <c r="F11" s="31" t="s">
        <v>281</v>
      </c>
      <c r="G11" s="31" t="s">
        <v>44</v>
      </c>
      <c r="H11" s="32"/>
      <c r="I11" s="32"/>
      <c r="J11" s="32"/>
      <c r="K11" s="31"/>
      <c r="L11" s="31"/>
      <c r="M11" s="3" t="str">
        <f t="shared" ca="1" si="4"/>
        <v>UNCLAIMED 5 d</v>
      </c>
      <c r="N11" t="s">
        <v>44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140</v>
      </c>
      <c r="B12" s="32">
        <v>46254</v>
      </c>
      <c r="C12" s="31" t="s">
        <v>126</v>
      </c>
      <c r="D12" s="31" t="s">
        <v>139</v>
      </c>
      <c r="E12" s="31" t="s">
        <v>132</v>
      </c>
      <c r="F12" s="31" t="s">
        <v>287</v>
      </c>
      <c r="G12" s="31" t="s">
        <v>44</v>
      </c>
      <c r="H12" s="32"/>
      <c r="I12" s="32"/>
      <c r="J12" s="32"/>
      <c r="K12" s="31"/>
      <c r="L12" s="31"/>
      <c r="M12" s="3" t="str">
        <f t="shared" ca="1" si="4"/>
        <v>UNCLAIMED 5 d</v>
      </c>
      <c r="N12" t="s">
        <v>288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125</v>
      </c>
      <c r="B13" s="32">
        <v>46258</v>
      </c>
      <c r="C13" s="31" t="s">
        <v>126</v>
      </c>
      <c r="D13" s="31" t="s">
        <v>139</v>
      </c>
      <c r="E13" s="31" t="s">
        <v>117</v>
      </c>
      <c r="F13" s="31" t="s">
        <v>289</v>
      </c>
      <c r="G13" s="31" t="s">
        <v>47</v>
      </c>
      <c r="H13" s="32"/>
      <c r="I13" s="32"/>
      <c r="J13" s="32"/>
      <c r="K13" s="31"/>
      <c r="L13" s="31"/>
      <c r="M13" s="3" t="str">
        <f t="shared" ca="1" si="4"/>
        <v>UNCLAIMED 1 d</v>
      </c>
      <c r="N13" t="s">
        <v>288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134</v>
      </c>
      <c r="B14" s="32">
        <v>46258</v>
      </c>
      <c r="C14" s="31" t="s">
        <v>126</v>
      </c>
      <c r="D14" s="31" t="s">
        <v>135</v>
      </c>
      <c r="E14" s="31" t="s">
        <v>132</v>
      </c>
      <c r="F14" s="31" t="s">
        <v>290</v>
      </c>
      <c r="G14" s="31" t="s">
        <v>47</v>
      </c>
      <c r="H14" s="32"/>
      <c r="I14" s="32"/>
      <c r="J14" s="32"/>
      <c r="K14" s="31"/>
      <c r="L14" s="31"/>
      <c r="M14" s="3" t="str">
        <f t="shared" ca="1" si="4"/>
        <v>UNCLAIMED 1 d</v>
      </c>
      <c r="N14" t="s">
        <v>44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 t="s">
        <v>146</v>
      </c>
      <c r="B15" s="32">
        <v>46258</v>
      </c>
      <c r="C15" s="31" t="s">
        <v>126</v>
      </c>
      <c r="D15" s="31" t="s">
        <v>135</v>
      </c>
      <c r="E15" s="31" t="s">
        <v>132</v>
      </c>
      <c r="F15" s="31" t="s">
        <v>291</v>
      </c>
      <c r="G15" s="31" t="s">
        <v>47</v>
      </c>
      <c r="H15" s="32"/>
      <c r="I15" s="32"/>
      <c r="J15" s="32"/>
      <c r="K15" s="31"/>
      <c r="L15" s="31"/>
      <c r="M15" s="3" t="str">
        <f t="shared" ca="1" si="4"/>
        <v>UNCLAIMED 1 d</v>
      </c>
      <c r="N15" t="s">
        <v>288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138</v>
      </c>
      <c r="B16" s="32">
        <v>46258</v>
      </c>
      <c r="C16" s="31" t="s">
        <v>126</v>
      </c>
      <c r="D16" s="31" t="s">
        <v>139</v>
      </c>
      <c r="E16" s="31" t="s">
        <v>132</v>
      </c>
      <c r="F16" s="31" t="s">
        <v>292</v>
      </c>
      <c r="G16" s="31" t="s">
        <v>47</v>
      </c>
      <c r="H16" s="32"/>
      <c r="I16" s="32"/>
      <c r="J16" s="32"/>
      <c r="K16" s="31"/>
      <c r="L16" s="31"/>
      <c r="M16" s="3" t="str">
        <f t="shared" ca="1" si="4"/>
        <v>UNCLAIMED 1 d</v>
      </c>
      <c r="N16" t="s">
        <v>288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126</v>
      </c>
      <c r="D17" s="31"/>
      <c r="E17" s="31"/>
      <c r="F17" s="31"/>
      <c r="G17" s="31" t="s">
        <v>47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126</v>
      </c>
      <c r="D18" s="31"/>
      <c r="E18" s="31"/>
      <c r="F18" s="31"/>
      <c r="G18" s="31" t="s">
        <v>47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126</v>
      </c>
      <c r="D19" s="31"/>
      <c r="E19" s="31"/>
      <c r="F19" s="31"/>
      <c r="G19" s="31" t="s">
        <v>47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126</v>
      </c>
      <c r="D20" s="31"/>
      <c r="E20" s="31"/>
      <c r="F20" s="31"/>
      <c r="G20" s="31" t="s">
        <v>47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126</v>
      </c>
      <c r="D21" s="31"/>
      <c r="E21" s="31"/>
      <c r="F21" s="31"/>
      <c r="G21" s="31" t="s">
        <v>47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126</v>
      </c>
      <c r="D22" s="31"/>
      <c r="E22" s="31"/>
      <c r="F22" s="31"/>
      <c r="G22" s="31" t="s">
        <v>47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126</v>
      </c>
      <c r="D23" s="31"/>
      <c r="E23" s="31"/>
      <c r="F23" s="31"/>
      <c r="G23" s="31" t="s">
        <v>47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126</v>
      </c>
      <c r="D24" s="31"/>
      <c r="E24" s="31"/>
      <c r="F24" s="31"/>
      <c r="G24" s="31" t="s">
        <v>47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126</v>
      </c>
      <c r="D25" s="31"/>
      <c r="E25" s="31"/>
      <c r="F25" s="31"/>
      <c r="G25" s="31" t="s">
        <v>47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126</v>
      </c>
      <c r="D26" s="31"/>
      <c r="E26" s="31"/>
      <c r="F26" s="31"/>
      <c r="G26" s="31" t="s">
        <v>47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126</v>
      </c>
      <c r="D27" s="31"/>
      <c r="E27" s="31"/>
      <c r="F27" s="31"/>
      <c r="G27" s="31" t="s">
        <v>47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126</v>
      </c>
      <c r="D28" s="31"/>
      <c r="E28" s="31"/>
      <c r="F28" s="31"/>
      <c r="G28" s="31" t="s">
        <v>47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126</v>
      </c>
      <c r="D29" s="31"/>
      <c r="E29" s="31"/>
      <c r="F29" s="31"/>
      <c r="G29" s="31" t="s">
        <v>47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126</v>
      </c>
      <c r="D30" s="31"/>
      <c r="E30" s="31"/>
      <c r="F30" s="31"/>
      <c r="G30" s="31" t="s">
        <v>47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126</v>
      </c>
      <c r="D31" s="31"/>
      <c r="E31" s="31"/>
      <c r="F31" s="31"/>
      <c r="G31" s="31" t="s">
        <v>47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126</v>
      </c>
      <c r="D32" s="31"/>
      <c r="E32" s="31"/>
      <c r="F32" s="31"/>
      <c r="G32" s="31" t="s">
        <v>47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126</v>
      </c>
      <c r="D33" s="31"/>
      <c r="E33" s="31"/>
      <c r="F33" s="31"/>
      <c r="G33" s="31" t="s">
        <v>47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126</v>
      </c>
      <c r="D34" s="31"/>
      <c r="E34" s="31"/>
      <c r="F34" s="31"/>
      <c r="G34" s="31" t="s">
        <v>47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126</v>
      </c>
      <c r="D35" s="31"/>
      <c r="E35" s="31"/>
      <c r="F35" s="31"/>
      <c r="G35" s="31" t="s">
        <v>47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126</v>
      </c>
      <c r="D36" s="31"/>
      <c r="E36" s="31"/>
      <c r="F36" s="31"/>
      <c r="G36" s="31" t="s">
        <v>47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126</v>
      </c>
      <c r="D37" s="31"/>
      <c r="E37" s="31"/>
      <c r="F37" s="31"/>
      <c r="G37" s="31" t="s">
        <v>47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>
      <c r="A38" s="31"/>
      <c r="B38" s="32"/>
      <c r="C38" s="31" t="s">
        <v>126</v>
      </c>
      <c r="D38" s="31"/>
      <c r="E38" s="31"/>
      <c r="F38" s="31"/>
      <c r="G38" s="31" t="s">
        <v>47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1</v>
      </c>
      <c r="R38">
        <f t="shared" si="1"/>
        <v>1</v>
      </c>
      <c r="S38" s="28">
        <f t="shared" si="2"/>
        <v>46258</v>
      </c>
      <c r="T38" t="str">
        <f t="shared" si="3"/>
        <v>QA -&gt; DB Dev</v>
      </c>
    </row>
    <row r="39" spans="1:20">
      <c r="A39" s="31"/>
      <c r="B39" s="32"/>
      <c r="C39" s="31" t="s">
        <v>126</v>
      </c>
      <c r="D39" s="31"/>
      <c r="E39" s="31"/>
      <c r="F39" s="31"/>
      <c r="G39" s="31" t="s">
        <v>47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126</v>
      </c>
      <c r="D40" s="31"/>
      <c r="E40" s="31"/>
      <c r="F40" s="31"/>
      <c r="G40" s="31" t="s">
        <v>47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126</v>
      </c>
      <c r="D41" s="31"/>
      <c r="E41" s="31"/>
      <c r="F41" s="31"/>
      <c r="G41" s="31" t="s">
        <v>47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1</v>
      </c>
      <c r="R41">
        <f t="shared" si="1"/>
        <v>1</v>
      </c>
      <c r="S41" s="28">
        <f t="shared" si="2"/>
        <v>46258</v>
      </c>
      <c r="T41" t="str">
        <f t="shared" si="3"/>
        <v>QA -&gt; PBI Dev</v>
      </c>
    </row>
    <row r="42" spans="1:20">
      <c r="A42" s="31"/>
      <c r="B42" s="32"/>
      <c r="C42" s="31" t="s">
        <v>126</v>
      </c>
      <c r="D42" s="31"/>
      <c r="E42" s="31"/>
      <c r="F42" s="31"/>
      <c r="G42" s="31" t="s">
        <v>47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126</v>
      </c>
      <c r="D43" s="31"/>
      <c r="E43" s="31"/>
      <c r="F43" s="31"/>
      <c r="G43" s="31" t="s">
        <v>47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126</v>
      </c>
      <c r="D44" s="31"/>
      <c r="E44" s="31"/>
      <c r="F44" s="31"/>
      <c r="G44" s="31" t="s">
        <v>47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126</v>
      </c>
      <c r="D45" s="31"/>
      <c r="E45" s="31"/>
      <c r="F45" s="31"/>
      <c r="G45" s="31" t="s">
        <v>47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126</v>
      </c>
      <c r="D46" s="31"/>
      <c r="E46" s="31"/>
      <c r="F46" s="31"/>
      <c r="G46" s="31" t="s">
        <v>47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126</v>
      </c>
      <c r="D47" s="31"/>
      <c r="E47" s="31"/>
      <c r="F47" s="31"/>
      <c r="G47" s="31" t="s">
        <v>47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126</v>
      </c>
      <c r="D48" s="31"/>
      <c r="E48" s="31"/>
      <c r="F48" s="31"/>
      <c r="G48" s="31" t="s">
        <v>47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126</v>
      </c>
      <c r="D49" s="31"/>
      <c r="E49" s="31"/>
      <c r="F49" s="31"/>
      <c r="G49" s="31" t="s">
        <v>47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126</v>
      </c>
      <c r="D50" s="31"/>
      <c r="E50" s="31"/>
      <c r="F50" s="31"/>
      <c r="G50" s="31" t="s">
        <v>47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126</v>
      </c>
      <c r="D51" s="31"/>
      <c r="E51" s="31"/>
      <c r="F51" s="31"/>
      <c r="G51" s="31" t="s">
        <v>47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126</v>
      </c>
      <c r="D52" s="31"/>
      <c r="E52" s="31"/>
      <c r="F52" s="31"/>
      <c r="G52" s="31" t="s">
        <v>47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126</v>
      </c>
      <c r="D53" s="31"/>
      <c r="E53" s="31"/>
      <c r="F53" s="31"/>
      <c r="G53" s="31" t="s">
        <v>47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126</v>
      </c>
      <c r="D54" s="31"/>
      <c r="E54" s="31"/>
      <c r="F54" s="31"/>
      <c r="G54" s="31" t="s">
        <v>47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126</v>
      </c>
      <c r="D55" s="31"/>
      <c r="E55" s="31"/>
      <c r="F55" s="31"/>
      <c r="G55" s="31" t="s">
        <v>47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126</v>
      </c>
      <c r="D56" s="31"/>
      <c r="E56" s="31"/>
      <c r="F56" s="31"/>
      <c r="G56" s="31" t="s">
        <v>47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126</v>
      </c>
      <c r="D57" s="31"/>
      <c r="E57" s="31"/>
      <c r="F57" s="31"/>
      <c r="G57" s="31" t="s">
        <v>47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126</v>
      </c>
      <c r="D58" s="31"/>
      <c r="E58" s="31"/>
      <c r="F58" s="31"/>
      <c r="G58" s="31" t="s">
        <v>47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126</v>
      </c>
      <c r="D59" s="31"/>
      <c r="E59" s="31"/>
      <c r="F59" s="31"/>
      <c r="G59" s="31" t="s">
        <v>47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126</v>
      </c>
      <c r="D60" s="31"/>
      <c r="E60" s="31"/>
      <c r="F60" s="31"/>
      <c r="G60" s="31" t="s">
        <v>47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126</v>
      </c>
      <c r="D61" s="31"/>
      <c r="E61" s="31"/>
      <c r="F61" s="31"/>
      <c r="G61" s="31" t="s">
        <v>47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126</v>
      </c>
      <c r="D62" s="31"/>
      <c r="E62" s="31"/>
      <c r="F62" s="31"/>
      <c r="G62" s="31" t="s">
        <v>47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126</v>
      </c>
      <c r="D63" s="31"/>
      <c r="E63" s="31"/>
      <c r="F63" s="31"/>
      <c r="G63" s="31" t="s">
        <v>47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126</v>
      </c>
      <c r="D64" s="31"/>
      <c r="E64" s="31"/>
      <c r="F64" s="31"/>
      <c r="G64" s="31" t="s">
        <v>47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126</v>
      </c>
      <c r="D65" s="31"/>
      <c r="E65" s="31"/>
      <c r="F65" s="31"/>
      <c r="G65" s="31" t="s">
        <v>47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126</v>
      </c>
      <c r="D66" s="31"/>
      <c r="E66" s="31"/>
      <c r="F66" s="31"/>
      <c r="G66" s="31" t="s">
        <v>47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126</v>
      </c>
      <c r="D67" s="31"/>
      <c r="E67" s="31"/>
      <c r="F67" s="31"/>
      <c r="G67" s="31" t="s">
        <v>47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126</v>
      </c>
      <c r="D68" s="31"/>
      <c r="E68" s="31"/>
      <c r="F68" s="31"/>
      <c r="G68" s="31" t="s">
        <v>47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126</v>
      </c>
      <c r="D69" s="31"/>
      <c r="E69" s="31"/>
      <c r="F69" s="31"/>
      <c r="G69" s="31" t="s">
        <v>47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126</v>
      </c>
      <c r="D70" s="31"/>
      <c r="E70" s="31"/>
      <c r="F70" s="31"/>
      <c r="G70" s="31" t="s">
        <v>47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126</v>
      </c>
      <c r="D71" s="31"/>
      <c r="E71" s="31"/>
      <c r="F71" s="31"/>
      <c r="G71" s="31" t="s">
        <v>47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126</v>
      </c>
      <c r="D72" s="31"/>
      <c r="E72" s="31"/>
      <c r="F72" s="31"/>
      <c r="G72" s="31" t="s">
        <v>47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126</v>
      </c>
      <c r="D73" s="31"/>
      <c r="E73" s="31"/>
      <c r="F73" s="31"/>
      <c r="G73" s="31" t="s">
        <v>47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126</v>
      </c>
      <c r="D74" s="31"/>
      <c r="E74" s="31"/>
      <c r="F74" s="31"/>
      <c r="G74" s="31" t="s">
        <v>47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126</v>
      </c>
      <c r="D75" s="31"/>
      <c r="E75" s="31"/>
      <c r="F75" s="31"/>
      <c r="G75" s="31" t="s">
        <v>47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126</v>
      </c>
      <c r="D76" s="31"/>
      <c r="E76" s="31"/>
      <c r="F76" s="31"/>
      <c r="G76" s="31" t="s">
        <v>47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126</v>
      </c>
      <c r="D77" s="31"/>
      <c r="E77" s="31"/>
      <c r="F77" s="31"/>
      <c r="G77" s="31" t="s">
        <v>47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126</v>
      </c>
      <c r="D78" s="31"/>
      <c r="E78" s="31"/>
      <c r="F78" s="31"/>
      <c r="G78" s="31" t="s">
        <v>47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126</v>
      </c>
      <c r="D79" s="31"/>
      <c r="E79" s="31"/>
      <c r="F79" s="31"/>
      <c r="G79" s="31" t="s">
        <v>47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126</v>
      </c>
      <c r="D80" s="31"/>
      <c r="E80" s="31"/>
      <c r="F80" s="31"/>
      <c r="G80" s="31" t="s">
        <v>47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126</v>
      </c>
      <c r="D81" s="31"/>
      <c r="E81" s="31"/>
      <c r="F81" s="31"/>
      <c r="G81" s="31" t="s">
        <v>47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126</v>
      </c>
      <c r="D82" s="31"/>
      <c r="E82" s="31"/>
      <c r="F82" s="31"/>
      <c r="G82" s="31" t="s">
        <v>47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126</v>
      </c>
      <c r="D83" s="31"/>
      <c r="E83" s="31"/>
      <c r="F83" s="31"/>
      <c r="G83" s="31" t="s">
        <v>47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126</v>
      </c>
      <c r="D84" s="31"/>
      <c r="E84" s="31"/>
      <c r="F84" s="31"/>
      <c r="G84" s="31" t="s">
        <v>47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126</v>
      </c>
      <c r="D85" s="31"/>
      <c r="E85" s="31"/>
      <c r="F85" s="31"/>
      <c r="G85" s="31" t="s">
        <v>47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126</v>
      </c>
      <c r="D86" s="31"/>
      <c r="E86" s="31"/>
      <c r="F86" s="31"/>
      <c r="G86" s="31" t="s">
        <v>47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126</v>
      </c>
      <c r="D87" s="31"/>
      <c r="E87" s="31"/>
      <c r="F87" s="31"/>
      <c r="G87" s="31" t="s">
        <v>47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126</v>
      </c>
      <c r="D88" s="31"/>
      <c r="E88" s="31"/>
      <c r="F88" s="31"/>
      <c r="G88" s="31" t="s">
        <v>47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126</v>
      </c>
      <c r="D89" s="31"/>
      <c r="E89" s="31"/>
      <c r="F89" s="31"/>
      <c r="G89" s="31" t="s">
        <v>47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126</v>
      </c>
      <c r="D90" s="31"/>
      <c r="E90" s="31"/>
      <c r="F90" s="31"/>
      <c r="G90" s="31" t="s">
        <v>47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126</v>
      </c>
      <c r="D91" s="31"/>
      <c r="E91" s="31"/>
      <c r="F91" s="31"/>
      <c r="G91" s="31" t="s">
        <v>47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484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126</v>
      </c>
      <c r="D92" s="31"/>
      <c r="E92" s="31"/>
      <c r="F92" s="31"/>
      <c r="G92" s="31" t="s">
        <v>47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484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126</v>
      </c>
      <c r="D93" s="31"/>
      <c r="E93" s="31"/>
      <c r="F93" s="31"/>
      <c r="G93" s="31" t="s">
        <v>47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484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126</v>
      </c>
      <c r="D94" s="31"/>
      <c r="E94" s="31"/>
      <c r="F94" s="31"/>
      <c r="G94" s="31" t="s">
        <v>47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484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126</v>
      </c>
      <c r="D95" s="31"/>
      <c r="E95" s="31"/>
      <c r="F95" s="31"/>
      <c r="G95" s="31" t="s">
        <v>47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484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126</v>
      </c>
      <c r="D96" s="31"/>
      <c r="E96" s="31"/>
      <c r="F96" s="31"/>
      <c r="G96" s="31" t="s">
        <v>47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484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126</v>
      </c>
      <c r="D97" s="31"/>
      <c r="E97" s="31"/>
      <c r="F97" s="31"/>
      <c r="G97" s="31" t="s">
        <v>47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484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126</v>
      </c>
      <c r="D98" s="31"/>
      <c r="E98" s="31"/>
      <c r="F98" s="31"/>
      <c r="G98" s="31" t="s">
        <v>47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484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126</v>
      </c>
      <c r="D99" s="31"/>
      <c r="E99" s="31"/>
      <c r="F99" s="31"/>
      <c r="G99" s="31" t="s">
        <v>47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484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126</v>
      </c>
      <c r="D100" s="31"/>
      <c r="E100" s="31"/>
      <c r="F100" s="31"/>
      <c r="G100" s="31" t="s">
        <v>47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484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126</v>
      </c>
      <c r="D101" s="31"/>
      <c r="E101" s="31"/>
      <c r="F101" s="31"/>
      <c r="G101" s="31" t="s">
        <v>47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484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126</v>
      </c>
      <c r="D102" s="31"/>
      <c r="E102" s="31"/>
      <c r="F102" s="31"/>
      <c r="G102" s="31" t="s">
        <v>47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484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126</v>
      </c>
      <c r="D103" s="31"/>
      <c r="E103" s="31"/>
      <c r="F103" s="31"/>
      <c r="G103" s="31" t="s">
        <v>47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484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126</v>
      </c>
      <c r="D104" s="31"/>
      <c r="E104" s="31"/>
      <c r="F104" s="31"/>
      <c r="G104" s="31" t="s">
        <v>47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484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126</v>
      </c>
      <c r="D105" s="31"/>
      <c r="E105" s="31"/>
      <c r="F105" s="31"/>
      <c r="G105" s="31" t="s">
        <v>47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484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126</v>
      </c>
      <c r="D106" s="31"/>
      <c r="E106" s="31"/>
      <c r="F106" s="31"/>
      <c r="G106" s="31" t="s">
        <v>47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484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126</v>
      </c>
      <c r="D107" s="31"/>
      <c r="E107" s="31"/>
      <c r="F107" s="31"/>
      <c r="G107" s="31" t="s">
        <v>47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484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126</v>
      </c>
      <c r="D108" s="31"/>
      <c r="E108" s="31"/>
      <c r="F108" s="31"/>
      <c r="G108" s="31" t="s">
        <v>47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484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126</v>
      </c>
      <c r="D109" s="31"/>
      <c r="E109" s="31"/>
      <c r="F109" s="31"/>
      <c r="G109" s="31" t="s">
        <v>47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484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126</v>
      </c>
      <c r="D110" s="31"/>
      <c r="E110" s="31"/>
      <c r="F110" s="31"/>
      <c r="G110" s="31" t="s">
        <v>47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484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126</v>
      </c>
      <c r="D111" s="31"/>
      <c r="E111" s="31"/>
      <c r="F111" s="31"/>
      <c r="G111" s="31" t="s">
        <v>47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484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126</v>
      </c>
      <c r="D112" s="31"/>
      <c r="E112" s="31"/>
      <c r="F112" s="31"/>
      <c r="G112" s="31" t="s">
        <v>47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484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126</v>
      </c>
      <c r="D113" s="31"/>
      <c r="E113" s="31"/>
      <c r="F113" s="31"/>
      <c r="G113" s="31" t="s">
        <v>47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484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126</v>
      </c>
      <c r="D114" s="31"/>
      <c r="E114" s="31"/>
      <c r="F114" s="31"/>
      <c r="G114" s="31" t="s">
        <v>47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484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126</v>
      </c>
      <c r="D115" s="31"/>
      <c r="E115" s="31"/>
      <c r="F115" s="31"/>
      <c r="G115" s="31" t="s">
        <v>47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484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126</v>
      </c>
      <c r="D116" s="31"/>
      <c r="E116" s="31"/>
      <c r="F116" s="31"/>
      <c r="G116" s="31" t="s">
        <v>47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484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126</v>
      </c>
      <c r="D117" s="31"/>
      <c r="E117" s="31"/>
      <c r="F117" s="31"/>
      <c r="G117" s="31" t="s">
        <v>47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484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126</v>
      </c>
      <c r="D118" s="31"/>
      <c r="E118" s="31"/>
      <c r="F118" s="31"/>
      <c r="G118" s="31" t="s">
        <v>47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484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126</v>
      </c>
      <c r="D119" s="31"/>
      <c r="E119" s="31"/>
      <c r="F119" s="31"/>
      <c r="G119" s="31" t="s">
        <v>47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484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126</v>
      </c>
      <c r="D120" s="31"/>
      <c r="E120" s="31"/>
      <c r="F120" s="31"/>
      <c r="G120" s="31" t="s">
        <v>47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484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126</v>
      </c>
      <c r="D121" s="31"/>
      <c r="E121" s="31"/>
      <c r="F121" s="31"/>
      <c r="G121" s="31" t="s">
        <v>47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484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126</v>
      </c>
      <c r="D122" s="31"/>
      <c r="E122" s="31"/>
      <c r="F122" s="31"/>
      <c r="G122" s="31" t="s">
        <v>47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484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126</v>
      </c>
      <c r="D123" s="31"/>
      <c r="E123" s="31"/>
      <c r="F123" s="31"/>
      <c r="G123" s="31" t="s">
        <v>47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484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126</v>
      </c>
      <c r="D124" s="31"/>
      <c r="E124" s="31"/>
      <c r="F124" s="31"/>
      <c r="G124" s="31" t="s">
        <v>47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484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126</v>
      </c>
      <c r="D125" s="31"/>
      <c r="E125" s="31"/>
      <c r="F125" s="31"/>
      <c r="G125" s="31" t="s">
        <v>47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484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126</v>
      </c>
      <c r="D126" s="31"/>
      <c r="E126" s="31"/>
      <c r="F126" s="31"/>
      <c r="G126" s="31" t="s">
        <v>47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484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126</v>
      </c>
      <c r="D127" s="31"/>
      <c r="E127" s="31"/>
      <c r="F127" s="31"/>
      <c r="G127" s="31" t="s">
        <v>47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484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126</v>
      </c>
      <c r="D128" s="31"/>
      <c r="E128" s="31"/>
      <c r="F128" s="31"/>
      <c r="G128" s="31" t="s">
        <v>47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484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126</v>
      </c>
      <c r="D129" s="31"/>
      <c r="E129" s="31"/>
      <c r="F129" s="31"/>
      <c r="G129" s="31" t="s">
        <v>47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484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126</v>
      </c>
      <c r="D130" s="31"/>
      <c r="E130" s="31"/>
      <c r="F130" s="31"/>
      <c r="G130" s="31" t="s">
        <v>47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484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126</v>
      </c>
      <c r="D131" s="31"/>
      <c r="E131" s="31"/>
      <c r="F131" s="31"/>
      <c r="G131" s="31" t="s">
        <v>47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484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126</v>
      </c>
      <c r="D132" s="31"/>
      <c r="E132" s="31"/>
      <c r="F132" s="31"/>
      <c r="G132" s="31" t="s">
        <v>47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484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126</v>
      </c>
      <c r="D133" s="31"/>
      <c r="E133" s="31"/>
      <c r="F133" s="31"/>
      <c r="G133" s="31" t="s">
        <v>47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484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126</v>
      </c>
      <c r="D134" s="31"/>
      <c r="E134" s="31"/>
      <c r="F134" s="31"/>
      <c r="G134" s="31" t="s">
        <v>47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484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126</v>
      </c>
      <c r="D135" s="31"/>
      <c r="E135" s="31"/>
      <c r="F135" s="31"/>
      <c r="G135" s="31" t="s">
        <v>47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484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126</v>
      </c>
      <c r="D136" s="31"/>
      <c r="E136" s="31"/>
      <c r="F136" s="31"/>
      <c r="G136" s="31" t="s">
        <v>47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484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126</v>
      </c>
      <c r="D137" s="31"/>
      <c r="E137" s="31"/>
      <c r="F137" s="31"/>
      <c r="G137" s="31" t="s">
        <v>47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484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126</v>
      </c>
      <c r="D138" s="31"/>
      <c r="E138" s="31"/>
      <c r="F138" s="31"/>
      <c r="G138" s="31" t="s">
        <v>47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484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126</v>
      </c>
      <c r="D139" s="31"/>
      <c r="E139" s="31"/>
      <c r="F139" s="31"/>
      <c r="G139" s="31" t="s">
        <v>47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484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126</v>
      </c>
      <c r="D140" s="31"/>
      <c r="E140" s="31"/>
      <c r="F140" s="31"/>
      <c r="G140" s="31" t="s">
        <v>47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484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126</v>
      </c>
      <c r="D141" s="31"/>
      <c r="E141" s="31"/>
      <c r="F141" s="31"/>
      <c r="G141" s="31" t="s">
        <v>47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484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126</v>
      </c>
      <c r="D142" s="31"/>
      <c r="E142" s="31"/>
      <c r="F142" s="31"/>
      <c r="G142" s="31" t="s">
        <v>47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484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126</v>
      </c>
      <c r="D143" s="31"/>
      <c r="E143" s="31"/>
      <c r="F143" s="31"/>
      <c r="G143" s="31" t="s">
        <v>47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484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126</v>
      </c>
      <c r="D144" s="31"/>
      <c r="E144" s="31"/>
      <c r="F144" s="31"/>
      <c r="G144" s="31" t="s">
        <v>47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484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126</v>
      </c>
      <c r="D145" s="31"/>
      <c r="E145" s="31"/>
      <c r="F145" s="31"/>
      <c r="G145" s="31" t="s">
        <v>47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484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126</v>
      </c>
      <c r="D146" s="31"/>
      <c r="E146" s="31"/>
      <c r="F146" s="31"/>
      <c r="G146" s="31" t="s">
        <v>47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484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126</v>
      </c>
      <c r="D147" s="31"/>
      <c r="E147" s="31"/>
      <c r="F147" s="31"/>
      <c r="G147" s="31" t="s">
        <v>47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484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126</v>
      </c>
      <c r="D148" s="31"/>
      <c r="E148" s="31"/>
      <c r="F148" s="31"/>
      <c r="G148" s="31" t="s">
        <v>47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484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126</v>
      </c>
      <c r="D149" s="31"/>
      <c r="E149" s="31"/>
      <c r="F149" s="31"/>
      <c r="G149" s="31" t="s">
        <v>47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484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126</v>
      </c>
      <c r="D150" s="31"/>
      <c r="E150" s="31"/>
      <c r="F150" s="31"/>
      <c r="G150" s="31" t="s">
        <v>47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484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126</v>
      </c>
      <c r="D151" s="31"/>
      <c r="E151" s="31"/>
      <c r="F151" s="31"/>
      <c r="G151" s="31" t="s">
        <v>47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484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126</v>
      </c>
      <c r="D152" s="31"/>
      <c r="E152" s="31"/>
      <c r="F152" s="31"/>
      <c r="G152" s="31" t="s">
        <v>47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484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126</v>
      </c>
      <c r="D153" s="31"/>
      <c r="E153" s="31"/>
      <c r="F153" s="31"/>
      <c r="G153" s="31" t="s">
        <v>47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484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126</v>
      </c>
      <c r="D154" s="31"/>
      <c r="E154" s="31"/>
      <c r="F154" s="31"/>
      <c r="G154" s="31" t="s">
        <v>47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484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126</v>
      </c>
      <c r="D155" s="31"/>
      <c r="E155" s="31"/>
      <c r="F155" s="31"/>
      <c r="G155" s="31" t="s">
        <v>47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484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126</v>
      </c>
      <c r="D156" s="31"/>
      <c r="E156" s="31"/>
      <c r="F156" s="31"/>
      <c r="G156" s="31" t="s">
        <v>47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484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126</v>
      </c>
      <c r="D157" s="31"/>
      <c r="E157" s="31"/>
      <c r="F157" s="31"/>
      <c r="G157" s="31" t="s">
        <v>47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484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126</v>
      </c>
      <c r="D158" s="31"/>
      <c r="E158" s="31"/>
      <c r="F158" s="31"/>
      <c r="G158" s="31" t="s">
        <v>47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484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126</v>
      </c>
      <c r="D159" s="31"/>
      <c r="E159" s="31"/>
      <c r="F159" s="31"/>
      <c r="G159" s="31" t="s">
        <v>47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484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126</v>
      </c>
      <c r="D160" s="31"/>
      <c r="E160" s="31"/>
      <c r="F160" s="31"/>
      <c r="G160" s="31" t="s">
        <v>47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484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126</v>
      </c>
      <c r="D161" s="31"/>
      <c r="E161" s="31"/>
      <c r="F161" s="31"/>
      <c r="G161" s="31" t="s">
        <v>47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484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126</v>
      </c>
      <c r="D162" s="31"/>
      <c r="E162" s="31"/>
      <c r="F162" s="31"/>
      <c r="G162" s="31" t="s">
        <v>47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484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126</v>
      </c>
      <c r="D163" s="31"/>
      <c r="E163" s="31"/>
      <c r="F163" s="31"/>
      <c r="G163" s="31" t="s">
        <v>47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484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126</v>
      </c>
      <c r="D164" s="31"/>
      <c r="E164" s="31"/>
      <c r="F164" s="31"/>
      <c r="G164" s="31" t="s">
        <v>47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484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126</v>
      </c>
      <c r="D165" s="31"/>
      <c r="E165" s="31"/>
      <c r="F165" s="31"/>
      <c r="G165" s="31" t="s">
        <v>47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484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126</v>
      </c>
      <c r="D166" s="31"/>
      <c r="E166" s="31"/>
      <c r="F166" s="31"/>
      <c r="G166" s="31" t="s">
        <v>47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484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126</v>
      </c>
      <c r="D167" s="31"/>
      <c r="E167" s="31"/>
      <c r="F167" s="31"/>
      <c r="G167" s="31" t="s">
        <v>47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484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126</v>
      </c>
      <c r="D168" s="31"/>
      <c r="E168" s="31"/>
      <c r="F168" s="31"/>
      <c r="G168" s="31" t="s">
        <v>47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484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126</v>
      </c>
      <c r="D169" s="31"/>
      <c r="E169" s="31"/>
      <c r="F169" s="31"/>
      <c r="G169" s="31" t="s">
        <v>47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484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126</v>
      </c>
      <c r="D170" s="31"/>
      <c r="E170" s="31"/>
      <c r="F170" s="31"/>
      <c r="G170" s="31" t="s">
        <v>47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484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126</v>
      </c>
      <c r="D171" s="31"/>
      <c r="E171" s="31"/>
      <c r="F171" s="31"/>
      <c r="G171" s="31" t="s">
        <v>47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484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126</v>
      </c>
      <c r="D172" s="31"/>
      <c r="E172" s="31"/>
      <c r="F172" s="31"/>
      <c r="G172" s="31" t="s">
        <v>47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484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126</v>
      </c>
      <c r="D173" s="31"/>
      <c r="E173" s="31"/>
      <c r="F173" s="31"/>
      <c r="G173" s="31" t="s">
        <v>47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484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126</v>
      </c>
      <c r="D174" s="31"/>
      <c r="E174" s="31"/>
      <c r="F174" s="31"/>
      <c r="G174" s="31" t="s">
        <v>47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484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126</v>
      </c>
      <c r="D175" s="31"/>
      <c r="E175" s="31"/>
      <c r="F175" s="31"/>
      <c r="G175" s="31" t="s">
        <v>47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484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126</v>
      </c>
      <c r="D176" s="31"/>
      <c r="E176" s="31"/>
      <c r="F176" s="31"/>
      <c r="G176" s="31" t="s">
        <v>47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484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126</v>
      </c>
      <c r="D177" s="31"/>
      <c r="E177" s="31"/>
      <c r="F177" s="31"/>
      <c r="G177" s="31" t="s">
        <v>47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484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126</v>
      </c>
      <c r="D178" s="31"/>
      <c r="E178" s="31"/>
      <c r="F178" s="31"/>
      <c r="G178" s="31" t="s">
        <v>47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484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126</v>
      </c>
      <c r="D179" s="31"/>
      <c r="E179" s="31"/>
      <c r="F179" s="31"/>
      <c r="G179" s="31" t="s">
        <v>47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484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126</v>
      </c>
      <c r="D180" s="31"/>
      <c r="E180" s="31"/>
      <c r="F180" s="31"/>
      <c r="G180" s="31" t="s">
        <v>47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484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126</v>
      </c>
      <c r="D181" s="31"/>
      <c r="E181" s="31"/>
      <c r="F181" s="31"/>
      <c r="G181" s="31" t="s">
        <v>47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484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126</v>
      </c>
      <c r="D182" s="31"/>
      <c r="E182" s="31"/>
      <c r="F182" s="31"/>
      <c r="G182" s="31" t="s">
        <v>47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484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126</v>
      </c>
      <c r="D183" s="31"/>
      <c r="E183" s="31"/>
      <c r="F183" s="31"/>
      <c r="G183" s="31" t="s">
        <v>47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484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126</v>
      </c>
      <c r="D184" s="31"/>
      <c r="E184" s="31"/>
      <c r="F184" s="31"/>
      <c r="G184" s="31" t="s">
        <v>47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484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126</v>
      </c>
      <c r="D185" s="31"/>
      <c r="E185" s="31"/>
      <c r="F185" s="31"/>
      <c r="G185" s="31" t="s">
        <v>47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484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126</v>
      </c>
      <c r="D186" s="31"/>
      <c r="E186" s="31"/>
      <c r="F186" s="31"/>
      <c r="G186" s="31" t="s">
        <v>47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484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126</v>
      </c>
      <c r="D187" s="31"/>
      <c r="E187" s="31"/>
      <c r="F187" s="31"/>
      <c r="G187" s="31" t="s">
        <v>47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484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126</v>
      </c>
      <c r="D188" s="31"/>
      <c r="E188" s="31"/>
      <c r="F188" s="31"/>
      <c r="G188" s="31" t="s">
        <v>47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484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126</v>
      </c>
      <c r="D189" s="31"/>
      <c r="E189" s="31"/>
      <c r="F189" s="31"/>
      <c r="G189" s="31" t="s">
        <v>47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484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126</v>
      </c>
      <c r="D190" s="31"/>
      <c r="E190" s="31"/>
      <c r="F190" s="31"/>
      <c r="G190" s="31" t="s">
        <v>47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484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126</v>
      </c>
      <c r="D191" s="31"/>
      <c r="E191" s="31"/>
      <c r="F191" s="31"/>
      <c r="G191" s="31" t="s">
        <v>47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484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126</v>
      </c>
      <c r="D192" s="31"/>
      <c r="E192" s="31"/>
      <c r="F192" s="31"/>
      <c r="G192" s="31" t="s">
        <v>47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484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126</v>
      </c>
      <c r="D193" s="31"/>
      <c r="E193" s="31"/>
      <c r="F193" s="31"/>
      <c r="G193" s="31" t="s">
        <v>47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484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126</v>
      </c>
      <c r="D194" s="31"/>
      <c r="E194" s="31"/>
      <c r="F194" s="31"/>
      <c r="G194" s="31" t="s">
        <v>47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484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126</v>
      </c>
      <c r="D195" s="31"/>
      <c r="E195" s="31"/>
      <c r="F195" s="31"/>
      <c r="G195" s="31" t="s">
        <v>47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484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126</v>
      </c>
      <c r="D196" s="31"/>
      <c r="E196" s="31"/>
      <c r="F196" s="31"/>
      <c r="G196" s="31" t="s">
        <v>47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484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126</v>
      </c>
      <c r="D197" s="31"/>
      <c r="E197" s="31"/>
      <c r="F197" s="31"/>
      <c r="G197" s="31" t="s">
        <v>47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484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126</v>
      </c>
      <c r="D198" s="31"/>
      <c r="E198" s="31"/>
      <c r="F198" s="31"/>
      <c r="G198" s="31" t="s">
        <v>47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484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126</v>
      </c>
      <c r="D199" s="31"/>
      <c r="E199" s="31"/>
      <c r="F199" s="31"/>
      <c r="G199" s="31" t="s">
        <v>47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484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126</v>
      </c>
      <c r="D200" s="31"/>
      <c r="E200" s="31"/>
      <c r="F200" s="31"/>
      <c r="G200" s="31" t="s">
        <v>47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484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484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484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484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484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484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484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484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484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484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484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484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484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484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484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484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484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484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484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484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484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484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484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484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484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484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484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484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484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484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484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484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484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484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484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484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484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484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484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484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484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484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484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484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484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484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484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484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484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484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484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484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484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484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484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484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484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484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484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484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484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484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484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484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484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484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484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484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484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484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484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484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484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484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484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484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484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484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484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484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484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484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484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484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484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484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484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484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484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484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484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484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484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484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484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484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484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484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484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484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484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484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484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484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484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484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484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484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484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484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484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484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484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484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484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484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484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484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484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484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484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484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484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484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484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484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484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484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484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484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484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484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484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484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484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484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484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484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484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484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484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484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484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484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484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484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484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484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484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484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484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484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484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484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484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484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484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484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484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484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484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484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484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484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484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484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484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484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484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484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484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484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484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484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484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484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484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484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484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484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484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484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484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484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484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484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484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484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484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484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484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484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484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484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484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484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484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484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484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484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484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484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484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484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484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484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484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484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484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484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484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484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484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484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484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484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484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484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484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484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484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484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484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484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484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484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484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484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484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484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484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484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484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484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484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484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484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484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484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484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484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484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484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484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484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484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484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484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484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484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484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484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484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484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484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484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484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484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484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484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484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484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484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484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484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484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484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484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484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484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484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484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484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484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484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484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484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484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484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484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484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484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484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484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484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484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484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484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484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484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484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484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484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484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484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484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484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484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484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484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484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293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294</v>
      </c>
      <c r="C2" s="8" t="s">
        <v>1</v>
      </c>
      <c r="D2" s="8" t="s">
        <v>295</v>
      </c>
      <c r="E2" s="8" t="s">
        <v>296</v>
      </c>
      <c r="F2" s="8" t="s">
        <v>6</v>
      </c>
      <c r="G2" s="8" t="s">
        <v>5</v>
      </c>
      <c r="H2" s="8" t="s">
        <v>297</v>
      </c>
      <c r="I2" s="8" t="s">
        <v>298</v>
      </c>
      <c r="J2" s="8" t="s">
        <v>299</v>
      </c>
    </row>
    <row r="3" spans="1:10" ht="14.25" customHeight="1">
      <c r="A3" s="9" t="s">
        <v>35</v>
      </c>
      <c r="B3" s="9" t="s">
        <v>139</v>
      </c>
      <c r="C3" s="9" t="s">
        <v>36</v>
      </c>
      <c r="D3" s="9" t="s">
        <v>39</v>
      </c>
      <c r="E3" s="9" t="s">
        <v>41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35</v>
      </c>
      <c r="B4" s="9" t="s">
        <v>135</v>
      </c>
      <c r="C4" s="9" t="s">
        <v>36</v>
      </c>
      <c r="D4" s="9" t="s">
        <v>39</v>
      </c>
      <c r="E4" s="9" t="s">
        <v>41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35</v>
      </c>
      <c r="B5" s="9" t="s">
        <v>126</v>
      </c>
      <c r="C5" s="9" t="s">
        <v>36</v>
      </c>
      <c r="D5" s="9" t="s">
        <v>39</v>
      </c>
      <c r="E5" s="9" t="s">
        <v>41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35</v>
      </c>
      <c r="B6" s="9" t="s">
        <v>116</v>
      </c>
      <c r="C6" s="9" t="s">
        <v>36</v>
      </c>
      <c r="D6" s="9" t="s">
        <v>39</v>
      </c>
      <c r="E6" s="9" t="s">
        <v>41</v>
      </c>
      <c r="F6" s="9"/>
      <c r="G6" s="9"/>
      <c r="H6" s="10">
        <v>46122</v>
      </c>
      <c r="I6" s="10"/>
      <c r="J6" s="10"/>
    </row>
    <row r="7" spans="1:10" ht="14.25" customHeight="1">
      <c r="A7" s="9" t="s">
        <v>35</v>
      </c>
      <c r="B7" s="9" t="s">
        <v>37</v>
      </c>
      <c r="C7" s="9" t="s">
        <v>36</v>
      </c>
      <c r="D7" s="9" t="s">
        <v>39</v>
      </c>
      <c r="E7" s="9" t="s">
        <v>41</v>
      </c>
      <c r="F7" s="9"/>
      <c r="G7" s="9"/>
      <c r="H7" s="9"/>
      <c r="I7" s="10"/>
      <c r="J7" s="10"/>
    </row>
    <row r="8" spans="1:10" ht="14.25" customHeight="1">
      <c r="A8" s="9" t="s">
        <v>35</v>
      </c>
      <c r="B8" s="9" t="s">
        <v>139</v>
      </c>
      <c r="C8" s="9" t="s">
        <v>49</v>
      </c>
      <c r="D8" s="9" t="s">
        <v>39</v>
      </c>
      <c r="E8" s="9" t="s">
        <v>41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35</v>
      </c>
      <c r="B9" s="9" t="s">
        <v>135</v>
      </c>
      <c r="C9" s="9" t="s">
        <v>49</v>
      </c>
      <c r="D9" s="9" t="s">
        <v>39</v>
      </c>
      <c r="E9" s="9" t="s">
        <v>41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35</v>
      </c>
      <c r="B10" s="9" t="s">
        <v>126</v>
      </c>
      <c r="C10" s="9" t="s">
        <v>49</v>
      </c>
      <c r="D10" s="9" t="s">
        <v>39</v>
      </c>
      <c r="E10" s="9" t="s">
        <v>41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35</v>
      </c>
      <c r="B11" s="9" t="s">
        <v>116</v>
      </c>
      <c r="C11" s="9" t="s">
        <v>49</v>
      </c>
      <c r="D11" s="9" t="s">
        <v>39</v>
      </c>
      <c r="E11" s="9" t="s">
        <v>41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35</v>
      </c>
      <c r="B12" s="9" t="s">
        <v>37</v>
      </c>
      <c r="C12" s="9" t="s">
        <v>49</v>
      </c>
      <c r="D12" s="9" t="s">
        <v>39</v>
      </c>
      <c r="E12" s="9" t="s">
        <v>41</v>
      </c>
      <c r="F12" s="9"/>
      <c r="G12" s="9"/>
      <c r="H12" s="10"/>
      <c r="I12" s="10"/>
      <c r="J12" s="10"/>
    </row>
    <row r="13" spans="1:10" ht="14.25" customHeight="1">
      <c r="A13" s="9" t="s">
        <v>35</v>
      </c>
      <c r="B13" s="9" t="s">
        <v>139</v>
      </c>
      <c r="C13" s="9" t="s">
        <v>300</v>
      </c>
      <c r="D13" s="9" t="s">
        <v>59</v>
      </c>
      <c r="E13" s="9" t="s">
        <v>41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35</v>
      </c>
      <c r="B14" s="9" t="s">
        <v>135</v>
      </c>
      <c r="C14" s="9" t="s">
        <v>300</v>
      </c>
      <c r="D14" s="9" t="s">
        <v>59</v>
      </c>
      <c r="E14" s="9" t="s">
        <v>41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35</v>
      </c>
      <c r="B15" s="9" t="s">
        <v>126</v>
      </c>
      <c r="C15" s="9" t="s">
        <v>300</v>
      </c>
      <c r="D15" s="9" t="s">
        <v>59</v>
      </c>
      <c r="E15" s="9" t="s">
        <v>41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35</v>
      </c>
      <c r="B16" s="9" t="s">
        <v>116</v>
      </c>
      <c r="C16" s="9" t="s">
        <v>300</v>
      </c>
      <c r="D16" s="9" t="s">
        <v>59</v>
      </c>
      <c r="E16" s="9" t="s">
        <v>41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35</v>
      </c>
      <c r="B17" s="9" t="s">
        <v>37</v>
      </c>
      <c r="C17" s="9" t="s">
        <v>300</v>
      </c>
      <c r="D17" s="9" t="s">
        <v>59</v>
      </c>
      <c r="E17" s="9" t="s">
        <v>41</v>
      </c>
      <c r="F17" s="9"/>
      <c r="G17" s="9"/>
      <c r="H17" s="10"/>
      <c r="I17" s="10"/>
      <c r="J17" s="10"/>
    </row>
    <row r="18" spans="1:10" ht="14.25" customHeight="1">
      <c r="A18" s="9" t="s">
        <v>35</v>
      </c>
      <c r="B18" s="9" t="s">
        <v>139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35</v>
      </c>
      <c r="B19" s="9" t="s">
        <v>135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35</v>
      </c>
      <c r="B20" s="9" t="s">
        <v>126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35</v>
      </c>
      <c r="B21" s="9" t="s">
        <v>116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35</v>
      </c>
      <c r="B22" s="9" t="s">
        <v>37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35</v>
      </c>
      <c r="B23" s="9" t="s">
        <v>139</v>
      </c>
      <c r="C23" s="9" t="s">
        <v>58</v>
      </c>
      <c r="D23" s="9" t="s">
        <v>59</v>
      </c>
      <c r="E23" s="9" t="s">
        <v>41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35</v>
      </c>
      <c r="B24" s="9" t="s">
        <v>135</v>
      </c>
      <c r="C24" s="9" t="s">
        <v>58</v>
      </c>
      <c r="D24" s="9" t="s">
        <v>59</v>
      </c>
      <c r="E24" s="9" t="s">
        <v>41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35</v>
      </c>
      <c r="B25" s="9" t="s">
        <v>126</v>
      </c>
      <c r="C25" s="9" t="s">
        <v>58</v>
      </c>
      <c r="D25" s="9" t="s">
        <v>59</v>
      </c>
      <c r="E25" s="9" t="s">
        <v>41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35</v>
      </c>
      <c r="B26" s="9" t="s">
        <v>116</v>
      </c>
      <c r="C26" s="9" t="s">
        <v>58</v>
      </c>
      <c r="D26" s="9" t="s">
        <v>59</v>
      </c>
      <c r="E26" s="9" t="s">
        <v>41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35</v>
      </c>
      <c r="B27" s="9" t="s">
        <v>37</v>
      </c>
      <c r="C27" s="9" t="s">
        <v>58</v>
      </c>
      <c r="D27" s="9" t="s">
        <v>59</v>
      </c>
      <c r="E27" s="9" t="s">
        <v>41</v>
      </c>
      <c r="F27" s="9"/>
      <c r="G27" s="9"/>
      <c r="H27" s="10"/>
      <c r="I27" s="10"/>
      <c r="J27" s="10"/>
    </row>
    <row r="28" spans="1:10" ht="14.25" customHeight="1">
      <c r="A28" s="9" t="s">
        <v>35</v>
      </c>
      <c r="B28" s="9" t="s">
        <v>139</v>
      </c>
      <c r="C28" s="9" t="s">
        <v>63</v>
      </c>
      <c r="D28" s="9" t="s">
        <v>70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35</v>
      </c>
      <c r="B29" s="9" t="s">
        <v>135</v>
      </c>
      <c r="C29" s="9" t="s">
        <v>63</v>
      </c>
      <c r="D29" s="9" t="s">
        <v>70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35</v>
      </c>
      <c r="B30" s="9" t="s">
        <v>126</v>
      </c>
      <c r="C30" s="9" t="s">
        <v>63</v>
      </c>
      <c r="D30" s="9" t="s">
        <v>70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35</v>
      </c>
      <c r="B31" s="9" t="s">
        <v>116</v>
      </c>
      <c r="C31" s="9" t="s">
        <v>63</v>
      </c>
      <c r="D31" s="9" t="s">
        <v>70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35</v>
      </c>
      <c r="B32" s="9" t="s">
        <v>37</v>
      </c>
      <c r="C32" s="9" t="s">
        <v>63</v>
      </c>
      <c r="D32" s="9" t="s">
        <v>70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35</v>
      </c>
      <c r="B33" s="9" t="s">
        <v>139</v>
      </c>
      <c r="C33" s="9" t="s">
        <v>65</v>
      </c>
      <c r="D33" s="9" t="s">
        <v>59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35</v>
      </c>
      <c r="B34" s="9" t="s">
        <v>135</v>
      </c>
      <c r="C34" s="9" t="s">
        <v>65</v>
      </c>
      <c r="D34" s="9" t="s">
        <v>59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35</v>
      </c>
      <c r="B35" s="9" t="s">
        <v>126</v>
      </c>
      <c r="C35" s="9" t="s">
        <v>65</v>
      </c>
      <c r="D35" s="9" t="s">
        <v>59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35</v>
      </c>
      <c r="B36" s="9" t="s">
        <v>116</v>
      </c>
      <c r="C36" s="9" t="s">
        <v>65</v>
      </c>
      <c r="D36" s="9" t="s">
        <v>59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35</v>
      </c>
      <c r="B37" s="9" t="s">
        <v>37</v>
      </c>
      <c r="C37" s="9" t="s">
        <v>65</v>
      </c>
      <c r="D37" s="9" t="s">
        <v>59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35</v>
      </c>
      <c r="B38" s="9" t="s">
        <v>139</v>
      </c>
      <c r="C38" s="9" t="s">
        <v>66</v>
      </c>
      <c r="D38" s="9" t="s">
        <v>78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35</v>
      </c>
      <c r="B39" s="9" t="s">
        <v>135</v>
      </c>
      <c r="C39" s="9" t="s">
        <v>66</v>
      </c>
      <c r="D39" s="9" t="s">
        <v>78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35</v>
      </c>
      <c r="B40" s="9" t="s">
        <v>126</v>
      </c>
      <c r="C40" s="9" t="s">
        <v>66</v>
      </c>
      <c r="D40" s="9" t="s">
        <v>78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35</v>
      </c>
      <c r="B41" s="9" t="s">
        <v>116</v>
      </c>
      <c r="C41" s="9" t="s">
        <v>66</v>
      </c>
      <c r="D41" s="9" t="s">
        <v>78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35</v>
      </c>
      <c r="B42" s="9" t="s">
        <v>37</v>
      </c>
      <c r="C42" s="9" t="s">
        <v>66</v>
      </c>
      <c r="D42" s="9" t="s">
        <v>78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35</v>
      </c>
      <c r="B43" s="9" t="s">
        <v>139</v>
      </c>
      <c r="C43" s="9" t="s">
        <v>67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35</v>
      </c>
      <c r="B44" s="9" t="s">
        <v>135</v>
      </c>
      <c r="C44" s="9" t="s">
        <v>67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35</v>
      </c>
      <c r="B45" s="9" t="s">
        <v>126</v>
      </c>
      <c r="C45" s="9" t="s">
        <v>67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35</v>
      </c>
      <c r="B46" s="9" t="s">
        <v>116</v>
      </c>
      <c r="C46" s="9" t="s">
        <v>67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35</v>
      </c>
      <c r="B47" s="9" t="s">
        <v>37</v>
      </c>
      <c r="C47" s="9" t="s">
        <v>67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35</v>
      </c>
      <c r="B48" s="9" t="s">
        <v>139</v>
      </c>
      <c r="C48" s="9" t="s">
        <v>90</v>
      </c>
      <c r="D48" s="9" t="s">
        <v>59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35</v>
      </c>
      <c r="B49" s="9" t="s">
        <v>135</v>
      </c>
      <c r="C49" s="9" t="s">
        <v>90</v>
      </c>
      <c r="D49" s="9" t="s">
        <v>59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35</v>
      </c>
      <c r="B50" s="9" t="s">
        <v>126</v>
      </c>
      <c r="C50" s="9" t="s">
        <v>90</v>
      </c>
      <c r="D50" s="9" t="s">
        <v>59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35</v>
      </c>
      <c r="B51" s="9" t="s">
        <v>116</v>
      </c>
      <c r="C51" s="9" t="s">
        <v>90</v>
      </c>
      <c r="D51" s="9" t="s">
        <v>59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35</v>
      </c>
      <c r="B52" s="9" t="s">
        <v>37</v>
      </c>
      <c r="C52" s="9" t="s">
        <v>90</v>
      </c>
      <c r="D52" s="9" t="s">
        <v>59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35</v>
      </c>
      <c r="B53" s="9" t="s">
        <v>139</v>
      </c>
      <c r="C53" s="9" t="s">
        <v>91</v>
      </c>
      <c r="D53" s="9" t="s">
        <v>59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35</v>
      </c>
      <c r="B54" s="9" t="s">
        <v>135</v>
      </c>
      <c r="C54" s="9" t="s">
        <v>91</v>
      </c>
      <c r="D54" s="9" t="s">
        <v>59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35</v>
      </c>
      <c r="B55" s="9" t="s">
        <v>126</v>
      </c>
      <c r="C55" s="9" t="s">
        <v>91</v>
      </c>
      <c r="D55" s="9" t="s">
        <v>59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35</v>
      </c>
      <c r="B56" s="9" t="s">
        <v>116</v>
      </c>
      <c r="C56" s="9" t="s">
        <v>91</v>
      </c>
      <c r="D56" s="9" t="s">
        <v>59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35</v>
      </c>
      <c r="B57" s="9" t="s">
        <v>37</v>
      </c>
      <c r="C57" s="9" t="s">
        <v>91</v>
      </c>
      <c r="D57" s="9" t="s">
        <v>59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35</v>
      </c>
      <c r="B58" s="9" t="s">
        <v>139</v>
      </c>
      <c r="C58" s="9" t="s">
        <v>92</v>
      </c>
      <c r="D58" s="9" t="s">
        <v>59</v>
      </c>
      <c r="E58" s="9" t="s">
        <v>41</v>
      </c>
      <c r="F58" s="9"/>
      <c r="G58" s="9"/>
      <c r="H58" s="9"/>
      <c r="I58" s="10"/>
      <c r="J58" s="10"/>
    </row>
    <row r="59" spans="1:10" ht="14.25" customHeight="1">
      <c r="A59" s="9" t="s">
        <v>35</v>
      </c>
      <c r="B59" s="9" t="s">
        <v>135</v>
      </c>
      <c r="C59" s="9" t="s">
        <v>92</v>
      </c>
      <c r="D59" s="9" t="s">
        <v>59</v>
      </c>
      <c r="E59" s="9" t="s">
        <v>41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35</v>
      </c>
      <c r="B60" s="9" t="s">
        <v>126</v>
      </c>
      <c r="C60" s="9" t="s">
        <v>92</v>
      </c>
      <c r="D60" s="9" t="s">
        <v>59</v>
      </c>
      <c r="E60" s="9" t="s">
        <v>41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35</v>
      </c>
      <c r="B61" s="9" t="s">
        <v>116</v>
      </c>
      <c r="C61" s="9" t="s">
        <v>92</v>
      </c>
      <c r="D61" s="9" t="s">
        <v>59</v>
      </c>
      <c r="E61" s="9" t="s">
        <v>41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35</v>
      </c>
      <c r="B62" s="9" t="s">
        <v>37</v>
      </c>
      <c r="C62" s="9" t="s">
        <v>92</v>
      </c>
      <c r="D62" s="9" t="s">
        <v>59</v>
      </c>
      <c r="E62" s="9" t="s">
        <v>41</v>
      </c>
      <c r="F62" s="9"/>
      <c r="G62" s="9"/>
      <c r="H62" s="9"/>
      <c r="I62" s="10"/>
      <c r="J62" s="10"/>
    </row>
    <row r="63" spans="1:10" ht="14.25" customHeight="1">
      <c r="A63" s="9" t="s">
        <v>35</v>
      </c>
      <c r="B63" s="9" t="s">
        <v>139</v>
      </c>
      <c r="C63" s="9" t="s">
        <v>93</v>
      </c>
      <c r="D63" s="9" t="s">
        <v>96</v>
      </c>
      <c r="E63" s="9" t="s">
        <v>41</v>
      </c>
      <c r="F63" s="9"/>
      <c r="G63" s="9"/>
      <c r="H63" s="10"/>
      <c r="I63" s="10"/>
      <c r="J63" s="10"/>
    </row>
    <row r="64" spans="1:10" ht="14.25" customHeight="1">
      <c r="A64" s="9" t="s">
        <v>35</v>
      </c>
      <c r="B64" s="9" t="s">
        <v>135</v>
      </c>
      <c r="C64" s="9" t="s">
        <v>93</v>
      </c>
      <c r="D64" s="9" t="s">
        <v>96</v>
      </c>
      <c r="E64" s="9" t="s">
        <v>41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35</v>
      </c>
      <c r="B65" s="9" t="s">
        <v>126</v>
      </c>
      <c r="C65" s="9" t="s">
        <v>93</v>
      </c>
      <c r="D65" s="9" t="s">
        <v>96</v>
      </c>
      <c r="E65" s="9" t="s">
        <v>41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35</v>
      </c>
      <c r="B66" s="9" t="s">
        <v>116</v>
      </c>
      <c r="C66" s="9" t="s">
        <v>93</v>
      </c>
      <c r="D66" s="9" t="s">
        <v>96</v>
      </c>
      <c r="E66" s="9" t="s">
        <v>41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35</v>
      </c>
      <c r="B67" s="9" t="s">
        <v>37</v>
      </c>
      <c r="C67" s="9" t="s">
        <v>93</v>
      </c>
      <c r="D67" s="9" t="s">
        <v>96</v>
      </c>
      <c r="E67" s="9" t="s">
        <v>41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35</v>
      </c>
      <c r="B68" s="9" t="s">
        <v>139</v>
      </c>
      <c r="C68" s="9" t="s">
        <v>68</v>
      </c>
      <c r="D68" s="9" t="s">
        <v>70</v>
      </c>
      <c r="E68" s="9" t="s">
        <v>71</v>
      </c>
      <c r="F68" s="9"/>
      <c r="G68" s="9"/>
      <c r="H68" s="10"/>
      <c r="I68" s="10"/>
      <c r="J68" s="9"/>
    </row>
    <row r="69" spans="1:10" ht="14.25" customHeight="1">
      <c r="A69" s="9" t="s">
        <v>35</v>
      </c>
      <c r="B69" s="9" t="s">
        <v>135</v>
      </c>
      <c r="C69" s="9" t="s">
        <v>68</v>
      </c>
      <c r="D69" s="9" t="s">
        <v>70</v>
      </c>
      <c r="E69" s="9" t="s">
        <v>71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35</v>
      </c>
      <c r="B70" s="9" t="s">
        <v>126</v>
      </c>
      <c r="C70" s="9" t="s">
        <v>68</v>
      </c>
      <c r="D70" s="9" t="s">
        <v>70</v>
      </c>
      <c r="E70" s="9" t="s">
        <v>71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35</v>
      </c>
      <c r="B71" s="9" t="s">
        <v>116</v>
      </c>
      <c r="C71" s="9" t="s">
        <v>68</v>
      </c>
      <c r="D71" s="9" t="s">
        <v>70</v>
      </c>
      <c r="E71" s="9" t="s">
        <v>71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35</v>
      </c>
      <c r="B72" s="9" t="s">
        <v>37</v>
      </c>
      <c r="C72" s="9" t="s">
        <v>68</v>
      </c>
      <c r="D72" s="9" t="s">
        <v>70</v>
      </c>
      <c r="E72" s="9" t="s">
        <v>71</v>
      </c>
      <c r="F72" s="9"/>
      <c r="G72" s="9"/>
      <c r="H72" s="10"/>
      <c r="I72" s="10"/>
      <c r="J72" s="10"/>
    </row>
    <row r="73" spans="1:10" ht="14.25" customHeight="1">
      <c r="A73" s="9" t="s">
        <v>35</v>
      </c>
      <c r="B73" s="9" t="s">
        <v>139</v>
      </c>
      <c r="C73" s="9" t="s">
        <v>74</v>
      </c>
      <c r="D73" s="9" t="s">
        <v>53</v>
      </c>
      <c r="E73" s="9" t="s">
        <v>71</v>
      </c>
      <c r="F73" s="9"/>
      <c r="G73" s="9"/>
      <c r="H73" s="9"/>
      <c r="I73" s="10"/>
      <c r="J73" s="10"/>
    </row>
    <row r="74" spans="1:10" ht="14.25" customHeight="1">
      <c r="A74" s="9" t="s">
        <v>35</v>
      </c>
      <c r="B74" s="9" t="s">
        <v>135</v>
      </c>
      <c r="C74" s="9" t="s">
        <v>74</v>
      </c>
      <c r="D74" s="9" t="s">
        <v>53</v>
      </c>
      <c r="E74" s="9" t="s">
        <v>71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35</v>
      </c>
      <c r="B75" s="9" t="s">
        <v>126</v>
      </c>
      <c r="C75" s="9" t="s">
        <v>74</v>
      </c>
      <c r="D75" s="9" t="s">
        <v>53</v>
      </c>
      <c r="E75" s="9" t="s">
        <v>71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35</v>
      </c>
      <c r="B76" s="9" t="s">
        <v>116</v>
      </c>
      <c r="C76" s="9" t="s">
        <v>74</v>
      </c>
      <c r="D76" s="9" t="s">
        <v>53</v>
      </c>
      <c r="E76" s="9" t="s">
        <v>71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35</v>
      </c>
      <c r="B77" s="9" t="s">
        <v>37</v>
      </c>
      <c r="C77" s="9" t="s">
        <v>74</v>
      </c>
      <c r="D77" s="9" t="s">
        <v>53</v>
      </c>
      <c r="E77" s="9" t="s">
        <v>71</v>
      </c>
      <c r="F77" s="9"/>
      <c r="G77" s="9"/>
      <c r="H77" s="9"/>
      <c r="I77" s="10"/>
      <c r="J77" s="10"/>
    </row>
    <row r="78" spans="1:10" ht="14.25" customHeight="1">
      <c r="A78" s="9" t="s">
        <v>35</v>
      </c>
      <c r="B78" s="9" t="s">
        <v>139</v>
      </c>
      <c r="C78" s="9" t="s">
        <v>77</v>
      </c>
      <c r="D78" s="9" t="s">
        <v>78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35</v>
      </c>
      <c r="B79" s="9" t="s">
        <v>135</v>
      </c>
      <c r="C79" s="9" t="s">
        <v>77</v>
      </c>
      <c r="D79" s="9" t="s">
        <v>78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35</v>
      </c>
      <c r="B80" s="9" t="s">
        <v>126</v>
      </c>
      <c r="C80" s="9" t="s">
        <v>77</v>
      </c>
      <c r="D80" s="9" t="s">
        <v>78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35</v>
      </c>
      <c r="B81" s="9" t="s">
        <v>116</v>
      </c>
      <c r="C81" s="9" t="s">
        <v>77</v>
      </c>
      <c r="D81" s="9" t="s">
        <v>78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35</v>
      </c>
      <c r="B82" s="9" t="s">
        <v>37</v>
      </c>
      <c r="C82" s="9" t="s">
        <v>77</v>
      </c>
      <c r="D82" s="9" t="s">
        <v>78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35</v>
      </c>
      <c r="B83" s="9" t="s">
        <v>139</v>
      </c>
      <c r="C83" s="9" t="s">
        <v>81</v>
      </c>
      <c r="D83" s="9" t="s">
        <v>78</v>
      </c>
      <c r="E83" s="9" t="s">
        <v>41</v>
      </c>
      <c r="F83" s="9"/>
      <c r="G83" s="9"/>
      <c r="H83" s="9"/>
      <c r="I83" s="10"/>
      <c r="J83" s="10"/>
    </row>
    <row r="84" spans="1:10" ht="14.25" customHeight="1">
      <c r="A84" s="9" t="s">
        <v>35</v>
      </c>
      <c r="B84" s="9" t="s">
        <v>135</v>
      </c>
      <c r="C84" s="9" t="s">
        <v>81</v>
      </c>
      <c r="D84" s="9" t="s">
        <v>78</v>
      </c>
      <c r="E84" s="9" t="s">
        <v>41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35</v>
      </c>
      <c r="B85" s="9" t="s">
        <v>126</v>
      </c>
      <c r="C85" s="9" t="s">
        <v>81</v>
      </c>
      <c r="D85" s="9" t="s">
        <v>78</v>
      </c>
      <c r="E85" s="9" t="s">
        <v>41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35</v>
      </c>
      <c r="B86" s="9" t="s">
        <v>116</v>
      </c>
      <c r="C86" s="9" t="s">
        <v>81</v>
      </c>
      <c r="D86" s="9" t="s">
        <v>78</v>
      </c>
      <c r="E86" s="9" t="s">
        <v>41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35</v>
      </c>
      <c r="B87" s="9" t="s">
        <v>37</v>
      </c>
      <c r="C87" s="9" t="s">
        <v>81</v>
      </c>
      <c r="D87" s="9" t="s">
        <v>78</v>
      </c>
      <c r="E87" s="9" t="s">
        <v>41</v>
      </c>
      <c r="F87" s="9"/>
      <c r="G87" s="9"/>
      <c r="H87" s="9"/>
      <c r="I87" s="10"/>
      <c r="J87" s="10"/>
    </row>
    <row r="88" spans="1:10" ht="14.25" customHeight="1">
      <c r="A88" s="9" t="s">
        <v>35</v>
      </c>
      <c r="B88" s="9" t="s">
        <v>139</v>
      </c>
      <c r="C88" s="9" t="s">
        <v>84</v>
      </c>
      <c r="D88" s="9" t="s">
        <v>39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35</v>
      </c>
      <c r="B89" s="9" t="s">
        <v>135</v>
      </c>
      <c r="C89" s="9" t="s">
        <v>84</v>
      </c>
      <c r="D89" s="9" t="s">
        <v>39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35</v>
      </c>
      <c r="B90" s="9" t="s">
        <v>126</v>
      </c>
      <c r="C90" s="9" t="s">
        <v>84</v>
      </c>
      <c r="D90" s="9" t="s">
        <v>39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35</v>
      </c>
      <c r="B91" s="9" t="s">
        <v>116</v>
      </c>
      <c r="C91" s="9" t="s">
        <v>84</v>
      </c>
      <c r="D91" s="9" t="s">
        <v>39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35</v>
      </c>
      <c r="B92" s="9" t="s">
        <v>37</v>
      </c>
      <c r="C92" s="9" t="s">
        <v>84</v>
      </c>
      <c r="D92" s="9" t="s">
        <v>39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35</v>
      </c>
      <c r="B93" s="9" t="s">
        <v>139</v>
      </c>
      <c r="C93" s="9" t="s">
        <v>87</v>
      </c>
      <c r="D93" s="9" t="s">
        <v>39</v>
      </c>
      <c r="E93" s="9" t="s">
        <v>71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35</v>
      </c>
      <c r="B94" s="9" t="s">
        <v>135</v>
      </c>
      <c r="C94" s="9" t="s">
        <v>87</v>
      </c>
      <c r="D94" s="9" t="s">
        <v>39</v>
      </c>
      <c r="E94" s="9" t="s">
        <v>71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35</v>
      </c>
      <c r="B95" s="9" t="s">
        <v>126</v>
      </c>
      <c r="C95" s="9" t="s">
        <v>87</v>
      </c>
      <c r="D95" s="9" t="s">
        <v>39</v>
      </c>
      <c r="E95" s="9" t="s">
        <v>71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35</v>
      </c>
      <c r="B96" s="9" t="s">
        <v>116</v>
      </c>
      <c r="C96" s="9" t="s">
        <v>87</v>
      </c>
      <c r="D96" s="9" t="s">
        <v>39</v>
      </c>
      <c r="E96" s="9" t="s">
        <v>71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35</v>
      </c>
      <c r="B97" s="9" t="s">
        <v>37</v>
      </c>
      <c r="C97" s="9" t="s">
        <v>87</v>
      </c>
      <c r="D97" s="9" t="s">
        <v>39</v>
      </c>
      <c r="E97" s="9" t="s">
        <v>71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35</v>
      </c>
      <c r="B98" s="9" t="s">
        <v>139</v>
      </c>
      <c r="C98" s="9" t="s">
        <v>94</v>
      </c>
      <c r="D98" s="9" t="s">
        <v>96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35</v>
      </c>
      <c r="B99" s="9" t="s">
        <v>135</v>
      </c>
      <c r="C99" s="9" t="s">
        <v>94</v>
      </c>
      <c r="D99" s="9" t="s">
        <v>96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35</v>
      </c>
      <c r="B100" s="9" t="s">
        <v>126</v>
      </c>
      <c r="C100" s="9" t="s">
        <v>94</v>
      </c>
      <c r="D100" s="9" t="s">
        <v>96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35</v>
      </c>
      <c r="B101" s="9" t="s">
        <v>116</v>
      </c>
      <c r="C101" s="9" t="s">
        <v>94</v>
      </c>
      <c r="D101" s="9" t="s">
        <v>96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35</v>
      </c>
      <c r="B102" s="9" t="s">
        <v>37</v>
      </c>
      <c r="C102" s="9" t="s">
        <v>94</v>
      </c>
      <c r="D102" s="9" t="s">
        <v>96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35</v>
      </c>
      <c r="B103" s="9" t="s">
        <v>139</v>
      </c>
      <c r="C103" s="9" t="s">
        <v>97</v>
      </c>
      <c r="D103" s="9" t="s">
        <v>96</v>
      </c>
      <c r="E103" s="9" t="s">
        <v>71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35</v>
      </c>
      <c r="B104" s="9" t="s">
        <v>135</v>
      </c>
      <c r="C104" s="9" t="s">
        <v>97</v>
      </c>
      <c r="D104" s="9" t="s">
        <v>96</v>
      </c>
      <c r="E104" s="9" t="s">
        <v>71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35</v>
      </c>
      <c r="B105" s="9" t="s">
        <v>126</v>
      </c>
      <c r="C105" s="9" t="s">
        <v>97</v>
      </c>
      <c r="D105" s="9" t="s">
        <v>96</v>
      </c>
      <c r="E105" s="9" t="s">
        <v>71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35</v>
      </c>
      <c r="B106" s="9" t="s">
        <v>116</v>
      </c>
      <c r="C106" s="9" t="s">
        <v>97</v>
      </c>
      <c r="D106" s="9" t="s">
        <v>96</v>
      </c>
      <c r="E106" s="9" t="s">
        <v>71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35</v>
      </c>
      <c r="B107" s="9" t="s">
        <v>37</v>
      </c>
      <c r="C107" s="9" t="s">
        <v>97</v>
      </c>
      <c r="D107" s="9" t="s">
        <v>96</v>
      </c>
      <c r="E107" s="9" t="s">
        <v>71</v>
      </c>
      <c r="F107" s="9"/>
      <c r="G107" s="9"/>
      <c r="H107" s="9"/>
      <c r="I107" s="10"/>
      <c r="J107" s="10"/>
    </row>
    <row r="108" spans="1:10" ht="14.25" customHeight="1">
      <c r="A108" s="9" t="s">
        <v>35</v>
      </c>
      <c r="B108" s="9" t="s">
        <v>139</v>
      </c>
      <c r="C108" s="9" t="s">
        <v>99</v>
      </c>
      <c r="D108" s="9" t="s">
        <v>39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35</v>
      </c>
      <c r="B109" s="9" t="s">
        <v>135</v>
      </c>
      <c r="C109" s="9" t="s">
        <v>99</v>
      </c>
      <c r="D109" s="9" t="s">
        <v>39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35</v>
      </c>
      <c r="B110" s="9" t="s">
        <v>126</v>
      </c>
      <c r="C110" s="9" t="s">
        <v>99</v>
      </c>
      <c r="D110" s="9" t="s">
        <v>39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35</v>
      </c>
      <c r="B111" s="9" t="s">
        <v>116</v>
      </c>
      <c r="C111" s="9" t="s">
        <v>99</v>
      </c>
      <c r="D111" s="9" t="s">
        <v>39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35</v>
      </c>
      <c r="B112" s="9" t="s">
        <v>37</v>
      </c>
      <c r="C112" s="9" t="s">
        <v>99</v>
      </c>
      <c r="D112" s="9" t="s">
        <v>39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35</v>
      </c>
      <c r="B113" s="9" t="s">
        <v>139</v>
      </c>
      <c r="C113" s="9" t="s">
        <v>100</v>
      </c>
      <c r="D113" s="9" t="s">
        <v>39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35</v>
      </c>
      <c r="B114" s="9" t="s">
        <v>135</v>
      </c>
      <c r="C114" s="9" t="s">
        <v>100</v>
      </c>
      <c r="D114" s="9" t="s">
        <v>39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35</v>
      </c>
      <c r="B115" s="9" t="s">
        <v>126</v>
      </c>
      <c r="C115" s="9" t="s">
        <v>100</v>
      </c>
      <c r="D115" s="9" t="s">
        <v>39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35</v>
      </c>
      <c r="B116" s="9" t="s">
        <v>116</v>
      </c>
      <c r="C116" s="9" t="s">
        <v>100</v>
      </c>
      <c r="D116" s="9" t="s">
        <v>39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35</v>
      </c>
      <c r="B117" s="9" t="s">
        <v>37</v>
      </c>
      <c r="C117" s="9" t="s">
        <v>100</v>
      </c>
      <c r="D117" s="9" t="s">
        <v>39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35</v>
      </c>
      <c r="B118" s="9" t="s">
        <v>139</v>
      </c>
      <c r="C118" s="9" t="s">
        <v>103</v>
      </c>
      <c r="D118" s="9" t="s">
        <v>53</v>
      </c>
      <c r="E118" s="9" t="s">
        <v>41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35</v>
      </c>
      <c r="B119" s="9" t="s">
        <v>135</v>
      </c>
      <c r="C119" s="9" t="s">
        <v>103</v>
      </c>
      <c r="D119" s="9" t="s">
        <v>53</v>
      </c>
      <c r="E119" s="9" t="s">
        <v>41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35</v>
      </c>
      <c r="B120" s="9" t="s">
        <v>126</v>
      </c>
      <c r="C120" s="9" t="s">
        <v>103</v>
      </c>
      <c r="D120" s="9" t="s">
        <v>53</v>
      </c>
      <c r="E120" s="9" t="s">
        <v>41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35</v>
      </c>
      <c r="B121" s="9" t="s">
        <v>139</v>
      </c>
      <c r="C121" s="9" t="s">
        <v>105</v>
      </c>
      <c r="D121" s="9" t="s">
        <v>53</v>
      </c>
      <c r="E121" s="9" t="s">
        <v>71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35</v>
      </c>
      <c r="B122" s="9" t="s">
        <v>135</v>
      </c>
      <c r="C122" s="9" t="s">
        <v>105</v>
      </c>
      <c r="D122" s="9" t="s">
        <v>53</v>
      </c>
      <c r="E122" s="9" t="s">
        <v>71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35</v>
      </c>
      <c r="B123" s="9" t="s">
        <v>126</v>
      </c>
      <c r="C123" s="9" t="s">
        <v>105</v>
      </c>
      <c r="D123" s="9" t="s">
        <v>53</v>
      </c>
      <c r="E123" s="9" t="s">
        <v>71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35</v>
      </c>
      <c r="B124" s="9" t="s">
        <v>116</v>
      </c>
      <c r="C124" s="9" t="s">
        <v>105</v>
      </c>
      <c r="D124" s="9" t="s">
        <v>53</v>
      </c>
      <c r="E124" s="9" t="s">
        <v>71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35</v>
      </c>
      <c r="B125" s="9" t="s">
        <v>37</v>
      </c>
      <c r="C125" s="9" t="s">
        <v>105</v>
      </c>
      <c r="D125" s="9" t="s">
        <v>53</v>
      </c>
      <c r="E125" s="9" t="s">
        <v>71</v>
      </c>
      <c r="F125" s="9"/>
      <c r="G125" s="9"/>
      <c r="H125" s="9"/>
      <c r="I125" s="10"/>
      <c r="J125" s="10"/>
    </row>
    <row r="126" spans="1:10" ht="14.25" customHeight="1">
      <c r="A126" s="9" t="s">
        <v>35</v>
      </c>
      <c r="B126" s="9" t="s">
        <v>139</v>
      </c>
      <c r="C126" s="9" t="s">
        <v>106</v>
      </c>
      <c r="D126" s="9" t="s">
        <v>107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35</v>
      </c>
      <c r="B127" s="9" t="s">
        <v>135</v>
      </c>
      <c r="C127" s="9" t="s">
        <v>106</v>
      </c>
      <c r="D127" s="9" t="s">
        <v>107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35</v>
      </c>
      <c r="B128" s="9" t="s">
        <v>126</v>
      </c>
      <c r="C128" s="9" t="s">
        <v>106</v>
      </c>
      <c r="D128" s="9" t="s">
        <v>107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35</v>
      </c>
      <c r="B129" s="9" t="s">
        <v>116</v>
      </c>
      <c r="C129" s="9" t="s">
        <v>106</v>
      </c>
      <c r="D129" s="9" t="s">
        <v>107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35</v>
      </c>
      <c r="B130" s="9" t="s">
        <v>37</v>
      </c>
      <c r="C130" s="9" t="s">
        <v>106</v>
      </c>
      <c r="D130" s="9" t="s">
        <v>107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35</v>
      </c>
      <c r="B131" s="9" t="s">
        <v>139</v>
      </c>
      <c r="C131" s="9" t="s">
        <v>110</v>
      </c>
      <c r="D131" s="9" t="s">
        <v>96</v>
      </c>
      <c r="E131" s="9" t="s">
        <v>71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35</v>
      </c>
      <c r="B132" s="9" t="s">
        <v>135</v>
      </c>
      <c r="C132" s="9" t="s">
        <v>110</v>
      </c>
      <c r="D132" s="9" t="s">
        <v>96</v>
      </c>
      <c r="E132" s="9" t="s">
        <v>71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35</v>
      </c>
      <c r="B133" s="9" t="s">
        <v>126</v>
      </c>
      <c r="C133" s="9" t="s">
        <v>110</v>
      </c>
      <c r="D133" s="9" t="s">
        <v>96</v>
      </c>
      <c r="E133" s="9" t="s">
        <v>71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35</v>
      </c>
      <c r="B134" s="9" t="s">
        <v>116</v>
      </c>
      <c r="C134" s="9" t="s">
        <v>110</v>
      </c>
      <c r="D134" s="9" t="s">
        <v>96</v>
      </c>
      <c r="E134" s="9" t="s">
        <v>71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35</v>
      </c>
      <c r="B135" s="9" t="s">
        <v>37</v>
      </c>
      <c r="C135" s="9" t="s">
        <v>110</v>
      </c>
      <c r="D135" s="9" t="s">
        <v>96</v>
      </c>
      <c r="E135" s="9" t="s">
        <v>71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35</v>
      </c>
      <c r="B136" s="9" t="s">
        <v>139</v>
      </c>
      <c r="C136" s="9" t="s">
        <v>112</v>
      </c>
      <c r="D136" s="9" t="s">
        <v>78</v>
      </c>
      <c r="E136" s="9" t="s">
        <v>71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35</v>
      </c>
      <c r="B137" s="9" t="s">
        <v>135</v>
      </c>
      <c r="C137" s="9" t="s">
        <v>112</v>
      </c>
      <c r="D137" s="9" t="s">
        <v>78</v>
      </c>
      <c r="E137" s="9" t="s">
        <v>71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35</v>
      </c>
      <c r="B138" s="9" t="s">
        <v>126</v>
      </c>
      <c r="C138" s="9" t="s">
        <v>112</v>
      </c>
      <c r="D138" s="9" t="s">
        <v>78</v>
      </c>
      <c r="E138" s="9" t="s">
        <v>71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35</v>
      </c>
      <c r="B139" s="9" t="s">
        <v>116</v>
      </c>
      <c r="C139" s="9" t="s">
        <v>112</v>
      </c>
      <c r="D139" s="9" t="s">
        <v>78</v>
      </c>
      <c r="E139" s="9" t="s">
        <v>71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35</v>
      </c>
      <c r="B140" s="9" t="s">
        <v>37</v>
      </c>
      <c r="C140" s="9" t="s">
        <v>112</v>
      </c>
      <c r="D140" s="9" t="s">
        <v>78</v>
      </c>
      <c r="E140" s="9" t="s">
        <v>71</v>
      </c>
      <c r="F140" s="9"/>
      <c r="G140" s="9"/>
      <c r="H140" s="9"/>
      <c r="I140" s="9"/>
      <c r="J140" s="9"/>
    </row>
    <row r="141" spans="1:10" ht="14.25" customHeight="1">
      <c r="A141" s="9" t="s">
        <v>114</v>
      </c>
      <c r="B141" s="9" t="s">
        <v>139</v>
      </c>
      <c r="C141" s="9" t="s">
        <v>115</v>
      </c>
      <c r="D141" s="9" t="s">
        <v>70</v>
      </c>
      <c r="E141" s="9" t="s">
        <v>54</v>
      </c>
      <c r="F141" s="9"/>
      <c r="G141" s="9" t="s">
        <v>117</v>
      </c>
      <c r="H141" s="9"/>
      <c r="I141" s="9"/>
      <c r="J141" s="9"/>
    </row>
    <row r="142" spans="1:10" ht="14.25" customHeight="1">
      <c r="A142" s="9" t="s">
        <v>114</v>
      </c>
      <c r="B142" s="9" t="s">
        <v>135</v>
      </c>
      <c r="C142" s="9" t="s">
        <v>115</v>
      </c>
      <c r="D142" s="9" t="s">
        <v>70</v>
      </c>
      <c r="E142" s="9" t="s">
        <v>54</v>
      </c>
      <c r="F142" s="9"/>
      <c r="G142" s="9" t="s">
        <v>117</v>
      </c>
      <c r="H142" s="9"/>
      <c r="I142" s="10">
        <v>46213</v>
      </c>
      <c r="J142" s="10">
        <v>46213</v>
      </c>
    </row>
    <row r="143" spans="1:10" ht="14.25" customHeight="1">
      <c r="A143" s="9" t="s">
        <v>114</v>
      </c>
      <c r="B143" s="9" t="s">
        <v>126</v>
      </c>
      <c r="C143" s="9" t="s">
        <v>115</v>
      </c>
      <c r="D143" s="9" t="s">
        <v>70</v>
      </c>
      <c r="E143" s="9" t="s">
        <v>54</v>
      </c>
      <c r="F143" s="9"/>
      <c r="G143" s="9" t="s">
        <v>117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114</v>
      </c>
      <c r="B144" s="9" t="s">
        <v>139</v>
      </c>
      <c r="C144" s="9" t="s">
        <v>121</v>
      </c>
      <c r="D144" s="9" t="s">
        <v>107</v>
      </c>
      <c r="E144" s="9" t="s">
        <v>71</v>
      </c>
      <c r="F144" s="9"/>
      <c r="G144" s="9" t="s">
        <v>117</v>
      </c>
      <c r="H144" s="9"/>
      <c r="I144" s="9"/>
      <c r="J144" s="9"/>
    </row>
    <row r="145" spans="1:10" ht="14.25" customHeight="1">
      <c r="A145" s="9" t="s">
        <v>114</v>
      </c>
      <c r="B145" s="9" t="s">
        <v>135</v>
      </c>
      <c r="C145" s="9" t="s">
        <v>121</v>
      </c>
      <c r="D145" s="9" t="s">
        <v>107</v>
      </c>
      <c r="E145" s="9" t="s">
        <v>71</v>
      </c>
      <c r="F145" s="9"/>
      <c r="G145" s="9" t="s">
        <v>117</v>
      </c>
      <c r="H145" s="9"/>
      <c r="I145" s="10">
        <v>46218</v>
      </c>
      <c r="J145" s="10">
        <v>46218</v>
      </c>
    </row>
    <row r="146" spans="1:10" ht="14.25" customHeight="1">
      <c r="A146" s="9" t="s">
        <v>114</v>
      </c>
      <c r="B146" s="9" t="s">
        <v>126</v>
      </c>
      <c r="C146" s="9" t="s">
        <v>121</v>
      </c>
      <c r="D146" s="9" t="s">
        <v>107</v>
      </c>
      <c r="E146" s="9" t="s">
        <v>71</v>
      </c>
      <c r="F146" s="9"/>
      <c r="G146" s="9" t="s">
        <v>117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114</v>
      </c>
      <c r="B147" s="9" t="s">
        <v>139</v>
      </c>
      <c r="C147" s="9" t="s">
        <v>123</v>
      </c>
      <c r="D147" s="9" t="s">
        <v>107</v>
      </c>
      <c r="E147" s="9" t="s">
        <v>71</v>
      </c>
      <c r="F147" s="9"/>
      <c r="G147" s="9" t="s">
        <v>117</v>
      </c>
      <c r="H147" s="9"/>
      <c r="I147" s="9"/>
      <c r="J147" s="9"/>
    </row>
    <row r="148" spans="1:10" ht="14.25" customHeight="1">
      <c r="A148" s="9" t="s">
        <v>114</v>
      </c>
      <c r="B148" s="9" t="s">
        <v>135</v>
      </c>
      <c r="C148" s="9" t="s">
        <v>123</v>
      </c>
      <c r="D148" s="9" t="s">
        <v>107</v>
      </c>
      <c r="E148" s="9" t="s">
        <v>71</v>
      </c>
      <c r="F148" s="9"/>
      <c r="G148" s="9" t="s">
        <v>117</v>
      </c>
      <c r="H148" s="9"/>
      <c r="I148" s="10">
        <v>46225</v>
      </c>
      <c r="J148" s="10">
        <v>46225</v>
      </c>
    </row>
    <row r="149" spans="1:10" ht="14.25" customHeight="1">
      <c r="A149" s="9" t="s">
        <v>114</v>
      </c>
      <c r="B149" s="9" t="s">
        <v>126</v>
      </c>
      <c r="C149" s="9" t="s">
        <v>123</v>
      </c>
      <c r="D149" s="9" t="s">
        <v>107</v>
      </c>
      <c r="E149" s="9" t="s">
        <v>71</v>
      </c>
      <c r="F149" s="9"/>
      <c r="G149" s="9" t="s">
        <v>117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114</v>
      </c>
      <c r="B150" s="9" t="s">
        <v>139</v>
      </c>
      <c r="C150" s="9" t="s">
        <v>125</v>
      </c>
      <c r="D150" s="9" t="s">
        <v>53</v>
      </c>
      <c r="E150" s="9" t="s">
        <v>41</v>
      </c>
      <c r="F150" s="9"/>
      <c r="G150" s="9" t="s">
        <v>117</v>
      </c>
      <c r="H150" s="9"/>
      <c r="I150" s="9"/>
      <c r="J150" s="9"/>
    </row>
    <row r="151" spans="1:10" ht="14.25" customHeight="1">
      <c r="A151" s="9" t="s">
        <v>114</v>
      </c>
      <c r="B151" s="9" t="s">
        <v>135</v>
      </c>
      <c r="C151" s="9" t="s">
        <v>125</v>
      </c>
      <c r="D151" s="9" t="s">
        <v>53</v>
      </c>
      <c r="E151" s="9" t="s">
        <v>41</v>
      </c>
      <c r="F151" s="9"/>
      <c r="G151" s="9" t="s">
        <v>117</v>
      </c>
      <c r="H151" s="9"/>
      <c r="I151" s="10">
        <v>46227</v>
      </c>
      <c r="J151" s="10">
        <v>46227</v>
      </c>
    </row>
    <row r="152" spans="1:10" ht="14.25" customHeight="1">
      <c r="A152" s="9" t="s">
        <v>114</v>
      </c>
      <c r="B152" s="9" t="s">
        <v>126</v>
      </c>
      <c r="C152" s="9" t="s">
        <v>125</v>
      </c>
      <c r="D152" s="9" t="s">
        <v>53</v>
      </c>
      <c r="E152" s="9" t="s">
        <v>41</v>
      </c>
      <c r="F152" s="9"/>
      <c r="G152" s="9" t="s">
        <v>117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114</v>
      </c>
      <c r="B153" s="9" t="s">
        <v>139</v>
      </c>
      <c r="C153" s="9" t="s">
        <v>129</v>
      </c>
      <c r="D153" s="9" t="s">
        <v>96</v>
      </c>
      <c r="E153" s="9" t="s">
        <v>71</v>
      </c>
      <c r="F153" s="9"/>
      <c r="G153" s="9" t="s">
        <v>117</v>
      </c>
      <c r="H153" s="9"/>
      <c r="I153" s="9"/>
      <c r="J153" s="9"/>
    </row>
    <row r="154" spans="1:10" ht="14.25" customHeight="1">
      <c r="A154" s="9" t="s">
        <v>114</v>
      </c>
      <c r="B154" s="9" t="s">
        <v>135</v>
      </c>
      <c r="C154" s="9" t="s">
        <v>129</v>
      </c>
      <c r="D154" s="9" t="s">
        <v>96</v>
      </c>
      <c r="E154" s="9" t="s">
        <v>71</v>
      </c>
      <c r="F154" s="9"/>
      <c r="G154" s="9" t="s">
        <v>117</v>
      </c>
      <c r="H154" s="9"/>
      <c r="I154" s="10">
        <v>46216</v>
      </c>
      <c r="J154" s="10">
        <v>46216</v>
      </c>
    </row>
    <row r="155" spans="1:10" ht="14.25" customHeight="1">
      <c r="A155" s="9" t="s">
        <v>114</v>
      </c>
      <c r="B155" s="9" t="s">
        <v>126</v>
      </c>
      <c r="C155" s="9" t="s">
        <v>129</v>
      </c>
      <c r="D155" s="9" t="s">
        <v>96</v>
      </c>
      <c r="E155" s="9" t="s">
        <v>71</v>
      </c>
      <c r="F155" s="9"/>
      <c r="G155" s="9" t="s">
        <v>117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114</v>
      </c>
      <c r="B156" s="9" t="s">
        <v>139</v>
      </c>
      <c r="C156" s="9" t="s">
        <v>131</v>
      </c>
      <c r="D156" s="9" t="s">
        <v>78</v>
      </c>
      <c r="E156" s="9" t="s">
        <v>54</v>
      </c>
      <c r="F156" s="9"/>
      <c r="G156" s="9" t="s">
        <v>132</v>
      </c>
      <c r="H156" s="9"/>
      <c r="I156" s="9"/>
      <c r="J156" s="9"/>
    </row>
    <row r="157" spans="1:10">
      <c r="A157" s="3" t="s">
        <v>114</v>
      </c>
      <c r="B157" s="3" t="s">
        <v>139</v>
      </c>
      <c r="C157" s="3" t="s">
        <v>134</v>
      </c>
      <c r="D157" s="3" t="s">
        <v>107</v>
      </c>
      <c r="E157" s="3" t="s">
        <v>41</v>
      </c>
      <c r="F157" s="3"/>
      <c r="G157" s="3" t="s">
        <v>132</v>
      </c>
      <c r="H157" s="3"/>
      <c r="I157" s="3"/>
      <c r="J157" s="3"/>
    </row>
    <row r="158" spans="1:10">
      <c r="A158" s="3" t="s">
        <v>114</v>
      </c>
      <c r="B158" s="3" t="s">
        <v>139</v>
      </c>
      <c r="C158" s="3" t="s">
        <v>138</v>
      </c>
      <c r="D158" s="3" t="s">
        <v>107</v>
      </c>
      <c r="E158" s="3" t="s">
        <v>41</v>
      </c>
      <c r="F158" s="3"/>
      <c r="G158" s="3" t="s">
        <v>132</v>
      </c>
      <c r="H158" s="3"/>
      <c r="I158" s="3"/>
      <c r="J158" s="3"/>
    </row>
    <row r="159" spans="1:10">
      <c r="A159" s="3" t="s">
        <v>114</v>
      </c>
      <c r="B159" s="3" t="s">
        <v>135</v>
      </c>
      <c r="C159" s="3" t="s">
        <v>138</v>
      </c>
      <c r="D159" s="3" t="s">
        <v>107</v>
      </c>
      <c r="E159" s="3" t="s">
        <v>41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114</v>
      </c>
      <c r="B160" s="3" t="s">
        <v>126</v>
      </c>
      <c r="C160" s="3" t="s">
        <v>138</v>
      </c>
      <c r="D160" s="3" t="s">
        <v>107</v>
      </c>
      <c r="E160" s="3" t="s">
        <v>41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114</v>
      </c>
      <c r="B161" s="3" t="s">
        <v>139</v>
      </c>
      <c r="C161" s="3" t="s">
        <v>140</v>
      </c>
      <c r="D161" s="3" t="s">
        <v>78</v>
      </c>
      <c r="E161" s="3" t="s">
        <v>54</v>
      </c>
      <c r="F161" s="3"/>
      <c r="G161" s="3" t="s">
        <v>132</v>
      </c>
      <c r="H161" s="3"/>
      <c r="I161" s="3"/>
      <c r="J161" s="3"/>
    </row>
    <row r="162" spans="1:10">
      <c r="A162" s="3" t="s">
        <v>114</v>
      </c>
      <c r="B162" s="3" t="s">
        <v>135</v>
      </c>
      <c r="C162" s="3" t="s">
        <v>140</v>
      </c>
      <c r="D162" s="3" t="s">
        <v>78</v>
      </c>
      <c r="E162" s="3" t="s">
        <v>54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114</v>
      </c>
      <c r="B163" s="3" t="s">
        <v>126</v>
      </c>
      <c r="C163" s="3" t="s">
        <v>140</v>
      </c>
      <c r="D163" s="3" t="s">
        <v>78</v>
      </c>
      <c r="E163" s="3" t="s">
        <v>54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114</v>
      </c>
      <c r="B164" s="3" t="s">
        <v>139</v>
      </c>
      <c r="C164" s="3" t="s">
        <v>142</v>
      </c>
      <c r="D164" s="3" t="s">
        <v>144</v>
      </c>
      <c r="E164" s="3" t="s">
        <v>54</v>
      </c>
      <c r="F164" s="3"/>
      <c r="G164" s="3" t="s">
        <v>132</v>
      </c>
      <c r="H164" s="3"/>
      <c r="I164" s="3"/>
      <c r="J164" s="3"/>
    </row>
    <row r="165" spans="1:10">
      <c r="A165" s="3" t="s">
        <v>114</v>
      </c>
      <c r="B165" s="3" t="s">
        <v>135</v>
      </c>
      <c r="C165" s="3" t="s">
        <v>142</v>
      </c>
      <c r="D165" s="3" t="s">
        <v>144</v>
      </c>
      <c r="E165" s="3" t="s">
        <v>54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114</v>
      </c>
      <c r="B166" s="3" t="s">
        <v>126</v>
      </c>
      <c r="C166" s="3" t="s">
        <v>142</v>
      </c>
      <c r="D166" s="3" t="s">
        <v>144</v>
      </c>
      <c r="E166" s="3" t="s">
        <v>54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114</v>
      </c>
      <c r="B167" s="3" t="s">
        <v>139</v>
      </c>
      <c r="C167" s="3" t="s">
        <v>146</v>
      </c>
      <c r="D167" s="3" t="s">
        <v>144</v>
      </c>
      <c r="E167" s="3" t="s">
        <v>71</v>
      </c>
      <c r="F167" s="3"/>
      <c r="G167" s="3" t="s">
        <v>132</v>
      </c>
      <c r="H167" s="3"/>
      <c r="I167" s="3"/>
      <c r="J167" s="3"/>
    </row>
    <row r="168" spans="1:10">
      <c r="A168" s="3" t="s">
        <v>114</v>
      </c>
      <c r="B168" s="3" t="s">
        <v>135</v>
      </c>
      <c r="C168" s="3" t="s">
        <v>146</v>
      </c>
      <c r="D168" s="3" t="s">
        <v>144</v>
      </c>
      <c r="E168" s="3" t="s">
        <v>71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114</v>
      </c>
      <c r="B169" s="3" t="s">
        <v>126</v>
      </c>
      <c r="C169" s="3" t="s">
        <v>146</v>
      </c>
      <c r="D169" s="3" t="s">
        <v>144</v>
      </c>
      <c r="E169" s="3" t="s">
        <v>71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114</v>
      </c>
      <c r="B170" s="3" t="s">
        <v>139</v>
      </c>
      <c r="C170" s="3" t="s">
        <v>148</v>
      </c>
      <c r="D170" s="3" t="s">
        <v>70</v>
      </c>
      <c r="E170" s="3" t="s">
        <v>41</v>
      </c>
      <c r="F170" s="3"/>
      <c r="G170" s="3" t="s">
        <v>117</v>
      </c>
      <c r="H170" s="3"/>
      <c r="I170" s="3"/>
      <c r="J170" s="3"/>
    </row>
    <row r="171" spans="1:10">
      <c r="A171" s="3" t="s">
        <v>114</v>
      </c>
      <c r="B171" s="3" t="s">
        <v>135</v>
      </c>
      <c r="C171" s="3" t="s">
        <v>148</v>
      </c>
      <c r="D171" s="3" t="s">
        <v>70</v>
      </c>
      <c r="E171" s="3" t="s">
        <v>41</v>
      </c>
      <c r="F171" s="3"/>
      <c r="G171" s="3" t="s">
        <v>117</v>
      </c>
      <c r="H171" s="3"/>
      <c r="I171" s="4">
        <v>46226</v>
      </c>
      <c r="J171" s="4">
        <v>46226</v>
      </c>
    </row>
    <row r="172" spans="1:10">
      <c r="A172" s="3" t="s">
        <v>114</v>
      </c>
      <c r="B172" s="3" t="s">
        <v>126</v>
      </c>
      <c r="C172" s="3" t="s">
        <v>148</v>
      </c>
      <c r="D172" s="3" t="s">
        <v>70</v>
      </c>
      <c r="E172" s="3" t="s">
        <v>41</v>
      </c>
      <c r="F172" s="3"/>
      <c r="G172" s="3" t="s">
        <v>117</v>
      </c>
      <c r="H172" s="4">
        <v>46226</v>
      </c>
      <c r="I172" s="4">
        <v>46223</v>
      </c>
      <c r="J172" s="4">
        <v>46223</v>
      </c>
    </row>
    <row r="173" spans="1:10">
      <c r="A173" s="3" t="s">
        <v>114</v>
      </c>
      <c r="B173" s="3" t="s">
        <v>139</v>
      </c>
      <c r="C173" s="3" t="s">
        <v>151</v>
      </c>
      <c r="D173" s="3" t="s">
        <v>53</v>
      </c>
      <c r="E173" s="3" t="s">
        <v>54</v>
      </c>
      <c r="F173" s="3"/>
      <c r="G173" s="3" t="s">
        <v>117</v>
      </c>
      <c r="H173" s="3"/>
      <c r="I173" s="3"/>
      <c r="J173" s="3"/>
    </row>
    <row r="174" spans="1:10">
      <c r="A174" s="3" t="s">
        <v>114</v>
      </c>
      <c r="B174" s="3" t="s">
        <v>135</v>
      </c>
      <c r="C174" s="3" t="s">
        <v>151</v>
      </c>
      <c r="D174" s="3" t="s">
        <v>53</v>
      </c>
      <c r="E174" s="3" t="s">
        <v>54</v>
      </c>
      <c r="F174" s="3"/>
      <c r="G174" s="3" t="s">
        <v>117</v>
      </c>
      <c r="H174" s="3"/>
      <c r="I174" s="4">
        <v>46225</v>
      </c>
      <c r="J174" s="4">
        <v>46225</v>
      </c>
    </row>
    <row r="175" spans="1:10">
      <c r="A175" s="3" t="s">
        <v>114</v>
      </c>
      <c r="B175" s="3" t="s">
        <v>126</v>
      </c>
      <c r="C175" s="3" t="s">
        <v>151</v>
      </c>
      <c r="D175" s="3" t="s">
        <v>53</v>
      </c>
      <c r="E175" s="3" t="s">
        <v>54</v>
      </c>
      <c r="F175" s="3"/>
      <c r="G175" s="3" t="s">
        <v>117</v>
      </c>
      <c r="H175" s="4">
        <v>46225</v>
      </c>
      <c r="I175" s="4">
        <v>46223</v>
      </c>
      <c r="J175" s="4">
        <v>46223</v>
      </c>
    </row>
    <row r="176" spans="1:10">
      <c r="A176" s="3" t="s">
        <v>114</v>
      </c>
      <c r="B176" s="3" t="s">
        <v>139</v>
      </c>
      <c r="C176" s="3" t="s">
        <v>153</v>
      </c>
      <c r="D176" s="3" t="s">
        <v>70</v>
      </c>
      <c r="E176" s="3" t="s">
        <v>71</v>
      </c>
      <c r="F176" s="3"/>
      <c r="G176" s="3" t="s">
        <v>132</v>
      </c>
      <c r="H176" s="3"/>
      <c r="I176" s="3"/>
      <c r="J176" s="3"/>
    </row>
    <row r="177" spans="1:10">
      <c r="A177" s="3" t="s">
        <v>114</v>
      </c>
      <c r="B177" s="3" t="s">
        <v>135</v>
      </c>
      <c r="C177" s="3" t="s">
        <v>153</v>
      </c>
      <c r="D177" s="3" t="s">
        <v>70</v>
      </c>
      <c r="E177" s="3" t="s">
        <v>71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114</v>
      </c>
      <c r="B178" s="3" t="s">
        <v>126</v>
      </c>
      <c r="C178" s="3" t="s">
        <v>153</v>
      </c>
      <c r="D178" s="3" t="s">
        <v>70</v>
      </c>
      <c r="E178" s="3" t="s">
        <v>71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114</v>
      </c>
      <c r="B179" s="3" t="s">
        <v>139</v>
      </c>
      <c r="C179" s="3" t="s">
        <v>155</v>
      </c>
      <c r="D179" s="3" t="s">
        <v>96</v>
      </c>
      <c r="E179" s="3"/>
      <c r="F179" s="3"/>
      <c r="G179" s="3"/>
      <c r="H179" s="3"/>
      <c r="I179" s="3"/>
      <c r="J179" s="3"/>
    </row>
    <row r="180" spans="1:10">
      <c r="A180" s="3" t="s">
        <v>114</v>
      </c>
      <c r="B180" s="3" t="s">
        <v>135</v>
      </c>
      <c r="C180" s="3" t="s">
        <v>155</v>
      </c>
      <c r="D180" s="3" t="s">
        <v>96</v>
      </c>
      <c r="E180" s="3"/>
      <c r="F180" s="3"/>
      <c r="G180" s="3"/>
      <c r="H180" s="3"/>
      <c r="I180" s="3"/>
      <c r="J180" s="3"/>
    </row>
    <row r="181" spans="1:10">
      <c r="A181" s="3" t="s">
        <v>114</v>
      </c>
      <c r="B181" s="3" t="s">
        <v>126</v>
      </c>
      <c r="C181" s="3" t="s">
        <v>155</v>
      </c>
      <c r="D181" s="3" t="s">
        <v>96</v>
      </c>
      <c r="E181" s="3"/>
      <c r="F181" s="3"/>
      <c r="G181" s="3"/>
      <c r="H181" s="3"/>
      <c r="I181" s="3"/>
      <c r="J181" s="3"/>
    </row>
    <row r="182" spans="1:10">
      <c r="A182" s="3" t="s">
        <v>114</v>
      </c>
      <c r="B182" s="3" t="s">
        <v>139</v>
      </c>
      <c r="C182" s="3" t="s">
        <v>163</v>
      </c>
      <c r="D182" s="3" t="s">
        <v>78</v>
      </c>
      <c r="E182" s="3"/>
      <c r="F182" s="3"/>
      <c r="G182" s="3"/>
      <c r="H182" s="3"/>
      <c r="I182" s="3"/>
      <c r="J182" s="3"/>
    </row>
    <row r="183" spans="1:10">
      <c r="A183" s="3" t="s">
        <v>114</v>
      </c>
      <c r="B183" s="3" t="s">
        <v>135</v>
      </c>
      <c r="C183" s="3" t="s">
        <v>163</v>
      </c>
      <c r="D183" s="3" t="s">
        <v>78</v>
      </c>
      <c r="E183" s="3"/>
      <c r="F183" s="3"/>
      <c r="G183" s="3"/>
      <c r="H183" s="3"/>
      <c r="I183" s="3"/>
      <c r="J183" s="3"/>
    </row>
    <row r="184" spans="1:10">
      <c r="A184" s="3" t="s">
        <v>114</v>
      </c>
      <c r="B184" s="3" t="s">
        <v>126</v>
      </c>
      <c r="C184" s="3" t="s">
        <v>163</v>
      </c>
      <c r="D184" s="3" t="s">
        <v>78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tabSelected="1"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301</v>
      </c>
      <c r="B1" s="82"/>
      <c r="C1" s="82"/>
    </row>
    <row r="2" spans="1:3" ht="14.25" customHeight="1">
      <c r="A2" s="8" t="s">
        <v>0</v>
      </c>
      <c r="B2" s="8" t="s">
        <v>302</v>
      </c>
      <c r="C2" s="8" t="s">
        <v>298</v>
      </c>
    </row>
    <row r="3" spans="1:3" ht="14.25" customHeight="1">
      <c r="A3" s="11" t="s">
        <v>35</v>
      </c>
      <c r="B3" s="11">
        <v>8</v>
      </c>
      <c r="C3" s="12">
        <v>46142</v>
      </c>
    </row>
    <row r="4" spans="1:3" ht="14.25" customHeight="1">
      <c r="A4" s="11" t="s">
        <v>35</v>
      </c>
      <c r="B4" s="11">
        <v>10</v>
      </c>
      <c r="C4" s="12">
        <v>46172</v>
      </c>
    </row>
    <row r="5" spans="1:3" ht="14.25" customHeight="1">
      <c r="A5" s="11" t="s">
        <v>35</v>
      </c>
      <c r="B5" s="11">
        <v>9</v>
      </c>
      <c r="C5" s="12">
        <v>46203</v>
      </c>
    </row>
    <row r="6" spans="1:3" ht="14.25" customHeight="1">
      <c r="A6" s="11" t="s">
        <v>114</v>
      </c>
      <c r="B6" s="11">
        <v>15</v>
      </c>
      <c r="C6" s="12">
        <v>46233</v>
      </c>
    </row>
    <row r="7" spans="1:3" ht="14.25" customHeight="1">
      <c r="A7" s="11" t="s">
        <v>114</v>
      </c>
      <c r="B7" s="11">
        <v>15</v>
      </c>
      <c r="C7" s="12">
        <v>46264</v>
      </c>
    </row>
    <row r="8" spans="1:3" ht="14.25" customHeight="1">
      <c r="A8" s="11" t="s">
        <v>114</v>
      </c>
      <c r="B8" s="11">
        <v>17</v>
      </c>
      <c r="C8" s="12">
        <v>46295</v>
      </c>
    </row>
    <row r="9" spans="1:3" ht="14.25" customHeight="1">
      <c r="A9" s="11" t="s">
        <v>114</v>
      </c>
      <c r="B9" s="11">
        <v>20</v>
      </c>
      <c r="C9" s="12">
        <v>46325</v>
      </c>
    </row>
    <row r="10" spans="1:3" ht="14.25" customHeight="1">
      <c r="A10" s="11" t="s">
        <v>114</v>
      </c>
      <c r="B10" s="11">
        <v>20</v>
      </c>
      <c r="C10" s="12">
        <v>46356</v>
      </c>
    </row>
    <row r="11" spans="1:3" ht="14.25" customHeight="1">
      <c r="A11" s="11" t="s">
        <v>303</v>
      </c>
      <c r="B11" s="11">
        <v>18</v>
      </c>
      <c r="C11" s="12">
        <v>46386</v>
      </c>
    </row>
    <row r="12" spans="1:3" ht="14.25" customHeight="1">
      <c r="A12" s="11" t="s">
        <v>303</v>
      </c>
      <c r="B12" s="11">
        <v>18</v>
      </c>
      <c r="C12" s="12">
        <v>46417</v>
      </c>
    </row>
    <row r="13" spans="1:3" ht="14.25" customHeight="1">
      <c r="A13" s="11" t="s">
        <v>303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304</v>
      </c>
      <c r="F1" s="1" t="s">
        <v>251</v>
      </c>
      <c r="G1" s="5" t="s">
        <v>305</v>
      </c>
      <c r="H1" s="5" t="s">
        <v>20</v>
      </c>
      <c r="I1" t="s">
        <v>32</v>
      </c>
      <c r="J1" s="5" t="s">
        <v>306</v>
      </c>
      <c r="K1" s="5" t="s">
        <v>116</v>
      </c>
      <c r="L1" s="5" t="s">
        <v>270</v>
      </c>
      <c r="M1" s="1" t="s">
        <v>307</v>
      </c>
      <c r="N1" s="1" t="s">
        <v>308</v>
      </c>
      <c r="R1" t="s">
        <v>13</v>
      </c>
    </row>
    <row r="2" spans="1:18" ht="13.5" customHeight="1">
      <c r="A2" s="2" t="s">
        <v>309</v>
      </c>
      <c r="B2" s="2" t="s">
        <v>310</v>
      </c>
      <c r="C2" s="2" t="s">
        <v>311</v>
      </c>
      <c r="D2" s="2" t="s">
        <v>312</v>
      </c>
      <c r="E2" s="2" t="s">
        <v>313</v>
      </c>
      <c r="F2" s="2" t="s">
        <v>314</v>
      </c>
      <c r="G2" t="s">
        <v>315</v>
      </c>
      <c r="H2" t="s">
        <v>316</v>
      </c>
      <c r="I2" t="s">
        <v>317</v>
      </c>
      <c r="J2" s="29" t="s">
        <v>318</v>
      </c>
      <c r="K2" s="29" t="s">
        <v>319</v>
      </c>
      <c r="L2" s="29" t="s">
        <v>320</v>
      </c>
      <c r="M2" t="s">
        <v>132</v>
      </c>
      <c r="N2" s="45" t="s">
        <v>321</v>
      </c>
      <c r="R2" t="s">
        <v>322</v>
      </c>
    </row>
    <row r="3" spans="1:18" ht="15" customHeight="1">
      <c r="A3" t="s">
        <v>35</v>
      </c>
      <c r="B3" t="s">
        <v>39</v>
      </c>
      <c r="C3" t="s">
        <v>54</v>
      </c>
      <c r="D3" t="s">
        <v>117</v>
      </c>
      <c r="E3" t="s">
        <v>44</v>
      </c>
      <c r="F3" t="s">
        <v>181</v>
      </c>
      <c r="G3" t="s">
        <v>39</v>
      </c>
      <c r="H3" t="s">
        <v>42</v>
      </c>
      <c r="I3" t="s">
        <v>47</v>
      </c>
      <c r="J3" t="s">
        <v>139</v>
      </c>
      <c r="K3" t="s">
        <v>43</v>
      </c>
      <c r="L3" t="s">
        <v>47</v>
      </c>
      <c r="M3" t="s">
        <v>39</v>
      </c>
      <c r="N3" s="45" t="s">
        <v>323</v>
      </c>
      <c r="R3" t="s">
        <v>40</v>
      </c>
    </row>
    <row r="4" spans="1:18" ht="15" customHeight="1">
      <c r="A4" t="s">
        <v>114</v>
      </c>
      <c r="B4" t="s">
        <v>53</v>
      </c>
      <c r="C4" t="s">
        <v>41</v>
      </c>
      <c r="D4" t="s">
        <v>132</v>
      </c>
      <c r="E4" t="s">
        <v>47</v>
      </c>
      <c r="F4" t="s">
        <v>139</v>
      </c>
      <c r="G4" t="s">
        <v>53</v>
      </c>
      <c r="H4" t="s">
        <v>82</v>
      </c>
      <c r="I4" t="s">
        <v>324</v>
      </c>
      <c r="J4" t="s">
        <v>135</v>
      </c>
      <c r="L4" t="s">
        <v>44</v>
      </c>
      <c r="M4" t="s">
        <v>96</v>
      </c>
      <c r="N4" s="45" t="s">
        <v>323</v>
      </c>
    </row>
    <row r="5" spans="1:18" ht="15" customHeight="1">
      <c r="A5" t="s">
        <v>303</v>
      </c>
      <c r="B5" t="s">
        <v>59</v>
      </c>
      <c r="C5" t="s">
        <v>71</v>
      </c>
      <c r="F5" t="s">
        <v>135</v>
      </c>
      <c r="G5" t="s">
        <v>59</v>
      </c>
      <c r="H5" t="s">
        <v>117</v>
      </c>
      <c r="I5" t="s">
        <v>127</v>
      </c>
      <c r="J5" t="s">
        <v>126</v>
      </c>
      <c r="L5" t="s">
        <v>325</v>
      </c>
      <c r="M5" t="s">
        <v>82</v>
      </c>
      <c r="N5" s="45" t="s">
        <v>323</v>
      </c>
    </row>
    <row r="6" spans="1:18" ht="15" customHeight="1">
      <c r="A6" t="s">
        <v>235</v>
      </c>
      <c r="B6" t="s">
        <v>78</v>
      </c>
      <c r="F6" t="s">
        <v>126</v>
      </c>
      <c r="G6" t="s">
        <v>78</v>
      </c>
      <c r="H6" t="s">
        <v>132</v>
      </c>
      <c r="I6" t="s">
        <v>136</v>
      </c>
      <c r="J6" t="s">
        <v>116</v>
      </c>
      <c r="M6" t="s">
        <v>43</v>
      </c>
      <c r="N6" s="45" t="s">
        <v>323</v>
      </c>
    </row>
    <row r="7" spans="1:18" ht="15" customHeight="1">
      <c r="A7" t="s">
        <v>230</v>
      </c>
      <c r="B7" t="s">
        <v>107</v>
      </c>
      <c r="F7" t="s">
        <v>116</v>
      </c>
      <c r="G7" t="s">
        <v>107</v>
      </c>
      <c r="I7" t="s">
        <v>326</v>
      </c>
      <c r="M7" t="s">
        <v>117</v>
      </c>
      <c r="N7" s="45" t="s">
        <v>323</v>
      </c>
    </row>
    <row r="8" spans="1:18" ht="15" customHeight="1">
      <c r="B8" t="s">
        <v>70</v>
      </c>
      <c r="F8" t="s">
        <v>37</v>
      </c>
      <c r="G8" t="s">
        <v>70</v>
      </c>
      <c r="I8" t="s">
        <v>327</v>
      </c>
      <c r="M8" t="s">
        <v>54</v>
      </c>
      <c r="N8" s="45" t="s">
        <v>323</v>
      </c>
    </row>
    <row r="9" spans="1:18" ht="15" customHeight="1">
      <c r="B9" t="s">
        <v>96</v>
      </c>
      <c r="G9" t="s">
        <v>96</v>
      </c>
      <c r="I9" t="s">
        <v>328</v>
      </c>
      <c r="M9" t="s">
        <v>144</v>
      </c>
      <c r="N9" s="45" t="s">
        <v>323</v>
      </c>
    </row>
    <row r="10" spans="1:18" ht="15" customHeight="1">
      <c r="B10" t="s">
        <v>144</v>
      </c>
      <c r="G10" t="s">
        <v>144</v>
      </c>
      <c r="M10" t="s">
        <v>42</v>
      </c>
      <c r="N10" s="45" t="s">
        <v>323</v>
      </c>
    </row>
    <row r="11" spans="1:18">
      <c r="B11" t="s">
        <v>329</v>
      </c>
      <c r="G11" t="s">
        <v>54</v>
      </c>
      <c r="M11" t="s">
        <v>70</v>
      </c>
      <c r="N11" s="45" t="s">
        <v>323</v>
      </c>
    </row>
    <row r="12" spans="1:18">
      <c r="B12" t="s">
        <v>330</v>
      </c>
      <c r="G12" t="s">
        <v>41</v>
      </c>
      <c r="M12" t="s">
        <v>41</v>
      </c>
      <c r="N12" s="45" t="s">
        <v>323</v>
      </c>
    </row>
    <row r="13" spans="1:18">
      <c r="G13" t="s">
        <v>71</v>
      </c>
      <c r="M13" t="s">
        <v>71</v>
      </c>
      <c r="N13" s="45" t="s">
        <v>323</v>
      </c>
    </row>
    <row r="14" spans="1:18">
      <c r="M14" t="s">
        <v>78</v>
      </c>
      <c r="N14" s="45" t="s">
        <v>331</v>
      </c>
    </row>
    <row r="15" spans="1:18">
      <c r="M15" t="s">
        <v>53</v>
      </c>
      <c r="N15" s="45" t="s">
        <v>323</v>
      </c>
    </row>
    <row r="16" spans="1:18">
      <c r="M16" t="s">
        <v>107</v>
      </c>
      <c r="N16" s="45" t="s">
        <v>323</v>
      </c>
    </row>
    <row r="17" spans="13:14">
      <c r="M17" t="s">
        <v>59</v>
      </c>
      <c r="N17" s="45" t="s">
        <v>323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2026-08-25T14:58:57Z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