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86" documentId="13_ncr:1_{52745E9B-3AA1-4770-AAD3-E6166BFC13AE}" xr6:coauthVersionLast="47" xr6:coauthVersionMax="47" xr10:uidLastSave="{ECCCF8CC-0BFC-4379-AA9E-E40F6C9D5B8D}"/>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2" i="2" a="1"/>
  <c r="D82" i="2" s="1"/>
  <c r="D79" i="2" a="1"/>
  <c r="D79" i="2" s="1"/>
  <c r="D77" i="2" a="1"/>
  <c r="D77" i="2" s="1"/>
  <c r="D76" i="2" a="1"/>
  <c r="D76" i="2" s="1"/>
  <c r="D75" i="2" a="1"/>
  <c r="D75" i="2" s="1"/>
  <c r="D69" i="2" a="1"/>
  <c r="D69" i="2" s="1"/>
  <c r="D68" i="2" a="1"/>
  <c r="D68" i="2" s="1"/>
  <c r="D66" i="2" a="1"/>
  <c r="D66"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D85" i="2" s="1" a="1"/>
  <c r="D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D58" i="2" s="1" a="1"/>
  <c r="D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<sst xmlns="http://schemas.openxmlformats.org/spreadsheetml/2006/main" count="3676" uniqueCount="528">
  <si>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</si>
  <si>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</si>
  <si>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</si>
  <si>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</si>
  <si>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</si>
  <si>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</si>
  <si>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</si>
  <si>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</si>
  <si>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</si>
  <si>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</si>
  <si>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</si>
  <si>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</si>
  <si>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</si>
  <si>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</si>
  <si>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</si>
  <si>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</si>
  <si>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</si>
  <si>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</si>
  <si>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</si>
  <si>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</si>
  <si>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</si>
  <si>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</si>
  <si>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</si>
  <si>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</si>
  <si>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</si>
  <si>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</si>
  <si>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</si>
  <si>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</si>
  <si>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</si>
  <si>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</si>
  <si>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</si>
  <si>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</si>
  <si>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</si>
  <si>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</si>
  <si>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</si>
  <si>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</si>
  <si>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</si>
  <si>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</si>
  <si>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</si>
  <si>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</si>
  <si>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</si>
  <si>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</si>
  <si>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</si>
  <si>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</si>
  <si>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</si>
  <si>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</si>
  <si>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</si>
  <si>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</si>
  <si>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</si>
  <si>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</si>
  <si>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</si>
  <si>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</si>
  <si>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</si>
  <si>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</si>
  <si>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</si>
  <si>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</si>
  <si>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</si>
  <si>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</si>
  <si>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</si>
  <si>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</si>
  <si>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</si>
  <si>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</si>
  <si>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</si>
  <si>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</si>
  <si>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</si>
  <si>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</si>
  <si>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</si>
  <si>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</si>
  <si>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</si>
  <si>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</si>
  <si>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</si>
  <si>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</si>
  <si>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</si>
  <si>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</si>
  <si>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</si>
  <si>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</si>
  <si>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</si>
  <si>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</si>
  <si>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</si>
  <si>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</si>
  <si>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</si>
  <si>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</si>
  <si>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</si>
  <si>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</si>
  <si>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</si>
  <si>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</si>
  <si>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</si>
  <si>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</si>
  <si>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</si>
  <si>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</si>
  <si>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</si>
  <si>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</si>
  <si>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</si>
  <si>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</si>
  <si>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</si>
  <si>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</si>
  <si>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</si>
  <si>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</si>
  <si>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</si>
  <si>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</si>
  <si>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</si>
  <si>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</si>
  <si>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</si>
  <si>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</si>
  <si>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</si>
  <si>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</si>
  <si>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</si>
  <si>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</si>
  <si>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</si>
  <si>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</si>
  <si>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</si>
  <si>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</si>
  <si>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</si>
  <si>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</si>
  <si>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</si>
  <si>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</si>
  <si>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</si>
  <si>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</si>
  <si>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</si>
  <si>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</si>
  <si>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</si>
  <si>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</si>
  <si>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</si>
  <si>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</si>
  <si>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</si>
  <si>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</si>
  <si>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</si>
  <si>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</si>
  <si>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</si>
  <si>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</si>
  <si>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</si>
  <si>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</si>
  <si>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</si>
  <si>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</si>
  <si>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</si>
  <si>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</si>
  <si>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</si>
  <si>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</si>
  <si>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</si>
  <si>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</si>
  <si>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</si>
  <si>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</si>
  <si>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</si>
  <si>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</si>
  <si>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</si>
  <si>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</si>
  <si>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</si>
  <si>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</si>
  <si>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</si>
  <si>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</si>
  <si>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</si>
  <si>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</si>
  <si>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</si>
  <si>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</si>
  <si>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</si>
  <si>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</si>
  <si>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</si>
  <si>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</si>
  <si>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</si>
  <si>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</si>
  <si>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</si>
  <si>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</si>
  <si>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</si>
  <si>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</si>
  <si>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</si>
  <si>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</si>
  <si>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</si>
  <si>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</si>
  <si>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</si>
  <si>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</si>
  <si>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</si>
  <si>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</si>
  <si>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</si>
  <si>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</si>
  <si>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</si>
  <si>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</si>
  <si>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</si>
  <si>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</si>
  <si>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</si>
  <si>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</si>
  <si>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</si>
  <si>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</si>
  <si>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</si>
  <si>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</si>
  <si>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</si>
  <si>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</si>
  <si>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</si>
  <si>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</si>
  <si>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</si>
  <si>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</si>
  <si>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</si>
  <si>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</si>
  <si>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</si>
  <si>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</si>
  <si>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</si>
  <si>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</si>
  <si>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</si>
  <si>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</si>
  <si>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</si>
  <si>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</si>
  <si>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</si>
  <si>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</si>
  <si>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</si>
  <si>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</si>
  <si>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</si>
  <si>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</si>
  <si>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</si>
  <si>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</si>
  <si>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</si>
  <si>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</si>
  <si>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</si>
  <si>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</si>
  <si>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</si>
  <si>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</si>
  <si>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</si>
  <si>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</si>
  <si>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</si>
  <si>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</si>
  <si>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</si>
  <si>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</si>
  <si>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</si>
  <si>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</si>
  <si>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</si>
  <si>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</si>
  <si>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</si>
  <si>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</si>
  <si>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</si>
  <si>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</si>
  <si>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</si>
  <si>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</si>
  <si>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</si>
  <si>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</si>
  <si>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</si>
  <si>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</si>
  <si>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</si>
  <si>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</si>
  <si>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</si>
  <si>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</si>
  <si>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</si>
  <si>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</si>
  <si>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</si>
  <si>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</si>
  <si>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</si>
  <si>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</si>
  <si>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</si>
  <si>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</si>
  <si>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</si>
  <si>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</si>
  <si>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</si>
  <si>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</si>
  <si>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</si>
  <si>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</si>
  <si>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</si>
  <si>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</si>
  <si>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</si>
  <si>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</si>
  <si>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</si>
  <si>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</si>
  <si>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</si>
  <si>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</si>
  <si>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</si>
  <si>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</si>
  <si>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</si>
  <si>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</si>
  <si>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</si>
  <si>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</si>
  <si>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</si>
  <si>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</si>
  <si>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</si>
  <si>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</si>
  <si>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</si>
  <si>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</si>
  <si>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</si>
  <si>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</si>
  <si>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</si>
  <si>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</si>
  <si>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</si>
  <si>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</si>
  <si>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</si>
  <si>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</si>
  <si>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</si>
  <si>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</si>
  <si>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</si>
  <si>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</si>
  <si>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</si>
  <si>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</si>
  <si>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</si>
  <si>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</si>
  <si>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</si>
  <si>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</si>
  <si>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</si>
  <si>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</si>
  <si>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</si>
  <si>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</si>
  <si>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</si>
  <si>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</si>
  <si>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</si>
  <si>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</si>
  <si>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</si>
  <si>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</si>
  <si>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</si>
  <si>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</si>
  <si>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</si>
  <si>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</si>
  <si>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</si>
  <si>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</si>
  <si>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</si>
  <si>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</si>
  <si>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</si>
  <si>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</si>
  <si>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</si>
  <si>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</si>
  <si>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</si>
  <si>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</si>
  <si>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</si>
  <si>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</si>
  <si>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</si>
  <si>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</si>
  <si>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</si>
  <si>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</si>
  <si>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</si>
  <si>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</si>
  <si>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</si>
  <si>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</si>
  <si>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</si>
  <si>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</si>
  <si>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</si>
  <si>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</si>
  <si>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</si>
  <si>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</si>
  <si>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</si>
  <si>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</si>
  <si>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</si>
  <si>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</si>
  <si>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S5</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</si>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</sst>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5" activePane="bottomLeft" state="frozen"/>
      <selection pane="bottomLeft" activeCell="F32" sqref="F32"/>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206</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v>46303</v>
      </c>
      <c r="M90" s="44">
        <v>46303</v>
      </c>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3">
        <v>46308</v>
      </c>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291</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296</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297</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302</v>
      </c>
      <c r="B102" s="31" t="s">
        <v>306</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302</v>
      </c>
      <c r="B103" s="31" t="s">
        <v>309</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302</v>
      </c>
      <c r="B105" s="31" t="s">
        <v>314</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t="s">
        <v>84</v>
      </c>
      <c r="K105" s="28">
        <v>46363</v>
      </c>
      <c r="L105" s="28">
        <v>46363</v>
      </c>
      <c r="M105" s="32">
        <v>46310</v>
      </c>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302</v>
      </c>
      <c r="B106" s="31" t="s">
        <v>317</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t="s">
        <v>84</v>
      </c>
      <c r="K106" s="28">
        <v>46363</v>
      </c>
      <c r="L106" s="28">
        <v>46363</v>
      </c>
      <c r="M106" s="32">
        <v>46307</v>
      </c>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302</v>
      </c>
      <c r="B107" s="31" t="s">
        <v>319</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t="s">
        <v>84</v>
      </c>
      <c r="K107" s="28">
        <v>46363</v>
      </c>
      <c r="L107" s="28">
        <v>46363</v>
      </c>
      <c r="M107" s="32">
        <v>46308</v>
      </c>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t="s">
        <v>294</v>
      </c>
      <c r="K108" s="28">
        <v>46363</v>
      </c>
      <c r="L108" s="43"/>
      <c r="M108" s="31"/>
      <c r="N108" s="31"/>
      <c r="O108" s="36" t="s">
        <v>315</v>
      </c>
      <c r="P108" s="74"/>
      <c r="Q108" s="28">
        <v>46370</v>
      </c>
      <c r="R108" s="43"/>
      <c r="S108" s="31"/>
      <c r="T108" s="68" t="s">
        <v>307</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311</v>
      </c>
      <c r="B109" s="31" t="s">
        <v>323</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t="s">
        <v>155</v>
      </c>
      <c r="K109" s="28">
        <v>46363</v>
      </c>
      <c r="L109" s="32">
        <v>46315</v>
      </c>
      <c r="M109" s="32">
        <v>46310</v>
      </c>
      <c r="N109" s="44" t="s">
        <v>257</v>
      </c>
      <c r="O109" s="36" t="s">
        <v>315</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302</v>
      </c>
      <c r="B110" s="31" t="s">
        <v>326</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t="s">
        <v>155</v>
      </c>
      <c r="K110" s="28">
        <v>46363</v>
      </c>
      <c r="L110" s="32">
        <v>46310</v>
      </c>
      <c r="M110" s="32">
        <v>46308</v>
      </c>
      <c r="N110" s="44" t="s">
        <v>257</v>
      </c>
      <c r="O110" s="36" t="s">
        <v>315</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311</v>
      </c>
      <c r="B111" s="31" t="s">
        <v>328</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t="s">
        <v>76</v>
      </c>
      <c r="K111" s="28">
        <v>46363</v>
      </c>
      <c r="L111" s="43"/>
      <c r="M111" s="31"/>
      <c r="N111" s="31"/>
      <c r="O111" s="36" t="s">
        <v>315</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311</v>
      </c>
      <c r="B112" s="31" t="s">
        <v>330</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t="s">
        <v>229</v>
      </c>
      <c r="K112" s="28">
        <v>46363</v>
      </c>
      <c r="L112" s="43"/>
      <c r="M112" s="31"/>
      <c r="N112" s="31"/>
      <c r="O112" s="36" t="s">
        <v>315</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311</v>
      </c>
      <c r="B113" s="31" t="s">
        <v>331</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t="s">
        <v>155</v>
      </c>
      <c r="K113" s="28">
        <v>46363</v>
      </c>
      <c r="L113" s="32">
        <v>46318</v>
      </c>
      <c r="M113" s="31"/>
      <c r="N113" s="31"/>
      <c r="O113" s="36" t="s">
        <v>315</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311</v>
      </c>
      <c r="B114" s="31" t="s">
        <v>332</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t="s">
        <v>84</v>
      </c>
      <c r="K114" s="28">
        <v>46363</v>
      </c>
      <c r="L114" s="43"/>
      <c r="M114" s="31"/>
      <c r="N114" s="31"/>
      <c r="O114" s="36" t="s">
        <v>315</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333</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324</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335</v>
      </c>
      <c r="B116" s="31" t="s">
        <v>336</v>
      </c>
      <c r="C116" s="31" t="s">
        <v>234</v>
      </c>
      <c r="E116" s="31">
        <v>1</v>
      </c>
      <c r="F116" s="31" t="s">
        <v>144</v>
      </c>
      <c r="G116" s="31"/>
      <c r="H116" s="28">
        <v>46418</v>
      </c>
      <c r="I116" s="55" t="s">
        <v>337</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335</v>
      </c>
      <c r="B117" s="31" t="s">
        <v>338</v>
      </c>
      <c r="C117" s="31" t="s">
        <v>234</v>
      </c>
      <c r="E117" s="31">
        <v>2</v>
      </c>
      <c r="F117" s="31" t="s">
        <v>144</v>
      </c>
      <c r="G117" s="31"/>
      <c r="H117" s="28">
        <v>46418</v>
      </c>
      <c r="I117" s="55" t="s">
        <v>337</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335</v>
      </c>
      <c r="B118" s="31" t="s">
        <v>339</v>
      </c>
      <c r="C118" s="31" t="s">
        <v>234</v>
      </c>
      <c r="E118" s="31">
        <v>3</v>
      </c>
      <c r="F118" s="31" t="s">
        <v>144</v>
      </c>
      <c r="G118" s="31"/>
      <c r="H118" s="28">
        <v>46418</v>
      </c>
      <c r="I118" s="55" t="s">
        <v>337</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335</v>
      </c>
      <c r="B119" s="31" t="s">
        <v>340</v>
      </c>
      <c r="C119" s="31" t="s">
        <v>234</v>
      </c>
      <c r="E119" s="31">
        <v>4</v>
      </c>
      <c r="F119" s="31" t="s">
        <v>144</v>
      </c>
      <c r="G119" s="31"/>
      <c r="H119" s="28">
        <v>46418</v>
      </c>
      <c r="I119" s="55" t="s">
        <v>337</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341</v>
      </c>
    </row>
    <row r="2" spans="1:5">
      <c r="A2" s="6" t="s">
        <v>342</v>
      </c>
    </row>
    <row r="4" spans="1:5" ht="21.95" customHeight="1">
      <c r="A4" s="5" t="s">
        <v>343</v>
      </c>
      <c r="B4" s="267"/>
      <c r="C4" s="268"/>
      <c r="D4" s="268"/>
      <c r="E4" s="268"/>
    </row>
    <row r="6" spans="1:5">
      <c r="A6" s="42" t="s">
        <v>0</v>
      </c>
      <c r="B6" s="223" t="str">
        <f>IF($B$4="","",IFERROR(INDEX('Combined Delivery Data'!$A:$A,MATCH($B$4,'Combined Delivery Data'!$B:$B,0)),""))</f>
        <v/>
      </c>
      <c r="C6" s="269"/>
      <c r="D6" s="269"/>
      <c r="E6" s="270"/>
    </row>
    <row r="7" spans="1:5">
      <c r="A7" s="42" t="s">
        <v>344</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345</v>
      </c>
      <c r="B14" s="222" t="str">
        <f>IF($B$4="","",IFERROR(INDEX('Combined Delivery Data'!$K:$K,MATCH($B$4,'Combined Delivery Data'!$B:$B,0)),""))</f>
        <v/>
      </c>
      <c r="C14" s="269"/>
      <c r="D14" s="269"/>
      <c r="E14" s="270"/>
    </row>
    <row r="15" spans="1:5">
      <c r="A15" s="42" t="s">
        <v>346</v>
      </c>
      <c r="B15" s="222" t="str">
        <f>IF($B$4="","",IFERROR(INDEX('Combined Delivery Data'!$L:$L,MATCH($B$4,'Combined Delivery Data'!$B:$B,0)),""))</f>
        <v/>
      </c>
      <c r="C15" s="269"/>
      <c r="D15" s="269"/>
      <c r="E15" s="270"/>
    </row>
    <row r="16" spans="1:5">
      <c r="A16" s="42" t="s">
        <v>347</v>
      </c>
      <c r="B16" s="222" t="str">
        <f>IF($B$4="","",IFERROR(INDEX('Combined Delivery Data'!$M:$M,MATCH($B$4,'Combined Delivery Data'!$B:$B,0)),""))</f>
        <v/>
      </c>
      <c r="C16" s="269"/>
      <c r="D16" s="269"/>
      <c r="E16" s="270"/>
    </row>
    <row r="17" spans="1:5">
      <c r="A17" s="42" t="s">
        <v>348</v>
      </c>
      <c r="B17" s="222" t="str">
        <f>IF($B$4="","",IFERROR(INDEX('Combined Delivery Data'!$O:$O,MATCH($B$4,'Combined Delivery Data'!$B:$B,0)),""))</f>
        <v/>
      </c>
      <c r="C17" s="269"/>
      <c r="D17" s="269"/>
      <c r="E17" s="270"/>
    </row>
    <row r="18" spans="1:5">
      <c r="A18" s="42" t="s">
        <v>349</v>
      </c>
      <c r="B18" s="222" t="str">
        <f>IF($B$4="","",IFERROR(INDEX('Combined Delivery Data'!$Q:$Q,MATCH($B$4,'Combined Delivery Data'!$B:$B,0)),""))</f>
        <v/>
      </c>
      <c r="C18" s="269"/>
      <c r="D18" s="269"/>
      <c r="E18" s="270"/>
    </row>
    <row r="19" spans="1:5">
      <c r="A19" s="42" t="s">
        <v>350</v>
      </c>
      <c r="B19" s="222" t="str">
        <f>IF($B$4="","",IFERROR(INDEX('Combined Delivery Data'!$R:$R,MATCH($B$4,'Combined Delivery Data'!$B:$B,0)),""))</f>
        <v/>
      </c>
      <c r="C19" s="269"/>
      <c r="D19" s="269"/>
      <c r="E19" s="270"/>
    </row>
    <row r="20" spans="1:5">
      <c r="A20" s="42" t="s">
        <v>351</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352</v>
      </c>
      <c r="B26" s="223" t="str">
        <f>IF($B$4="","",IFERROR(INDEX('Rework Log'!$Q:$Q,MATCH($B$4,'Rework Log'!$P:$P,0)),""))</f>
        <v/>
      </c>
      <c r="C26" s="269"/>
      <c r="D26" s="269"/>
      <c r="E26" s="270"/>
    </row>
    <row r="27" spans="1:5">
      <c r="A27" s="42" t="s">
        <v>353</v>
      </c>
      <c r="B27" s="223" t="str">
        <f>IF($B$4="","",IFERROR(INDEX('Rework Log'!$R:$R,MATCH($B$4,'Rework Log'!$P:$P,0)),""))</f>
        <v/>
      </c>
      <c r="C27" s="269"/>
      <c r="D27" s="269"/>
      <c r="E27" s="270"/>
    </row>
    <row r="28" spans="1:5">
      <c r="A28" s="42" t="s">
        <v>354</v>
      </c>
      <c r="B28" s="223" t="str">
        <f>IF($B$4="","",IFERROR(INDEX('Rework Log'!$S:$S,MATCH($B$4,'Rework Log'!$P:$P,0)),""))</f>
        <v/>
      </c>
      <c r="C28" s="269"/>
      <c r="D28" s="269"/>
      <c r="E28" s="270"/>
    </row>
    <row r="29" spans="1:5">
      <c r="A29" s="42" t="s">
        <v>355</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356</v>
      </c>
      <c r="C1" s="17" t="s">
        <v>357</v>
      </c>
      <c r="D1" s="17" t="s">
        <v>358</v>
      </c>
      <c r="E1" s="17" t="s">
        <v>359</v>
      </c>
      <c r="F1" s="17" t="s">
        <v>360</v>
      </c>
      <c r="G1" s="17" t="s">
        <v>361</v>
      </c>
      <c r="H1" s="56" t="s">
        <v>362</v>
      </c>
      <c r="I1" s="30" t="s">
        <v>363</v>
      </c>
      <c r="J1" s="30" t="s">
        <v>364</v>
      </c>
      <c r="K1" s="30" t="s">
        <v>365</v>
      </c>
      <c r="L1" s="30" t="s">
        <v>366</v>
      </c>
      <c r="M1" s="21" t="s">
        <v>367</v>
      </c>
      <c r="N1" s="21" t="s">
        <v>368</v>
      </c>
      <c r="P1" s="13" t="s">
        <v>1</v>
      </c>
      <c r="Q1" s="13" t="s">
        <v>352</v>
      </c>
      <c r="R1" s="13" t="s">
        <v>353</v>
      </c>
      <c r="S1" s="13" t="s">
        <v>354</v>
      </c>
      <c r="T1" s="13" t="s">
        <v>355</v>
      </c>
    </row>
    <row r="2" spans="1:20">
      <c r="A2" s="33" t="s">
        <v>143</v>
      </c>
      <c r="B2" s="36">
        <v>46230</v>
      </c>
      <c r="C2" s="33" t="s">
        <v>206</v>
      </c>
      <c r="D2" s="33" t="s">
        <v>263</v>
      </c>
      <c r="E2" s="33" t="s">
        <v>144</v>
      </c>
      <c r="F2" s="33" t="s">
        <v>369</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370</v>
      </c>
      <c r="G3" s="31" t="s">
        <v>50</v>
      </c>
      <c r="H3" s="32" t="s">
        <v>155</v>
      </c>
      <c r="I3" s="32"/>
      <c r="J3" s="32">
        <v>46247</v>
      </c>
      <c r="K3" s="31" t="s">
        <v>60</v>
      </c>
      <c r="L3" s="31" t="s">
        <v>371</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372</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373</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374</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375</v>
      </c>
      <c r="G7" s="31" t="s">
        <v>50</v>
      </c>
      <c r="H7" s="32" t="s">
        <v>65</v>
      </c>
      <c r="I7" s="32"/>
      <c r="J7" s="32">
        <v>46251</v>
      </c>
      <c r="K7" s="31"/>
      <c r="L7" s="31"/>
      <c r="M7" s="3" t="str">
        <f t="shared" ca="1" si="4"/>
        <v>Fixed</v>
      </c>
      <c r="N7" t="s">
        <v>376</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377</v>
      </c>
      <c r="G8" s="31" t="s">
        <v>50</v>
      </c>
      <c r="H8" s="32" t="s">
        <v>155</v>
      </c>
      <c r="I8" s="32"/>
      <c r="J8" s="32">
        <v>46254</v>
      </c>
      <c r="K8" s="31"/>
      <c r="L8" s="31"/>
      <c r="M8" s="3" t="str">
        <f t="shared" ca="1" si="4"/>
        <v>Fixed</v>
      </c>
      <c r="N8" t="s">
        <v>376</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370</v>
      </c>
      <c r="G9" s="31" t="s">
        <v>50</v>
      </c>
      <c r="H9" s="32" t="s">
        <v>84</v>
      </c>
      <c r="I9" s="32"/>
      <c r="J9" s="32">
        <v>46252</v>
      </c>
      <c r="K9" s="31"/>
      <c r="L9" s="31"/>
      <c r="M9" s="3" t="str">
        <f t="shared" ca="1" si="4"/>
        <v>Fixed</v>
      </c>
      <c r="N9" t="s">
        <v>376</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372</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378</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379</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380</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381</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382</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383</v>
      </c>
      <c r="G15" s="31" t="s">
        <v>50</v>
      </c>
      <c r="H15" s="32" t="s">
        <v>65</v>
      </c>
      <c r="I15" s="32"/>
      <c r="J15" s="32">
        <v>46258</v>
      </c>
      <c r="K15" s="31"/>
      <c r="L15" s="31"/>
      <c r="M15" s="3" t="str">
        <f t="shared" ca="1" si="4"/>
        <v>Fixed</v>
      </c>
      <c r="N15" t="s">
        <v>379</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384</v>
      </c>
      <c r="G16" s="31" t="s">
        <v>50</v>
      </c>
      <c r="H16" s="32" t="s">
        <v>46</v>
      </c>
      <c r="I16" s="32"/>
      <c r="J16" s="32"/>
      <c r="K16" s="31"/>
      <c r="L16" s="31"/>
      <c r="M16" s="3"/>
      <c r="S16" s="28"/>
    </row>
    <row r="17" spans="1:20">
      <c r="A17" s="33" t="s">
        <v>181</v>
      </c>
      <c r="B17" s="32">
        <v>46261</v>
      </c>
      <c r="C17" s="31" t="s">
        <v>206</v>
      </c>
      <c r="D17" s="31" t="s">
        <v>263</v>
      </c>
      <c r="E17" s="31" t="s">
        <v>129</v>
      </c>
      <c r="F17" s="31" t="s">
        <v>385</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386</v>
      </c>
      <c r="G18" s="31" t="s">
        <v>50</v>
      </c>
      <c r="H18" s="32" t="s">
        <v>46</v>
      </c>
      <c r="I18" s="32"/>
      <c r="J18" s="32">
        <v>46266</v>
      </c>
      <c r="K18" s="31"/>
      <c r="L18" s="31"/>
      <c r="M18" s="3" t="str">
        <f t="shared" ca="1" si="4"/>
        <v>Fixed</v>
      </c>
      <c r="N18" t="s">
        <v>376</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387</v>
      </c>
      <c r="G19" s="31" t="s">
        <v>50</v>
      </c>
      <c r="H19" s="32" t="s">
        <v>77</v>
      </c>
      <c r="I19" s="32">
        <v>46265</v>
      </c>
      <c r="J19" s="32">
        <v>46265</v>
      </c>
      <c r="K19" s="31" t="s">
        <v>77</v>
      </c>
      <c r="L19" s="31" t="s">
        <v>388</v>
      </c>
      <c r="M19" s="3" t="str">
        <f t="shared" ca="1" si="4"/>
        <v>Fixed</v>
      </c>
      <c r="N19" t="s">
        <v>379</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389</v>
      </c>
      <c r="G20" s="31" t="s">
        <v>50</v>
      </c>
      <c r="H20" s="32" t="s">
        <v>84</v>
      </c>
      <c r="I20" s="32">
        <v>46266</v>
      </c>
      <c r="J20" s="32">
        <v>46266</v>
      </c>
      <c r="K20" s="31"/>
      <c r="L20" s="31" t="s">
        <v>390</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391</v>
      </c>
      <c r="G21" s="31" t="s">
        <v>50</v>
      </c>
      <c r="H21" s="32" t="s">
        <v>59</v>
      </c>
      <c r="I21" s="32"/>
      <c r="J21" s="32">
        <v>46266</v>
      </c>
      <c r="K21" s="31" t="s">
        <v>59</v>
      </c>
      <c r="L21" s="31"/>
      <c r="M21" s="3" t="str">
        <f t="shared" ca="1" si="4"/>
        <v>Fixed</v>
      </c>
      <c r="N21" t="s">
        <v>379</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392</v>
      </c>
      <c r="G22" s="31" t="s">
        <v>50</v>
      </c>
      <c r="H22" s="32" t="s">
        <v>46</v>
      </c>
      <c r="I22" s="32">
        <v>46267</v>
      </c>
      <c r="J22" s="32">
        <v>46268</v>
      </c>
      <c r="K22" s="31" t="s">
        <v>46</v>
      </c>
      <c r="L22" s="31" t="s">
        <v>390</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393</v>
      </c>
      <c r="G23" s="31" t="s">
        <v>50</v>
      </c>
      <c r="H23" s="32" t="s">
        <v>46</v>
      </c>
      <c r="I23" s="138">
        <v>46267</v>
      </c>
      <c r="J23" s="32">
        <v>46268</v>
      </c>
      <c r="K23" s="31" t="s">
        <v>46</v>
      </c>
      <c r="L23" s="31" t="s">
        <v>390</v>
      </c>
      <c r="M23" s="3" t="str">
        <f t="shared" ca="1" si="4"/>
        <v>Fixed</v>
      </c>
      <c r="N23" t="s">
        <v>379</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394</v>
      </c>
      <c r="G24" s="31" t="s">
        <v>50</v>
      </c>
      <c r="H24" s="32" t="s">
        <v>46</v>
      </c>
      <c r="I24" s="32">
        <v>46267</v>
      </c>
      <c r="J24" s="32">
        <v>46268</v>
      </c>
      <c r="K24" s="31" t="s">
        <v>46</v>
      </c>
      <c r="L24" s="31" t="s">
        <v>390</v>
      </c>
      <c r="M24" s="3" t="str">
        <f t="shared" ca="1" si="4"/>
        <v>Fixed</v>
      </c>
      <c r="N24" s="33" t="s">
        <v>379</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395</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44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385</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379</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396</v>
      </c>
      <c r="G27" s="31" t="s">
        <v>50</v>
      </c>
      <c r="H27" s="32" t="s">
        <v>77</v>
      </c>
      <c r="I27" s="32"/>
      <c r="J27" s="32">
        <v>46267</v>
      </c>
      <c r="K27" s="31" t="s">
        <v>77</v>
      </c>
      <c r="L27" s="31" t="s">
        <v>397</v>
      </c>
      <c r="M27" s="3" t="str">
        <f t="shared" ca="1" si="4"/>
        <v>Fixed</v>
      </c>
      <c r="N27" t="s">
        <v>379</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396</v>
      </c>
      <c r="G28" s="31" t="s">
        <v>50</v>
      </c>
      <c r="H28" s="32" t="s">
        <v>77</v>
      </c>
      <c r="I28" s="32"/>
      <c r="J28" s="32">
        <v>46267</v>
      </c>
      <c r="K28" s="31" t="s">
        <v>77</v>
      </c>
      <c r="L28" s="113" t="s">
        <v>397</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396</v>
      </c>
      <c r="G29" s="31" t="s">
        <v>50</v>
      </c>
      <c r="H29" s="32" t="s">
        <v>77</v>
      </c>
      <c r="I29" s="32"/>
      <c r="J29" s="32">
        <v>46267</v>
      </c>
      <c r="K29" s="31" t="s">
        <v>77</v>
      </c>
      <c r="L29" s="113" t="s">
        <v>397</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398</v>
      </c>
      <c r="G30" s="31" t="s">
        <v>50</v>
      </c>
      <c r="H30" s="32" t="s">
        <v>155</v>
      </c>
      <c r="I30" s="32"/>
      <c r="J30" s="32">
        <v>46267</v>
      </c>
      <c r="K30" s="31" t="s">
        <v>155</v>
      </c>
      <c r="L30" s="31"/>
      <c r="M30" s="3" t="str">
        <f t="shared" ca="1" si="4"/>
        <v>Fixed</v>
      </c>
      <c r="N30" t="s">
        <v>379</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399</v>
      </c>
      <c r="G31" s="31" t="s">
        <v>50</v>
      </c>
      <c r="H31" s="32" t="s">
        <v>103</v>
      </c>
      <c r="I31" s="32">
        <v>46269</v>
      </c>
      <c r="J31" s="32">
        <v>46269</v>
      </c>
      <c r="K31" s="31"/>
      <c r="L31" s="31" t="s">
        <v>390</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400</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401</v>
      </c>
      <c r="G33" s="31" t="s">
        <v>50</v>
      </c>
      <c r="H33" s="32" t="s">
        <v>103</v>
      </c>
      <c r="I33" s="32">
        <v>46274</v>
      </c>
      <c r="J33" s="32">
        <v>46274</v>
      </c>
      <c r="K33" s="31"/>
      <c r="L33" s="31" t="s">
        <v>390</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402</v>
      </c>
      <c r="G34" s="31" t="s">
        <v>50</v>
      </c>
      <c r="H34" s="32" t="s">
        <v>77</v>
      </c>
      <c r="I34" s="32">
        <v>46275</v>
      </c>
      <c r="J34" s="32">
        <v>46275</v>
      </c>
      <c r="K34" s="31" t="s">
        <v>77</v>
      </c>
      <c r="L34" s="31" t="s">
        <v>403</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404</v>
      </c>
      <c r="G35" s="31" t="s">
        <v>50</v>
      </c>
      <c r="H35" s="32" t="s">
        <v>155</v>
      </c>
      <c r="I35" s="32"/>
      <c r="J35" s="32">
        <v>46276</v>
      </c>
      <c r="K35" s="31" t="s">
        <v>155</v>
      </c>
      <c r="L35" s="31"/>
      <c r="M35" s="3" t="str">
        <f t="shared" ca="1" si="4"/>
        <v>Fixed</v>
      </c>
      <c r="N35" t="s">
        <v>379</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405</v>
      </c>
      <c r="G36" s="31" t="s">
        <v>53</v>
      </c>
      <c r="H36" s="32" t="s">
        <v>65</v>
      </c>
      <c r="I36" s="32"/>
      <c r="J36" s="32">
        <v>46288</v>
      </c>
      <c r="K36" s="31"/>
      <c r="L36" s="31"/>
      <c r="M36" s="3" t="str">
        <f t="shared" ca="1" si="4"/>
        <v>Fixed</v>
      </c>
      <c r="N36" t="s">
        <v>379</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406</v>
      </c>
      <c r="G37" s="31" t="s">
        <v>50</v>
      </c>
      <c r="H37" s="32" t="s">
        <v>155</v>
      </c>
      <c r="I37" s="32">
        <v>46282</v>
      </c>
      <c r="J37" s="32">
        <v>46282</v>
      </c>
      <c r="K37" s="31" t="s">
        <v>155</v>
      </c>
      <c r="L37" s="31" t="s">
        <v>407</v>
      </c>
      <c r="M37" s="3" t="str">
        <f t="shared" ca="1" si="4"/>
        <v>Fixed</v>
      </c>
      <c r="N37" t="s">
        <v>379</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408</v>
      </c>
      <c r="G38" s="31" t="s">
        <v>50</v>
      </c>
      <c r="H38" s="32" t="s">
        <v>77</v>
      </c>
      <c r="I38" s="32">
        <v>46281</v>
      </c>
      <c r="J38" s="32">
        <v>46281</v>
      </c>
      <c r="K38" s="31" t="s">
        <v>77</v>
      </c>
      <c r="L38" s="31" t="s">
        <v>409</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410</v>
      </c>
      <c r="G39" s="31" t="s">
        <v>50</v>
      </c>
      <c r="H39" s="32" t="s">
        <v>44</v>
      </c>
      <c r="I39" s="32">
        <v>46283</v>
      </c>
      <c r="J39" s="32">
        <v>46283</v>
      </c>
      <c r="K39" s="31"/>
      <c r="L39" s="31" t="s">
        <v>411</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412</v>
      </c>
      <c r="G40" s="31" t="s">
        <v>50</v>
      </c>
      <c r="H40" s="32" t="s">
        <v>46</v>
      </c>
      <c r="I40" s="32"/>
      <c r="J40" s="32"/>
      <c r="K40" s="31"/>
      <c r="L40" s="31"/>
      <c r="M40" s="3" t="str">
        <f t="shared" ca="1" si="4"/>
        <v>UNCLAIMED 30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413</v>
      </c>
      <c r="G41" s="31" t="s">
        <v>50</v>
      </c>
      <c r="H41" s="32" t="s">
        <v>155</v>
      </c>
      <c r="I41" s="32">
        <v>46282</v>
      </c>
      <c r="J41" s="32">
        <v>46282</v>
      </c>
      <c r="K41" s="31"/>
      <c r="L41" s="31" t="s">
        <v>414</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415</v>
      </c>
      <c r="G42" s="31" t="s">
        <v>50</v>
      </c>
      <c r="H42" s="32" t="s">
        <v>44</v>
      </c>
      <c r="I42" s="32"/>
      <c r="J42" s="32"/>
      <c r="K42" s="31"/>
      <c r="L42" s="31"/>
      <c r="M42" s="3" t="str">
        <f t="shared" ca="1" si="4"/>
        <v>UNCLAIMED 24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416</v>
      </c>
      <c r="G43" s="31" t="s">
        <v>50</v>
      </c>
      <c r="H43" s="32" t="s">
        <v>60</v>
      </c>
      <c r="I43" s="32">
        <v>46294</v>
      </c>
      <c r="J43" s="32">
        <v>46295</v>
      </c>
      <c r="K43" s="31" t="s">
        <v>60</v>
      </c>
      <c r="L43" s="31" t="s">
        <v>417</v>
      </c>
      <c r="M43" s="3" t="str">
        <f t="shared" ca="1" si="4"/>
        <v>Fixed</v>
      </c>
      <c r="N43" t="s">
        <v>379</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418</v>
      </c>
      <c r="G44" s="31" t="s">
        <v>53</v>
      </c>
      <c r="H44" s="32" t="s">
        <v>44</v>
      </c>
      <c r="I44" s="32"/>
      <c r="J44" s="32"/>
      <c r="K44" s="31"/>
      <c r="L44" s="31"/>
      <c r="M44" s="3" t="str">
        <f t="shared" ca="1" si="4"/>
        <v>UNCLAIMED 16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419</v>
      </c>
      <c r="G45" s="31" t="s">
        <v>50</v>
      </c>
      <c r="H45" s="32" t="s">
        <v>84</v>
      </c>
      <c r="I45" s="32"/>
      <c r="J45" s="32">
        <v>46300</v>
      </c>
      <c r="K45" s="31" t="s">
        <v>84</v>
      </c>
      <c r="L45" s="31"/>
      <c r="M45" s="3" t="s">
        <v>420</v>
      </c>
      <c r="N45" t="s">
        <v>50</v>
      </c>
      <c r="S45" s="28"/>
    </row>
    <row r="46" spans="1:20">
      <c r="A46" s="53" t="s">
        <v>205</v>
      </c>
      <c r="B46" s="32">
        <v>46309</v>
      </c>
      <c r="C46" s="31" t="s">
        <v>206</v>
      </c>
      <c r="D46" s="31" t="s">
        <v>223</v>
      </c>
      <c r="E46" s="31" t="s">
        <v>129</v>
      </c>
      <c r="F46" s="31" t="s">
        <v>421</v>
      </c>
      <c r="G46" s="31" t="s">
        <v>53</v>
      </c>
      <c r="H46" s="32" t="s">
        <v>77</v>
      </c>
      <c r="I46" s="32"/>
      <c r="J46" s="32"/>
      <c r="K46" s="31"/>
      <c r="L46" s="31"/>
      <c r="M46" s="3" t="str">
        <f t="shared" ca="1" si="4"/>
        <v>UNCLAIMED 2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422</v>
      </c>
      <c r="B1" s="268"/>
      <c r="C1" s="268"/>
    </row>
    <row r="2" spans="1:8" ht="14.25" customHeight="1">
      <c r="A2" s="8" t="s">
        <v>0</v>
      </c>
      <c r="B2" s="8" t="s">
        <v>423</v>
      </c>
      <c r="C2" s="8" t="s">
        <v>424</v>
      </c>
      <c r="E2" t="s">
        <v>425</v>
      </c>
      <c r="F2" t="s">
        <v>426</v>
      </c>
      <c r="G2" t="s">
        <v>427</v>
      </c>
      <c r="H2" t="s">
        <v>428</v>
      </c>
    </row>
    <row r="3" spans="1:8" ht="14.25" customHeight="1">
      <c r="A3" s="11" t="s">
        <v>40</v>
      </c>
      <c r="B3" s="11">
        <v>8</v>
      </c>
      <c r="C3" s="12">
        <v>46142</v>
      </c>
      <c r="E3" t="s">
        <v>429</v>
      </c>
      <c r="F3" s="28">
        <v>46233</v>
      </c>
      <c r="G3" s="28">
        <v>46274</v>
      </c>
    </row>
    <row r="4" spans="1:8" ht="14.25" customHeight="1">
      <c r="A4" s="11" t="s">
        <v>40</v>
      </c>
      <c r="B4" s="11">
        <v>10</v>
      </c>
      <c r="C4" s="12">
        <v>46172</v>
      </c>
      <c r="E4" t="s">
        <v>430</v>
      </c>
      <c r="F4" s="28">
        <v>46264</v>
      </c>
      <c r="G4" s="28">
        <v>46295</v>
      </c>
    </row>
    <row r="5" spans="1:8" ht="14.25" customHeight="1">
      <c r="A5" s="11" t="s">
        <v>40</v>
      </c>
      <c r="B5" s="11">
        <v>9</v>
      </c>
      <c r="C5" s="12">
        <v>46203</v>
      </c>
      <c r="E5" t="s">
        <v>431</v>
      </c>
      <c r="F5" s="28">
        <v>46295</v>
      </c>
      <c r="G5" s="28">
        <v>46325</v>
      </c>
    </row>
    <row r="6" spans="1:8" ht="14.25" customHeight="1">
      <c r="A6" s="11" t="s">
        <v>126</v>
      </c>
      <c r="B6" s="11">
        <v>15</v>
      </c>
      <c r="C6" s="12">
        <v>46233</v>
      </c>
      <c r="E6" t="s">
        <v>432</v>
      </c>
      <c r="F6" s="28">
        <v>46325</v>
      </c>
      <c r="G6" s="28">
        <v>46356</v>
      </c>
    </row>
    <row r="7" spans="1:8" ht="14.25" customHeight="1">
      <c r="A7" s="11" t="s">
        <v>126</v>
      </c>
      <c r="B7" s="11">
        <v>15</v>
      </c>
      <c r="C7" s="12">
        <v>46264</v>
      </c>
      <c r="E7" t="s">
        <v>433</v>
      </c>
      <c r="F7" s="28">
        <v>46356</v>
      </c>
      <c r="G7" s="28">
        <v>46387</v>
      </c>
    </row>
    <row r="8" spans="1:8" ht="14.25" customHeight="1">
      <c r="A8" s="11" t="s">
        <v>126</v>
      </c>
      <c r="B8" s="11">
        <v>17</v>
      </c>
      <c r="C8" s="12">
        <v>46295</v>
      </c>
      <c r="E8" t="s">
        <v>434</v>
      </c>
      <c r="F8" s="28">
        <v>46387</v>
      </c>
      <c r="G8" s="28">
        <v>46417</v>
      </c>
    </row>
    <row r="9" spans="1:8" ht="14.25" customHeight="1">
      <c r="A9" s="11" t="s">
        <v>126</v>
      </c>
      <c r="B9" s="11">
        <v>20</v>
      </c>
      <c r="C9" s="12">
        <v>46325</v>
      </c>
      <c r="E9" t="s">
        <v>435</v>
      </c>
      <c r="F9" s="28">
        <v>46417</v>
      </c>
      <c r="G9" s="28">
        <v>46445</v>
      </c>
    </row>
    <row r="10" spans="1:8" ht="14.25" customHeight="1">
      <c r="A10" s="11" t="s">
        <v>126</v>
      </c>
      <c r="B10" s="11">
        <v>20</v>
      </c>
      <c r="C10" s="12">
        <v>46356</v>
      </c>
      <c r="E10" t="s">
        <v>436</v>
      </c>
      <c r="F10" s="28">
        <v>46446</v>
      </c>
      <c r="G10" s="28">
        <v>46477</v>
      </c>
    </row>
    <row r="11" spans="1:8" ht="14.25" customHeight="1">
      <c r="A11" s="11" t="s">
        <v>335</v>
      </c>
      <c r="B11" s="11">
        <v>18</v>
      </c>
      <c r="C11" s="12">
        <v>46417</v>
      </c>
      <c r="E11" t="s">
        <v>437</v>
      </c>
      <c r="F11" s="28">
        <v>46477</v>
      </c>
      <c r="G11" s="28">
        <v>46480</v>
      </c>
    </row>
    <row r="12" spans="1:8" ht="14.25" customHeight="1">
      <c r="A12" s="11" t="s">
        <v>335</v>
      </c>
      <c r="B12" s="11">
        <v>18</v>
      </c>
      <c r="C12" s="12">
        <v>46446</v>
      </c>
    </row>
    <row r="13" spans="1:8" ht="14.25" customHeight="1">
      <c r="A13" s="11" t="s">
        <v>335</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438</v>
      </c>
      <c r="B1" s="268"/>
      <c r="C1" s="268"/>
      <c r="D1" s="268"/>
      <c r="E1" s="268"/>
      <c r="F1" s="268"/>
      <c r="G1" s="268"/>
      <c r="H1" s="268"/>
      <c r="I1" s="268"/>
      <c r="J1" s="268"/>
    </row>
    <row r="2" spans="1:10" ht="27" customHeight="1">
      <c r="A2" s="8" t="s">
        <v>0</v>
      </c>
      <c r="B2" s="8" t="s">
        <v>439</v>
      </c>
      <c r="C2" s="8" t="s">
        <v>1</v>
      </c>
      <c r="D2" s="8" t="s">
        <v>440</v>
      </c>
      <c r="E2" s="8" t="s">
        <v>441</v>
      </c>
      <c r="F2" s="8" t="s">
        <v>6</v>
      </c>
      <c r="G2" s="8" t="s">
        <v>5</v>
      </c>
      <c r="H2" s="8" t="s">
        <v>442</v>
      </c>
      <c r="I2" s="8" t="s">
        <v>424</v>
      </c>
      <c r="J2" s="8" t="s">
        <v>443</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444</v>
      </c>
      <c r="D13" s="9" t="s">
        <v>445</v>
      </c>
      <c r="E13" s="9" t="s">
        <v>46</v>
      </c>
      <c r="F13" s="9"/>
      <c r="G13" s="9"/>
      <c r="H13" s="10"/>
      <c r="I13" s="10">
        <v>46115</v>
      </c>
      <c r="J13" s="10">
        <v>46115</v>
      </c>
    </row>
    <row r="14" spans="1:10" ht="14.25" customHeight="1">
      <c r="A14" s="9" t="s">
        <v>40</v>
      </c>
      <c r="B14" s="9" t="s">
        <v>223</v>
      </c>
      <c r="C14" s="9" t="s">
        <v>444</v>
      </c>
      <c r="D14" s="9" t="s">
        <v>445</v>
      </c>
      <c r="E14" s="9" t="s">
        <v>46</v>
      </c>
      <c r="F14" s="9"/>
      <c r="G14" s="9"/>
      <c r="H14" s="10">
        <v>46115</v>
      </c>
      <c r="I14" s="10">
        <v>46120</v>
      </c>
      <c r="J14" s="10">
        <v>46120</v>
      </c>
    </row>
    <row r="15" spans="1:10" ht="14.25" customHeight="1">
      <c r="A15" s="9" t="s">
        <v>40</v>
      </c>
      <c r="B15" s="9" t="s">
        <v>206</v>
      </c>
      <c r="C15" s="9" t="s">
        <v>444</v>
      </c>
      <c r="D15" s="9" t="s">
        <v>445</v>
      </c>
      <c r="E15" s="9" t="s">
        <v>46</v>
      </c>
      <c r="F15" s="9"/>
      <c r="G15" s="9"/>
      <c r="H15" s="10">
        <v>46120</v>
      </c>
      <c r="I15" s="10">
        <v>46122</v>
      </c>
      <c r="J15" s="10">
        <v>46122</v>
      </c>
    </row>
    <row r="16" spans="1:10" ht="14.25" customHeight="1">
      <c r="A16" s="9" t="s">
        <v>40</v>
      </c>
      <c r="B16" s="9" t="s">
        <v>187</v>
      </c>
      <c r="C16" s="9" t="s">
        <v>444</v>
      </c>
      <c r="D16" s="9" t="s">
        <v>445</v>
      </c>
      <c r="E16" s="9" t="s">
        <v>46</v>
      </c>
      <c r="F16" s="9"/>
      <c r="G16" s="9"/>
      <c r="H16" s="10">
        <v>46122</v>
      </c>
      <c r="I16" s="10"/>
      <c r="J16" s="10"/>
    </row>
    <row r="17" spans="1:10" ht="14.25" customHeight="1">
      <c r="A17" s="9" t="s">
        <v>40</v>
      </c>
      <c r="B17" s="9" t="s">
        <v>42</v>
      </c>
      <c r="C17" s="9" t="s">
        <v>444</v>
      </c>
      <c r="D17" s="9" t="s">
        <v>445</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445</v>
      </c>
      <c r="E23" s="9" t="s">
        <v>46</v>
      </c>
      <c r="F23" s="9"/>
      <c r="G23" s="9"/>
      <c r="H23" s="10"/>
      <c r="I23" s="10">
        <v>46115</v>
      </c>
      <c r="J23" s="10">
        <v>46115</v>
      </c>
    </row>
    <row r="24" spans="1:10" ht="14.25" customHeight="1">
      <c r="A24" s="9" t="s">
        <v>40</v>
      </c>
      <c r="B24" s="9" t="s">
        <v>223</v>
      </c>
      <c r="C24" s="9" t="s">
        <v>64</v>
      </c>
      <c r="D24" s="9" t="s">
        <v>445</v>
      </c>
      <c r="E24" s="9" t="s">
        <v>46</v>
      </c>
      <c r="F24" s="9"/>
      <c r="G24" s="9"/>
      <c r="H24" s="10">
        <v>46115</v>
      </c>
      <c r="I24" s="10">
        <v>46120</v>
      </c>
      <c r="J24" s="10">
        <v>46120</v>
      </c>
    </row>
    <row r="25" spans="1:10" ht="14.25" customHeight="1">
      <c r="A25" s="9" t="s">
        <v>40</v>
      </c>
      <c r="B25" s="9" t="s">
        <v>206</v>
      </c>
      <c r="C25" s="9" t="s">
        <v>64</v>
      </c>
      <c r="D25" s="9" t="s">
        <v>445</v>
      </c>
      <c r="E25" s="9" t="s">
        <v>46</v>
      </c>
      <c r="F25" s="9"/>
      <c r="G25" s="9"/>
      <c r="H25" s="10">
        <v>46120</v>
      </c>
      <c r="I25" s="10">
        <v>46122</v>
      </c>
      <c r="J25" s="10">
        <v>46122</v>
      </c>
    </row>
    <row r="26" spans="1:10" ht="14.25" customHeight="1">
      <c r="A26" s="9" t="s">
        <v>40</v>
      </c>
      <c r="B26" s="9" t="s">
        <v>187</v>
      </c>
      <c r="C26" s="9" t="s">
        <v>64</v>
      </c>
      <c r="D26" s="9" t="s">
        <v>445</v>
      </c>
      <c r="E26" s="9" t="s">
        <v>46</v>
      </c>
      <c r="F26" s="9"/>
      <c r="G26" s="9"/>
      <c r="H26" s="10">
        <v>46122</v>
      </c>
      <c r="I26" s="10"/>
      <c r="J26" s="10"/>
    </row>
    <row r="27" spans="1:10" ht="14.25" customHeight="1">
      <c r="A27" s="9" t="s">
        <v>40</v>
      </c>
      <c r="B27" s="9" t="s">
        <v>42</v>
      </c>
      <c r="C27" s="9" t="s">
        <v>64</v>
      </c>
      <c r="D27" s="9" t="s">
        <v>445</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445</v>
      </c>
      <c r="E33" s="9" t="s">
        <v>60</v>
      </c>
      <c r="F33" s="9"/>
      <c r="G33" s="9"/>
      <c r="H33" s="10"/>
      <c r="I33" s="10">
        <v>46122</v>
      </c>
      <c r="J33" s="10">
        <v>46122</v>
      </c>
    </row>
    <row r="34" spans="1:10" ht="14.25" customHeight="1">
      <c r="A34" s="9" t="s">
        <v>40</v>
      </c>
      <c r="B34" s="9" t="s">
        <v>223</v>
      </c>
      <c r="C34" s="9" t="s">
        <v>70</v>
      </c>
      <c r="D34" s="9" t="s">
        <v>445</v>
      </c>
      <c r="E34" s="9" t="s">
        <v>60</v>
      </c>
      <c r="F34" s="9"/>
      <c r="G34" s="9"/>
      <c r="H34" s="10">
        <v>46122</v>
      </c>
      <c r="I34" s="10">
        <v>46126</v>
      </c>
      <c r="J34" s="10">
        <v>46126</v>
      </c>
    </row>
    <row r="35" spans="1:10" ht="14.25" customHeight="1">
      <c r="A35" s="9" t="s">
        <v>40</v>
      </c>
      <c r="B35" s="9" t="s">
        <v>206</v>
      </c>
      <c r="C35" s="9" t="s">
        <v>70</v>
      </c>
      <c r="D35" s="9" t="s">
        <v>445</v>
      </c>
      <c r="E35" s="9" t="s">
        <v>60</v>
      </c>
      <c r="F35" s="9"/>
      <c r="G35" s="9"/>
      <c r="H35" s="10">
        <v>46126</v>
      </c>
      <c r="I35" s="10">
        <v>46122</v>
      </c>
      <c r="J35" s="10">
        <v>46122</v>
      </c>
    </row>
    <row r="36" spans="1:10" ht="14.25" customHeight="1">
      <c r="A36" s="9" t="s">
        <v>40</v>
      </c>
      <c r="B36" s="9" t="s">
        <v>187</v>
      </c>
      <c r="C36" s="9" t="s">
        <v>70</v>
      </c>
      <c r="D36" s="9" t="s">
        <v>445</v>
      </c>
      <c r="E36" s="9" t="s">
        <v>60</v>
      </c>
      <c r="F36" s="9"/>
      <c r="G36" s="9"/>
      <c r="H36" s="10">
        <v>46122</v>
      </c>
      <c r="I36" s="10"/>
      <c r="J36" s="10"/>
    </row>
    <row r="37" spans="1:10" ht="14.25" customHeight="1">
      <c r="A37" s="9" t="s">
        <v>40</v>
      </c>
      <c r="B37" s="9" t="s">
        <v>42</v>
      </c>
      <c r="C37" s="9" t="s">
        <v>70</v>
      </c>
      <c r="D37" s="9" t="s">
        <v>445</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445</v>
      </c>
      <c r="E48" s="9" t="s">
        <v>60</v>
      </c>
      <c r="F48" s="9"/>
      <c r="G48" s="9"/>
      <c r="H48" s="10"/>
      <c r="I48" s="10"/>
      <c r="J48" s="10"/>
    </row>
    <row r="49" spans="1:10" ht="14.25" customHeight="1">
      <c r="A49" s="9" t="s">
        <v>40</v>
      </c>
      <c r="B49" s="9" t="s">
        <v>223</v>
      </c>
      <c r="C49" s="9" t="s">
        <v>97</v>
      </c>
      <c r="D49" s="9" t="s">
        <v>445</v>
      </c>
      <c r="E49" s="9" t="s">
        <v>60</v>
      </c>
      <c r="F49" s="9"/>
      <c r="G49" s="9"/>
      <c r="H49" s="10"/>
      <c r="I49" s="10">
        <v>46139</v>
      </c>
      <c r="J49" s="10">
        <v>46139</v>
      </c>
    </row>
    <row r="50" spans="1:10" ht="14.25" customHeight="1">
      <c r="A50" s="9" t="s">
        <v>40</v>
      </c>
      <c r="B50" s="9" t="s">
        <v>206</v>
      </c>
      <c r="C50" s="9" t="s">
        <v>97</v>
      </c>
      <c r="D50" s="9" t="s">
        <v>445</v>
      </c>
      <c r="E50" s="9" t="s">
        <v>60</v>
      </c>
      <c r="F50" s="9"/>
      <c r="G50" s="9"/>
      <c r="H50" s="10">
        <v>46139</v>
      </c>
      <c r="I50" s="10">
        <v>46139</v>
      </c>
      <c r="J50" s="10">
        <v>46139</v>
      </c>
    </row>
    <row r="51" spans="1:10" ht="14.25" customHeight="1">
      <c r="A51" s="9" t="s">
        <v>40</v>
      </c>
      <c r="B51" s="9" t="s">
        <v>187</v>
      </c>
      <c r="C51" s="9" t="s">
        <v>97</v>
      </c>
      <c r="D51" s="9" t="s">
        <v>445</v>
      </c>
      <c r="E51" s="9" t="s">
        <v>60</v>
      </c>
      <c r="F51" s="9"/>
      <c r="G51" s="9"/>
      <c r="H51" s="10">
        <v>46139</v>
      </c>
      <c r="I51" s="10"/>
      <c r="J51" s="10"/>
    </row>
    <row r="52" spans="1:10" ht="14.25" customHeight="1">
      <c r="A52" s="9" t="s">
        <v>40</v>
      </c>
      <c r="B52" s="9" t="s">
        <v>42</v>
      </c>
      <c r="C52" s="9" t="s">
        <v>97</v>
      </c>
      <c r="D52" s="9" t="s">
        <v>445</v>
      </c>
      <c r="E52" s="9" t="s">
        <v>60</v>
      </c>
      <c r="F52" s="9"/>
      <c r="G52" s="9"/>
      <c r="H52" s="10"/>
      <c r="I52" s="10"/>
      <c r="J52" s="10"/>
    </row>
    <row r="53" spans="1:10" ht="14.25" customHeight="1">
      <c r="A53" s="9" t="s">
        <v>40</v>
      </c>
      <c r="B53" s="9" t="s">
        <v>263</v>
      </c>
      <c r="C53" s="9" t="s">
        <v>98</v>
      </c>
      <c r="D53" s="9" t="s">
        <v>445</v>
      </c>
      <c r="E53" s="9" t="s">
        <v>60</v>
      </c>
      <c r="F53" s="9"/>
      <c r="G53" s="9"/>
      <c r="H53" s="10"/>
      <c r="I53" s="10"/>
      <c r="J53" s="10"/>
    </row>
    <row r="54" spans="1:10" ht="14.25" customHeight="1">
      <c r="A54" s="9" t="s">
        <v>40</v>
      </c>
      <c r="B54" s="9" t="s">
        <v>223</v>
      </c>
      <c r="C54" s="9" t="s">
        <v>98</v>
      </c>
      <c r="D54" s="9" t="s">
        <v>445</v>
      </c>
      <c r="E54" s="9" t="s">
        <v>60</v>
      </c>
      <c r="F54" s="9"/>
      <c r="G54" s="9"/>
      <c r="H54" s="9"/>
      <c r="I54" s="10">
        <v>46141</v>
      </c>
      <c r="J54" s="10">
        <v>46141</v>
      </c>
    </row>
    <row r="55" spans="1:10" ht="14.25" customHeight="1">
      <c r="A55" s="9" t="s">
        <v>40</v>
      </c>
      <c r="B55" s="9" t="s">
        <v>206</v>
      </c>
      <c r="C55" s="9" t="s">
        <v>98</v>
      </c>
      <c r="D55" s="9" t="s">
        <v>445</v>
      </c>
      <c r="E55" s="9" t="s">
        <v>60</v>
      </c>
      <c r="F55" s="9"/>
      <c r="G55" s="9"/>
      <c r="H55" s="10">
        <v>46141</v>
      </c>
      <c r="I55" s="10">
        <v>46141</v>
      </c>
      <c r="J55" s="10">
        <v>46141</v>
      </c>
    </row>
    <row r="56" spans="1:10" ht="14.25" customHeight="1">
      <c r="A56" s="9" t="s">
        <v>40</v>
      </c>
      <c r="B56" s="9" t="s">
        <v>187</v>
      </c>
      <c r="C56" s="9" t="s">
        <v>98</v>
      </c>
      <c r="D56" s="9" t="s">
        <v>445</v>
      </c>
      <c r="E56" s="9" t="s">
        <v>60</v>
      </c>
      <c r="F56" s="9"/>
      <c r="G56" s="9"/>
      <c r="H56" s="10">
        <v>46141</v>
      </c>
      <c r="I56" s="10"/>
      <c r="J56" s="10"/>
    </row>
    <row r="57" spans="1:10" ht="14.25" customHeight="1">
      <c r="A57" s="9" t="s">
        <v>40</v>
      </c>
      <c r="B57" s="9" t="s">
        <v>42</v>
      </c>
      <c r="C57" s="9" t="s">
        <v>98</v>
      </c>
      <c r="D57" s="9" t="s">
        <v>445</v>
      </c>
      <c r="E57" s="9" t="s">
        <v>60</v>
      </c>
      <c r="F57" s="9"/>
      <c r="G57" s="9"/>
      <c r="H57" s="10"/>
      <c r="I57" s="10"/>
      <c r="J57" s="10"/>
    </row>
    <row r="58" spans="1:10" ht="14.25" customHeight="1">
      <c r="A58" s="9" t="s">
        <v>40</v>
      </c>
      <c r="B58" s="9" t="s">
        <v>263</v>
      </c>
      <c r="C58" s="9" t="s">
        <v>99</v>
      </c>
      <c r="D58" s="9" t="s">
        <v>445</v>
      </c>
      <c r="E58" s="9" t="s">
        <v>46</v>
      </c>
      <c r="F58" s="9"/>
      <c r="G58" s="9"/>
      <c r="H58" s="9"/>
      <c r="I58" s="10"/>
      <c r="J58" s="10"/>
    </row>
    <row r="59" spans="1:10" ht="14.25" customHeight="1">
      <c r="A59" s="9" t="s">
        <v>40</v>
      </c>
      <c r="B59" s="9" t="s">
        <v>223</v>
      </c>
      <c r="C59" s="9" t="s">
        <v>99</v>
      </c>
      <c r="D59" s="9" t="s">
        <v>445</v>
      </c>
      <c r="E59" s="9" t="s">
        <v>46</v>
      </c>
      <c r="F59" s="9"/>
      <c r="G59" s="9"/>
      <c r="H59" s="10"/>
      <c r="I59" s="10">
        <v>46161</v>
      </c>
      <c r="J59" s="10">
        <v>46161</v>
      </c>
    </row>
    <row r="60" spans="1:10" ht="14.25" customHeight="1">
      <c r="A60" s="9" t="s">
        <v>40</v>
      </c>
      <c r="B60" s="9" t="s">
        <v>206</v>
      </c>
      <c r="C60" s="9" t="s">
        <v>99</v>
      </c>
      <c r="D60" s="9" t="s">
        <v>445</v>
      </c>
      <c r="E60" s="9" t="s">
        <v>46</v>
      </c>
      <c r="F60" s="9"/>
      <c r="G60" s="9"/>
      <c r="H60" s="10">
        <v>46161</v>
      </c>
      <c r="I60" s="10">
        <v>46161</v>
      </c>
      <c r="J60" s="10">
        <v>46161</v>
      </c>
    </row>
    <row r="61" spans="1:10" ht="14.25" customHeight="1">
      <c r="A61" s="9" t="s">
        <v>40</v>
      </c>
      <c r="B61" s="9" t="s">
        <v>187</v>
      </c>
      <c r="C61" s="9" t="s">
        <v>99</v>
      </c>
      <c r="D61" s="9" t="s">
        <v>445</v>
      </c>
      <c r="E61" s="9" t="s">
        <v>46</v>
      </c>
      <c r="F61" s="9"/>
      <c r="G61" s="9"/>
      <c r="H61" s="10">
        <v>46161</v>
      </c>
      <c r="I61" s="10"/>
      <c r="J61" s="10"/>
    </row>
    <row r="62" spans="1:10" ht="14.25" customHeight="1">
      <c r="A62" s="9" t="s">
        <v>40</v>
      </c>
      <c r="B62" s="9" t="s">
        <v>42</v>
      </c>
      <c r="C62" s="9" t="s">
        <v>99</v>
      </c>
      <c r="D62" s="9" t="s">
        <v>445</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446</v>
      </c>
      <c r="F1" s="1" t="s">
        <v>344</v>
      </c>
      <c r="G1" s="5" t="s">
        <v>447</v>
      </c>
      <c r="H1" s="5" t="s">
        <v>20</v>
      </c>
      <c r="I1" t="s">
        <v>35</v>
      </c>
      <c r="J1" s="5" t="s">
        <v>448</v>
      </c>
      <c r="K1" s="5" t="s">
        <v>187</v>
      </c>
      <c r="L1" s="5" t="s">
        <v>361</v>
      </c>
      <c r="M1" s="1" t="s">
        <v>449</v>
      </c>
      <c r="N1" s="1" t="s">
        <v>450</v>
      </c>
      <c r="R1" t="s">
        <v>13</v>
      </c>
      <c r="T1" t="s">
        <v>451</v>
      </c>
    </row>
    <row r="2" spans="1:20" ht="13.5" customHeight="1">
      <c r="A2" s="2" t="s">
        <v>452</v>
      </c>
      <c r="B2" s="2" t="s">
        <v>453</v>
      </c>
      <c r="C2" s="2" t="s">
        <v>454</v>
      </c>
      <c r="D2" s="2" t="s">
        <v>455</v>
      </c>
      <c r="E2" s="2" t="s">
        <v>456</v>
      </c>
      <c r="F2" s="2" t="s">
        <v>457</v>
      </c>
      <c r="G2" t="s">
        <v>458</v>
      </c>
      <c r="H2" t="s">
        <v>459</v>
      </c>
      <c r="I2" t="s">
        <v>460</v>
      </c>
      <c r="J2" s="29" t="s">
        <v>461</v>
      </c>
      <c r="K2" s="29" t="s">
        <v>462</v>
      </c>
      <c r="L2" s="29" t="s">
        <v>463</v>
      </c>
      <c r="M2" t="s">
        <v>144</v>
      </c>
      <c r="N2" t="s">
        <v>464</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465</v>
      </c>
      <c r="R3" t="s">
        <v>45</v>
      </c>
      <c r="T3" t="s">
        <v>94</v>
      </c>
    </row>
    <row r="4" spans="1:20" ht="15" customHeight="1">
      <c r="A4" t="s">
        <v>126</v>
      </c>
      <c r="B4" t="s">
        <v>59</v>
      </c>
      <c r="C4" t="s">
        <v>46</v>
      </c>
      <c r="D4" t="s">
        <v>144</v>
      </c>
      <c r="E4" t="s">
        <v>53</v>
      </c>
      <c r="F4" t="s">
        <v>263</v>
      </c>
      <c r="G4" t="s">
        <v>59</v>
      </c>
      <c r="H4" t="s">
        <v>88</v>
      </c>
      <c r="I4" t="s">
        <v>466</v>
      </c>
      <c r="J4" t="s">
        <v>223</v>
      </c>
      <c r="L4" t="s">
        <v>50</v>
      </c>
      <c r="M4" t="s">
        <v>103</v>
      </c>
      <c r="N4" t="s">
        <v>467</v>
      </c>
      <c r="R4" t="s">
        <v>468</v>
      </c>
      <c r="T4" t="s">
        <v>72</v>
      </c>
    </row>
    <row r="5" spans="1:20" ht="15" customHeight="1">
      <c r="A5" t="s">
        <v>335</v>
      </c>
      <c r="B5" t="s">
        <v>445</v>
      </c>
      <c r="C5" t="s">
        <v>77</v>
      </c>
      <c r="F5" t="s">
        <v>223</v>
      </c>
      <c r="G5" t="s">
        <v>445</v>
      </c>
      <c r="H5" t="s">
        <v>129</v>
      </c>
      <c r="I5" t="s">
        <v>254</v>
      </c>
      <c r="J5" t="s">
        <v>206</v>
      </c>
      <c r="L5" t="s">
        <v>469</v>
      </c>
      <c r="M5" t="s">
        <v>88</v>
      </c>
      <c r="N5" t="s">
        <v>470</v>
      </c>
    </row>
    <row r="6" spans="1:20" ht="15" customHeight="1">
      <c r="A6" t="s">
        <v>311</v>
      </c>
      <c r="B6" t="s">
        <v>84</v>
      </c>
      <c r="F6" t="s">
        <v>206</v>
      </c>
      <c r="G6" t="s">
        <v>84</v>
      </c>
      <c r="H6" t="s">
        <v>144</v>
      </c>
      <c r="I6" t="s">
        <v>471</v>
      </c>
      <c r="J6" t="s">
        <v>187</v>
      </c>
      <c r="M6" t="s">
        <v>48</v>
      </c>
      <c r="N6" t="s">
        <v>470</v>
      </c>
    </row>
    <row r="7" spans="1:20" ht="15" customHeight="1">
      <c r="A7" t="s">
        <v>302</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445</v>
      </c>
      <c r="N17" t="s">
        <v>485</v>
      </c>
    </row>
    <row r="18" spans="13:14">
      <c r="M18" t="s">
        <v>229</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49" t="str">
        <f ca="1">"As of "&amp;TEXT(TODAY(),"d mmm yyyy")&amp;". Live from Combined Delivery Data."</f>
        <v>As of 16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29 of 72</v>
      </c>
      <c r="C5" s="250" t="str">
        <f>IF(C7+E7=0,"No CMS reports are blocked.","reports are blocked. "&amp;C7&amp;" are approved and waiting for a production release, "&amp;E7&amp;" are blocked in build or QA.")</f>
        <v>reports are blocked. 26 are approved and waiting for a production release, 3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26</v>
      </c>
      <c r="D7" s="252"/>
      <c r="E7" s="255" cm="1">
        <f t="array" ref="E7">COUNTIFS(cmsDom,"CMS",cmsBlocked,"Yes*",cmsStatus,"&lt;&gt;Ready for Release in Prod",cmsStatus,"&lt;&gt;RELEASED IN PROD")</f>
        <v>3</v>
      </c>
      <c r="F7" s="256"/>
      <c r="G7" s="257" cm="1">
        <f t="array" ref="G7">SUM(COUNTIFS(cmsDom,"CMS",cmsBlocked,"&lt;&gt;Yes*",cmsStatus,{"DB Dev","PBI Dev","QA","DPO Approval"}))</f>
        <v>27</v>
      </c>
      <c r="H7" s="258"/>
      <c r="I7" s="259" cm="1">
        <f t="array" ref="I7">COUNTIFS(cmsDom,"CMS",cmsBlocked,"&lt;&gt;Yes*",cmsStatus,"NOT STARTED")</f>
        <v>12</v>
      </c>
      <c r="J7" s="260"/>
      <c r="K7" s="261" cm="1">
        <f t="array" ref="K7">COUNTIFS(cmsDom,"CMS",cmsStatus,"RELEASED IN PROD")</f>
        <v>4</v>
      </c>
      <c r="L7" s="262"/>
      <c r="M7" s="263" t="s">
        <v>489</v>
      </c>
      <c r="N7" s="264"/>
      <c r="O7" s="265"/>
      <c r="P7" s="142"/>
      <c r="Q7" s="142"/>
      <c r="R7" s="142"/>
      <c r="S7" s="142"/>
      <c r="T7" s="142"/>
      <c r="U7" s="142"/>
      <c r="V7" s="142"/>
      <c r="W7" s="142"/>
      <c r="X7" s="142"/>
      <c r="Y7" s="142"/>
      <c r="Z7" s="142"/>
    </row>
    <row r="8" spans="1:26" ht="30" customHeight="1">
      <c r="A8" s="142"/>
      <c r="B8" s="142"/>
      <c r="C8" s="253" t="s">
        <v>490</v>
      </c>
      <c r="D8" s="254"/>
      <c r="E8" s="253" t="s">
        <v>491</v>
      </c>
      <c r="F8" s="254"/>
      <c r="G8" s="253" t="s">
        <v>492</v>
      </c>
      <c r="H8" s="254"/>
      <c r="I8" s="253" t="s">
        <v>493</v>
      </c>
      <c r="J8" s="254"/>
      <c r="K8" s="253" t="s">
        <v>494</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27" t="s">
        <v>496</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223</v>
      </c>
      <c r="H11" s="156" t="s">
        <v>263</v>
      </c>
      <c r="I11" s="156" t="s">
        <v>493</v>
      </c>
      <c r="J11" s="156" t="s">
        <v>500</v>
      </c>
      <c r="K11" s="156" t="s">
        <v>501</v>
      </c>
      <c r="L11" s="156" t="s">
        <v>502</v>
      </c>
      <c r="M11" s="243" t="s">
        <v>503</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37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16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14 days to milestone, 2 blocked</v>
      </c>
      <c r="N14" s="238"/>
      <c r="O14" s="239"/>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5</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45 days to milestone, 1 blocked</v>
      </c>
      <c r="N15" s="238"/>
      <c r="O15" s="239"/>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76 days to milestone</v>
      </c>
      <c r="N16" s="241"/>
      <c r="O16" s="242"/>
      <c r="P16" s="142"/>
      <c r="Q16" s="142"/>
      <c r="R16" s="142"/>
      <c r="S16" s="142"/>
      <c r="T16" s="142"/>
      <c r="U16" s="142"/>
      <c r="V16" s="142"/>
      <c r="W16" s="142"/>
      <c r="X16" s="142"/>
      <c r="Y16" s="142"/>
      <c r="Z16" s="142"/>
    </row>
    <row r="17" spans="1:26" ht="24" customHeight="1">
      <c r="A17" s="142"/>
      <c r="B17" s="157" t="s">
        <v>504</v>
      </c>
      <c r="C17" s="169">
        <f t="shared" ref="C17:K17" si="0">SUM(C12:C16)</f>
        <v>26</v>
      </c>
      <c r="D17" s="169">
        <f t="shared" si="0"/>
        <v>3</v>
      </c>
      <c r="E17" s="169">
        <f t="shared" si="0"/>
        <v>7</v>
      </c>
      <c r="F17" s="169">
        <f t="shared" si="0"/>
        <v>8</v>
      </c>
      <c r="G17" s="169">
        <f t="shared" si="0"/>
        <v>8</v>
      </c>
      <c r="H17" s="169">
        <f t="shared" si="0"/>
        <v>4</v>
      </c>
      <c r="I17" s="169">
        <f t="shared" si="0"/>
        <v>12</v>
      </c>
      <c r="J17" s="169">
        <f t="shared" si="0"/>
        <v>4</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27" t="s">
        <v>506</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7" t="s">
        <v>507</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508</v>
      </c>
      <c r="C36" s="170" t="s">
        <v>497</v>
      </c>
      <c r="D36" s="170" t="s">
        <v>509</v>
      </c>
      <c r="E36" s="170" t="s">
        <v>439</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497</v>
      </c>
      <c r="D49" s="230"/>
      <c r="E49" s="230" t="s">
        <v>439</v>
      </c>
      <c r="F49" s="230"/>
      <c r="G49" s="230" t="s">
        <v>449</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511</v>
      </c>
      <c r="D50" s="232"/>
      <c r="E50" s="231" t="s">
        <v>511</v>
      </c>
      <c r="F50" s="232"/>
      <c r="G50" s="231" t="s">
        <v>511</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QA</v>
      </c>
      <c r="E109" s="173" t="str">
        <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466</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466</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2026-10-16T17:54:57Z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