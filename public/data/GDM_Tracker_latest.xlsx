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141" documentId="13_ncr:1_{52745E9B-3AA1-4770-AAD3-E6166BFC13AE}" xr6:coauthVersionLast="47" xr6:coauthVersionMax="47" xr10:uidLastSave="{E85B017A-D996-46F2-B590-A3EE1F7F9208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5" i="2" l="1" a="1"/>
  <c r="D65" i="2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2" i="2" a="1"/>
  <c r="D52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D53" i="2" s="1" a="1"/>
  <c r="D53" i="2" s="1"/>
  <c r="AL52" i="2" a="1"/>
  <c r="AL52" i="2" s="1"/>
  <c r="AL51" i="2" a="1"/>
  <c r="AL51" i="2" s="1"/>
  <c r="D51" i="2" s="1" a="1"/>
  <c r="D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D47" i="2" s="1" a="1"/>
  <c r="D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<sst xmlns="http://schemas.openxmlformats.org/spreadsheetml/2006/main" count="2944" uniqueCount="415">
  <si>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</si>
  <si>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</si>
  <si>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</si>
  <si>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</si>
  <si>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</si>
  <si>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</si>
  <si>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</si>
  <si>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</si>
  <si>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</si>
  <si>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</si>
  <si>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</si>
  <si>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</si>
  <si>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</si>
  <si>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</si>
  <si>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</si>
  <si>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</si>
  <si>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</si>
  <si>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</si>
  <si>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</si>
  <si>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</si>
  <si>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</si>
  <si>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</si>
  <si>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</si>
  <si>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</si>
  <si>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</si>
  <si>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</si>
  <si>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</si>
  <si>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</si>
  <si>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</si>
  <si>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</si>
  <si>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</si>
  <si>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</si>
  <si>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</si>
  <si>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</si>
  <si>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</si>
  <si>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</si>
  <si>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</si>
  <si>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</si>
  <si>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</si>
  <si>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</si>
  <si>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</si>
  <si>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</si>
  <si>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</si>
  <si>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</si>
  <si>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</si>
  <si>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</si>
  <si>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</si>
  <si>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</si>
  <si>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</si>
  <si>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</si>
  <si>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</si>
  <si>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</si>
  <si>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</si>
  <si>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</si>
  <si>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</si>
  <si>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</si>
  <si>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</si>
  <si>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</si>
  <si>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</si>
  <si>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</si>
  <si>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</si>
  <si>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</si>
  <si>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</si>
  <si>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</si>
  <si>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</si>
  <si>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</si>
  <si>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</si>
  <si>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</si>
  <si>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</si>
  <si>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</si>
  <si>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</si>
  <si>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</si>
  <si>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</si>
  <si>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</si>
  <si>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</si>
  <si>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</si>
  <si>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</si>
  <si>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</si>
  <si>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</si>
  <si>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</si>
  <si>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</si>
  <si>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</si>
  <si>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</si>
  <si>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</si>
  <si>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</si>
  <si>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</si>
  <si>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</si>
  <si>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</si>
  <si>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</si>
  <si>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</si>
  <si>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</si>
  <si>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</si>
  <si>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</si>
  <si>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</si>
  <si>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</si>
  <si>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</si>
  <si>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</si>
  <si>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</si>
  <si>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</si>
  <si>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</si>
  <si>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</si>
  <si>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</si>
  <si>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</si>
  <si>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</si>
  <si>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</si>
  <si>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</si>
  <si>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</si>
  <si>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</si>
  <si>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</si>
  <si>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</si>
  <si>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</si>
  <si>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</si>
  <si>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</si>
  <si>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</si>
  <si>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</si>
  <si>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</si>
  <si>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</si>
  <si>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</si>
  <si>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</si>
  <si>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</si>
  <si>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</si>
  <si>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</si>
  <si>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</si>
  <si>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</si>
  <si>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</si>
  <si>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</si>
  <si>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</si>
  <si>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</si>
  <si>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</si>
  <si>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</si>
  <si>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</si>
  <si>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</si>
  <si>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</si>
  <si>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</si>
  <si>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</si>
  <si>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</si>
  <si>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</si>
  <si>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</si>
  <si>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</si>
  <si>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</si>
  <si>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</si>
  <si>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</si>
  <si>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</si>
  <si>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</si>
  <si>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</si>
  <si>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</si>
  <si>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</si>
  <si>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</si>
  <si>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</si>
  <si>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</si>
  <si>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</si>
  <si>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</si>
  <si>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</si>
  <si>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</si>
  <si>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</si>
  <si>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</si>
  <si>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</si>
  <si>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</si>
  <si>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</si>
  <si>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</si>
  <si>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</si>
  <si>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</si>
  <si>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</si>
  <si>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</si>
  <si>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</si>
  <si>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</si>
  <si>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</si>
  <si>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</si>
  <si>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</si>
  <si>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</si>
  <si>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</si>
  <si>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</si>
  <si>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</si>
  <si>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</si>
  <si>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</si>
  <si>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</si>
  <si>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</si>
  <si>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</si>
  <si>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</si>
  <si>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</si>
  <si>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</si>
  <si>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</si>
  <si>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</si>
  <si>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</si>
  <si>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</si>
  <si>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</si>
  <si>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</si>
  <si>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</si>
  <si>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</si>
  <si>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</si>
  <si>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</si>
  <si>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 xml:space="preserve">Waiting for DB View to deploy to QA 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</si>
  <si>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</si>
  <si>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</si>
  <si>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</si>
  <si>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</si>
  <si>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</si>
  <si>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</si>
  <si>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</si>
  <si>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</si>
  <si>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</si>
  <si>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</si>
  <si>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</si>
  <si>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</si>
  <si>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</si>
  <si>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</si>
  <si>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</si>
  <si>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</si>
  <si>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</si>
  <si>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</si>
  <si>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</si>
  <si>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</si>
  <si>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</si>
  <si>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</si>
  <si>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</si>
  <si>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</si>
  <si>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</si>
  <si>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</si>
  <si>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</si>
  <si>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</si>
  <si>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</si>
  <si>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</si>
  <si>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</si>
  <si>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</si>
  <si>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</si>
  <si>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</si>
  <si>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</si>
  <si>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</si>
  <si>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</si>
  <si>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</si>
  <si>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</si>
  <si>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</si>
  <si>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</si>
  <si>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</si>
  <si>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</si>
  <si>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</si>
  <si>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</si>
  <si>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</si>
  <si>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</si>
  <si>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</si>
  <si>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</si>
  <si>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</si>
  <si>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</si>
  <si>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</si>
  <si>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</si>
  <si>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</si>
  <si>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</si>
  <si>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</si>
  <si>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</si>
  <si>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</si>
  <si>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</si>
  <si>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</si>
  <si>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</si>
  <si>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</si>
  <si>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</si>
  <si>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</si>
  <si>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</si>
  <si>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</si>
  <si>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</si>
  <si>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</si>
  <si>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</si>
  <si>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</si>
  <si>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</si>
  <si>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</si>
  <si>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</si>
  <si>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</si>
  <si>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</si>
  <si>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</si>
  <si>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</si>
  <si>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</si>
  <si>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</si>
  <si>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</si>
  <si>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</si>
  <si>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</si>
  <si>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</si>
  <si>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</si>
  <si>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</si>
  <si>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</si>
  <si>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</si>
  <si>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</si>
  <si>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</si>
  <si>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</si>
  <si>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</si>
  <si>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</si>
  <si>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</si>
  <si>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</si>
  <si>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</si>
  <si>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</si>
  <si>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</si>
  <si>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</si>
  <si>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</si>
  <si>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</si>
  <si>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</si>
  <si>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</si>
  <si>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</si>
  <si>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</si>
  <si>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</si>
  <si>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</si>
  <si>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</si>
  <si>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</si>
  <si>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</si>
  <si>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</si>
  <si>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</si>
  <si>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</si>
  <si>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</si>
  <si>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</si>
  <si>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</si>
  <si>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</si>
  <si>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</si>
  <si>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</si>
  <si>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</si>
  <si>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</si>
  <si>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</si>
  <si>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</si>
  <si>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</si>
  <si>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</si>
  <si>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</si>
  <si>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</si>
  <si>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</si>
  <si>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</si>
  <si>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</si>
  <si>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</si>
  <si>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</si>
  <si>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</si>
  <si>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</si>
  <si>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</si>
  <si>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</si>
  <si>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</si>
  <si>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</si>
  <si>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</si>
  <si>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</si>
  <si>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</si>
  <si>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</si>
  <si>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</si>
  <si>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</si>
  <si>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</si>
  <si>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</si>
  <si>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</si>
  <si>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</si>
  <si>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</si>
  <si>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</si>
  <si>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</si>
  <si>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</si>
  <si>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</si>
  <si>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</si>
  <si>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</si>
  <si>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</si>
  <si>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</si>
  <si>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</si>
  <si>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</si>
  <si>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</si>
  <si>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</si>
  <si>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</si>
  <si>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</si>
  <si>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</si>
  <si>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</si>
  <si>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</si>
  <si>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</si>
  <si>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</si>
  <si>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</si>
  <si>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</si>
  <si>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</si>
  <si>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</si>
  <si>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</si>
  <si>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</si>
  <si>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</si>
  <si>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</si>
  <si>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</si>
  <si>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</si>
  <si>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</si>
  <si>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</si>
  <si>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</si>
  <si>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</si>
  <si>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Perfomance issue and data not loading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</si>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</sst>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1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17" borderId="0" xfId="0" applyFont="1" applyFill="1" applyProtection="1">
      <protection locked="0"/>
    </xf>
    <xf numFmtId="0" fontId="0" fillId="17" borderId="0" xfId="0" applyFill="1"/>
    <xf numFmtId="0" fontId="6" fillId="17" borderId="4" xfId="0" applyFont="1" applyFill="1" applyBorder="1" applyProtection="1">
      <protection locked="0"/>
    </xf>
    <xf numFmtId="14" fontId="6" fillId="17" borderId="5" xfId="0" applyNumberFormat="1" applyFont="1" applyFill="1" applyBorder="1"/>
    <xf numFmtId="0" fontId="6" fillId="17" borderId="14" xfId="0" applyFont="1" applyFill="1" applyBorder="1"/>
    <xf numFmtId="14" fontId="6" fillId="17" borderId="0" xfId="0" applyNumberFormat="1" applyFont="1" applyFill="1"/>
    <xf numFmtId="14" fontId="6" fillId="17" borderId="0" xfId="0" applyNumberFormat="1" applyFont="1" applyFill="1" applyProtection="1">
      <protection locked="0"/>
    </xf>
    <xf numFmtId="0" fontId="6" fillId="17" borderId="15" xfId="0" applyFont="1" applyFill="1" applyBorder="1" applyProtection="1">
      <protection locked="0"/>
    </xf>
    <xf numFmtId="14" fontId="6" fillId="17" borderId="16" xfId="0" applyNumberFormat="1" applyFont="1" applyFill="1" applyBorder="1" applyProtection="1">
      <protection locked="0"/>
    </xf>
    <xf numFmtId="14" fontId="20" fillId="17" borderId="0" xfId="0" applyNumberFormat="1" applyFont="1" applyFill="1"/>
    <xf numFmtId="14" fontId="6" fillId="17" borderId="8" xfId="0" applyNumberFormat="1" applyFont="1" applyFill="1" applyBorder="1"/>
    <xf numFmtId="0" fontId="6" fillId="17" borderId="9" xfId="0" applyFont="1" applyFill="1" applyBorder="1" applyProtection="1">
      <protection locked="0"/>
    </xf>
    <xf numFmtId="0" fontId="6" fillId="17" borderId="10" xfId="0" applyFont="1" applyFill="1" applyBorder="1" applyProtection="1">
      <protection locked="0"/>
    </xf>
    <xf numFmtId="0" fontId="6" fillId="17" borderId="11" xfId="0" applyFont="1" applyFill="1" applyBorder="1" applyProtection="1">
      <protection locked="0"/>
    </xf>
    <xf numFmtId="0" fontId="0" fillId="17" borderId="12" xfId="0" applyFill="1" applyBorder="1" applyProtection="1">
      <protection locked="0"/>
    </xf>
    <xf numFmtId="0" fontId="6" fillId="17" borderId="13" xfId="0" applyFont="1" applyFill="1" applyBorder="1" applyProtection="1">
      <protection locked="0"/>
    </xf>
    <xf numFmtId="14" fontId="0" fillId="17" borderId="0" xfId="0" applyNumberFormat="1" applyFill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7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5">
  <autoFilter ref="A1:AM115" xr:uid="{00000000-0009-0000-0100-000001000000}">
    <filterColumn colId="5">
      <filters>
        <filter val="Bardia"/>
        <filter val="Kushal"/>
      </filters>
    </filterColumn>
  </autoFilter>
  <tableColumns count="39">
    <tableColumn id="1" xr3:uid="{00000000-0010-0000-0000-000001000000}" name="Domain" dataDxfId="54"/>
    <tableColumn id="2" xr3:uid="{00000000-0010-0000-0000-000002000000}" name="Report Name" dataDxfId="53"/>
    <tableColumn id="3" xr3:uid="{00000000-0010-0000-0000-000003000000}" name="Current Status  (Update next stage after completion date)" dataDxfId="52"/>
    <tableColumn id="4" xr3:uid="{00000000-0010-0000-0000-000004000000}" name="Status Flag" dataDxfId="51"/>
    <tableColumn id="5" xr3:uid="{00000000-0010-0000-0000-000005000000}" name="Business Value Rank" dataDxfId="50"/>
    <tableColumn id="6" xr3:uid="{00000000-0010-0000-0000-000006000000}" name="PO" dataDxfId="49"/>
    <tableColumn id="10" xr3:uid="{00000000-0010-0000-0000-00000A000000}" name="Schema" dataDxfId="48"/>
    <tableColumn id="11" xr3:uid="{00000000-0010-0000-0000-00000B000000}" name="Plan Delivery Date" dataDxfId="47"/>
    <tableColumn id="12" xr3:uid="{00000000-0010-0000-0000-00000C000000}" name="Plan Delivery Month" dataDxfId="46"/>
    <tableColumn id="7" xr3:uid="{00000000-0010-0000-0000-000007000000}" name="DB Developer" dataDxfId="45"/>
    <tableColumn id="13" xr3:uid="{00000000-0010-0000-0000-00000D000000}" name="DB Dev Baseline Completion Date" dataDxfId="44"/>
    <tableColumn id="30" xr3:uid="{00000000-0010-0000-0000-00001E000000}" name="DB Dev Reforecast Completion Date" dataDxfId="43"/>
    <tableColumn id="14" xr3:uid="{00000000-0010-0000-0000-00000E000000}" name="DB Dev Actual Completion Date" dataDxfId="42"/>
    <tableColumn id="35" xr3:uid="{1A518B0C-8D73-4DAB-8F10-7B4DFF037343}" name="Build Source" dataDxfId="41"/>
    <tableColumn id="28" xr3:uid="{EFCDFAEE-1B00-42CE-9649-7541F5DDC136}" name="Sprint DB" dataDxfId="40"/>
    <tableColumn id="8" xr3:uid="{00000000-0010-0000-0000-000008000000}" name="PBI Developer" dataDxfId="39"/>
    <tableColumn id="15" xr3:uid="{00000000-0010-0000-0000-00000F000000}" name="PBI Dev Baseline Completion Date" dataDxfId="38"/>
    <tableColumn id="31" xr3:uid="{00000000-0010-0000-0000-00001F000000}" name="PBI Dev Reforecast Completion Date" dataDxfId="37"/>
    <tableColumn id="16" xr3:uid="{00000000-0010-0000-0000-000010000000}" name="PBI Dev Actual Completion Date" dataDxfId="36"/>
    <tableColumn id="29" xr3:uid="{4630D178-9B47-4360-A40B-22C7384DB9C9}" name="Sprint PBI" dataDxfId="35"/>
    <tableColumn id="9" xr3:uid="{00000000-0010-0000-0000-000009000000}" name="QA Tester" dataDxfId="34"/>
    <tableColumn id="17" xr3:uid="{00000000-0010-0000-0000-000011000000}" name="QA Baseline Completion Date" dataDxfId="33"/>
    <tableColumn id="32" xr3:uid="{00000000-0010-0000-0000-000020000000}" name="QA Reforecast Completion Date" dataDxfId="32"/>
    <tableColumn id="18" xr3:uid="{00000000-0010-0000-0000-000012000000}" name="QA Actual Completion Date" dataDxfId="31"/>
    <tableColumn id="34" xr3:uid="{70C5E8CB-08B0-4A84-9B68-89630FC3C5C7}" name="Sprint QA" dataDxfId="30"/>
    <tableColumn id="19" xr3:uid="{00000000-0010-0000-0000-000013000000}" name="DPO Approval Baseline Completion Date" dataDxfId="29"/>
    <tableColumn id="33" xr3:uid="{00000000-0010-0000-0000-000021000000}" name="DPO Approval Reforecast Completion Date" dataDxfId="28"/>
    <tableColumn id="36" xr3:uid="{86D482BF-E7A4-45A2-B2F5-CA0223EBDDD1}" name="DPO Approval Completion Date" dataDxfId="27"/>
    <tableColumn id="20" xr3:uid="{00000000-0010-0000-0000-000014000000}" name="DPO Approval Reviewer" dataDxfId="26"/>
    <tableColumn id="39" xr3:uid="{D4F67DF1-1A6D-469A-AA66-A681F9EBF81F}" name="Report Type" dataDxfId="25"/>
    <tableColumn id="21" xr3:uid="{00000000-0010-0000-0000-000015000000}" name="Confirmed Deployed?" dataDxfId="24"/>
    <tableColumn id="22" xr3:uid="{00000000-0010-0000-0000-000016000000}" name="Confirmed Deployed Date" dataDxfId="23"/>
    <tableColumn id="23" xr3:uid="{00000000-0010-0000-0000-000017000000}" name="UAT Report URL" dataDxfId="22"/>
    <tableColumn id="24" xr3:uid="{00000000-0010-0000-0000-000018000000}" name="Production URL" dataDxfId="21"/>
    <tableColumn id="25" xr3:uid="{00000000-0010-0000-0000-000019000000}" name="Blocked?" dataDxfId="20"/>
    <tableColumn id="26" xr3:uid="{00000000-0010-0000-0000-00001A000000}" name="Data Check" dataDxfId="19"/>
    <tableColumn id="27" xr3:uid="{00000000-0010-0000-0000-00001B000000}" name="Comments" dataDxfId="18"/>
    <tableColumn id="37" xr3:uid="{80A8E094-8F50-434A-A9E3-195269D50436}" name="QA Rework Due_x0009_DPO Rework Due" dataDxfId="17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6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56" activePane="topRight" state="frozen"/>
      <selection pane="topRight" activeCell="F68" sqref="F68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Overdue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/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Overdue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Overdue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128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46265</v>
      </c>
      <c r="T45" s="70"/>
      <c r="U45" s="55" t="s">
        <v>46</v>
      </c>
      <c r="V45" s="60">
        <v>46255</v>
      </c>
      <c r="W45" s="36">
        <v>46265</v>
      </c>
      <c r="X45" s="36">
        <v>46265</v>
      </c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>Open rework row - mark Blocked? or close it</v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128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>
        <v>46265</v>
      </c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/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46266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>
        <v>46267</v>
      </c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204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205</v>
      </c>
      <c r="C57" s="33" t="s">
        <v>206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204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207</v>
      </c>
      <c r="C58" s="33" t="s">
        <v>206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208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>
        <v>46265</v>
      </c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209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210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211</v>
      </c>
      <c r="C61" s="33" t="s">
        <v>206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212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213</v>
      </c>
      <c r="C62" s="33" t="s">
        <v>206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214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126</v>
      </c>
      <c r="B63" s="33" t="s">
        <v>215</v>
      </c>
      <c r="C63" s="33" t="s">
        <v>206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>
        <v>46266</v>
      </c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216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126</v>
      </c>
      <c r="B64" s="33" t="s">
        <v>217</v>
      </c>
      <c r="C64" s="33" t="s">
        <v>206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218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219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>
        <v>46265</v>
      </c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126</v>
      </c>
      <c r="B66" s="33" t="s">
        <v>220</v>
      </c>
      <c r="C66" s="33" t="s">
        <v>206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218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126</v>
      </c>
      <c r="B67" s="33" t="s">
        <v>221</v>
      </c>
      <c r="C67" s="33" t="s">
        <v>206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>
        <v>46254</v>
      </c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222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 s="83" customFormat="1">
      <c r="A68" s="82" t="s">
        <v>126</v>
      </c>
      <c r="B68" s="80" t="s">
        <v>223</v>
      </c>
      <c r="C68" s="82" t="s">
        <v>178</v>
      </c>
      <c r="D68" s="83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82">
        <v>44</v>
      </c>
      <c r="F68" s="84" t="s">
        <v>129</v>
      </c>
      <c r="G68" s="82"/>
      <c r="H68" s="85">
        <v>46295</v>
      </c>
      <c r="I68" s="86" t="s">
        <v>198</v>
      </c>
      <c r="J68" s="82" t="s">
        <v>224</v>
      </c>
      <c r="K68" s="87">
        <v>46276</v>
      </c>
      <c r="L68" s="88">
        <v>46258</v>
      </c>
      <c r="M68" s="88">
        <v>46258</v>
      </c>
      <c r="N68" s="88"/>
      <c r="O68" s="88" t="s">
        <v>199</v>
      </c>
      <c r="P68" s="89" t="s">
        <v>76</v>
      </c>
      <c r="Q68" s="87">
        <v>46286</v>
      </c>
      <c r="R68" s="88"/>
      <c r="S68" s="88"/>
      <c r="T68" s="90" t="s">
        <v>225</v>
      </c>
      <c r="U68" s="82"/>
      <c r="V68" s="91">
        <v>46290</v>
      </c>
      <c r="W68" s="88"/>
      <c r="X68" s="88"/>
      <c r="Y68" s="88"/>
      <c r="Z68" s="92">
        <v>46295</v>
      </c>
      <c r="AA68" s="88"/>
      <c r="AB68" s="88"/>
      <c r="AC68" s="80" t="s">
        <v>226</v>
      </c>
      <c r="AD68" s="82" t="s">
        <v>71</v>
      </c>
      <c r="AE68" s="93"/>
      <c r="AF68" s="88"/>
      <c r="AG68" s="94"/>
      <c r="AH68" s="82"/>
      <c r="AI68" s="95" t="s">
        <v>52</v>
      </c>
      <c r="AJ68" s="96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97" t="s">
        <v>227</v>
      </c>
      <c r="AL68" s="98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98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126</v>
      </c>
      <c r="B69" s="81" t="s">
        <v>228</v>
      </c>
      <c r="C69" s="33" t="s">
        <v>206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229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230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126</v>
      </c>
      <c r="B70" s="33" t="s">
        <v>231</v>
      </c>
      <c r="C70" s="33" t="s">
        <v>206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126</v>
      </c>
      <c r="B71" s="33" t="s">
        <v>232</v>
      </c>
      <c r="C71" s="33" t="s">
        <v>206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233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234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235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236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237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238</v>
      </c>
      <c r="C74" s="31" t="s">
        <v>206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236</v>
      </c>
      <c r="J74" s="55" t="s">
        <v>224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237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239</v>
      </c>
      <c r="C75" s="31" t="s">
        <v>206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236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237</v>
      </c>
      <c r="U75" s="47"/>
      <c r="W75" s="43"/>
      <c r="X75" s="31"/>
      <c r="Y75" s="36"/>
      <c r="AA75" s="43"/>
      <c r="AB75" s="43"/>
      <c r="AC75" s="31" t="s">
        <v>240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241</v>
      </c>
      <c r="C76" s="31" t="s">
        <v>206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236</v>
      </c>
      <c r="J76" s="55" t="s">
        <v>58</v>
      </c>
      <c r="K76" s="51"/>
      <c r="L76" s="43"/>
      <c r="M76" s="44"/>
      <c r="N76" s="44"/>
      <c r="O76" s="44" t="s">
        <v>199</v>
      </c>
      <c r="P76" s="76"/>
      <c r="Q76" s="51"/>
      <c r="R76" s="43"/>
      <c r="S76" s="44"/>
      <c r="T76" s="71" t="s">
        <v>237</v>
      </c>
      <c r="U76" s="47"/>
      <c r="W76" s="43"/>
      <c r="X76" s="31"/>
      <c r="Y76" s="36"/>
      <c r="AA76" s="43"/>
      <c r="AB76" s="43"/>
      <c r="AC76" s="31" t="s">
        <v>240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206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236</v>
      </c>
      <c r="J77" s="55" t="s">
        <v>158</v>
      </c>
      <c r="K77" s="51"/>
      <c r="L77" s="43"/>
      <c r="M77" s="44"/>
      <c r="N77" s="44"/>
      <c r="O77" s="44" t="s">
        <v>199</v>
      </c>
      <c r="P77" s="76"/>
      <c r="Q77" s="51"/>
      <c r="R77" s="43"/>
      <c r="S77" s="44"/>
      <c r="T77" s="71" t="s">
        <v>237</v>
      </c>
      <c r="U77" s="47"/>
      <c r="W77" s="43"/>
      <c r="X77" s="31"/>
      <c r="Y77" s="36"/>
      <c r="AA77" s="43"/>
      <c r="AB77" s="43"/>
      <c r="AC77" s="31" t="s">
        <v>240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206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236</v>
      </c>
      <c r="J78" s="55" t="s">
        <v>43</v>
      </c>
      <c r="K78" s="51"/>
      <c r="L78" s="43"/>
      <c r="M78" s="44"/>
      <c r="N78" s="44"/>
      <c r="O78" s="44" t="s">
        <v>244</v>
      </c>
      <c r="P78" s="76"/>
      <c r="Q78" s="51"/>
      <c r="R78" s="43"/>
      <c r="S78" s="44"/>
      <c r="T78" s="71" t="s">
        <v>237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245</v>
      </c>
      <c r="C79" s="31" t="s">
        <v>206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236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237</v>
      </c>
      <c r="U79" s="47"/>
      <c r="W79" s="43"/>
      <c r="X79" s="31"/>
      <c r="Y79" s="36"/>
      <c r="AA79" s="43"/>
      <c r="AB79" s="43"/>
      <c r="AC79" s="31" t="s">
        <v>246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247</v>
      </c>
      <c r="C80" s="31" t="s">
        <v>206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236</v>
      </c>
      <c r="J80" s="55"/>
      <c r="K80" s="51"/>
      <c r="L80" s="43"/>
      <c r="M80" s="44"/>
      <c r="N80" s="44"/>
      <c r="O80" s="44" t="s">
        <v>244</v>
      </c>
      <c r="P80" s="76"/>
      <c r="Q80" s="51"/>
      <c r="R80" s="43"/>
      <c r="S80" s="44"/>
      <c r="T80" s="71" t="s">
        <v>237</v>
      </c>
      <c r="U80" s="47"/>
      <c r="W80" s="43"/>
      <c r="X80" s="31"/>
      <c r="Y80" s="36"/>
      <c r="AA80" s="43"/>
      <c r="AB80" s="43"/>
      <c r="AC80" s="31" t="s">
        <v>210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248</v>
      </c>
      <c r="C81" s="31" t="s">
        <v>206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236</v>
      </c>
      <c r="J81" s="55"/>
      <c r="K81" s="51"/>
      <c r="L81" s="43"/>
      <c r="M81" s="44"/>
      <c r="N81" s="44"/>
      <c r="O81" s="44" t="s">
        <v>244</v>
      </c>
      <c r="P81" s="76"/>
      <c r="Q81" s="51"/>
      <c r="R81" s="43"/>
      <c r="S81" s="44"/>
      <c r="T81" s="70" t="s">
        <v>249</v>
      </c>
      <c r="U81" s="47"/>
      <c r="W81" s="43"/>
      <c r="X81" s="31"/>
      <c r="Y81" s="36"/>
      <c r="AA81" s="43"/>
      <c r="AB81" s="43"/>
      <c r="AC81" s="31" t="s">
        <v>218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250</v>
      </c>
      <c r="C82" s="31" t="s">
        <v>206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236</v>
      </c>
      <c r="J82" s="55"/>
      <c r="K82" s="51"/>
      <c r="L82" s="43"/>
      <c r="M82" s="44"/>
      <c r="N82" s="44"/>
      <c r="O82" s="36" t="s">
        <v>251</v>
      </c>
      <c r="P82" s="76"/>
      <c r="Q82" s="51"/>
      <c r="R82" s="43"/>
      <c r="S82" s="44"/>
      <c r="T82" s="70" t="s">
        <v>249</v>
      </c>
      <c r="U82" s="47"/>
      <c r="W82" s="43"/>
      <c r="X82" s="31"/>
      <c r="Y82" s="36"/>
      <c r="AA82" s="43"/>
      <c r="AB82" s="43"/>
      <c r="AC82" s="31" t="s">
        <v>252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253</v>
      </c>
      <c r="C83" s="31" t="s">
        <v>206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236</v>
      </c>
      <c r="J83" s="55"/>
      <c r="K83" s="51"/>
      <c r="L83" s="43"/>
      <c r="M83" s="44"/>
      <c r="N83" s="44"/>
      <c r="O83" s="36" t="s">
        <v>251</v>
      </c>
      <c r="P83" s="76"/>
      <c r="Q83" s="51"/>
      <c r="R83" s="43"/>
      <c r="S83" s="44"/>
      <c r="T83" s="70" t="s">
        <v>249</v>
      </c>
      <c r="U83" s="47"/>
      <c r="W83" s="43"/>
      <c r="X83" s="31"/>
      <c r="Y83" s="36"/>
      <c r="AA83" s="43"/>
      <c r="AB83" s="43"/>
      <c r="AC83" s="31" t="s">
        <v>254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255</v>
      </c>
      <c r="C84" s="31" t="s">
        <v>206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236</v>
      </c>
      <c r="J84" s="55"/>
      <c r="K84" s="51"/>
      <c r="L84" s="43"/>
      <c r="M84" s="44"/>
      <c r="N84" s="44"/>
      <c r="O84" s="36" t="s">
        <v>251</v>
      </c>
      <c r="P84" s="76"/>
      <c r="Q84" s="51"/>
      <c r="R84" s="43"/>
      <c r="S84" s="44"/>
      <c r="T84" s="70" t="s">
        <v>249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256</v>
      </c>
      <c r="C85" s="31" t="s">
        <v>206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257</v>
      </c>
      <c r="F85" s="31"/>
      <c r="G85" s="31"/>
      <c r="H85" s="50">
        <v>46325</v>
      </c>
      <c r="I85" s="57" t="s">
        <v>236</v>
      </c>
      <c r="J85" s="55"/>
      <c r="K85" s="51"/>
      <c r="L85" s="43"/>
      <c r="M85" s="44"/>
      <c r="N85" s="44"/>
      <c r="O85" s="36" t="s">
        <v>258</v>
      </c>
      <c r="P85" s="76"/>
      <c r="Q85" s="51"/>
      <c r="R85" s="43"/>
      <c r="S85" s="44"/>
      <c r="T85" s="70" t="s">
        <v>249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259</v>
      </c>
      <c r="C86" s="31" t="s">
        <v>206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260</v>
      </c>
      <c r="J86" s="55"/>
      <c r="K86" s="51"/>
      <c r="L86" s="43"/>
      <c r="M86" s="44"/>
      <c r="N86" s="44"/>
      <c r="O86" s="36" t="s">
        <v>258</v>
      </c>
      <c r="P86" s="76"/>
      <c r="Q86" s="51"/>
      <c r="R86" s="43"/>
      <c r="S86" s="44"/>
      <c r="T86" s="70" t="s">
        <v>249</v>
      </c>
      <c r="U86" s="47"/>
      <c r="W86" s="43"/>
      <c r="X86" s="31"/>
      <c r="Y86" s="36"/>
      <c r="AA86" s="43"/>
      <c r="AB86" s="43"/>
      <c r="AC86" s="31" t="s">
        <v>261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262</v>
      </c>
      <c r="C87" s="31" t="s">
        <v>206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260</v>
      </c>
      <c r="J87" s="55"/>
      <c r="K87" s="51"/>
      <c r="L87" s="43"/>
      <c r="M87" s="44"/>
      <c r="N87" s="44"/>
      <c r="O87" s="36" t="s">
        <v>258</v>
      </c>
      <c r="P87" s="76"/>
      <c r="Q87" s="51"/>
      <c r="R87" s="43"/>
      <c r="S87" s="44"/>
      <c r="T87" s="70" t="s">
        <v>249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263</v>
      </c>
      <c r="C88" s="31" t="s">
        <v>206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260</v>
      </c>
      <c r="J88" s="55"/>
      <c r="K88" s="51"/>
      <c r="L88" s="43"/>
      <c r="M88" s="44"/>
      <c r="N88" s="44"/>
      <c r="O88" s="36" t="s">
        <v>258</v>
      </c>
      <c r="P88" s="76"/>
      <c r="Q88" s="51"/>
      <c r="R88" s="43"/>
      <c r="S88" s="44"/>
      <c r="T88" s="70" t="s">
        <v>264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265</v>
      </c>
      <c r="C89" s="31" t="s">
        <v>206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260</v>
      </c>
      <c r="J89" s="55"/>
      <c r="K89" s="51"/>
      <c r="L89" s="43"/>
      <c r="M89" s="44"/>
      <c r="N89" s="44"/>
      <c r="O89" s="36" t="s">
        <v>258</v>
      </c>
      <c r="P89" s="76"/>
      <c r="Q89" s="51"/>
      <c r="R89" s="43"/>
      <c r="S89" s="44"/>
      <c r="T89" s="70" t="s">
        <v>264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266</v>
      </c>
      <c r="C90" s="31" t="s">
        <v>206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260</v>
      </c>
      <c r="J90" s="55"/>
      <c r="K90" s="51"/>
      <c r="L90" s="43"/>
      <c r="M90" s="44"/>
      <c r="N90" s="44"/>
      <c r="O90" s="36" t="s">
        <v>258</v>
      </c>
      <c r="P90" s="76"/>
      <c r="Q90" s="51"/>
      <c r="R90" s="43"/>
      <c r="S90" s="44"/>
      <c r="T90" s="70" t="s">
        <v>264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267</v>
      </c>
      <c r="C91" s="31" t="s">
        <v>206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260</v>
      </c>
      <c r="J91" s="55"/>
      <c r="K91" s="51"/>
      <c r="L91" s="43"/>
      <c r="M91" s="44"/>
      <c r="N91" s="44"/>
      <c r="O91" s="36" t="s">
        <v>258</v>
      </c>
      <c r="P91" s="76"/>
      <c r="Q91" s="51"/>
      <c r="R91" s="43"/>
      <c r="S91" s="44"/>
      <c r="T91" s="70" t="s">
        <v>264</v>
      </c>
      <c r="U91" s="47"/>
      <c r="W91" s="43"/>
      <c r="X91" s="31"/>
      <c r="Y91" s="36"/>
      <c r="AA91" s="43"/>
      <c r="AB91" s="43"/>
      <c r="AC91" s="31" t="s">
        <v>268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269</v>
      </c>
      <c r="C92" s="31" t="s">
        <v>206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260</v>
      </c>
      <c r="J92" s="55"/>
      <c r="K92" s="51"/>
      <c r="L92" s="43"/>
      <c r="M92" s="44"/>
      <c r="N92" s="44"/>
      <c r="O92" s="36" t="s">
        <v>270</v>
      </c>
      <c r="P92" s="76"/>
      <c r="Q92" s="51"/>
      <c r="R92" s="43"/>
      <c r="S92" s="44"/>
      <c r="T92" s="70" t="s">
        <v>264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271</v>
      </c>
      <c r="C93" s="31" t="s">
        <v>206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260</v>
      </c>
      <c r="J93" s="55"/>
      <c r="K93" s="51"/>
      <c r="L93" s="43"/>
      <c r="M93" s="44"/>
      <c r="N93" s="44"/>
      <c r="O93" s="36" t="s">
        <v>270</v>
      </c>
      <c r="P93" s="76"/>
      <c r="Q93" s="51"/>
      <c r="R93" s="43"/>
      <c r="S93" s="44"/>
      <c r="T93" s="70" t="s">
        <v>264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272</v>
      </c>
      <c r="C94" s="31" t="s">
        <v>206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260</v>
      </c>
      <c r="J94" s="55"/>
      <c r="K94" s="51"/>
      <c r="L94" s="43"/>
      <c r="M94" s="44"/>
      <c r="N94" s="44"/>
      <c r="O94" s="36" t="s">
        <v>270</v>
      </c>
      <c r="P94" s="76"/>
      <c r="Q94" s="51"/>
      <c r="R94" s="43"/>
      <c r="S94" s="44"/>
      <c r="T94" s="70" t="s">
        <v>264</v>
      </c>
      <c r="U94" s="47"/>
      <c r="W94" s="43"/>
      <c r="X94" s="31"/>
      <c r="Y94" s="36"/>
      <c r="AA94" s="43"/>
      <c r="AB94" s="43"/>
      <c r="AC94" s="31" t="s">
        <v>273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274</v>
      </c>
      <c r="C95" s="31" t="s">
        <v>206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260</v>
      </c>
      <c r="J95" s="55"/>
      <c r="K95" s="51"/>
      <c r="L95" s="43"/>
      <c r="M95" s="44"/>
      <c r="N95" s="44"/>
      <c r="O95" s="36" t="s">
        <v>270</v>
      </c>
      <c r="P95" s="76"/>
      <c r="Q95" s="51"/>
      <c r="R95" s="43"/>
      <c r="S95" s="44"/>
      <c r="T95" s="70" t="s">
        <v>275</v>
      </c>
      <c r="U95" s="47"/>
      <c r="W95" s="43"/>
      <c r="X95" s="31"/>
      <c r="Y95" s="36"/>
      <c r="AA95" s="43"/>
      <c r="AB95" s="43"/>
      <c r="AC95" s="31" t="s">
        <v>276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277</v>
      </c>
      <c r="C96" s="31" t="s">
        <v>206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260</v>
      </c>
      <c r="J96" s="55"/>
      <c r="K96" s="51"/>
      <c r="L96" s="43"/>
      <c r="M96" s="44"/>
      <c r="N96" s="44"/>
      <c r="O96" s="36" t="s">
        <v>270</v>
      </c>
      <c r="P96" s="76"/>
      <c r="Q96" s="51"/>
      <c r="R96" s="43"/>
      <c r="S96" s="44"/>
      <c r="T96" s="70" t="s">
        <v>275</v>
      </c>
      <c r="U96" s="47"/>
      <c r="W96" s="43"/>
      <c r="X96" s="31"/>
      <c r="Y96" s="36"/>
      <c r="AA96" s="43"/>
      <c r="AB96" s="43"/>
      <c r="AC96" s="31" t="s">
        <v>278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279</v>
      </c>
      <c r="C97" s="31" t="s">
        <v>206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260</v>
      </c>
      <c r="J97" s="55"/>
      <c r="K97" s="51"/>
      <c r="L97" s="43"/>
      <c r="M97" s="44"/>
      <c r="N97" s="44"/>
      <c r="O97" s="36" t="s">
        <v>270</v>
      </c>
      <c r="P97" s="76"/>
      <c r="Q97" s="51"/>
      <c r="R97" s="43"/>
      <c r="S97" s="44"/>
      <c r="T97" s="70" t="s">
        <v>275</v>
      </c>
      <c r="U97" s="47"/>
      <c r="W97" s="43"/>
      <c r="X97" s="31"/>
      <c r="Y97" s="36"/>
      <c r="AA97" s="43"/>
      <c r="AB97" s="43"/>
      <c r="AC97" s="31" t="s">
        <v>280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281</v>
      </c>
      <c r="C98" s="31" t="s">
        <v>206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260</v>
      </c>
      <c r="J98" s="55"/>
      <c r="K98" s="51"/>
      <c r="L98" s="43"/>
      <c r="M98" s="44"/>
      <c r="N98" s="44"/>
      <c r="O98" s="36" t="s">
        <v>270</v>
      </c>
      <c r="P98" s="76"/>
      <c r="Q98" s="51"/>
      <c r="R98" s="43"/>
      <c r="S98" s="44"/>
      <c r="T98" s="70" t="s">
        <v>275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282</v>
      </c>
      <c r="C99" s="31" t="s">
        <v>206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283</v>
      </c>
      <c r="F99" s="31"/>
      <c r="G99" s="31"/>
      <c r="H99" s="50">
        <v>46356</v>
      </c>
      <c r="I99" s="57" t="s">
        <v>260</v>
      </c>
      <c r="J99" s="55"/>
      <c r="K99" s="51"/>
      <c r="L99" s="43"/>
      <c r="M99" s="44"/>
      <c r="N99" s="44"/>
      <c r="O99" s="36" t="s">
        <v>270</v>
      </c>
      <c r="P99" s="76"/>
      <c r="Q99" s="51"/>
      <c r="R99" s="43"/>
      <c r="S99" s="44"/>
      <c r="T99" s="70" t="s">
        <v>275</v>
      </c>
      <c r="U99" s="47"/>
      <c r="W99" s="43"/>
      <c r="X99" s="31"/>
      <c r="Y99" s="36"/>
      <c r="AA99" s="43"/>
      <c r="AB99" s="43"/>
      <c r="AC99" s="31" t="s">
        <v>284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285</v>
      </c>
      <c r="C100" s="31" t="s">
        <v>206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260</v>
      </c>
      <c r="J100" s="55"/>
      <c r="K100" s="51"/>
      <c r="L100" s="43"/>
      <c r="M100" s="44"/>
      <c r="N100" s="44"/>
      <c r="O100" s="36" t="s">
        <v>270</v>
      </c>
      <c r="P100" s="76"/>
      <c r="Q100" s="51"/>
      <c r="R100" s="43"/>
      <c r="S100" s="44"/>
      <c r="T100" s="70" t="s">
        <v>275</v>
      </c>
      <c r="U100" s="47"/>
      <c r="W100" s="43"/>
      <c r="X100" s="31"/>
      <c r="Y100" s="36"/>
      <c r="AA100" s="43"/>
      <c r="AB100" s="43"/>
      <c r="AC100" s="31" t="s">
        <v>286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287</v>
      </c>
      <c r="B101" s="31" t="s">
        <v>288</v>
      </c>
      <c r="C101" s="31" t="s">
        <v>206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289</v>
      </c>
      <c r="J101" s="55"/>
      <c r="L101" s="43"/>
      <c r="M101" s="31"/>
      <c r="N101" s="31"/>
      <c r="O101" s="36" t="s">
        <v>290</v>
      </c>
      <c r="P101" s="76"/>
      <c r="R101" s="43"/>
      <c r="S101" s="31"/>
      <c r="T101" s="70" t="s">
        <v>275</v>
      </c>
      <c r="U101" s="47"/>
      <c r="W101" s="43"/>
      <c r="X101" s="31"/>
      <c r="Y101" s="36"/>
      <c r="AA101" s="43"/>
      <c r="AB101" s="43"/>
      <c r="AC101" s="31" t="s">
        <v>291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287</v>
      </c>
      <c r="B102" s="31" t="s">
        <v>292</v>
      </c>
      <c r="C102" s="31" t="s">
        <v>206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289</v>
      </c>
      <c r="J102" s="55"/>
      <c r="L102" s="43"/>
      <c r="M102" s="31"/>
      <c r="N102" s="31"/>
      <c r="O102" s="36" t="s">
        <v>290</v>
      </c>
      <c r="P102" s="76"/>
      <c r="R102" s="43"/>
      <c r="S102" s="31"/>
      <c r="T102" s="70" t="s">
        <v>293</v>
      </c>
      <c r="U102" s="47"/>
      <c r="W102" s="43"/>
      <c r="X102" s="31"/>
      <c r="Y102" s="36"/>
      <c r="AA102" s="43"/>
      <c r="AB102" s="43"/>
      <c r="AC102" s="31" t="s">
        <v>294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287</v>
      </c>
      <c r="B103" s="31" t="s">
        <v>295</v>
      </c>
      <c r="C103" s="31" t="s">
        <v>206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289</v>
      </c>
      <c r="J103" s="55"/>
      <c r="L103" s="43"/>
      <c r="M103" s="31"/>
      <c r="N103" s="31"/>
      <c r="O103" s="36" t="s">
        <v>290</v>
      </c>
      <c r="P103" s="76"/>
      <c r="R103" s="43"/>
      <c r="S103" s="31"/>
      <c r="T103" s="70" t="s">
        <v>293</v>
      </c>
      <c r="U103" s="47"/>
      <c r="W103" s="43"/>
      <c r="X103" s="31"/>
      <c r="Y103" s="36"/>
      <c r="AA103" s="43"/>
      <c r="AB103" s="43"/>
      <c r="AC103" s="31" t="s">
        <v>296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297</v>
      </c>
      <c r="B104" s="31" t="s">
        <v>298</v>
      </c>
      <c r="C104" s="31" t="s">
        <v>206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289</v>
      </c>
      <c r="J104" s="55"/>
      <c r="L104" s="43"/>
      <c r="M104" s="31"/>
      <c r="N104" s="31"/>
      <c r="O104" s="36" t="s">
        <v>290</v>
      </c>
      <c r="P104" s="76"/>
      <c r="R104" s="43"/>
      <c r="S104" s="31"/>
      <c r="T104" s="70" t="s">
        <v>293</v>
      </c>
      <c r="U104" s="47"/>
      <c r="W104" s="43"/>
      <c r="X104" s="31"/>
      <c r="Y104" s="36"/>
      <c r="AA104" s="43"/>
      <c r="AB104" s="43"/>
      <c r="AC104" s="31" t="s">
        <v>299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287</v>
      </c>
      <c r="B105" s="31" t="s">
        <v>300</v>
      </c>
      <c r="C105" s="31" t="s">
        <v>206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289</v>
      </c>
      <c r="J105" s="55"/>
      <c r="L105" s="43"/>
      <c r="M105" s="31"/>
      <c r="N105" s="31"/>
      <c r="O105" s="36" t="s">
        <v>290</v>
      </c>
      <c r="P105" s="76"/>
      <c r="R105" s="43"/>
      <c r="S105" s="31"/>
      <c r="T105" s="70" t="s">
        <v>293</v>
      </c>
      <c r="U105" s="47"/>
      <c r="W105" s="43"/>
      <c r="X105" s="31"/>
      <c r="Y105" s="36"/>
      <c r="AA105" s="43"/>
      <c r="AB105" s="43"/>
      <c r="AC105" s="31" t="s">
        <v>301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287</v>
      </c>
      <c r="B106" s="31" t="s">
        <v>302</v>
      </c>
      <c r="C106" s="31" t="s">
        <v>206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289</v>
      </c>
      <c r="J106" s="55"/>
      <c r="L106" s="43"/>
      <c r="M106" s="31"/>
      <c r="N106" s="31"/>
      <c r="O106" s="36" t="s">
        <v>290</v>
      </c>
      <c r="P106" s="76"/>
      <c r="R106" s="43"/>
      <c r="S106" s="31"/>
      <c r="T106" s="70" t="s">
        <v>293</v>
      </c>
      <c r="U106" s="47"/>
      <c r="W106" s="43"/>
      <c r="X106" s="31"/>
      <c r="Y106" s="36"/>
      <c r="AA106" s="43"/>
      <c r="AB106" s="43"/>
      <c r="AC106" s="31" t="s">
        <v>303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287</v>
      </c>
      <c r="B107" s="31" t="s">
        <v>304</v>
      </c>
      <c r="C107" s="31" t="s">
        <v>206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289</v>
      </c>
      <c r="J107" s="55"/>
      <c r="L107" s="43"/>
      <c r="M107" s="31"/>
      <c r="N107" s="31"/>
      <c r="O107" s="36" t="s">
        <v>290</v>
      </c>
      <c r="P107" s="76"/>
      <c r="R107" s="43"/>
      <c r="S107" s="31"/>
      <c r="T107" s="70" t="s">
        <v>293</v>
      </c>
      <c r="U107" s="47"/>
      <c r="W107" s="43"/>
      <c r="X107" s="31"/>
      <c r="Y107" s="36"/>
      <c r="AA107" s="43"/>
      <c r="AB107" s="43"/>
      <c r="AC107" s="31" t="s">
        <v>305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287</v>
      </c>
      <c r="B108" s="31" t="s">
        <v>306</v>
      </c>
      <c r="C108" s="31" t="s">
        <v>206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289</v>
      </c>
      <c r="J108" s="55"/>
      <c r="L108" s="43"/>
      <c r="M108" s="31"/>
      <c r="N108" s="31"/>
      <c r="O108" s="36" t="s">
        <v>307</v>
      </c>
      <c r="P108" s="76"/>
      <c r="R108" s="43"/>
      <c r="S108" s="31"/>
      <c r="T108" s="70" t="s">
        <v>293</v>
      </c>
      <c r="U108" s="47"/>
      <c r="W108" s="43"/>
      <c r="X108" s="31"/>
      <c r="Y108" s="36"/>
      <c r="AA108" s="43"/>
      <c r="AB108" s="43"/>
      <c r="AC108" s="31" t="s">
        <v>308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297</v>
      </c>
      <c r="B109" s="31" t="s">
        <v>309</v>
      </c>
      <c r="C109" s="31" t="s">
        <v>206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289</v>
      </c>
      <c r="J109" s="55"/>
      <c r="L109" s="43"/>
      <c r="M109" s="31"/>
      <c r="N109" s="31"/>
      <c r="O109" s="36" t="s">
        <v>307</v>
      </c>
      <c r="P109" s="76"/>
      <c r="R109" s="43"/>
      <c r="S109" s="31"/>
      <c r="T109" s="70" t="s">
        <v>310</v>
      </c>
      <c r="U109" s="47"/>
      <c r="W109" s="43"/>
      <c r="X109" s="31"/>
      <c r="Y109" s="36"/>
      <c r="AA109" s="43"/>
      <c r="AB109" s="43"/>
      <c r="AC109" s="31" t="s">
        <v>311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287</v>
      </c>
      <c r="B110" s="31" t="s">
        <v>312</v>
      </c>
      <c r="C110" s="31" t="s">
        <v>206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289</v>
      </c>
      <c r="J110" s="55"/>
      <c r="L110" s="43"/>
      <c r="M110" s="31"/>
      <c r="N110" s="31"/>
      <c r="O110" s="36" t="s">
        <v>307</v>
      </c>
      <c r="P110" s="76"/>
      <c r="R110" s="43"/>
      <c r="S110" s="31"/>
      <c r="T110" s="70" t="s">
        <v>310</v>
      </c>
      <c r="U110" s="47"/>
      <c r="W110" s="43"/>
      <c r="X110" s="31"/>
      <c r="Y110" s="36"/>
      <c r="AA110" s="43"/>
      <c r="AB110" s="43"/>
      <c r="AC110" s="31" t="s">
        <v>313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297</v>
      </c>
      <c r="B111" s="31" t="s">
        <v>314</v>
      </c>
      <c r="C111" s="31" t="s">
        <v>206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289</v>
      </c>
      <c r="J111" s="55"/>
      <c r="L111" s="43"/>
      <c r="M111" s="31"/>
      <c r="N111" s="31"/>
      <c r="O111" s="36" t="s">
        <v>307</v>
      </c>
      <c r="P111" s="76"/>
      <c r="R111" s="43"/>
      <c r="S111" s="31"/>
      <c r="T111" s="70" t="s">
        <v>310</v>
      </c>
      <c r="U111" s="47"/>
      <c r="W111" s="43"/>
      <c r="X111" s="31"/>
      <c r="Y111" s="36"/>
      <c r="AA111" s="43"/>
      <c r="AB111" s="43"/>
      <c r="AC111" s="31" t="s">
        <v>315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297</v>
      </c>
      <c r="B112" s="31" t="s">
        <v>316</v>
      </c>
      <c r="C112" s="31" t="s">
        <v>206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289</v>
      </c>
      <c r="J112" s="55"/>
      <c r="L112" s="43"/>
      <c r="M112" s="31"/>
      <c r="N112" s="31"/>
      <c r="O112" s="36" t="s">
        <v>307</v>
      </c>
      <c r="P112" s="76"/>
      <c r="R112" s="43"/>
      <c r="S112" s="31"/>
      <c r="T112" s="70" t="s">
        <v>310</v>
      </c>
      <c r="U112" s="47"/>
      <c r="W112" s="43"/>
      <c r="X112" s="31"/>
      <c r="Y112" s="36"/>
      <c r="AA112" s="43"/>
      <c r="AB112" s="43"/>
      <c r="AC112" s="31" t="s">
        <v>311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297</v>
      </c>
      <c r="B113" s="31" t="s">
        <v>317</v>
      </c>
      <c r="C113" s="31" t="s">
        <v>206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289</v>
      </c>
      <c r="J113" s="55"/>
      <c r="L113" s="43"/>
      <c r="M113" s="31"/>
      <c r="N113" s="31"/>
      <c r="O113" s="36" t="s">
        <v>307</v>
      </c>
      <c r="P113" s="76"/>
      <c r="R113" s="43"/>
      <c r="S113" s="31"/>
      <c r="T113" s="70" t="s">
        <v>310</v>
      </c>
      <c r="U113" s="47"/>
      <c r="W113" s="43"/>
      <c r="X113" s="31"/>
      <c r="Y113" s="36"/>
      <c r="AA113" s="43"/>
      <c r="AB113" s="43"/>
      <c r="AC113" s="31" t="s">
        <v>311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297</v>
      </c>
      <c r="B114" s="31" t="s">
        <v>318</v>
      </c>
      <c r="C114" s="31" t="s">
        <v>206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289</v>
      </c>
      <c r="J114" s="55"/>
      <c r="L114" s="43"/>
      <c r="M114" s="31"/>
      <c r="N114" s="31"/>
      <c r="O114" s="36" t="s">
        <v>319</v>
      </c>
      <c r="P114" s="76"/>
      <c r="R114" s="43"/>
      <c r="S114" s="31"/>
      <c r="T114" s="70" t="s">
        <v>310</v>
      </c>
      <c r="U114" s="47"/>
      <c r="W114" s="43"/>
      <c r="X114" s="31"/>
      <c r="Y114" s="36"/>
      <c r="AA114" s="43"/>
      <c r="AB114" s="43"/>
      <c r="AC114" s="31" t="s">
        <v>315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297</v>
      </c>
      <c r="B115" s="31" t="s">
        <v>320</v>
      </c>
      <c r="C115" s="31" t="s">
        <v>206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289</v>
      </c>
      <c r="J115" s="55"/>
      <c r="L115" s="43"/>
      <c r="M115" s="31"/>
      <c r="N115" s="31"/>
      <c r="O115" s="36" t="s">
        <v>319</v>
      </c>
      <c r="P115" s="76"/>
      <c r="R115" s="43"/>
      <c r="S115" s="31"/>
      <c r="T115" s="70" t="s">
        <v>310</v>
      </c>
      <c r="U115" s="47"/>
      <c r="W115" s="43"/>
      <c r="X115" s="31"/>
      <c r="Y115" s="36"/>
      <c r="AA115" s="43"/>
      <c r="AB115" s="43"/>
      <c r="AC115" s="31" t="s">
        <v>261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101:AD526 W46:AK46 W45:AJ45 W42:AJ42 W4:AK41 W48:AK72 G43:V73 A2:F115 A74:AG100">
    <cfRule type="expression" dxfId="106" priority="37">
      <formula>AND($B2&lt;&gt;"",MOD(ROW(),2)=0)</formula>
    </cfRule>
  </conditionalFormatting>
  <conditionalFormatting sqref="D2:D526">
    <cfRule type="expression" dxfId="105" priority="21">
      <formula>ISNUMBER(SEARCH("Blocked",$D2))</formula>
    </cfRule>
    <cfRule type="expression" dxfId="104" priority="22">
      <formula>ISNUMBER(SEARCH("overdue",$D2))</formula>
    </cfRule>
    <cfRule type="expression" dxfId="103" priority="23">
      <formula>ISNUMBER(SEARCH("no target",$D2))</formula>
    </cfRule>
    <cfRule type="expression" dxfId="102" priority="24">
      <formula>ISNUMBER(SEARCH("Review",$D2))</formula>
    </cfRule>
    <cfRule type="expression" dxfId="101" priority="25">
      <formula>OR($D2="On track",$D2="Delivered")</formula>
    </cfRule>
  </conditionalFormatting>
  <conditionalFormatting sqref="J2:O191">
    <cfRule type="expression" dxfId="100" priority="4">
      <formula>$AI2="Yes – needs DB Dev to fix"</formula>
    </cfRule>
  </conditionalFormatting>
  <conditionalFormatting sqref="K41">
    <cfRule type="expression" dxfId="99" priority="287">
      <formula>AND($B41&lt;&gt;"",MOD(ROW(),2)=0)</formula>
    </cfRule>
    <cfRule type="expression" dxfId="98" priority="288">
      <formula>$AI41="Yes – needs DB Dev to fix"</formula>
    </cfRule>
  </conditionalFormatting>
  <conditionalFormatting sqref="K42">
    <cfRule type="expression" dxfId="97" priority="289">
      <formula>AND($B41&lt;&gt;"",MOD(ROW(),2)=0)</formula>
    </cfRule>
    <cfRule type="expression" dxfId="96" priority="290">
      <formula>$AI41="Yes – needs DB Dev to fix"</formula>
    </cfRule>
  </conditionalFormatting>
  <conditionalFormatting sqref="K73:L100">
    <cfRule type="expression" dxfId="95" priority="96">
      <formula>$AE73="Yes – needs DB Dev to fix"</formula>
    </cfRule>
  </conditionalFormatting>
  <conditionalFormatting sqref="K101:L526">
    <cfRule type="expression" dxfId="94" priority="30">
      <formula>$Z101="Yes – needs DB Dev to fix"</formula>
    </cfRule>
  </conditionalFormatting>
  <conditionalFormatting sqref="M73:P100">
    <cfRule type="expression" dxfId="93" priority="281">
      <formula>$AC73="Yes – needs PBI Dev to fix"</formula>
    </cfRule>
  </conditionalFormatting>
  <conditionalFormatting sqref="M101:P526">
    <cfRule type="expression" dxfId="92" priority="283">
      <formula>$Z101="Yes – needs PBI Dev to fix"</formula>
    </cfRule>
  </conditionalFormatting>
  <conditionalFormatting sqref="Q73:Q100">
    <cfRule type="expression" dxfId="91" priority="100">
      <formula>$AE73="Yes – needs PBI Dev to fix"</formula>
    </cfRule>
  </conditionalFormatting>
  <conditionalFormatting sqref="Q101:R526">
    <cfRule type="expression" dxfId="90" priority="32">
      <formula>$Z101="Yes – needs QA to fix"</formula>
    </cfRule>
  </conditionalFormatting>
  <conditionalFormatting sqref="K40:K41 J29 M29:P29 J32:J33 M32:P33 M40:P41 Q2:U115">
    <cfRule type="expression" dxfId="89" priority="11">
      <formula>$AI2="Yes – needs PBI Dev to fix"</formula>
    </cfRule>
  </conditionalFormatting>
  <conditionalFormatting sqref="R73:U100 T96:T101">
    <cfRule type="expression" dxfId="88" priority="102">
      <formula>$AE73="Yes – needs QA to fix"</formula>
    </cfRule>
  </conditionalFormatting>
  <conditionalFormatting sqref="S101:U526">
    <cfRule type="expression" dxfId="87" priority="33">
      <formula>$Z101="Yes – needs DPO Approval to fix"</formula>
    </cfRule>
  </conditionalFormatting>
  <conditionalFormatting sqref="U10:V19">
    <cfRule type="expression" dxfId="86" priority="20">
      <formula>$AI10="Yes – needs PBI Dev to fix"</formula>
    </cfRule>
  </conditionalFormatting>
  <conditionalFormatting sqref="U101:V526">
    <cfRule type="expression" dxfId="85" priority="29">
      <formula>$V101="Yes"</formula>
    </cfRule>
  </conditionalFormatting>
  <conditionalFormatting sqref="U73:W100">
    <cfRule type="expression" dxfId="84" priority="104">
      <formula>$AE73="Yes – needs DPO Approval to fix"</formula>
    </cfRule>
  </conditionalFormatting>
  <conditionalFormatting sqref="U2:Y115">
    <cfRule type="expression" dxfId="83" priority="75">
      <formula>$AI2="Yes – needs QA to fix"</formula>
    </cfRule>
  </conditionalFormatting>
  <conditionalFormatting sqref="X73:Y100">
    <cfRule type="expression" dxfId="82" priority="106">
      <formula>$X73="Yes"</formula>
    </cfRule>
  </conditionalFormatting>
  <conditionalFormatting sqref="Z3">
    <cfRule type="expression" dxfId="81" priority="291">
      <formula>AND($B3&lt;&gt;"",MOD(ROW(),2)=0)</formula>
    </cfRule>
    <cfRule type="expression" dxfId="80" priority="292">
      <formula>$AI3="Yes – needs DPO Approval to fix"</formula>
    </cfRule>
  </conditionalFormatting>
  <conditionalFormatting sqref="Z101:Z526">
    <cfRule type="expression" dxfId="79" priority="26">
      <formula>LEFT($Z101,3)="Yes"</formula>
    </cfRule>
  </conditionalFormatting>
  <conditionalFormatting sqref="Z2:AD2 AA3:AD3 Z4:AD100">
    <cfRule type="expression" dxfId="78" priority="78">
      <formula>$AI2="Yes – needs DPO Approval to fix"</formula>
    </cfRule>
  </conditionalFormatting>
  <conditionalFormatting sqref="AA101:AB526">
    <cfRule type="expression" dxfId="77" priority="34">
      <formula>ISNUMBER(SEARCH("Move old",$AA101))</formula>
    </cfRule>
    <cfRule type="expression" dxfId="76" priority="34">
      <formula>ISNUMBER(SEARCH("log it",$AA101))</formula>
    </cfRule>
    <cfRule type="expression" dxfId="75" priority="34">
      <formula>ISNUMBER(SEARCH("Open rework",$AA101))</formula>
    </cfRule>
    <cfRule type="expression" dxfId="74" priority="35">
      <formula>ISNUMBER(SEARCH("Duplicate",$AA101))</formula>
    </cfRule>
    <cfRule type="expression" dxfId="73" priority="36">
      <formula>$AA101&lt;&gt;""</formula>
    </cfRule>
  </conditionalFormatting>
  <conditionalFormatting sqref="AE2:AE115">
    <cfRule type="expression" dxfId="72" priority="50">
      <formula>$AE2="Yes"</formula>
    </cfRule>
  </conditionalFormatting>
  <conditionalFormatting sqref="AE73:AE100">
    <cfRule type="expression" dxfId="71" priority="108">
      <formula>LEFT($AE73,3)="Yes"</formula>
    </cfRule>
  </conditionalFormatting>
  <conditionalFormatting sqref="AF73:AF100">
    <cfRule type="expression" dxfId="70" priority="114">
      <formula>ISNUMBER(SEARCH("Open rework",$AF73))</formula>
    </cfRule>
    <cfRule type="expression" dxfId="69" priority="115">
      <formula>ISNUMBER(SEARCH("Move old",$AF73))</formula>
    </cfRule>
    <cfRule type="expression" dxfId="68" priority="116">
      <formula>ISNUMBER(SEARCH("log it",$AF73))</formula>
    </cfRule>
    <cfRule type="expression" dxfId="67" priority="117">
      <formula>ISNUMBER(SEARCH("Duplicate",$AF73))</formula>
    </cfRule>
    <cfRule type="expression" dxfId="66" priority="118">
      <formula>$AF73&lt;&gt;""</formula>
    </cfRule>
  </conditionalFormatting>
  <conditionalFormatting sqref="AI2:AI115">
    <cfRule type="expression" dxfId="65" priority="52">
      <formula>LEFT($AI2,3)="Yes"</formula>
    </cfRule>
  </conditionalFormatting>
  <conditionalFormatting sqref="AJ2:AJ115">
    <cfRule type="expression" dxfId="64" priority="58">
      <formula>ISNUMBER(SEARCH("log it",$AJ2))</formula>
    </cfRule>
    <cfRule type="expression" dxfId="63" priority="59">
      <formula>ISNUMBER(SEARCH("Open rework",$AJ2))</formula>
    </cfRule>
    <cfRule type="expression" dxfId="62" priority="60">
      <formula>ISNUMBER(SEARCH("Move old",$AJ2))</formula>
    </cfRule>
    <cfRule type="expression" dxfId="61" priority="61">
      <formula>ISNUMBER(SEARCH("Duplicate",$AJ2))</formula>
    </cfRule>
    <cfRule type="expression" dxfId="60" priority="62">
      <formula>$AJ2&lt;&gt;""</formula>
    </cfRule>
  </conditionalFormatting>
  <conditionalFormatting sqref="AK47">
    <cfRule type="expression" dxfId="59" priority="294">
      <formula>AND($B51&lt;&gt;"",MOD(ROW(),2)=0)</formula>
    </cfRule>
  </conditionalFormatting>
  <conditionalFormatting sqref="M73">
    <cfRule type="expression" dxfId="58" priority="3">
      <formula>$AE73="Yes – needs DB Dev to fix"</formula>
    </cfRule>
  </conditionalFormatting>
  <conditionalFormatting sqref="O101:O113">
    <cfRule type="expression" dxfId="57" priority="2">
      <formula>$AC101="Yes – needs PBI Dev to fix"</formula>
    </cfRule>
  </conditionalFormatting>
  <conditionalFormatting sqref="AK45">
    <cfRule type="expression" dxfId="56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321</v>
      </c>
    </row>
    <row r="2" spans="1:5">
      <c r="A2" s="6" t="s">
        <v>322</v>
      </c>
    </row>
    <row r="4" spans="1:5" ht="21.95" customHeight="1">
      <c r="A4" s="5" t="s">
        <v>323</v>
      </c>
      <c r="B4" s="102"/>
      <c r="C4" s="103"/>
      <c r="D4" s="103"/>
      <c r="E4" s="103"/>
    </row>
    <row r="6" spans="1:5">
      <c r="A6" s="42" t="s">
        <v>0</v>
      </c>
      <c r="B6" s="100" t="str">
        <f>IF($B$4="","",IFERROR(INDEX('Combined Delivery Data'!$A:$A,MATCH($B$4,'Combined Delivery Data'!$B:$B,0)),""))</f>
        <v/>
      </c>
      <c r="C6" s="104"/>
      <c r="D6" s="104"/>
      <c r="E6" s="105"/>
    </row>
    <row r="7" spans="1:5">
      <c r="A7" s="42" t="s">
        <v>324</v>
      </c>
      <c r="B7" s="100" t="str">
        <f>IF($B$4="","",IFERROR(INDEX('Combined Delivery Data'!$C:$C,MATCH($B$4,'Combined Delivery Data'!$B:$B,0)),""))</f>
        <v/>
      </c>
      <c r="C7" s="104"/>
      <c r="D7" s="104"/>
      <c r="E7" s="105"/>
    </row>
    <row r="8" spans="1:5">
      <c r="A8" s="42" t="s">
        <v>3</v>
      </c>
      <c r="B8" s="100" t="str">
        <f>IF($B$4="","",IFERROR(INDEX('Combined Delivery Data'!$D:$D,MATCH($B$4,'Combined Delivery Data'!$B:$B,0)),""))</f>
        <v/>
      </c>
      <c r="C8" s="104"/>
      <c r="D8" s="104"/>
      <c r="E8" s="105"/>
    </row>
    <row r="9" spans="1:5">
      <c r="A9" s="42" t="s">
        <v>4</v>
      </c>
      <c r="B9" s="100" t="str">
        <f>IF($B$4="","",IFERROR(INDEX('Combined Delivery Data'!$E:$E,MATCH($B$4,'Combined Delivery Data'!$B:$B,0)),""))</f>
        <v/>
      </c>
      <c r="C9" s="104"/>
      <c r="D9" s="104"/>
      <c r="E9" s="105"/>
    </row>
    <row r="10" spans="1:5">
      <c r="A10" s="42" t="s">
        <v>5</v>
      </c>
      <c r="B10" s="100" t="str">
        <f>IF($B$4="","",IFERROR(INDEX('Combined Delivery Data'!$F:$F,MATCH($B$4,'Combined Delivery Data'!$B:$B,0)),""))</f>
        <v/>
      </c>
      <c r="C10" s="104"/>
      <c r="D10" s="104"/>
      <c r="E10" s="105"/>
    </row>
    <row r="11" spans="1:5">
      <c r="A11" s="42" t="s">
        <v>9</v>
      </c>
      <c r="B11" s="100" t="str">
        <f>IF($B$4="","",IFERROR(INDEX('Combined Delivery Data'!$J:$J,MATCH($B$4,'Combined Delivery Data'!$B:$B,0)),""))</f>
        <v/>
      </c>
      <c r="C11" s="104"/>
      <c r="D11" s="104"/>
      <c r="E11" s="105"/>
    </row>
    <row r="12" spans="1:5">
      <c r="A12" s="42" t="s">
        <v>15</v>
      </c>
      <c r="B12" s="100" t="str">
        <f>IF($B$4="","",IFERROR(INDEX('Combined Delivery Data'!$P:$P,MATCH($B$4,'Combined Delivery Data'!$B:$B,0)),""))</f>
        <v/>
      </c>
      <c r="C12" s="104"/>
      <c r="D12" s="104"/>
      <c r="E12" s="105"/>
    </row>
    <row r="13" spans="1:5">
      <c r="A13" s="42" t="s">
        <v>20</v>
      </c>
      <c r="B13" s="100" t="str">
        <f>IF($B$4="","",IFERROR(INDEX('Combined Delivery Data'!$U:$U,MATCH($B$4,'Combined Delivery Data'!$B:$B,0)),""))</f>
        <v/>
      </c>
      <c r="C13" s="104"/>
      <c r="D13" s="104"/>
      <c r="E13" s="105"/>
    </row>
    <row r="14" spans="1:5">
      <c r="A14" s="42" t="s">
        <v>325</v>
      </c>
      <c r="B14" s="99" t="str">
        <f>IF($B$4="","",IFERROR(INDEX('Combined Delivery Data'!$K:$K,MATCH($B$4,'Combined Delivery Data'!$B:$B,0)),""))</f>
        <v/>
      </c>
      <c r="C14" s="104"/>
      <c r="D14" s="104"/>
      <c r="E14" s="105"/>
    </row>
    <row r="15" spans="1:5">
      <c r="A15" s="42" t="s">
        <v>326</v>
      </c>
      <c r="B15" s="99" t="str">
        <f>IF($B$4="","",IFERROR(INDEX('Combined Delivery Data'!$L:$L,MATCH($B$4,'Combined Delivery Data'!$B:$B,0)),""))</f>
        <v/>
      </c>
      <c r="C15" s="104"/>
      <c r="D15" s="104"/>
      <c r="E15" s="105"/>
    </row>
    <row r="16" spans="1:5">
      <c r="A16" s="42" t="s">
        <v>327</v>
      </c>
      <c r="B16" s="99" t="str">
        <f>IF($B$4="","",IFERROR(INDEX('Combined Delivery Data'!$M:$M,MATCH($B$4,'Combined Delivery Data'!$B:$B,0)),""))</f>
        <v/>
      </c>
      <c r="C16" s="104"/>
      <c r="D16" s="104"/>
      <c r="E16" s="105"/>
    </row>
    <row r="17" spans="1:5">
      <c r="A17" s="42" t="s">
        <v>328</v>
      </c>
      <c r="B17" s="99" t="str">
        <f>IF($B$4="","",IFERROR(INDEX('Combined Delivery Data'!$O:$O,MATCH($B$4,'Combined Delivery Data'!$B:$B,0)),""))</f>
        <v/>
      </c>
      <c r="C17" s="104"/>
      <c r="D17" s="104"/>
      <c r="E17" s="105"/>
    </row>
    <row r="18" spans="1:5">
      <c r="A18" s="42" t="s">
        <v>329</v>
      </c>
      <c r="B18" s="99" t="str">
        <f>IF($B$4="","",IFERROR(INDEX('Combined Delivery Data'!$Q:$Q,MATCH($B$4,'Combined Delivery Data'!$B:$B,0)),""))</f>
        <v/>
      </c>
      <c r="C18" s="104"/>
      <c r="D18" s="104"/>
      <c r="E18" s="105"/>
    </row>
    <row r="19" spans="1:5">
      <c r="A19" s="42" t="s">
        <v>330</v>
      </c>
      <c r="B19" s="99" t="str">
        <f>IF($B$4="","",IFERROR(INDEX('Combined Delivery Data'!$R:$R,MATCH($B$4,'Combined Delivery Data'!$B:$B,0)),""))</f>
        <v/>
      </c>
      <c r="C19" s="104"/>
      <c r="D19" s="104"/>
      <c r="E19" s="105"/>
    </row>
    <row r="20" spans="1:5">
      <c r="A20" s="42" t="s">
        <v>331</v>
      </c>
      <c r="B20" s="99" t="str">
        <f>IF($B$4="","",IFERROR(INDEX('Combined Delivery Data'!$S:$S,MATCH($B$4,'Combined Delivery Data'!$B:$B,0)),""))</f>
        <v/>
      </c>
      <c r="C20" s="104"/>
      <c r="D20" s="104"/>
      <c r="E20" s="105"/>
    </row>
    <row r="21" spans="1:5">
      <c r="A21" s="42" t="s">
        <v>28</v>
      </c>
      <c r="B21" s="100" t="str">
        <f>IF($B$4="","",IFERROR(INDEX('Combined Delivery Data'!$T:$T,MATCH($B$4,'Combined Delivery Data'!$B:$B,0)),""))</f>
        <v/>
      </c>
      <c r="C21" s="104"/>
      <c r="D21" s="104"/>
      <c r="E21" s="105"/>
    </row>
    <row r="22" spans="1:5">
      <c r="A22" s="42" t="s">
        <v>30</v>
      </c>
      <c r="B22" s="100" t="str">
        <f>IF($B$4="","",IFERROR(INDEX('Combined Delivery Data'!$V:$V,MATCH($B$4,'Combined Delivery Data'!$B:$B,0)),""))</f>
        <v/>
      </c>
      <c r="C22" s="104"/>
      <c r="D22" s="104"/>
      <c r="E22" s="105"/>
    </row>
    <row r="23" spans="1:5">
      <c r="A23" s="42" t="s">
        <v>31</v>
      </c>
      <c r="B23" s="99" t="str">
        <f>IF($B$4="","",IFERROR(INDEX('Combined Delivery Data'!$W:$W,MATCH($B$4,'Combined Delivery Data'!$B:$B,0)),""))</f>
        <v/>
      </c>
      <c r="C23" s="104"/>
      <c r="D23" s="104"/>
      <c r="E23" s="105"/>
    </row>
    <row r="24" spans="1:5">
      <c r="A24" s="42" t="s">
        <v>34</v>
      </c>
      <c r="B24" s="100" t="str">
        <f>IF($B$4="","",IFERROR(INDEX('Combined Delivery Data'!$Z:$Z,MATCH($B$4,'Combined Delivery Data'!$B:$B,0)),""))</f>
        <v/>
      </c>
      <c r="C24" s="104"/>
      <c r="D24" s="104"/>
      <c r="E24" s="105"/>
    </row>
    <row r="25" spans="1:5">
      <c r="A25" s="42" t="s">
        <v>35</v>
      </c>
      <c r="B25" s="100" t="str">
        <f>IF($B$4="","",IFERROR(INDEX('Combined Delivery Data'!$AA:$AA,MATCH($B$4,'Combined Delivery Data'!$B:$B,0)),""))</f>
        <v/>
      </c>
      <c r="C25" s="104"/>
      <c r="D25" s="104"/>
      <c r="E25" s="105"/>
    </row>
    <row r="26" spans="1:5">
      <c r="A26" s="42" t="s">
        <v>332</v>
      </c>
      <c r="B26" s="100" t="str">
        <f>IF($B$4="","",IFERROR(INDEX('Rework Log'!$Q:$Q,MATCH($B$4,'Rework Log'!$P:$P,0)),""))</f>
        <v/>
      </c>
      <c r="C26" s="104"/>
      <c r="D26" s="104"/>
      <c r="E26" s="105"/>
    </row>
    <row r="27" spans="1:5">
      <c r="A27" s="42" t="s">
        <v>333</v>
      </c>
      <c r="B27" s="100" t="str">
        <f>IF($B$4="","",IFERROR(INDEX('Rework Log'!$R:$R,MATCH($B$4,'Rework Log'!$P:$P,0)),""))</f>
        <v/>
      </c>
      <c r="C27" s="104"/>
      <c r="D27" s="104"/>
      <c r="E27" s="105"/>
    </row>
    <row r="28" spans="1:5">
      <c r="A28" s="42" t="s">
        <v>334</v>
      </c>
      <c r="B28" s="100" t="str">
        <f>IF($B$4="","",IFERROR(INDEX('Rework Log'!$S:$S,MATCH($B$4,'Rework Log'!$P:$P,0)),""))</f>
        <v/>
      </c>
      <c r="C28" s="104"/>
      <c r="D28" s="104"/>
      <c r="E28" s="105"/>
    </row>
    <row r="29" spans="1:5">
      <c r="A29" s="42" t="s">
        <v>335</v>
      </c>
      <c r="B29" s="100" t="str">
        <f>IF($B$4="","",IFERROR(INDEX('Rework Log'!$T:$T,MATCH($B$4,'Rework Log'!$P:$P,0)),""))</f>
        <v/>
      </c>
      <c r="C29" s="104"/>
      <c r="D29" s="104"/>
      <c r="E29" s="105"/>
    </row>
    <row r="30" spans="1:5" ht="15.6" customHeight="1">
      <c r="A30" s="42"/>
      <c r="B30" s="100"/>
      <c r="C30" s="104"/>
      <c r="D30" s="104"/>
      <c r="E30" s="105"/>
    </row>
    <row r="31" spans="1:5" ht="15.6" customHeight="1">
      <c r="A31" s="5" t="s">
        <v>36</v>
      </c>
      <c r="B31" s="106" t="str">
        <f>IF($B$4="","",IFERROR(INDEX('Combined Delivery Data'!$AC:$AC,MATCH($B$4,'Combined Delivery Data'!$B:$B,0)),""))</f>
        <v/>
      </c>
      <c r="C31" s="103"/>
      <c r="D31" s="103"/>
      <c r="E31" s="103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F13" activePane="bottomLeft" state="frozen"/>
      <selection pane="bottomLeft" activeCell="L27" sqref="L27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01" t="s">
        <v>336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P1" s="107" t="s">
        <v>337</v>
      </c>
      <c r="Q1" s="107"/>
      <c r="R1" s="107"/>
      <c r="S1" s="107"/>
      <c r="T1" s="107"/>
    </row>
    <row r="2" spans="1:20" ht="30" customHeight="1">
      <c r="A2" s="17" t="s">
        <v>1</v>
      </c>
      <c r="B2" s="17" t="s">
        <v>338</v>
      </c>
      <c r="C2" s="17" t="s">
        <v>339</v>
      </c>
      <c r="D2" s="17" t="s">
        <v>340</v>
      </c>
      <c r="E2" s="17" t="s">
        <v>341</v>
      </c>
      <c r="F2" s="17" t="s">
        <v>342</v>
      </c>
      <c r="G2" s="17" t="s">
        <v>343</v>
      </c>
      <c r="H2" s="30" t="s">
        <v>344</v>
      </c>
      <c r="I2" s="30" t="s">
        <v>345</v>
      </c>
      <c r="J2" s="30" t="s">
        <v>346</v>
      </c>
      <c r="K2" s="30" t="s">
        <v>347</v>
      </c>
      <c r="L2" s="30" t="s">
        <v>348</v>
      </c>
      <c r="M2" s="21" t="s">
        <v>349</v>
      </c>
      <c r="N2" s="21" t="s">
        <v>350</v>
      </c>
      <c r="P2" s="13" t="s">
        <v>1</v>
      </c>
      <c r="Q2" s="13" t="s">
        <v>332</v>
      </c>
      <c r="R2" s="13" t="s">
        <v>333</v>
      </c>
      <c r="S2" s="13" t="s">
        <v>334</v>
      </c>
      <c r="T2" s="13" t="s">
        <v>335</v>
      </c>
    </row>
    <row r="3" spans="1:20" hidden="1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351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35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idden="1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352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353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idden="1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354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idden="1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355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idden="1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356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idden="1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357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358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idden="1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359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358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idden="1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352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358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idden="1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354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idden="1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360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361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362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361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363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idden="1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364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361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365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361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idden="1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366</v>
      </c>
      <c r="G17" s="31" t="s">
        <v>49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367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4 d</v>
      </c>
      <c r="N18" t="s">
        <v>361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178</v>
      </c>
      <c r="E19" s="31" t="s">
        <v>146</v>
      </c>
      <c r="F19" s="31" t="s">
        <v>368</v>
      </c>
      <c r="G19" s="31" t="s">
        <v>52</v>
      </c>
      <c r="H19" s="32"/>
      <c r="I19" s="32"/>
      <c r="J19" s="32"/>
      <c r="K19" s="31"/>
      <c r="L19" s="31"/>
      <c r="M19" s="3" t="str">
        <f t="shared" ca="1" si="0"/>
        <v>UNCLAIMED 3 d</v>
      </c>
      <c r="N19" t="s">
        <v>358</v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 t="s">
        <v>369</v>
      </c>
      <c r="B20" s="32">
        <v>46265</v>
      </c>
      <c r="C20" s="31" t="s">
        <v>140</v>
      </c>
      <c r="D20" s="31" t="s">
        <v>178</v>
      </c>
      <c r="E20" s="31" t="s">
        <v>46</v>
      </c>
      <c r="F20" s="31" t="s">
        <v>370</v>
      </c>
      <c r="G20" s="31" t="s">
        <v>52</v>
      </c>
      <c r="H20" s="32"/>
      <c r="I20" s="32">
        <v>46265</v>
      </c>
      <c r="J20" s="32">
        <v>46265</v>
      </c>
      <c r="K20" s="31" t="s">
        <v>76</v>
      </c>
      <c r="L20" s="31" t="s">
        <v>371</v>
      </c>
      <c r="M20" s="3" t="str">
        <f t="shared" ca="1" si="0"/>
        <v>Fixed</v>
      </c>
      <c r="N20" t="s">
        <v>361</v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 t="s">
        <v>177</v>
      </c>
      <c r="B21" s="32">
        <v>46265</v>
      </c>
      <c r="C21" s="31" t="s">
        <v>140</v>
      </c>
      <c r="D21" s="31" t="s">
        <v>185</v>
      </c>
      <c r="E21" s="31" t="s">
        <v>46</v>
      </c>
      <c r="F21" s="31" t="s">
        <v>372</v>
      </c>
      <c r="G21" s="31" t="s">
        <v>52</v>
      </c>
      <c r="H21" s="32"/>
      <c r="I21" s="32"/>
      <c r="J21" s="32"/>
      <c r="K21" s="31"/>
      <c r="L21" s="31"/>
      <c r="M21" s="3" t="str">
        <f t="shared" ca="1" si="0"/>
        <v>UNCLAIMED 0 d</v>
      </c>
      <c r="N21" t="s">
        <v>49</v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55" t="s">
        <v>184</v>
      </c>
      <c r="B22" s="32">
        <v>46265</v>
      </c>
      <c r="C22" s="31" t="s">
        <v>140</v>
      </c>
      <c r="D22" s="31" t="s">
        <v>178</v>
      </c>
      <c r="E22" s="31" t="s">
        <v>129</v>
      </c>
      <c r="F22" s="31" t="s">
        <v>373</v>
      </c>
      <c r="G22" s="31" t="s">
        <v>52</v>
      </c>
      <c r="H22" s="32"/>
      <c r="I22" s="32"/>
      <c r="J22" s="32"/>
      <c r="K22" s="31"/>
      <c r="L22" s="31"/>
      <c r="M22" s="3" t="str">
        <f t="shared" ca="1" si="0"/>
        <v>UNCLAIMED 0 d</v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3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46262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1</v>
      </c>
      <c r="R48">
        <f>IF($P48="","",SUMPRODUCT(($A$3:$A$500=$P48)*($G$3:$G$500&lt;&gt;"Yes")*($G$3:$G$500&lt;&gt;"Did not pass re-test")))</f>
        <v>1</v>
      </c>
      <c r="S48" s="28">
        <f>IF($P48="","",IF(SUMPRODUCT(MAX(($A$3:$A$500=$P48)*ROW($A$3:$A$500)))=0,"",INDEX($B:$B,SUMPRODUCT(MAX(($A$3:$A$500=$P48)*ROW($A$3:$A$500))))))</f>
        <v>46265</v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>QA -&gt; DB Dev</v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2</v>
      </c>
      <c r="R51">
        <f>IF($P51="","",SUMPRODUCT(($A$3:$A$500=$P51)*($G$3:$G$500&lt;&gt;"Yes")*($G$3:$G$500&lt;&gt;"Did not pass re-test")))</f>
        <v>2</v>
      </c>
      <c r="S51" s="28">
        <f>IF($P51="","",IF(SUMPRODUCT(MAX(($A$3:$A$500=$P51)*ROW($A$3:$A$500)))=0,"",INDEX($B:$B,SUMPRODUCT(MAX(($A$3:$A$500=$P51)*ROW($A$3:$A$500))))))</f>
        <v>46265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PBI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478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478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478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478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478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478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478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478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478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478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478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478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478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478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478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478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478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478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478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478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478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478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478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478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478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478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478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478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478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478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478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478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478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478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478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478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478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478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478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478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478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478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478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478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478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478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478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478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478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478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478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478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478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478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478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478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478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478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478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478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478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478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478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478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478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478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478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478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478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478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478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478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478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478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478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478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478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478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478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478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478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478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478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478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478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478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478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478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478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478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478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478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478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478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478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478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478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478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478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478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478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478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478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478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478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478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478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478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478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478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478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478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478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478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478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478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478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478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478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478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478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478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478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478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478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478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478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478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478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478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478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478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478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478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478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478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478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478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478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478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478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478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478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478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478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478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478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478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478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478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478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478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478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478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478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478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478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478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478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478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478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478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478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478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478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478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478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478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478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478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478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478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478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478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478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478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478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478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478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478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478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478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478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478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478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478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478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478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478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478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478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478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478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478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478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478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478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478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478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478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478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478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478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478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478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478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478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478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478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478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478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478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478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478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478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478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478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478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478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478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478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478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478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478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478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478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478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478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478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478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478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478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478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478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478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478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478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478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478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478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478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478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478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478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478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478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478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478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478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478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478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478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478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478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478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478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478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478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478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478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478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478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478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478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478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478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478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478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478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478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478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478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478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478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478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478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478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478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478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478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478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478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478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478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478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478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478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478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478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478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478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478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478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478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478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478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478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478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478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478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478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478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478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478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478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478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478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478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478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478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478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478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478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478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478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478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478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478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478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478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478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478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478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478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478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478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478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478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478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478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478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478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478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478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478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478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478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478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478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478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478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478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478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478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478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478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478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478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478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478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478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478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478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478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478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478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478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478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478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478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478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478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478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478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478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478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478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478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478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478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478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478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478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478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478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478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478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478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478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478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478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478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478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478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478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478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478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478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478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478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478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478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478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478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478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478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478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478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478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478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478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478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478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478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478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478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478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478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478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478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5" priority="6">
      <formula>AND($B5&lt;&gt;"",MOD(ROW(),2)=0)</formula>
    </cfRule>
  </conditionalFormatting>
  <conditionalFormatting sqref="A11:A13">
    <cfRule type="expression" dxfId="14" priority="3">
      <formula>AND($B11&lt;&gt;"",MOD(ROW(),2)=0)</formula>
    </cfRule>
  </conditionalFormatting>
  <conditionalFormatting sqref="A3:H3 K3:M3 A4:M4 M4:M11 B5:M8 A9:M10 B11:M13 A14:M17 A19:M21 B18:M18 A23:M500 B22:M22">
    <cfRule type="expression" dxfId="13" priority="16">
      <formula>AND($A3&lt;&gt;"",$G3="Yes")</formula>
    </cfRule>
    <cfRule type="expression" dxfId="12" priority="17">
      <formula>AND($A3&lt;&gt;"",$J3&lt;&gt;"")</formula>
    </cfRule>
    <cfRule type="expression" dxfId="11" priority="18">
      <formula>$A3&lt;&gt;""</formula>
    </cfRule>
  </conditionalFormatting>
  <conditionalFormatting sqref="C3:C200">
    <cfRule type="expression" dxfId="10" priority="19">
      <formula>$A3=""</formula>
    </cfRule>
  </conditionalFormatting>
  <conditionalFormatting sqref="G3:G200">
    <cfRule type="expression" dxfId="9" priority="20">
      <formula>$A3=""</formula>
    </cfRule>
  </conditionalFormatting>
  <conditionalFormatting sqref="K3:M3 A4:M4 M4:M11 B5:M8 A9:M10 B11:M13 A14:M17 A3:H3 A19:M21 B18:M18 A23:M500 B22:M22">
    <cfRule type="expression" dxfId="8" priority="15">
      <formula>AND($A3&lt;&gt;"",$G3="Did not pass re-test")</formula>
    </cfRule>
  </conditionalFormatting>
  <conditionalFormatting sqref="M3:M500">
    <cfRule type="expression" dxfId="7" priority="9">
      <formula>ISNUMBER(SEARCH("Sent back again",$M3))</formula>
    </cfRule>
    <cfRule type="expression" dxfId="6" priority="10">
      <formula>ISNUMBER(SEARCH("LATE",$M3))</formula>
    </cfRule>
    <cfRule type="expression" dxfId="5" priority="11">
      <formula>ISNUMBER(SEARCH("UNCLAIMED",$M3))</formula>
    </cfRule>
    <cfRule type="expression" dxfId="4" priority="12">
      <formula>ISNUMBER(SEARCH("Missing",$M3))</formula>
    </cfRule>
    <cfRule type="expression" dxfId="3" priority="13">
      <formula>ISNUMBER(SEARCH("Fixed in",$M3))</formula>
    </cfRule>
    <cfRule type="expression" dxfId="2" priority="14">
      <formula>ISNUMBER(SEARCH("Open",$M3))</formula>
    </cfRule>
  </conditionalFormatting>
  <conditionalFormatting sqref="A18">
    <cfRule type="expression" dxfId="1" priority="2">
      <formula>AND($B18&lt;&gt;"",MOD(ROW(),2)=0)</formula>
    </cfRule>
  </conditionalFormatting>
  <conditionalFormatting sqref="A22">
    <cfRule type="expression" dxfId="0" priority="1">
      <formula>AND($B22&lt;&gt;"",MOD(ROW(),2)=0)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A19:A21 A23:A500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08" t="s">
        <v>374</v>
      </c>
      <c r="B1" s="103"/>
      <c r="C1" s="103"/>
      <c r="D1" s="103"/>
      <c r="E1" s="103"/>
      <c r="F1" s="103"/>
      <c r="G1" s="103"/>
      <c r="H1" s="103"/>
      <c r="I1" s="103"/>
      <c r="J1" s="103"/>
    </row>
    <row r="2" spans="1:10" ht="27" customHeight="1">
      <c r="A2" s="8" t="s">
        <v>0</v>
      </c>
      <c r="B2" s="8" t="s">
        <v>375</v>
      </c>
      <c r="C2" s="8" t="s">
        <v>1</v>
      </c>
      <c r="D2" s="8" t="s">
        <v>376</v>
      </c>
      <c r="E2" s="8" t="s">
        <v>377</v>
      </c>
      <c r="F2" s="8" t="s">
        <v>6</v>
      </c>
      <c r="G2" s="8" t="s">
        <v>5</v>
      </c>
      <c r="H2" s="8" t="s">
        <v>378</v>
      </c>
      <c r="I2" s="8" t="s">
        <v>379</v>
      </c>
      <c r="J2" s="8" t="s">
        <v>380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381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381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381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381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381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09" t="s">
        <v>382</v>
      </c>
      <c r="B1" s="103"/>
      <c r="C1" s="103"/>
    </row>
    <row r="2" spans="1:3" ht="14.25" customHeight="1">
      <c r="A2" s="8" t="s">
        <v>0</v>
      </c>
      <c r="B2" s="8" t="s">
        <v>383</v>
      </c>
      <c r="C2" s="8" t="s">
        <v>379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384</v>
      </c>
      <c r="B11" s="11">
        <v>18</v>
      </c>
      <c r="C11" s="12">
        <v>46386</v>
      </c>
    </row>
    <row r="12" spans="1:3" ht="14.25" customHeight="1">
      <c r="A12" s="11" t="s">
        <v>384</v>
      </c>
      <c r="B12" s="11">
        <v>18</v>
      </c>
      <c r="C12" s="12">
        <v>46417</v>
      </c>
    </row>
    <row r="13" spans="1:3" ht="14.25" customHeight="1">
      <c r="A13" s="11" t="s">
        <v>384</v>
      </c>
      <c r="B13" s="11">
        <v>19</v>
      </c>
      <c r="C13" s="12">
        <v>46446</v>
      </c>
    </row>
    <row r="14" spans="1:3" ht="14.25" customHeight="1">
      <c r="A14" s="11" t="s">
        <v>297</v>
      </c>
      <c r="B14" s="11">
        <v>9</v>
      </c>
      <c r="C14" s="12">
        <v>46476</v>
      </c>
    </row>
    <row r="15" spans="1:3" ht="14.25" customHeight="1">
      <c r="A15" s="11" t="s">
        <v>287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385</v>
      </c>
      <c r="F1" s="1" t="s">
        <v>324</v>
      </c>
      <c r="G1" s="5" t="s">
        <v>386</v>
      </c>
      <c r="H1" s="5" t="s">
        <v>20</v>
      </c>
      <c r="I1" t="s">
        <v>34</v>
      </c>
      <c r="J1" s="5" t="s">
        <v>387</v>
      </c>
      <c r="K1" s="5" t="s">
        <v>128</v>
      </c>
      <c r="L1" s="5" t="s">
        <v>343</v>
      </c>
      <c r="M1" s="1" t="s">
        <v>388</v>
      </c>
      <c r="N1" s="1" t="s">
        <v>389</v>
      </c>
      <c r="R1" t="s">
        <v>13</v>
      </c>
      <c r="T1" t="s">
        <v>390</v>
      </c>
    </row>
    <row r="2" spans="1:20" ht="13.5" customHeight="1">
      <c r="A2" s="2" t="s">
        <v>391</v>
      </c>
      <c r="B2" s="2" t="s">
        <v>392</v>
      </c>
      <c r="C2" s="2" t="s">
        <v>393</v>
      </c>
      <c r="D2" s="2" t="s">
        <v>394</v>
      </c>
      <c r="E2" s="2" t="s">
        <v>395</v>
      </c>
      <c r="F2" s="2" t="s">
        <v>396</v>
      </c>
      <c r="G2" t="s">
        <v>397</v>
      </c>
      <c r="H2" t="s">
        <v>398</v>
      </c>
      <c r="I2" t="s">
        <v>399</v>
      </c>
      <c r="J2" s="29" t="s">
        <v>400</v>
      </c>
      <c r="K2" s="29" t="s">
        <v>401</v>
      </c>
      <c r="L2" s="29" t="s">
        <v>402</v>
      </c>
      <c r="M2" t="s">
        <v>146</v>
      </c>
      <c r="N2" s="45" t="s">
        <v>403</v>
      </c>
      <c r="R2" t="s">
        <v>404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206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405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406</v>
      </c>
      <c r="J4" t="s">
        <v>178</v>
      </c>
      <c r="L4" t="s">
        <v>49</v>
      </c>
      <c r="M4" t="s">
        <v>102</v>
      </c>
      <c r="N4" s="45" t="s">
        <v>405</v>
      </c>
      <c r="R4" t="s">
        <v>193</v>
      </c>
      <c r="T4" t="s">
        <v>71</v>
      </c>
    </row>
    <row r="5" spans="1:20" ht="15" customHeight="1">
      <c r="A5" t="s">
        <v>384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407</v>
      </c>
      <c r="J5" t="s">
        <v>140</v>
      </c>
      <c r="L5" t="s">
        <v>408</v>
      </c>
      <c r="M5" t="s">
        <v>87</v>
      </c>
      <c r="N5" s="45" t="s">
        <v>405</v>
      </c>
    </row>
    <row r="6" spans="1:20" ht="15" customHeight="1">
      <c r="A6" t="s">
        <v>297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405</v>
      </c>
    </row>
    <row r="7" spans="1:20" ht="15" customHeight="1">
      <c r="A7" t="s">
        <v>287</v>
      </c>
      <c r="B7" t="s">
        <v>117</v>
      </c>
      <c r="F7" t="s">
        <v>128</v>
      </c>
      <c r="G7" t="s">
        <v>117</v>
      </c>
      <c r="I7" t="s">
        <v>409</v>
      </c>
      <c r="M7" t="s">
        <v>129</v>
      </c>
      <c r="N7" s="45" t="s">
        <v>405</v>
      </c>
    </row>
    <row r="8" spans="1:20" ht="15" customHeight="1">
      <c r="B8" t="s">
        <v>75</v>
      </c>
      <c r="F8" t="s">
        <v>41</v>
      </c>
      <c r="G8" t="s">
        <v>75</v>
      </c>
      <c r="I8" t="s">
        <v>410</v>
      </c>
      <c r="M8" t="s">
        <v>59</v>
      </c>
      <c r="N8" s="45" t="s">
        <v>405</v>
      </c>
    </row>
    <row r="9" spans="1:20" ht="15" customHeight="1">
      <c r="B9" t="s">
        <v>102</v>
      </c>
      <c r="G9" t="s">
        <v>102</v>
      </c>
      <c r="I9" t="s">
        <v>411</v>
      </c>
      <c r="M9" t="s">
        <v>158</v>
      </c>
      <c r="N9" s="45" t="s">
        <v>405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405</v>
      </c>
    </row>
    <row r="11" spans="1:20">
      <c r="B11" t="s">
        <v>412</v>
      </c>
      <c r="G11" t="s">
        <v>59</v>
      </c>
      <c r="M11" t="s">
        <v>75</v>
      </c>
      <c r="N11" s="45" t="s">
        <v>405</v>
      </c>
    </row>
    <row r="12" spans="1:20">
      <c r="B12" t="s">
        <v>413</v>
      </c>
      <c r="G12" t="s">
        <v>45</v>
      </c>
      <c r="M12" t="s">
        <v>45</v>
      </c>
      <c r="N12" s="45" t="s">
        <v>405</v>
      </c>
    </row>
    <row r="13" spans="1:20">
      <c r="G13" t="s">
        <v>76</v>
      </c>
      <c r="M13" t="s">
        <v>76</v>
      </c>
      <c r="N13" s="45" t="s">
        <v>405</v>
      </c>
    </row>
    <row r="14" spans="1:20">
      <c r="M14" t="s">
        <v>83</v>
      </c>
      <c r="N14" s="45" t="s">
        <v>414</v>
      </c>
    </row>
    <row r="15" spans="1:20">
      <c r="M15" t="s">
        <v>58</v>
      </c>
      <c r="N15" s="45" t="s">
        <v>405</v>
      </c>
    </row>
    <row r="16" spans="1:20">
      <c r="M16" t="s">
        <v>117</v>
      </c>
      <c r="N16" s="45" t="s">
        <v>405</v>
      </c>
    </row>
    <row r="17" spans="13:14">
      <c r="M17" t="s">
        <v>64</v>
      </c>
      <c r="N17" s="45" t="s">
        <v>405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Siddu Hiregoudar</cp:lastModifiedBy>
  <cp:revision>0</cp:revision>
  <dcterms:created xsi:type="dcterms:W3CDTF">2026-07-21T14:32:59Z</dcterms:created>
  <dcterms:modified xsi:type="dcterms:W3CDTF">2026-08-31T18:37:58Z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