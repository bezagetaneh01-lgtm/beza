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9" documentId="13_ncr:1_{52745E9B-3AA1-4770-AAD3-E6166BFC13AE}" xr6:coauthVersionLast="47" xr6:coauthVersionMax="47" xr10:uidLastSave="{EFE1028A-76CA-4C96-964C-DD83691C56A6}"/>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<sst xmlns="http://schemas.openxmlformats.org/spreadsheetml/2006/main" count="3679" uniqueCount="529">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</sst>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2">
      <filters>
        <filter val="DPO Approval"/>
        <filter val="QA"/>
      </filters>
    </filterColumn>
    <filterColumn colId="5">
      <filters>
        <filter val="Kushal"/>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2" activePane="bottomLeft" state="frozen"/>
      <selection pane="bottomLeft" activeCell="C130" sqref="C130"/>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423</v>
      </c>
      <c r="B1" s="267"/>
      <c r="C1" s="267"/>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439</v>
      </c>
      <c r="B1" s="267"/>
      <c r="C1" s="267"/>
      <c r="D1" s="267"/>
      <c r="E1" s="267"/>
      <c r="F1" s="267"/>
      <c r="G1" s="267"/>
      <c r="H1" s="267"/>
      <c r="I1" s="267"/>
      <c r="J1" s="267"/>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3" t="str">
        <f ca="1">"As of "&amp;TEXT(TODAY(),"d mmm yyyy")&amp;". Live from Combined Delivery Data."</f>
        <v>As of 19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490</v>
      </c>
      <c r="N7" s="238"/>
      <c r="O7" s="239"/>
      <c r="P7" s="142"/>
      <c r="Q7" s="142"/>
      <c r="R7" s="142"/>
      <c r="S7" s="142"/>
      <c r="T7" s="142"/>
      <c r="U7" s="142"/>
      <c r="V7" s="142"/>
      <c r="W7" s="142"/>
      <c r="X7" s="142"/>
      <c r="Y7" s="142"/>
      <c r="Z7" s="142"/>
    </row>
    <row r="8" spans="1:26" ht="30" customHeight="1">
      <c r="A8" s="142"/>
      <c r="B8" s="142"/>
      <c r="C8" s="227" t="s">
        <v>491</v>
      </c>
      <c r="D8" s="228"/>
      <c r="E8" s="227" t="s">
        <v>492</v>
      </c>
      <c r="F8" s="228"/>
      <c r="G8" s="227" t="s">
        <v>493</v>
      </c>
      <c r="H8" s="228"/>
      <c r="I8" s="227" t="s">
        <v>494</v>
      </c>
      <c r="J8" s="228"/>
      <c r="K8" s="227" t="s">
        <v>495</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7" t="s">
        <v>497</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8" t="s">
        <v>504</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40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19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11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42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73 days to milestone</v>
      </c>
      <c r="N16" s="245"/>
      <c r="O16" s="246"/>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7" t="s">
        <v>507</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508</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498</v>
      </c>
      <c r="D49" s="259"/>
      <c r="E49" s="259" t="s">
        <v>440</v>
      </c>
      <c r="F49" s="259"/>
      <c r="G49" s="259" t="s">
        <v>450</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512</v>
      </c>
      <c r="D50" s="261"/>
      <c r="E50" s="260" t="s">
        <v>512</v>
      </c>
      <c r="F50" s="261"/>
      <c r="G50" s="260" t="s">
        <v>512</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2026-10-19T19:02:51Z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