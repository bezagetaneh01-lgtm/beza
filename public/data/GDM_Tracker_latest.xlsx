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793" documentId="13_ncr:1_{52745E9B-3AA1-4770-AAD3-E6166BFC13AE}" xr6:coauthVersionLast="47" xr6:coauthVersionMax="47" xr10:uidLastSave="{3736923C-2EBE-4486-BFFA-E9AF083D6E46}"/>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<sst xmlns="http://schemas.openxmlformats.org/spreadsheetml/2006/main" count="3595" uniqueCount="518">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</sst>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4" fillId="21" borderId="22" xfId="0" applyFont="1" applyFill="1" applyBorder="1" applyAlignment="1">
      <alignment vertical="top" wrapText="1"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AI51" activePane="topRight" state="frozen"/>
      <selection pane="topRight" activeCell="AJ61" sqref="AJ6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164</v>
      </c>
      <c r="F43" s="34" t="s">
        <v>143</v>
      </c>
      <c r="G43" s="33"/>
      <c r="H43" s="49">
        <v>46265</v>
      </c>
      <c r="I43" s="60" t="s">
        <v>165</v>
      </c>
      <c r="J43" s="33" t="s">
        <v>103</v>
      </c>
      <c r="K43" s="4">
        <v>46234</v>
      </c>
      <c r="L43" s="36">
        <v>46251</v>
      </c>
      <c r="M43" s="36">
        <v>46252</v>
      </c>
      <c r="N43" s="46" t="s">
        <v>146</v>
      </c>
      <c r="O43" s="36" t="s">
        <v>166</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167</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168</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165</v>
      </c>
      <c r="J44" s="33" t="s">
        <v>59</v>
      </c>
      <c r="K44" s="4">
        <v>46234</v>
      </c>
      <c r="L44" s="36">
        <v>46255</v>
      </c>
      <c r="M44" s="36">
        <v>46255</v>
      </c>
      <c r="N44" s="36" t="s">
        <v>45</v>
      </c>
      <c r="O44" s="36" t="s">
        <v>166</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169</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170</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171</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165</v>
      </c>
      <c r="J45" s="33" t="s">
        <v>44</v>
      </c>
      <c r="K45" s="4">
        <v>46234</v>
      </c>
      <c r="L45" s="36">
        <v>46249</v>
      </c>
      <c r="M45" s="36">
        <v>46244</v>
      </c>
      <c r="N45" s="36"/>
      <c r="O45" s="36" t="s">
        <v>166</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169</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172</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173</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165</v>
      </c>
      <c r="J46" s="33" t="s">
        <v>84</v>
      </c>
      <c r="K46" s="4">
        <v>46234</v>
      </c>
      <c r="L46" s="36">
        <v>46213</v>
      </c>
      <c r="M46" s="36">
        <v>46244</v>
      </c>
      <c r="N46" s="36"/>
      <c r="O46" s="36" t="s">
        <v>174</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172</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175</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165</v>
      </c>
      <c r="J47" s="33" t="s">
        <v>154</v>
      </c>
      <c r="K47" s="4">
        <v>46234</v>
      </c>
      <c r="L47" s="36">
        <v>46246</v>
      </c>
      <c r="M47" s="36">
        <v>46246</v>
      </c>
      <c r="N47" s="36" t="s">
        <v>45</v>
      </c>
      <c r="O47" s="36" t="s">
        <v>176</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172</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177</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165</v>
      </c>
      <c r="J48" s="33" t="s">
        <v>103</v>
      </c>
      <c r="K48" s="4">
        <v>46234</v>
      </c>
      <c r="L48" s="36">
        <v>46255</v>
      </c>
      <c r="M48" s="36">
        <v>46253</v>
      </c>
      <c r="N48" s="36" t="s">
        <v>45</v>
      </c>
      <c r="O48" s="36" t="s">
        <v>176</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169</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178</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179</v>
      </c>
      <c r="C49" s="33" t="s">
        <v>180</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165</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165</v>
      </c>
      <c r="J50" s="33" t="s">
        <v>44</v>
      </c>
      <c r="K50" s="114">
        <v>46234</v>
      </c>
      <c r="L50" s="115">
        <v>46249</v>
      </c>
      <c r="M50" s="115">
        <v>46245</v>
      </c>
      <c r="N50" s="115" t="s">
        <v>146</v>
      </c>
      <c r="O50" s="115" t="s">
        <v>176</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169</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165</v>
      </c>
      <c r="J51" s="33" t="s">
        <v>76</v>
      </c>
      <c r="K51" s="4">
        <v>46234</v>
      </c>
      <c r="L51" s="36">
        <v>46248</v>
      </c>
      <c r="M51" s="36">
        <v>46248</v>
      </c>
      <c r="N51" s="36" t="s">
        <v>45</v>
      </c>
      <c r="O51" s="36" t="s">
        <v>176</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178</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184</v>
      </c>
      <c r="C52" s="33" t="s">
        <v>180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165</v>
      </c>
      <c r="J52" s="33" t="s">
        <v>65</v>
      </c>
      <c r="K52" s="4">
        <v>46234</v>
      </c>
      <c r="L52" s="36">
        <v>46253</v>
      </c>
      <c r="M52" s="36">
        <v>46252</v>
      </c>
      <c r="N52" s="46" t="s">
        <v>146</v>
      </c>
      <c r="O52" s="36" t="s">
        <v>176</v>
      </c>
      <c r="P52" s="64" t="s">
        <v>46</v>
      </c>
      <c r="Q52" s="4">
        <v>46241</v>
      </c>
      <c r="R52" s="36">
        <v>46266</v>
      </c>
      <c r="S52" s="36">
        <v>46267</v>
      </c>
      <c r="T52" s="68"/>
      <c r="U52" s="53" t="s">
        <v>129</v>
      </c>
      <c r="V52" s="58">
        <v>46293</v>
      </c>
      <c r="W52" s="36">
        <v>46269</v>
      </c>
      <c r="X52" s="36"/>
      <c r="Y52" s="36">
        <v>46290</v>
      </c>
      <c r="Z52" s="36"/>
      <c r="AA52" s="51">
        <v>46260</v>
      </c>
      <c r="AB52" s="36">
        <v>46297</v>
      </c>
      <c r="AC52" s="36"/>
      <c r="AD52" s="33" t="s">
        <v>185</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186</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187</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165</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188</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165</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189</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190</v>
      </c>
      <c r="C55" s="33" t="s">
        <v>180</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191</v>
      </c>
      <c r="J55" s="33" t="s">
        <v>76</v>
      </c>
      <c r="K55" s="4">
        <v>46262</v>
      </c>
      <c r="L55" s="36">
        <v>46253</v>
      </c>
      <c r="M55" s="36">
        <v>46253</v>
      </c>
      <c r="N55" s="36"/>
      <c r="O55" s="36" t="s">
        <v>192</v>
      </c>
      <c r="P55" s="62" t="s">
        <v>77</v>
      </c>
      <c r="Q55" s="4">
        <v>46269</v>
      </c>
      <c r="R55" s="36">
        <v>46267</v>
      </c>
      <c r="S55" s="36">
        <v>46267</v>
      </c>
      <c r="T55" s="68" t="s">
        <v>193</v>
      </c>
      <c r="U55" s="33" t="s">
        <v>47</v>
      </c>
      <c r="V55" s="58">
        <v>46276</v>
      </c>
      <c r="W55" s="58">
        <v>46289</v>
      </c>
      <c r="X55" s="58">
        <v>46293</v>
      </c>
      <c r="Y55" s="46"/>
      <c r="Z55" s="36"/>
      <c r="AA55" s="51">
        <v>46290</v>
      </c>
      <c r="AB55" s="36">
        <v>46297</v>
      </c>
      <c r="AC55" s="36"/>
      <c r="AD55" s="33" t="s">
        <v>194</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195</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196</v>
      </c>
      <c r="C56" s="33" t="s">
        <v>180</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191</v>
      </c>
      <c r="J56" s="33" t="s">
        <v>76</v>
      </c>
      <c r="K56" s="4">
        <v>46262</v>
      </c>
      <c r="L56" s="36">
        <v>46253</v>
      </c>
      <c r="M56" s="36">
        <v>46253</v>
      </c>
      <c r="N56" s="36" t="s">
        <v>146</v>
      </c>
      <c r="O56" s="36" t="s">
        <v>192</v>
      </c>
      <c r="P56" s="62" t="s">
        <v>60</v>
      </c>
      <c r="Q56" s="4">
        <v>46269</v>
      </c>
      <c r="R56" s="36">
        <v>46266</v>
      </c>
      <c r="S56" s="36">
        <v>46266</v>
      </c>
      <c r="T56" s="68" t="s">
        <v>193</v>
      </c>
      <c r="U56" s="33" t="s">
        <v>197</v>
      </c>
      <c r="V56" s="58">
        <v>46276</v>
      </c>
      <c r="W56" s="36">
        <v>46285</v>
      </c>
      <c r="X56" s="36">
        <v>46274</v>
      </c>
      <c r="Y56" s="36">
        <v>46288</v>
      </c>
      <c r="Z56" s="36"/>
      <c r="AA56" s="51">
        <v>46290</v>
      </c>
      <c r="AB56" s="36">
        <v>46297</v>
      </c>
      <c r="AC56" s="36"/>
      <c r="AD56" s="33" t="s">
        <v>198</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199</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200</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191</v>
      </c>
      <c r="J57" s="33" t="s">
        <v>65</v>
      </c>
      <c r="K57" s="4">
        <v>46262</v>
      </c>
      <c r="L57" s="36">
        <v>46254</v>
      </c>
      <c r="M57" s="36"/>
      <c r="N57" s="46" t="s">
        <v>146</v>
      </c>
      <c r="O57" s="36" t="s">
        <v>192</v>
      </c>
      <c r="P57" s="62" t="s">
        <v>46</v>
      </c>
      <c r="Q57" s="4">
        <v>46269</v>
      </c>
      <c r="R57" s="36">
        <v>46268</v>
      </c>
      <c r="S57" s="36">
        <v>46268</v>
      </c>
      <c r="T57" s="68" t="s">
        <v>193</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201</v>
      </c>
      <c r="C58" s="33" t="s">
        <v>202</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191</v>
      </c>
      <c r="J58" s="33" t="s">
        <v>65</v>
      </c>
      <c r="K58" s="4">
        <v>46262</v>
      </c>
      <c r="L58" s="36">
        <v>46254</v>
      </c>
      <c r="M58" s="36"/>
      <c r="N58" s="46" t="s">
        <v>146</v>
      </c>
      <c r="O58" s="36" t="s">
        <v>192</v>
      </c>
      <c r="P58" s="62" t="s">
        <v>77</v>
      </c>
      <c r="Q58" s="4">
        <v>46269</v>
      </c>
      <c r="R58" s="36">
        <v>46272</v>
      </c>
      <c r="S58" s="36"/>
      <c r="T58" s="68" t="s">
        <v>193</v>
      </c>
      <c r="U58" s="33" t="s">
        <v>129</v>
      </c>
      <c r="V58" s="58">
        <v>46276</v>
      </c>
      <c r="W58" s="36"/>
      <c r="X58" s="36"/>
      <c r="Y58" s="36"/>
      <c r="Z58" s="36"/>
      <c r="AA58" s="51">
        <v>46290</v>
      </c>
      <c r="AB58" s="36"/>
      <c r="AC58" s="36"/>
      <c r="AD58" s="33" t="s">
        <v>132</v>
      </c>
      <c r="AE58" s="33" t="s">
        <v>49</v>
      </c>
      <c r="AF58" s="38"/>
      <c r="AG58" s="36"/>
      <c r="AH58" s="39"/>
      <c r="AI58" s="33"/>
      <c r="AJ58" s="40" t="s">
        <v>203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204</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205</v>
      </c>
      <c r="C59" s="33" t="s">
        <v>180</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206</v>
      </c>
      <c r="G59" s="33"/>
      <c r="H59" s="49">
        <v>46295</v>
      </c>
      <c r="I59" s="54" t="s">
        <v>191</v>
      </c>
      <c r="J59" s="33" t="s">
        <v>44</v>
      </c>
      <c r="K59" s="4">
        <v>46262</v>
      </c>
      <c r="L59" s="36">
        <v>46253</v>
      </c>
      <c r="M59" s="36">
        <v>46253</v>
      </c>
      <c r="N59" s="36"/>
      <c r="O59" s="36" t="s">
        <v>192</v>
      </c>
      <c r="P59" s="62" t="s">
        <v>60</v>
      </c>
      <c r="Q59" s="4">
        <v>46269</v>
      </c>
      <c r="R59" s="36">
        <v>46266</v>
      </c>
      <c r="S59" s="36">
        <v>46266</v>
      </c>
      <c r="T59" s="68" t="s">
        <v>193</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207</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206</v>
      </c>
      <c r="G60" s="33"/>
      <c r="H60" s="49">
        <v>46295</v>
      </c>
      <c r="I60" s="54" t="s">
        <v>191</v>
      </c>
      <c r="J60" s="33" t="s">
        <v>154</v>
      </c>
      <c r="K60" s="4">
        <v>46262</v>
      </c>
      <c r="L60" s="36">
        <v>46255</v>
      </c>
      <c r="M60" s="36">
        <v>46255</v>
      </c>
      <c r="N60" s="36" t="s">
        <v>146</v>
      </c>
      <c r="O60" s="36" t="s">
        <v>192</v>
      </c>
      <c r="P60" s="62" t="s">
        <v>46</v>
      </c>
      <c r="Q60" s="4">
        <v>46269</v>
      </c>
      <c r="R60" s="36">
        <v>46273</v>
      </c>
      <c r="S60" s="36">
        <v>46273</v>
      </c>
      <c r="T60" s="68" t="s">
        <v>193</v>
      </c>
      <c r="U60" s="33" t="s">
        <v>47</v>
      </c>
      <c r="V60" s="58">
        <v>46276</v>
      </c>
      <c r="W60" s="36">
        <v>46287</v>
      </c>
      <c r="X60" s="36"/>
      <c r="Y60" s="36">
        <v>46286</v>
      </c>
      <c r="Z60" s="36"/>
      <c r="AA60" s="51">
        <v>46290</v>
      </c>
      <c r="AB60" s="36">
        <v>46296</v>
      </c>
      <c r="AC60" s="36">
        <v>46295</v>
      </c>
      <c r="AD60" s="33" t="s">
        <v>208</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209</v>
      </c>
      <c r="C61" s="33" t="s">
        <v>180</v>
      </c>
      <c r="D61" t="s">
        <v>210</v>
      </c>
      <c r="E61" s="33">
        <v>37</v>
      </c>
      <c r="F61" s="34" t="s">
        <v>129</v>
      </c>
      <c r="G61" s="33"/>
      <c r="H61" s="49">
        <v>46295</v>
      </c>
      <c r="I61" s="54" t="s">
        <v>191</v>
      </c>
      <c r="J61" s="33" t="s">
        <v>44</v>
      </c>
      <c r="K61" s="4">
        <v>46262</v>
      </c>
      <c r="L61" s="36">
        <v>46255</v>
      </c>
      <c r="M61" s="36">
        <v>46255</v>
      </c>
      <c r="N61" s="36"/>
      <c r="O61" s="36" t="s">
        <v>192</v>
      </c>
      <c r="P61" s="62" t="s">
        <v>60</v>
      </c>
      <c r="Q61" s="4">
        <v>46269</v>
      </c>
      <c r="R61" s="36">
        <v>46268</v>
      </c>
      <c r="S61" s="36">
        <v>46268</v>
      </c>
      <c r="T61" s="68" t="s">
        <v>193</v>
      </c>
      <c r="U61" s="33" t="s">
        <v>47</v>
      </c>
      <c r="V61" s="58">
        <v>46276</v>
      </c>
      <c r="W61" s="36">
        <v>46296</v>
      </c>
      <c r="X61" s="36">
        <v>46281</v>
      </c>
      <c r="Y61" s="36">
        <v>46295</v>
      </c>
      <c r="Z61" s="36"/>
      <c r="AA61" s="51">
        <v>46290</v>
      </c>
      <c r="AB61" s="36"/>
      <c r="AC61" s="36"/>
      <c r="AD61" s="33" t="s">
        <v>211</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212</v>
      </c>
      <c r="C62" s="33" t="s">
        <v>180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206</v>
      </c>
      <c r="G62" s="33"/>
      <c r="H62" s="49">
        <v>46295</v>
      </c>
      <c r="I62" s="54" t="s">
        <v>191</v>
      </c>
      <c r="J62" s="33" t="s">
        <v>84</v>
      </c>
      <c r="K62" s="4">
        <v>46262</v>
      </c>
      <c r="L62" s="36">
        <v>46260</v>
      </c>
      <c r="M62" s="36">
        <v>46259</v>
      </c>
      <c r="N62" s="36"/>
      <c r="O62" s="36" t="s">
        <v>192</v>
      </c>
      <c r="P62" s="62" t="s">
        <v>77</v>
      </c>
      <c r="Q62" s="4">
        <v>46269</v>
      </c>
      <c r="R62" s="36">
        <v>46280</v>
      </c>
      <c r="S62" s="36">
        <v>46282</v>
      </c>
      <c r="T62" s="68" t="s">
        <v>193</v>
      </c>
      <c r="U62" s="33" t="s">
        <v>197</v>
      </c>
      <c r="V62" s="58">
        <v>46276</v>
      </c>
      <c r="W62" s="36">
        <v>46288</v>
      </c>
      <c r="X62" s="36">
        <v>46283</v>
      </c>
      <c r="Y62" s="36">
        <v>46289</v>
      </c>
      <c r="Z62" s="36"/>
      <c r="AA62" s="51">
        <v>46290</v>
      </c>
      <c r="AB62" s="36">
        <v>46300</v>
      </c>
      <c r="AC62" s="36"/>
      <c r="AD62" s="33" t="s">
        <v>213</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214</v>
      </c>
      <c r="C63" s="33" t="s">
        <v>215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206</v>
      </c>
      <c r="G63" s="33"/>
      <c r="H63" s="49">
        <v>46295</v>
      </c>
      <c r="I63" s="54" t="s">
        <v>191</v>
      </c>
      <c r="J63" s="33" t="s">
        <v>84</v>
      </c>
      <c r="K63" s="4">
        <v>46276</v>
      </c>
      <c r="L63" s="36">
        <v>46276</v>
      </c>
      <c r="M63" s="36">
        <v>46266</v>
      </c>
      <c r="N63" s="36"/>
      <c r="O63" s="36" t="s">
        <v>192</v>
      </c>
      <c r="P63" s="62" t="s">
        <v>60</v>
      </c>
      <c r="Q63" s="4">
        <v>46286</v>
      </c>
      <c r="R63" s="4">
        <v>46275</v>
      </c>
      <c r="S63" s="36">
        <v>46294</v>
      </c>
      <c r="T63" s="68" t="s">
        <v>193</v>
      </c>
      <c r="U63" s="33" t="s">
        <v>47</v>
      </c>
      <c r="V63" s="58">
        <v>46290</v>
      </c>
      <c r="W63" s="36">
        <v>46300</v>
      </c>
      <c r="X63" s="36">
        <v>46295</v>
      </c>
      <c r="Y63" s="36"/>
      <c r="Z63" s="36"/>
      <c r="AA63" s="51">
        <v>46295</v>
      </c>
      <c r="AB63" s="36"/>
      <c r="AC63" s="36"/>
      <c r="AD63" s="33" t="s">
        <v>216</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217</v>
      </c>
      <c r="C64" s="116" t="s">
        <v>215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191</v>
      </c>
      <c r="J64" s="116" t="s">
        <v>103</v>
      </c>
      <c r="K64" s="121">
        <v>46276</v>
      </c>
      <c r="L64" s="122">
        <v>46265</v>
      </c>
      <c r="M64" s="122">
        <v>46266</v>
      </c>
      <c r="N64" s="122" t="s">
        <v>146</v>
      </c>
      <c r="O64" s="122" t="s">
        <v>192</v>
      </c>
      <c r="P64" s="123" t="s">
        <v>60</v>
      </c>
      <c r="Q64" s="121">
        <v>46286</v>
      </c>
      <c r="R64" s="122">
        <v>46269</v>
      </c>
      <c r="S64" s="122">
        <v>46269</v>
      </c>
      <c r="T64" s="124" t="s">
        <v>193</v>
      </c>
      <c r="U64" s="116" t="s">
        <v>47</v>
      </c>
      <c r="V64" s="125">
        <v>46290</v>
      </c>
      <c r="W64" s="122"/>
      <c r="X64" s="122">
        <v>46295</v>
      </c>
      <c r="Y64" s="122"/>
      <c r="Z64" s="122"/>
      <c r="AA64" s="126">
        <v>46295</v>
      </c>
      <c r="AB64" s="122"/>
      <c r="AC64" s="122"/>
      <c r="AD64" s="116" t="s">
        <v>218</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172</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219</v>
      </c>
      <c r="C65" s="33" t="s">
        <v>180</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191</v>
      </c>
      <c r="J65" s="33" t="s">
        <v>154</v>
      </c>
      <c r="K65" s="4">
        <v>46276</v>
      </c>
      <c r="L65" s="4">
        <v>46262</v>
      </c>
      <c r="M65" s="36">
        <v>46265</v>
      </c>
      <c r="N65" s="36" t="s">
        <v>45</v>
      </c>
      <c r="O65" s="36" t="s">
        <v>192</v>
      </c>
      <c r="P65" s="62" t="s">
        <v>77</v>
      </c>
      <c r="Q65" s="4">
        <v>46286</v>
      </c>
      <c r="R65" s="43">
        <v>46273</v>
      </c>
      <c r="S65" s="32">
        <v>46273</v>
      </c>
      <c r="T65" s="68" t="s">
        <v>193</v>
      </c>
      <c r="U65" s="33" t="s">
        <v>197</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220</v>
      </c>
      <c r="C66" s="155" t="s">
        <v>202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191</v>
      </c>
      <c r="J66" s="155" t="s">
        <v>44</v>
      </c>
      <c r="K66" s="158">
        <v>46276</v>
      </c>
      <c r="L66" s="143">
        <v>46276</v>
      </c>
      <c r="M66" s="143">
        <v>46282</v>
      </c>
      <c r="N66" s="143"/>
      <c r="O66" s="143" t="s">
        <v>192</v>
      </c>
      <c r="P66" s="159" t="s">
        <v>46</v>
      </c>
      <c r="Q66" s="158">
        <v>46286</v>
      </c>
      <c r="R66" s="143">
        <v>46273</v>
      </c>
      <c r="S66" s="143"/>
      <c r="T66" s="160" t="s">
        <v>193</v>
      </c>
      <c r="U66" s="155"/>
      <c r="V66" s="142">
        <v>46290</v>
      </c>
      <c r="W66" s="143"/>
      <c r="X66" s="143"/>
      <c r="Y66" s="143"/>
      <c r="Z66" s="143"/>
      <c r="AA66" s="161">
        <v>46295</v>
      </c>
      <c r="AB66" s="143"/>
      <c r="AC66" s="143"/>
      <c r="AD66" s="155" t="s">
        <v>218</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221</v>
      </c>
      <c r="C67" s="33" t="s">
        <v>222</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191</v>
      </c>
      <c r="J67" s="33" t="s">
        <v>44</v>
      </c>
      <c r="K67" s="4">
        <v>46276</v>
      </c>
      <c r="L67" s="36">
        <v>46254</v>
      </c>
      <c r="M67" s="36">
        <v>46254</v>
      </c>
      <c r="N67" s="36"/>
      <c r="O67" s="36" t="s">
        <v>192</v>
      </c>
      <c r="P67" s="62" t="s">
        <v>60</v>
      </c>
      <c r="Q67" s="4">
        <v>46286</v>
      </c>
      <c r="R67" s="36">
        <v>46254</v>
      </c>
      <c r="S67" s="36">
        <v>46254</v>
      </c>
      <c r="T67" s="68" t="s">
        <v>193</v>
      </c>
      <c r="U67" s="33" t="s">
        <v>129</v>
      </c>
      <c r="V67" s="58">
        <v>46290</v>
      </c>
      <c r="W67" s="36">
        <v>46296</v>
      </c>
      <c r="X67" s="36"/>
      <c r="Y67" s="36"/>
      <c r="Z67" s="36"/>
      <c r="AA67" s="51">
        <v>46295</v>
      </c>
      <c r="AB67" s="36">
        <v>46268</v>
      </c>
      <c r="AC67" s="36"/>
      <c r="AD67" s="33" t="s">
        <v>223</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224</v>
      </c>
      <c r="C68" s="80" t="s">
        <v>202</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191</v>
      </c>
      <c r="J68" s="80" t="s">
        <v>225</v>
      </c>
      <c r="K68" s="85">
        <v>46276</v>
      </c>
      <c r="L68" s="86">
        <v>46258</v>
      </c>
      <c r="M68" s="86">
        <v>46258</v>
      </c>
      <c r="N68" s="86"/>
      <c r="O68" s="86" t="s">
        <v>192</v>
      </c>
      <c r="P68" s="87" t="s">
        <v>77</v>
      </c>
      <c r="Q68" s="85">
        <v>46286</v>
      </c>
      <c r="R68" s="86"/>
      <c r="S68" s="86"/>
      <c r="T68" s="88" t="s">
        <v>226</v>
      </c>
      <c r="U68" s="80"/>
      <c r="V68" s="89">
        <v>46290</v>
      </c>
      <c r="W68" s="86"/>
      <c r="X68" s="86"/>
      <c r="Y68" s="86"/>
      <c r="Z68" s="86"/>
      <c r="AA68" s="90">
        <v>46295</v>
      </c>
      <c r="AB68" s="86"/>
      <c r="AC68" s="86"/>
      <c r="AD68" s="77" t="s">
        <v>227</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228</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229</v>
      </c>
      <c r="C69" s="97" t="s">
        <v>230</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206</v>
      </c>
      <c r="G69" s="97"/>
      <c r="H69" s="99">
        <v>46295</v>
      </c>
      <c r="I69" s="100" t="s">
        <v>191</v>
      </c>
      <c r="J69" s="97" t="s">
        <v>59</v>
      </c>
      <c r="K69" s="101">
        <v>46276</v>
      </c>
      <c r="L69" s="102"/>
      <c r="M69" s="102"/>
      <c r="N69" s="102"/>
      <c r="O69" s="102" t="s">
        <v>192</v>
      </c>
      <c r="P69" s="103" t="s">
        <v>46</v>
      </c>
      <c r="Q69" s="101">
        <v>46286</v>
      </c>
      <c r="R69" s="102"/>
      <c r="S69" s="102"/>
      <c r="T69" s="104" t="s">
        <v>226</v>
      </c>
      <c r="U69" s="97"/>
      <c r="V69" s="105">
        <v>46290</v>
      </c>
      <c r="W69" s="102"/>
      <c r="X69" s="102"/>
      <c r="Y69" s="102"/>
      <c r="Z69" s="102"/>
      <c r="AA69" s="106">
        <v>46295</v>
      </c>
      <c r="AB69" s="102"/>
      <c r="AC69" s="102"/>
      <c r="AD69" s="78" t="s">
        <v>231</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232</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233</v>
      </c>
      <c r="C70" s="33" t="s">
        <v>202</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206</v>
      </c>
      <c r="G70" s="33"/>
      <c r="H70" s="49">
        <v>46295</v>
      </c>
      <c r="I70" s="54" t="s">
        <v>191</v>
      </c>
      <c r="J70" s="33" t="s">
        <v>65</v>
      </c>
      <c r="K70" s="4">
        <v>46276</v>
      </c>
      <c r="L70" s="36">
        <v>46262</v>
      </c>
      <c r="M70" s="36">
        <v>46276</v>
      </c>
      <c r="N70" s="46" t="s">
        <v>146</v>
      </c>
      <c r="O70" s="36" t="s">
        <v>192</v>
      </c>
      <c r="P70" s="62" t="s">
        <v>46</v>
      </c>
      <c r="Q70" s="4">
        <v>46286</v>
      </c>
      <c r="R70" s="36">
        <v>46283</v>
      </c>
      <c r="S70" s="36"/>
      <c r="T70" s="68" t="s">
        <v>226</v>
      </c>
      <c r="U70" s="33"/>
      <c r="V70" s="58">
        <v>46290</v>
      </c>
      <c r="W70" s="36"/>
      <c r="X70" s="36"/>
      <c r="Y70" s="36"/>
      <c r="Z70" s="36"/>
      <c r="AA70" s="51">
        <v>46295</v>
      </c>
      <c r="AB70" s="36"/>
      <c r="AC70" s="36"/>
      <c r="AD70" s="33" t="s">
        <v>124</v>
      </c>
      <c r="AE70" s="33" t="s">
        <v>72</v>
      </c>
      <c r="AF70" s="38"/>
      <c r="AG70" s="36"/>
      <c r="AH70" s="39"/>
      <c r="AI70" s="33"/>
      <c r="AJ70" s="40" t="s">
        <v>203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234</v>
      </c>
      <c r="C71" s="33" t="s">
        <v>180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206</v>
      </c>
      <c r="G71" s="33"/>
      <c r="H71" s="49">
        <v>46295</v>
      </c>
      <c r="I71" s="54" t="s">
        <v>191</v>
      </c>
      <c r="J71" s="33" t="s">
        <v>44</v>
      </c>
      <c r="K71" s="4">
        <v>46276</v>
      </c>
      <c r="L71" s="36">
        <v>46259</v>
      </c>
      <c r="M71" s="36">
        <v>46259</v>
      </c>
      <c r="N71" s="36"/>
      <c r="O71" s="36" t="s">
        <v>192</v>
      </c>
      <c r="P71" s="62" t="s">
        <v>60</v>
      </c>
      <c r="Q71" s="4">
        <v>46286</v>
      </c>
      <c r="R71" s="36">
        <v>46281</v>
      </c>
      <c r="S71" s="36">
        <v>46281</v>
      </c>
      <c r="T71" s="68" t="s">
        <v>226</v>
      </c>
      <c r="U71" s="33" t="s">
        <v>47</v>
      </c>
      <c r="V71" s="58">
        <v>46290</v>
      </c>
      <c r="W71" s="36">
        <v>46296</v>
      </c>
      <c r="X71" s="46"/>
      <c r="Y71" s="46"/>
      <c r="Z71" s="36"/>
      <c r="AA71" s="51">
        <v>46295</v>
      </c>
      <c r="AB71" s="36">
        <v>46304</v>
      </c>
      <c r="AC71" s="36"/>
      <c r="AD71" s="33" t="s">
        <v>235</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236</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237</v>
      </c>
      <c r="C72" s="33" t="s">
        <v>202</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191</v>
      </c>
      <c r="J72" s="33" t="s">
        <v>76</v>
      </c>
      <c r="K72" s="4">
        <v>46276</v>
      </c>
      <c r="L72" s="36">
        <v>46258</v>
      </c>
      <c r="M72" s="36">
        <v>46258</v>
      </c>
      <c r="N72" s="36" t="s">
        <v>45</v>
      </c>
      <c r="O72" s="36" t="s">
        <v>192</v>
      </c>
      <c r="P72" s="62" t="s">
        <v>77</v>
      </c>
      <c r="Q72" s="4">
        <v>46286</v>
      </c>
      <c r="R72" s="36">
        <v>46276</v>
      </c>
      <c r="S72" s="36">
        <v>46276</v>
      </c>
      <c r="T72" s="68" t="s">
        <v>226</v>
      </c>
      <c r="U72" s="33" t="s">
        <v>47</v>
      </c>
      <c r="V72" s="58">
        <v>46290</v>
      </c>
      <c r="W72" s="36">
        <v>46296</v>
      </c>
      <c r="X72" s="36">
        <v>46280</v>
      </c>
      <c r="Y72" s="36"/>
      <c r="Z72" s="36"/>
      <c r="AA72" s="51">
        <v>46295</v>
      </c>
      <c r="AB72" s="36"/>
      <c r="AC72" s="36"/>
      <c r="AD72" s="33" t="s">
        <v>169</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238</v>
      </c>
      <c r="C73" s="31" t="s">
        <v>215</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206</v>
      </c>
      <c r="G73" s="31"/>
      <c r="H73" s="49">
        <v>46325</v>
      </c>
      <c r="I73" s="55" t="s">
        <v>239</v>
      </c>
      <c r="J73" s="31" t="s">
        <v>76</v>
      </c>
      <c r="K73" s="43">
        <v>46304</v>
      </c>
      <c r="L73" s="43">
        <v>46259</v>
      </c>
      <c r="M73" s="46">
        <v>46259</v>
      </c>
      <c r="N73" s="44" t="s">
        <v>45</v>
      </c>
      <c r="O73" s="44" t="s">
        <v>192</v>
      </c>
      <c r="P73" s="65" t="s">
        <v>77</v>
      </c>
      <c r="Q73" s="43">
        <v>46313</v>
      </c>
      <c r="R73" s="43">
        <v>46289</v>
      </c>
      <c r="S73" s="43">
        <v>46289</v>
      </c>
      <c r="T73" s="69" t="s">
        <v>240</v>
      </c>
      <c r="U73" s="31" t="s">
        <v>47</v>
      </c>
      <c r="V73" s="28">
        <v>46316</v>
      </c>
      <c r="W73" s="43"/>
      <c r="X73" s="36">
        <v>46296</v>
      </c>
      <c r="Y73" s="31"/>
      <c r="Z73" s="31"/>
      <c r="AA73" s="28">
        <v>46325</v>
      </c>
      <c r="AB73" s="43"/>
      <c r="AC73" s="43"/>
      <c r="AD73" s="31" t="s">
        <v>194</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241</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242</v>
      </c>
      <c r="C74" s="31" t="s">
        <v>202</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206</v>
      </c>
      <c r="G74" s="31"/>
      <c r="H74" s="49">
        <v>46325</v>
      </c>
      <c r="I74" s="55" t="s">
        <v>239</v>
      </c>
      <c r="J74" s="53" t="s">
        <v>225</v>
      </c>
      <c r="K74" s="43">
        <v>46304</v>
      </c>
      <c r="L74" s="43">
        <v>46269</v>
      </c>
      <c r="M74" s="44">
        <v>46269</v>
      </c>
      <c r="N74" s="44"/>
      <c r="O74" s="44" t="s">
        <v>192</v>
      </c>
      <c r="P74" s="74" t="s">
        <v>77</v>
      </c>
      <c r="Q74" s="43">
        <v>46313</v>
      </c>
      <c r="R74" s="43">
        <v>46300</v>
      </c>
      <c r="S74" s="44"/>
      <c r="T74" s="69" t="s">
        <v>240</v>
      </c>
      <c r="U74" s="46" t="s">
        <v>47</v>
      </c>
      <c r="V74" s="28">
        <v>46316</v>
      </c>
      <c r="W74" s="43"/>
      <c r="X74" s="31"/>
      <c r="Y74" s="31"/>
      <c r="Z74" s="36"/>
      <c r="AA74" s="28">
        <v>46325</v>
      </c>
      <c r="AB74" s="43"/>
      <c r="AC74" s="43"/>
      <c r="AD74" s="31" t="s">
        <v>169</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243</v>
      </c>
      <c r="C75" s="133" t="s">
        <v>230</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239</v>
      </c>
      <c r="J75" s="133" t="s">
        <v>59</v>
      </c>
      <c r="K75" s="137">
        <v>46304</v>
      </c>
      <c r="L75" s="137"/>
      <c r="M75" s="138"/>
      <c r="N75" s="138"/>
      <c r="O75" s="138" t="s">
        <v>192</v>
      </c>
      <c r="P75" s="139"/>
      <c r="Q75" s="137">
        <v>46313</v>
      </c>
      <c r="R75" s="137"/>
      <c r="S75" s="138"/>
      <c r="T75" s="140" t="s">
        <v>240</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245</v>
      </c>
      <c r="C76" s="133" t="s">
        <v>230</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239</v>
      </c>
      <c r="J76" s="133" t="s">
        <v>59</v>
      </c>
      <c r="K76" s="137">
        <v>46304</v>
      </c>
      <c r="L76" s="137"/>
      <c r="M76" s="138"/>
      <c r="N76" s="138"/>
      <c r="O76" s="138" t="s">
        <v>192</v>
      </c>
      <c r="P76" s="139"/>
      <c r="Q76" s="137">
        <v>46313</v>
      </c>
      <c r="R76" s="137"/>
      <c r="S76" s="138"/>
      <c r="T76" s="140" t="s">
        <v>240</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246</v>
      </c>
      <c r="C77" s="133" t="s">
        <v>230</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239</v>
      </c>
      <c r="J77" s="133" t="s">
        <v>154</v>
      </c>
      <c r="K77" s="137">
        <v>46304</v>
      </c>
      <c r="L77" s="137"/>
      <c r="M77" s="138"/>
      <c r="N77" s="138"/>
      <c r="O77" s="138" t="s">
        <v>192</v>
      </c>
      <c r="P77" s="139"/>
      <c r="Q77" s="137">
        <v>46313</v>
      </c>
      <c r="R77" s="137"/>
      <c r="S77" s="138"/>
      <c r="T77" s="140" t="s">
        <v>240</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247</v>
      </c>
      <c r="C78" s="144" t="s">
        <v>202</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239</v>
      </c>
      <c r="J78" s="144" t="s">
        <v>44</v>
      </c>
      <c r="K78" s="148">
        <v>46304</v>
      </c>
      <c r="L78" s="148">
        <v>46266</v>
      </c>
      <c r="M78" s="149">
        <v>46266</v>
      </c>
      <c r="N78" s="149"/>
      <c r="O78" s="149" t="s">
        <v>248</v>
      </c>
      <c r="P78" s="150" t="s">
        <v>60</v>
      </c>
      <c r="Q78" s="148">
        <v>46313</v>
      </c>
      <c r="R78" s="148">
        <v>46297</v>
      </c>
      <c r="S78" s="149"/>
      <c r="T78" s="151" t="s">
        <v>240</v>
      </c>
      <c r="U78" s="152"/>
      <c r="V78" s="153">
        <v>46316</v>
      </c>
      <c r="W78" s="148">
        <v>46296</v>
      </c>
      <c r="X78" s="144"/>
      <c r="Y78" s="144"/>
      <c r="Z78" s="154"/>
      <c r="AA78" s="153">
        <v>46325</v>
      </c>
      <c r="AB78" s="148"/>
      <c r="AC78" s="148"/>
      <c r="AD78" s="144" t="s">
        <v>185</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202</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239</v>
      </c>
      <c r="J79" s="53" t="s">
        <v>76</v>
      </c>
      <c r="K79" s="43">
        <v>46304</v>
      </c>
      <c r="L79" s="43">
        <v>46266</v>
      </c>
      <c r="M79" s="46">
        <v>46266</v>
      </c>
      <c r="N79" s="44" t="s">
        <v>252</v>
      </c>
      <c r="O79" s="44" t="s">
        <v>192</v>
      </c>
      <c r="P79" s="74" t="s">
        <v>60</v>
      </c>
      <c r="Q79" s="43">
        <v>46313</v>
      </c>
      <c r="R79" s="43">
        <v>46297</v>
      </c>
      <c r="S79" s="44"/>
      <c r="T79" s="69" t="s">
        <v>240</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254</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239</v>
      </c>
      <c r="J80" s="33" t="s">
        <v>103</v>
      </c>
      <c r="K80" s="43">
        <v>46304</v>
      </c>
      <c r="L80" s="43">
        <v>46276</v>
      </c>
      <c r="M80" s="46">
        <v>46280</v>
      </c>
      <c r="N80" s="44" t="s">
        <v>45</v>
      </c>
      <c r="O80" s="44" t="s">
        <v>248</v>
      </c>
      <c r="P80" s="74" t="s">
        <v>60</v>
      </c>
      <c r="Q80" s="43">
        <v>46313</v>
      </c>
      <c r="R80" s="43">
        <v>46300</v>
      </c>
      <c r="S80" s="44"/>
      <c r="T80" s="69" t="s">
        <v>240</v>
      </c>
      <c r="U80" s="46" t="s">
        <v>47</v>
      </c>
      <c r="V80" s="28">
        <v>46316</v>
      </c>
      <c r="W80" s="43"/>
      <c r="X80" s="31"/>
      <c r="Y80" s="31"/>
      <c r="Z80" s="36"/>
      <c r="AA80" s="28">
        <v>46325</v>
      </c>
      <c r="AB80" s="43"/>
      <c r="AC80" s="43"/>
      <c r="AD80" s="31" t="s">
        <v>208</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256</v>
      </c>
      <c r="C81" s="144" t="s">
        <v>230</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239</v>
      </c>
      <c r="J81" s="33" t="s">
        <v>103</v>
      </c>
      <c r="K81" s="148">
        <v>46304</v>
      </c>
      <c r="L81" s="148">
        <v>46287</v>
      </c>
      <c r="M81" s="148">
        <v>46287</v>
      </c>
      <c r="N81" s="149" t="s">
        <v>252</v>
      </c>
      <c r="O81" s="149" t="s">
        <v>248</v>
      </c>
      <c r="P81" s="150" t="s">
        <v>60</v>
      </c>
      <c r="Q81" s="148">
        <v>46313</v>
      </c>
      <c r="R81" s="148">
        <v>46295</v>
      </c>
      <c r="S81" s="149">
        <v>46294</v>
      </c>
      <c r="T81" s="69" t="s">
        <v>240</v>
      </c>
      <c r="U81" s="152" t="s">
        <v>47</v>
      </c>
      <c r="V81" s="153">
        <v>46316</v>
      </c>
      <c r="W81" s="148"/>
      <c r="X81" s="144"/>
      <c r="Y81" s="144"/>
      <c r="Z81" s="154"/>
      <c r="AA81" s="153">
        <v>46325</v>
      </c>
      <c r="AB81" s="148"/>
      <c r="AC81" s="148"/>
      <c r="AD81" s="144" t="s">
        <v>218</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239</v>
      </c>
      <c r="J82" s="53" t="s">
        <v>154</v>
      </c>
      <c r="K82" s="43">
        <v>46304</v>
      </c>
      <c r="L82" s="43">
        <v>46281</v>
      </c>
      <c r="M82" s="44">
        <v>46283</v>
      </c>
      <c r="N82" s="46" t="s">
        <v>146</v>
      </c>
      <c r="O82" s="44" t="s">
        <v>248</v>
      </c>
      <c r="P82" s="74" t="s">
        <v>77</v>
      </c>
      <c r="Q82" s="43">
        <v>46313</v>
      </c>
      <c r="R82" s="43">
        <v>46304</v>
      </c>
      <c r="S82" s="44"/>
      <c r="T82" s="68" t="s">
        <v>258</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260</v>
      </c>
      <c r="C83" s="31" t="s">
        <v>202</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239</v>
      </c>
      <c r="J83" s="53" t="s">
        <v>76</v>
      </c>
      <c r="K83" s="43">
        <v>46304</v>
      </c>
      <c r="L83" s="43">
        <v>46268</v>
      </c>
      <c r="M83" s="46">
        <v>46268</v>
      </c>
      <c r="N83" s="44" t="s">
        <v>252</v>
      </c>
      <c r="O83" s="44" t="s">
        <v>248</v>
      </c>
      <c r="P83" s="74" t="s">
        <v>77</v>
      </c>
      <c r="Q83" s="43">
        <v>46313</v>
      </c>
      <c r="R83" s="43">
        <v>46294</v>
      </c>
      <c r="S83" s="44">
        <v>46294</v>
      </c>
      <c r="T83" s="69" t="s">
        <v>240</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202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206</v>
      </c>
      <c r="G84" s="31"/>
      <c r="H84" s="49">
        <v>46325</v>
      </c>
      <c r="I84" s="55" t="s">
        <v>239</v>
      </c>
      <c r="J84" s="53" t="s">
        <v>76</v>
      </c>
      <c r="K84" s="43">
        <v>46304</v>
      </c>
      <c r="L84" s="43">
        <v>46286</v>
      </c>
      <c r="M84" s="46">
        <v>46286</v>
      </c>
      <c r="N84" s="44" t="s">
        <v>252</v>
      </c>
      <c r="O84" s="44" t="s">
        <v>248</v>
      </c>
      <c r="P84" s="74" t="s">
        <v>60</v>
      </c>
      <c r="Q84" s="43">
        <v>46313</v>
      </c>
      <c r="R84" s="43">
        <v>46301</v>
      </c>
      <c r="S84" s="44"/>
      <c r="T84" s="69" t="s">
        <v>240</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206</v>
      </c>
      <c r="G85" s="31"/>
      <c r="H85" s="49">
        <v>46325</v>
      </c>
      <c r="I85" s="55" t="s">
        <v>239</v>
      </c>
      <c r="J85" s="53" t="s">
        <v>44</v>
      </c>
      <c r="K85" s="43">
        <v>46304</v>
      </c>
      <c r="L85" s="43">
        <v>46276</v>
      </c>
      <c r="M85" s="44"/>
      <c r="N85" s="44"/>
      <c r="O85" s="44" t="s">
        <v>248</v>
      </c>
      <c r="P85" s="74" t="s">
        <v>60</v>
      </c>
      <c r="Q85" s="43">
        <v>46313</v>
      </c>
      <c r="R85" s="43"/>
      <c r="S85" s="44"/>
      <c r="T85" s="68" t="s">
        <v>258</v>
      </c>
      <c r="U85" s="46"/>
      <c r="V85" s="28">
        <v>46316</v>
      </c>
      <c r="W85" s="43"/>
      <c r="X85" s="31"/>
      <c r="Y85" s="31"/>
      <c r="Z85" s="36"/>
      <c r="AA85" s="28">
        <v>46325</v>
      </c>
      <c r="AB85" s="43"/>
      <c r="AC85" s="43"/>
      <c r="AD85" s="31" t="s">
        <v>185</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206</v>
      </c>
      <c r="G86" s="31"/>
      <c r="H86" s="49">
        <v>46356</v>
      </c>
      <c r="I86" s="55" t="s">
        <v>266</v>
      </c>
      <c r="J86" s="53" t="s">
        <v>84</v>
      </c>
      <c r="K86" s="49">
        <v>46332</v>
      </c>
      <c r="L86" s="43">
        <v>46332</v>
      </c>
      <c r="M86" s="44">
        <v>46290</v>
      </c>
      <c r="N86" s="44"/>
      <c r="O86" s="44" t="s">
        <v>248</v>
      </c>
      <c r="P86" s="74"/>
      <c r="Q86" s="49">
        <v>46339</v>
      </c>
      <c r="R86" s="43"/>
      <c r="S86" s="44"/>
      <c r="T86" s="68" t="s">
        <v>258</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206</v>
      </c>
      <c r="G87" s="31"/>
      <c r="H87" s="49">
        <v>46356</v>
      </c>
      <c r="I87" s="55" t="s">
        <v>266</v>
      </c>
      <c r="J87" s="53" t="s">
        <v>59</v>
      </c>
      <c r="K87" s="49">
        <v>46332</v>
      </c>
      <c r="L87" s="43"/>
      <c r="M87" s="44"/>
      <c r="N87" s="44"/>
      <c r="O87" s="44" t="s">
        <v>248</v>
      </c>
      <c r="P87" s="74"/>
      <c r="Q87" s="49">
        <v>46339</v>
      </c>
      <c r="R87" s="43"/>
      <c r="S87" s="44"/>
      <c r="T87" s="68" t="s">
        <v>258</v>
      </c>
      <c r="U87" s="46"/>
      <c r="V87" s="28">
        <v>46344</v>
      </c>
      <c r="W87" s="43"/>
      <c r="X87" s="31"/>
      <c r="Y87" s="31"/>
      <c r="Z87" s="36"/>
      <c r="AA87" s="28">
        <v>46356</v>
      </c>
      <c r="AB87" s="43"/>
      <c r="AC87" s="43"/>
      <c r="AD87" s="31" t="s">
        <v>169</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206</v>
      </c>
      <c r="G88" s="31"/>
      <c r="H88" s="49">
        <v>46356</v>
      </c>
      <c r="I88" s="55" t="s">
        <v>266</v>
      </c>
      <c r="J88" s="53" t="s">
        <v>59</v>
      </c>
      <c r="K88" s="49">
        <v>46332</v>
      </c>
      <c r="L88" s="43"/>
      <c r="M88" s="44"/>
      <c r="N88" s="44"/>
      <c r="O88" s="44" t="s">
        <v>248</v>
      </c>
      <c r="P88" s="74"/>
      <c r="Q88" s="49">
        <v>46339</v>
      </c>
      <c r="R88" s="43"/>
      <c r="S88" s="44"/>
      <c r="T88" s="68" t="s">
        <v>271</v>
      </c>
      <c r="U88" s="46"/>
      <c r="V88" s="28">
        <v>46344</v>
      </c>
      <c r="W88" s="43"/>
      <c r="X88" s="31"/>
      <c r="Y88" s="31"/>
      <c r="Z88" s="36"/>
      <c r="AA88" s="28">
        <v>46356</v>
      </c>
      <c r="AB88" s="43"/>
      <c r="AC88" s="43"/>
      <c r="AD88" s="31" t="s">
        <v>169</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206</v>
      </c>
      <c r="G89" s="31"/>
      <c r="H89" s="49">
        <v>46356</v>
      </c>
      <c r="I89" s="55" t="s">
        <v>266</v>
      </c>
      <c r="J89" s="53" t="s">
        <v>225</v>
      </c>
      <c r="K89" s="49">
        <v>46332</v>
      </c>
      <c r="L89" s="43">
        <v>46282</v>
      </c>
      <c r="M89" s="44">
        <v>46282</v>
      </c>
      <c r="N89" s="44"/>
      <c r="O89" s="44" t="s">
        <v>248</v>
      </c>
      <c r="P89" s="74"/>
      <c r="Q89" s="49">
        <v>46339</v>
      </c>
      <c r="R89" s="43"/>
      <c r="S89" s="44"/>
      <c r="T89" s="68" t="s">
        <v>271</v>
      </c>
      <c r="U89" s="46"/>
      <c r="V89" s="28">
        <v>46344</v>
      </c>
      <c r="W89" s="43"/>
      <c r="X89" s="31"/>
      <c r="Y89" s="31"/>
      <c r="Z89" s="36"/>
      <c r="AA89" s="28">
        <v>46356</v>
      </c>
      <c r="AB89" s="43"/>
      <c r="AC89" s="43"/>
      <c r="AD89" s="31" t="s">
        <v>169</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206</v>
      </c>
      <c r="G90" s="31"/>
      <c r="H90" s="49">
        <v>46356</v>
      </c>
      <c r="I90" s="55" t="s">
        <v>266</v>
      </c>
      <c r="J90" s="53" t="s">
        <v>225</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169</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206</v>
      </c>
      <c r="G92" s="31"/>
      <c r="H92" s="49">
        <v>46356</v>
      </c>
      <c r="I92" s="55" t="s">
        <v>266</v>
      </c>
      <c r="J92" s="53" t="s">
        <v>84</v>
      </c>
      <c r="K92" s="49">
        <v>46332</v>
      </c>
      <c r="L92" s="43">
        <v>46332</v>
      </c>
      <c r="M92" s="44">
        <v>46275</v>
      </c>
      <c r="N92" s="44"/>
      <c r="O92" s="44" t="s">
        <v>248</v>
      </c>
      <c r="P92" s="74"/>
      <c r="Q92" s="49">
        <v>46339</v>
      </c>
      <c r="R92" s="43"/>
      <c r="S92" s="44"/>
      <c r="T92" s="68" t="s">
        <v>271</v>
      </c>
      <c r="U92" s="46"/>
      <c r="V92" s="28">
        <v>46344</v>
      </c>
      <c r="W92" s="43"/>
      <c r="X92" s="31"/>
      <c r="Y92" s="31"/>
      <c r="Z92" s="36"/>
      <c r="AA92" s="28">
        <v>46356</v>
      </c>
      <c r="AB92" s="43"/>
      <c r="AC92" s="43"/>
      <c r="AD92" s="31" t="s">
        <v>169</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206</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206</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206</v>
      </c>
      <c r="G98" s="31"/>
      <c r="H98" s="49">
        <v>46356</v>
      </c>
      <c r="I98" s="55" t="s">
        <v>266</v>
      </c>
      <c r="J98" s="53" t="s">
        <v>289</v>
      </c>
      <c r="K98" s="49">
        <v>46332</v>
      </c>
      <c r="L98" s="49">
        <v>46332</v>
      </c>
      <c r="M98" s="44">
        <v>46296</v>
      </c>
      <c r="N98" s="44" t="s">
        <v>146</v>
      </c>
      <c r="O98" s="36" t="s">
        <v>274</v>
      </c>
      <c r="P98" s="74"/>
      <c r="Q98" s="49">
        <v>46339</v>
      </c>
      <c r="R98" s="43"/>
      <c r="S98" s="44"/>
      <c r="T98" s="68" t="s">
        <v>284</v>
      </c>
      <c r="U98" s="46"/>
      <c r="V98" s="28">
        <v>46344</v>
      </c>
      <c r="W98" s="43"/>
      <c r="X98" s="31"/>
      <c r="Y98" s="31"/>
      <c r="Z98" s="36"/>
      <c r="AA98" s="28">
        <v>46356</v>
      </c>
      <c r="AB98" s="43"/>
      <c r="AC98" s="43"/>
      <c r="AD98" s="31" t="s">
        <v>169</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248</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297</v>
      </c>
      <c r="B101" s="31" t="s">
        <v>298</v>
      </c>
      <c r="C101" s="31" t="s">
        <v>222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297</v>
      </c>
      <c r="B102" s="31" t="s">
        <v>301</v>
      </c>
      <c r="C102" s="31" t="s">
        <v>202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297</v>
      </c>
      <c r="B103" s="31" t="s">
        <v>304</v>
      </c>
      <c r="C103" s="31" t="s">
        <v>202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297</v>
      </c>
      <c r="B105" s="31" t="s">
        <v>309</v>
      </c>
      <c r="C105" s="31" t="s">
        <v>202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297</v>
      </c>
      <c r="B106" s="31" t="s">
        <v>312</v>
      </c>
      <c r="C106" s="31" t="s">
        <v>202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297</v>
      </c>
      <c r="B107" s="31" t="s">
        <v>314</v>
      </c>
      <c r="C107" s="31" t="s">
        <v>202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297</v>
      </c>
      <c r="B108" s="31" t="s">
        <v>316</v>
      </c>
      <c r="C108" s="31" t="s">
        <v>222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297</v>
      </c>
      <c r="B110" s="31" t="s">
        <v>322</v>
      </c>
      <c r="C110" s="31" t="s">
        <v>202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61"/>
      <c r="C4" s="262"/>
      <c r="D4" s="262"/>
      <c r="E4" s="262"/>
    </row>
    <row r="6" spans="1:5">
      <c r="A6" s="42" t="s">
        <v>0</v>
      </c>
      <c r="B6" s="217" t="str">
        <f>IF($B$4="","",IFERROR(INDEX('Combined Delivery Data'!$A:$A,MATCH($B$4,'Combined Delivery Data'!$B:$B,0)),""))</f>
        <v/>
      </c>
      <c r="C6" s="263"/>
      <c r="D6" s="263"/>
      <c r="E6" s="264"/>
    </row>
    <row r="7" spans="1:5">
      <c r="A7" s="42" t="s">
        <v>335</v>
      </c>
      <c r="B7" s="217" t="str">
        <f>IF($B$4="","",IFERROR(INDEX('Combined Delivery Data'!$C:$C,MATCH($B$4,'Combined Delivery Data'!$B:$B,0)),""))</f>
        <v/>
      </c>
      <c r="C7" s="263"/>
      <c r="D7" s="263"/>
      <c r="E7" s="264"/>
    </row>
    <row r="8" spans="1:5">
      <c r="A8" s="42" t="s">
        <v>3</v>
      </c>
      <c r="B8" s="217" t="str">
        <f>IF($B$4="","",IFERROR(INDEX('Combined Delivery Data'!$D:$D,MATCH($B$4,'Combined Delivery Data'!$B:$B,0)),""))</f>
        <v/>
      </c>
      <c r="C8" s="263"/>
      <c r="D8" s="263"/>
      <c r="E8" s="264"/>
    </row>
    <row r="9" spans="1:5">
      <c r="A9" s="42" t="s">
        <v>4</v>
      </c>
      <c r="B9" s="217" t="str">
        <f>IF($B$4="","",IFERROR(INDEX('Combined Delivery Data'!$E:$E,MATCH($B$4,'Combined Delivery Data'!$B:$B,0)),""))</f>
        <v/>
      </c>
      <c r="C9" s="263"/>
      <c r="D9" s="263"/>
      <c r="E9" s="264"/>
    </row>
    <row r="10" spans="1:5">
      <c r="A10" s="42" t="s">
        <v>5</v>
      </c>
      <c r="B10" s="217" t="str">
        <f>IF($B$4="","",IFERROR(INDEX('Combined Delivery Data'!$F:$F,MATCH($B$4,'Combined Delivery Data'!$B:$B,0)),""))</f>
        <v/>
      </c>
      <c r="C10" s="263"/>
      <c r="D10" s="263"/>
      <c r="E10" s="264"/>
    </row>
    <row r="11" spans="1:5">
      <c r="A11" s="42" t="s">
        <v>9</v>
      </c>
      <c r="B11" s="217" t="str">
        <f>IF($B$4="","",IFERROR(INDEX('Combined Delivery Data'!$J:$J,MATCH($B$4,'Combined Delivery Data'!$B:$B,0)),""))</f>
        <v/>
      </c>
      <c r="C11" s="263"/>
      <c r="D11" s="263"/>
      <c r="E11" s="264"/>
    </row>
    <row r="12" spans="1:5">
      <c r="A12" s="42" t="s">
        <v>15</v>
      </c>
      <c r="B12" s="217" t="str">
        <f>IF($B$4="","",IFERROR(INDEX('Combined Delivery Data'!$P:$P,MATCH($B$4,'Combined Delivery Data'!$B:$B,0)),""))</f>
        <v/>
      </c>
      <c r="C12" s="263"/>
      <c r="D12" s="263"/>
      <c r="E12" s="264"/>
    </row>
    <row r="13" spans="1:5">
      <c r="A13" s="42" t="s">
        <v>20</v>
      </c>
      <c r="B13" s="217" t="str">
        <f>IF($B$4="","",IFERROR(INDEX('Combined Delivery Data'!$U:$U,MATCH($B$4,'Combined Delivery Data'!$B:$B,0)),""))</f>
        <v/>
      </c>
      <c r="C13" s="263"/>
      <c r="D13" s="263"/>
      <c r="E13" s="264"/>
    </row>
    <row r="14" spans="1:5">
      <c r="A14" s="42" t="s">
        <v>336</v>
      </c>
      <c r="B14" s="216" t="str">
        <f>IF($B$4="","",IFERROR(INDEX('Combined Delivery Data'!$K:$K,MATCH($B$4,'Combined Delivery Data'!$B:$B,0)),""))</f>
        <v/>
      </c>
      <c r="C14" s="263"/>
      <c r="D14" s="263"/>
      <c r="E14" s="264"/>
    </row>
    <row r="15" spans="1:5">
      <c r="A15" s="42" t="s">
        <v>337</v>
      </c>
      <c r="B15" s="216" t="str">
        <f>IF($B$4="","",IFERROR(INDEX('Combined Delivery Data'!$L:$L,MATCH($B$4,'Combined Delivery Data'!$B:$B,0)),""))</f>
        <v/>
      </c>
      <c r="C15" s="263"/>
      <c r="D15" s="263"/>
      <c r="E15" s="264"/>
    </row>
    <row r="16" spans="1:5">
      <c r="A16" s="42" t="s">
        <v>338</v>
      </c>
      <c r="B16" s="216" t="str">
        <f>IF($B$4="","",IFERROR(INDEX('Combined Delivery Data'!$M:$M,MATCH($B$4,'Combined Delivery Data'!$B:$B,0)),""))</f>
        <v/>
      </c>
      <c r="C16" s="263"/>
      <c r="D16" s="263"/>
      <c r="E16" s="264"/>
    </row>
    <row r="17" spans="1:5">
      <c r="A17" s="42" t="s">
        <v>339</v>
      </c>
      <c r="B17" s="216" t="str">
        <f>IF($B$4="","",IFERROR(INDEX('Combined Delivery Data'!$O:$O,MATCH($B$4,'Combined Delivery Data'!$B:$B,0)),""))</f>
        <v/>
      </c>
      <c r="C17" s="263"/>
      <c r="D17" s="263"/>
      <c r="E17" s="264"/>
    </row>
    <row r="18" spans="1:5">
      <c r="A18" s="42" t="s">
        <v>340</v>
      </c>
      <c r="B18" s="216" t="str">
        <f>IF($B$4="","",IFERROR(INDEX('Combined Delivery Data'!$Q:$Q,MATCH($B$4,'Combined Delivery Data'!$B:$B,0)),""))</f>
        <v/>
      </c>
      <c r="C18" s="263"/>
      <c r="D18" s="263"/>
      <c r="E18" s="264"/>
    </row>
    <row r="19" spans="1:5">
      <c r="A19" s="42" t="s">
        <v>341</v>
      </c>
      <c r="B19" s="216" t="str">
        <f>IF($B$4="","",IFERROR(INDEX('Combined Delivery Data'!$R:$R,MATCH($B$4,'Combined Delivery Data'!$B:$B,0)),""))</f>
        <v/>
      </c>
      <c r="C19" s="263"/>
      <c r="D19" s="263"/>
      <c r="E19" s="264"/>
    </row>
    <row r="20" spans="1:5">
      <c r="A20" s="42" t="s">
        <v>342</v>
      </c>
      <c r="B20" s="216" t="str">
        <f>IF($B$4="","",IFERROR(INDEX('Combined Delivery Data'!$S:$S,MATCH($B$4,'Combined Delivery Data'!$B:$B,0)),""))</f>
        <v/>
      </c>
      <c r="C20" s="263"/>
      <c r="D20" s="263"/>
      <c r="E20" s="264"/>
    </row>
    <row r="21" spans="1:5">
      <c r="A21" s="42" t="s">
        <v>29</v>
      </c>
      <c r="B21" s="217" t="str">
        <f>IF($B$4="","",IFERROR(INDEX('Combined Delivery Data'!$T:$T,MATCH($B$4,'Combined Delivery Data'!$B:$B,0)),""))</f>
        <v/>
      </c>
      <c r="C21" s="263"/>
      <c r="D21" s="263"/>
      <c r="E21" s="264"/>
    </row>
    <row r="22" spans="1:5">
      <c r="A22" s="42" t="s">
        <v>31</v>
      </c>
      <c r="B22" s="217" t="str">
        <f>IF($B$4="","",IFERROR(INDEX('Combined Delivery Data'!$V:$V,MATCH($B$4,'Combined Delivery Data'!$B:$B,0)),""))</f>
        <v/>
      </c>
      <c r="C22" s="263"/>
      <c r="D22" s="263"/>
      <c r="E22" s="264"/>
    </row>
    <row r="23" spans="1:5">
      <c r="A23" s="42" t="s">
        <v>32</v>
      </c>
      <c r="B23" s="216" t="str">
        <f>IF($B$4="","",IFERROR(INDEX('Combined Delivery Data'!$W:$W,MATCH($B$4,'Combined Delivery Data'!$B:$B,0)),""))</f>
        <v/>
      </c>
      <c r="C23" s="263"/>
      <c r="D23" s="263"/>
      <c r="E23" s="264"/>
    </row>
    <row r="24" spans="1:5">
      <c r="A24" s="42" t="s">
        <v>35</v>
      </c>
      <c r="B24" s="217" t="str">
        <f>IF($B$4="","",IFERROR(INDEX('Combined Delivery Data'!$X:$X,MATCH($B$4,'Combined Delivery Data'!$B:$B,0)),""))</f>
        <v/>
      </c>
      <c r="C24" s="263"/>
      <c r="D24" s="263"/>
      <c r="E24" s="264"/>
    </row>
    <row r="25" spans="1:5">
      <c r="A25" s="42" t="s">
        <v>36</v>
      </c>
      <c r="B25" s="217" t="str">
        <f>IF($B$4="","",IFERROR(INDEX('Combined Delivery Data'!$Z:$Z,MATCH($B$4,'Combined Delivery Data'!$B:$B,0)),""))</f>
        <v/>
      </c>
      <c r="C25" s="263"/>
      <c r="D25" s="263"/>
      <c r="E25" s="264"/>
    </row>
    <row r="26" spans="1:5">
      <c r="A26" s="42" t="s">
        <v>343</v>
      </c>
      <c r="B26" s="217" t="str">
        <f>IF($B$4="","",IFERROR(INDEX('Rework Log'!$Q:$Q,MATCH($B$4,'Rework Log'!$P:$P,0)),""))</f>
        <v/>
      </c>
      <c r="C26" s="263"/>
      <c r="D26" s="263"/>
      <c r="E26" s="264"/>
    </row>
    <row r="27" spans="1:5">
      <c r="A27" s="42" t="s">
        <v>344</v>
      </c>
      <c r="B27" s="217" t="str">
        <f>IF($B$4="","",IFERROR(INDEX('Rework Log'!$R:$R,MATCH($B$4,'Rework Log'!$P:$P,0)),""))</f>
        <v/>
      </c>
      <c r="C27" s="263"/>
      <c r="D27" s="263"/>
      <c r="E27" s="264"/>
    </row>
    <row r="28" spans="1:5">
      <c r="A28" s="42" t="s">
        <v>345</v>
      </c>
      <c r="B28" s="217" t="str">
        <f>IF($B$4="","",IFERROR(INDEX('Rework Log'!$S:$S,MATCH($B$4,'Rework Log'!$P:$P,0)),""))</f>
        <v/>
      </c>
      <c r="C28" s="263"/>
      <c r="D28" s="263"/>
      <c r="E28" s="264"/>
    </row>
    <row r="29" spans="1:5">
      <c r="A29" s="42" t="s">
        <v>346</v>
      </c>
      <c r="B29" s="217" t="str">
        <f>IF($B$4="","",IFERROR(INDEX('Rework Log'!$T:$T,MATCH($B$4,'Rework Log'!$P:$P,0)),""))</f>
        <v/>
      </c>
      <c r="C29" s="263"/>
      <c r="D29" s="263"/>
      <c r="E29" s="264"/>
    </row>
    <row r="30" spans="1:5" ht="15.6" customHeight="1">
      <c r="A30" s="42"/>
      <c r="B30" s="217"/>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E26"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5" t="s">
        <v>347</v>
      </c>
      <c r="B1" s="215"/>
      <c r="C1" s="215"/>
      <c r="D1" s="215"/>
      <c r="E1" s="215"/>
      <c r="F1" s="215"/>
      <c r="G1" s="215"/>
      <c r="H1" s="215"/>
      <c r="I1" s="215"/>
      <c r="J1" s="215"/>
      <c r="K1" s="215"/>
      <c r="L1" s="215"/>
      <c r="M1" s="215"/>
      <c r="P1" s="266" t="s">
        <v>348</v>
      </c>
      <c r="Q1" s="266"/>
      <c r="R1" s="266"/>
      <c r="S1" s="266"/>
      <c r="T1" s="266"/>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215</v>
      </c>
      <c r="D3" s="33" t="s">
        <v>222</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215</v>
      </c>
      <c r="D4" s="31" t="s">
        <v>222</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215</v>
      </c>
      <c r="D5" s="31" t="s">
        <v>222</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215</v>
      </c>
      <c r="D6" s="31" t="s">
        <v>222</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215</v>
      </c>
      <c r="D7" s="31" t="s">
        <v>222</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215</v>
      </c>
      <c r="D8" s="31" t="s">
        <v>222</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215</v>
      </c>
      <c r="D9" s="31" t="s">
        <v>222</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215</v>
      </c>
      <c r="D10" s="31" t="s">
        <v>222</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215</v>
      </c>
      <c r="D11" s="31" t="s">
        <v>222</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215</v>
      </c>
      <c r="D12" s="31" t="s">
        <v>222</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215</v>
      </c>
      <c r="D13" s="31" t="s">
        <v>222</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215</v>
      </c>
      <c r="D14" s="31" t="s">
        <v>202</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215</v>
      </c>
      <c r="D15" s="31" t="s">
        <v>202</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215</v>
      </c>
      <c r="D16" s="31" t="s">
        <v>222</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215</v>
      </c>
      <c r="D17" s="31" t="s">
        <v>202</v>
      </c>
      <c r="E17" s="31" t="s">
        <v>143</v>
      </c>
      <c r="F17" s="31" t="s">
        <v>377</v>
      </c>
      <c r="G17" s="31" t="s">
        <v>50</v>
      </c>
      <c r="H17" s="32" t="s">
        <v>46</v>
      </c>
      <c r="I17" s="32"/>
      <c r="J17" s="32"/>
      <c r="K17" s="31"/>
      <c r="L17" s="31"/>
      <c r="M17" s="3"/>
      <c r="S17" s="28"/>
    </row>
    <row r="18" spans="1:20">
      <c r="A18" s="33" t="s">
        <v>179</v>
      </c>
      <c r="B18" s="32">
        <v>46261</v>
      </c>
      <c r="C18" s="31" t="s">
        <v>215</v>
      </c>
      <c r="D18" s="31" t="s">
        <v>222</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215</v>
      </c>
      <c r="D19" s="31" t="s">
        <v>202</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171</v>
      </c>
      <c r="B20" s="32">
        <v>46265</v>
      </c>
      <c r="C20" s="31" t="s">
        <v>215</v>
      </c>
      <c r="D20" s="31" t="s">
        <v>202</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173</v>
      </c>
      <c r="B21" s="32">
        <v>46265</v>
      </c>
      <c r="C21" s="31" t="s">
        <v>215</v>
      </c>
      <c r="D21" s="31" t="s">
        <v>222</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215</v>
      </c>
      <c r="D22" s="31" t="s">
        <v>222</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168</v>
      </c>
      <c r="B23" s="32">
        <v>46266</v>
      </c>
      <c r="C23" s="31" t="s">
        <v>215</v>
      </c>
      <c r="D23" s="31" t="s">
        <v>202</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168</v>
      </c>
      <c r="B24" s="32">
        <v>46266</v>
      </c>
      <c r="C24" s="31" t="s">
        <v>215</v>
      </c>
      <c r="D24" s="31" t="s">
        <v>202</v>
      </c>
      <c r="E24" s="31" t="s">
        <v>47</v>
      </c>
      <c r="F24" s="31" t="s">
        <v>386</v>
      </c>
      <c r="G24" s="31" t="s">
        <v>50</v>
      </c>
      <c r="H24" s="32" t="s">
        <v>46</v>
      </c>
      <c r="I24" s="167">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168</v>
      </c>
      <c r="B25" s="32">
        <v>46267</v>
      </c>
      <c r="C25" s="31" t="s">
        <v>215</v>
      </c>
      <c r="D25" s="31" t="s">
        <v>202</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184</v>
      </c>
      <c r="B26" s="32">
        <v>46267</v>
      </c>
      <c r="C26" s="31" t="s">
        <v>215</v>
      </c>
      <c r="D26" s="31" t="s">
        <v>202</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179</v>
      </c>
      <c r="B27" s="32">
        <v>46267</v>
      </c>
      <c r="C27" s="31" t="s">
        <v>215</v>
      </c>
      <c r="D27" s="31" t="s">
        <v>222</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215</v>
      </c>
      <c r="D28" s="31" t="s">
        <v>202</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215</v>
      </c>
      <c r="D29" s="31" t="s">
        <v>202</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215</v>
      </c>
      <c r="D30" s="31" t="s">
        <v>202</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179</v>
      </c>
      <c r="B31" s="32">
        <v>46267</v>
      </c>
      <c r="C31" s="31" t="s">
        <v>215</v>
      </c>
      <c r="D31" s="31" t="s">
        <v>222</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215</v>
      </c>
      <c r="D32" s="31" t="s">
        <v>222</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215</v>
      </c>
      <c r="D33" s="31" t="s">
        <v>222</v>
      </c>
      <c r="E33" s="31" t="s">
        <v>197</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215</v>
      </c>
      <c r="D34" s="31" t="s">
        <v>222</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190</v>
      </c>
      <c r="B35" s="32">
        <v>46274</v>
      </c>
      <c r="C35" s="31" t="s">
        <v>215</v>
      </c>
      <c r="D35" s="31" t="s">
        <v>202</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179</v>
      </c>
      <c r="B36" s="32">
        <v>46275</v>
      </c>
      <c r="C36" s="31" t="s">
        <v>215</v>
      </c>
      <c r="D36" s="31" t="s">
        <v>222</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215</v>
      </c>
      <c r="D37" s="31" t="s">
        <v>222</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179</v>
      </c>
      <c r="B38" s="32">
        <v>46279</v>
      </c>
      <c r="C38" s="31" t="s">
        <v>215</v>
      </c>
      <c r="D38" s="31" t="s">
        <v>222</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187</v>
      </c>
      <c r="B39" s="32">
        <v>46279</v>
      </c>
      <c r="C39" s="31" t="s">
        <v>215</v>
      </c>
      <c r="D39" s="31" t="s">
        <v>202</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205</v>
      </c>
      <c r="B40" s="32">
        <v>46280</v>
      </c>
      <c r="C40" s="31" t="s">
        <v>215</v>
      </c>
      <c r="D40" s="31" t="s">
        <v>222</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200</v>
      </c>
      <c r="B41" s="32">
        <v>46281</v>
      </c>
      <c r="C41" s="31" t="s">
        <v>215</v>
      </c>
      <c r="D41" s="31" t="s">
        <v>202</v>
      </c>
      <c r="E41" s="31" t="s">
        <v>197</v>
      </c>
      <c r="F41" s="31" t="s">
        <v>405</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207</v>
      </c>
      <c r="B42" s="32">
        <v>46282</v>
      </c>
      <c r="C42" s="31" t="s">
        <v>215</v>
      </c>
      <c r="D42" s="31" t="s">
        <v>222</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209</v>
      </c>
      <c r="B43" s="32">
        <v>46287</v>
      </c>
      <c r="C43" s="31" t="s">
        <v>215</v>
      </c>
      <c r="D43" s="31" t="s">
        <v>222</v>
      </c>
      <c r="E43" s="31" t="s">
        <v>129</v>
      </c>
      <c r="F43" s="31" t="s">
        <v>408</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163</v>
      </c>
      <c r="B44" s="32">
        <v>46288</v>
      </c>
      <c r="C44" s="31" t="s">
        <v>180</v>
      </c>
      <c r="D44" s="31" t="s">
        <v>202</v>
      </c>
      <c r="E44" s="31" t="s">
        <v>143</v>
      </c>
      <c r="F44" s="31" t="s">
        <v>409</v>
      </c>
      <c r="G44" s="31" t="s">
        <v>50</v>
      </c>
      <c r="H44" s="32" t="s">
        <v>60</v>
      </c>
      <c r="I44" s="32">
        <v>46294</v>
      </c>
      <c r="J44" s="32"/>
      <c r="K44" s="31"/>
      <c r="L44" s="31"/>
      <c r="M44" s="3" t="str">
        <f t="shared" ca="1" si="4"/>
        <v>3 d LATE</v>
      </c>
      <c r="P44" t="str">
        <f>'Combined Delivery Data'!B44</f>
        <v>RPT_02_Investigate Wall Check and Service Check</v>
      </c>
      <c r="Q44">
        <f t="shared" si="5"/>
        <v>3</v>
      </c>
      <c r="R44">
        <f t="shared" si="6"/>
        <v>0</v>
      </c>
      <c r="S44" s="28">
        <f t="shared" si="7"/>
        <v>46267</v>
      </c>
      <c r="T44" t="str">
        <f t="shared" si="8"/>
        <v>QA -&gt; PBI Dev</v>
      </c>
    </row>
    <row r="45" spans="1:20" ht="15">
      <c r="A45" s="33" t="s">
        <v>221</v>
      </c>
      <c r="B45" s="32">
        <v>46295</v>
      </c>
      <c r="C45" s="31" t="s">
        <v>215</v>
      </c>
      <c r="D45" s="31" t="s">
        <v>222</v>
      </c>
      <c r="E45" s="31" t="s">
        <v>129</v>
      </c>
      <c r="F45" s="31" t="s">
        <v>410</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215</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215</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215</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215</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215</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215</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215</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215</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215</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215</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215</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215</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215</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215</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215</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215</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215</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215</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215</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215</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215</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215</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215</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215</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215</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215</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215</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215</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215</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215</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215</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215</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215</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215</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215</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215</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215</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215</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215</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215</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215</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215</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215</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215</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215</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215</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215</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215</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215</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215</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215</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215</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215</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215</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215</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215</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215</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215</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215</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215</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215</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215</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215</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215</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215</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215</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215</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215</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215</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215</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215</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215</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215</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215</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215</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215</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215</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215</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215</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215</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215</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215</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215</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215</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215</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215</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215</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215</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215</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215</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215</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215</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215</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215</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215</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215</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215</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215</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215</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215</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215</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215</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215</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215</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215</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215</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215</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215</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215</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215</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215</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411</v>
      </c>
      <c r="B1" s="262"/>
      <c r="C1" s="262"/>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428</v>
      </c>
      <c r="B1" s="262"/>
      <c r="C1" s="262"/>
      <c r="D1" s="262"/>
      <c r="E1" s="262"/>
      <c r="F1" s="262"/>
      <c r="G1" s="262"/>
      <c r="H1" s="262"/>
      <c r="I1" s="262"/>
      <c r="J1" s="262"/>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222</v>
      </c>
      <c r="C3" s="9" t="s">
        <v>41</v>
      </c>
      <c r="D3" s="9" t="s">
        <v>44</v>
      </c>
      <c r="E3" s="9" t="s">
        <v>46</v>
      </c>
      <c r="F3" s="9"/>
      <c r="G3" s="9"/>
      <c r="H3" s="9"/>
      <c r="I3" s="10">
        <v>46115</v>
      </c>
      <c r="J3" s="10">
        <v>46115</v>
      </c>
    </row>
    <row r="4" spans="1:10" ht="14.25" customHeight="1">
      <c r="A4" s="9" t="s">
        <v>40</v>
      </c>
      <c r="B4" s="9" t="s">
        <v>202</v>
      </c>
      <c r="C4" s="9" t="s">
        <v>41</v>
      </c>
      <c r="D4" s="9" t="s">
        <v>44</v>
      </c>
      <c r="E4" s="9" t="s">
        <v>46</v>
      </c>
      <c r="F4" s="9"/>
      <c r="G4" s="9"/>
      <c r="H4" s="10">
        <v>46115</v>
      </c>
      <c r="I4" s="10">
        <v>46114</v>
      </c>
      <c r="J4" s="10">
        <v>46114</v>
      </c>
    </row>
    <row r="5" spans="1:10" ht="14.25" customHeight="1">
      <c r="A5" s="9" t="s">
        <v>40</v>
      </c>
      <c r="B5" s="9" t="s">
        <v>215</v>
      </c>
      <c r="C5" s="9" t="s">
        <v>41</v>
      </c>
      <c r="D5" s="9" t="s">
        <v>44</v>
      </c>
      <c r="E5" s="9" t="s">
        <v>46</v>
      </c>
      <c r="F5" s="9"/>
      <c r="G5" s="9"/>
      <c r="H5" s="10">
        <v>46114</v>
      </c>
      <c r="I5" s="10">
        <v>46122</v>
      </c>
      <c r="J5" s="10">
        <v>46122</v>
      </c>
    </row>
    <row r="6" spans="1:10" ht="14.25" customHeight="1">
      <c r="A6" s="9" t="s">
        <v>40</v>
      </c>
      <c r="B6" s="9" t="s">
        <v>180</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222</v>
      </c>
      <c r="C8" s="9" t="s">
        <v>55</v>
      </c>
      <c r="D8" s="9" t="s">
        <v>44</v>
      </c>
      <c r="E8" s="9" t="s">
        <v>46</v>
      </c>
      <c r="F8" s="9"/>
      <c r="G8" s="9"/>
      <c r="H8" s="10"/>
      <c r="I8" s="10">
        <v>46115</v>
      </c>
      <c r="J8" s="10">
        <v>46115</v>
      </c>
    </row>
    <row r="9" spans="1:10" ht="14.25" customHeight="1">
      <c r="A9" s="9" t="s">
        <v>40</v>
      </c>
      <c r="B9" s="9" t="s">
        <v>202</v>
      </c>
      <c r="C9" s="9" t="s">
        <v>55</v>
      </c>
      <c r="D9" s="9" t="s">
        <v>44</v>
      </c>
      <c r="E9" s="9" t="s">
        <v>46</v>
      </c>
      <c r="F9" s="9"/>
      <c r="G9" s="9"/>
      <c r="H9" s="10">
        <v>46115</v>
      </c>
      <c r="I9" s="10">
        <v>46114</v>
      </c>
      <c r="J9" s="10">
        <v>46114</v>
      </c>
    </row>
    <row r="10" spans="1:10" ht="14.25" customHeight="1">
      <c r="A10" s="9" t="s">
        <v>40</v>
      </c>
      <c r="B10" s="9" t="s">
        <v>215</v>
      </c>
      <c r="C10" s="9" t="s">
        <v>55</v>
      </c>
      <c r="D10" s="9" t="s">
        <v>44</v>
      </c>
      <c r="E10" s="9" t="s">
        <v>46</v>
      </c>
      <c r="F10" s="9"/>
      <c r="G10" s="9"/>
      <c r="H10" s="10">
        <v>46114</v>
      </c>
      <c r="I10" s="10">
        <v>46122</v>
      </c>
      <c r="J10" s="10">
        <v>46122</v>
      </c>
    </row>
    <row r="11" spans="1:10" ht="14.25" customHeight="1">
      <c r="A11" s="9" t="s">
        <v>40</v>
      </c>
      <c r="B11" s="9" t="s">
        <v>180</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222</v>
      </c>
      <c r="C13" s="9" t="s">
        <v>434</v>
      </c>
      <c r="D13" s="9" t="s">
        <v>435</v>
      </c>
      <c r="E13" s="9" t="s">
        <v>46</v>
      </c>
      <c r="F13" s="9"/>
      <c r="G13" s="9"/>
      <c r="H13" s="10"/>
      <c r="I13" s="10">
        <v>46115</v>
      </c>
      <c r="J13" s="10">
        <v>46115</v>
      </c>
    </row>
    <row r="14" spans="1:10" ht="14.25" customHeight="1">
      <c r="A14" s="9" t="s">
        <v>40</v>
      </c>
      <c r="B14" s="9" t="s">
        <v>202</v>
      </c>
      <c r="C14" s="9" t="s">
        <v>434</v>
      </c>
      <c r="D14" s="9" t="s">
        <v>435</v>
      </c>
      <c r="E14" s="9" t="s">
        <v>46</v>
      </c>
      <c r="F14" s="9"/>
      <c r="G14" s="9"/>
      <c r="H14" s="10">
        <v>46115</v>
      </c>
      <c r="I14" s="10">
        <v>46120</v>
      </c>
      <c r="J14" s="10">
        <v>46120</v>
      </c>
    </row>
    <row r="15" spans="1:10" ht="14.25" customHeight="1">
      <c r="A15" s="9" t="s">
        <v>40</v>
      </c>
      <c r="B15" s="9" t="s">
        <v>215</v>
      </c>
      <c r="C15" s="9" t="s">
        <v>434</v>
      </c>
      <c r="D15" s="9" t="s">
        <v>435</v>
      </c>
      <c r="E15" s="9" t="s">
        <v>46</v>
      </c>
      <c r="F15" s="9"/>
      <c r="G15" s="9"/>
      <c r="H15" s="10">
        <v>46120</v>
      </c>
      <c r="I15" s="10">
        <v>46122</v>
      </c>
      <c r="J15" s="10">
        <v>46122</v>
      </c>
    </row>
    <row r="16" spans="1:10" ht="14.25" customHeight="1">
      <c r="A16" s="9" t="s">
        <v>40</v>
      </c>
      <c r="B16" s="9" t="s">
        <v>180</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222</v>
      </c>
      <c r="C18" s="9" t="s">
        <v>58</v>
      </c>
      <c r="D18" s="9" t="s">
        <v>59</v>
      </c>
      <c r="E18" s="9" t="s">
        <v>60</v>
      </c>
      <c r="F18" s="9"/>
      <c r="G18" s="9"/>
      <c r="H18" s="9"/>
      <c r="I18" s="10">
        <v>46115</v>
      </c>
      <c r="J18" s="10">
        <v>46115</v>
      </c>
    </row>
    <row r="19" spans="1:10" ht="14.25" customHeight="1">
      <c r="A19" s="9" t="s">
        <v>40</v>
      </c>
      <c r="B19" s="9" t="s">
        <v>202</v>
      </c>
      <c r="C19" s="9" t="s">
        <v>58</v>
      </c>
      <c r="D19" s="9" t="s">
        <v>59</v>
      </c>
      <c r="E19" s="9" t="s">
        <v>60</v>
      </c>
      <c r="F19" s="9"/>
      <c r="G19" s="9"/>
      <c r="H19" s="10">
        <v>46115</v>
      </c>
      <c r="I19" s="10">
        <v>46126</v>
      </c>
      <c r="J19" s="10">
        <v>46126</v>
      </c>
    </row>
    <row r="20" spans="1:10" ht="14.25" customHeight="1">
      <c r="A20" s="9" t="s">
        <v>40</v>
      </c>
      <c r="B20" s="9" t="s">
        <v>215</v>
      </c>
      <c r="C20" s="9" t="s">
        <v>58</v>
      </c>
      <c r="D20" s="9" t="s">
        <v>59</v>
      </c>
      <c r="E20" s="9" t="s">
        <v>60</v>
      </c>
      <c r="F20" s="9"/>
      <c r="G20" s="9"/>
      <c r="H20" s="10">
        <v>46126</v>
      </c>
      <c r="I20" s="10">
        <v>46122</v>
      </c>
      <c r="J20" s="10">
        <v>46122</v>
      </c>
    </row>
    <row r="21" spans="1:10" ht="14.25" customHeight="1">
      <c r="A21" s="9" t="s">
        <v>40</v>
      </c>
      <c r="B21" s="9" t="s">
        <v>180</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222</v>
      </c>
      <c r="C23" s="9" t="s">
        <v>64</v>
      </c>
      <c r="D23" s="9" t="s">
        <v>435</v>
      </c>
      <c r="E23" s="9" t="s">
        <v>46</v>
      </c>
      <c r="F23" s="9"/>
      <c r="G23" s="9"/>
      <c r="H23" s="10"/>
      <c r="I23" s="10">
        <v>46115</v>
      </c>
      <c r="J23" s="10">
        <v>46115</v>
      </c>
    </row>
    <row r="24" spans="1:10" ht="14.25" customHeight="1">
      <c r="A24" s="9" t="s">
        <v>40</v>
      </c>
      <c r="B24" s="9" t="s">
        <v>202</v>
      </c>
      <c r="C24" s="9" t="s">
        <v>64</v>
      </c>
      <c r="D24" s="9" t="s">
        <v>435</v>
      </c>
      <c r="E24" s="9" t="s">
        <v>46</v>
      </c>
      <c r="F24" s="9"/>
      <c r="G24" s="9"/>
      <c r="H24" s="10">
        <v>46115</v>
      </c>
      <c r="I24" s="10">
        <v>46120</v>
      </c>
      <c r="J24" s="10">
        <v>46120</v>
      </c>
    </row>
    <row r="25" spans="1:10" ht="14.25" customHeight="1">
      <c r="A25" s="9" t="s">
        <v>40</v>
      </c>
      <c r="B25" s="9" t="s">
        <v>215</v>
      </c>
      <c r="C25" s="9" t="s">
        <v>64</v>
      </c>
      <c r="D25" s="9" t="s">
        <v>435</v>
      </c>
      <c r="E25" s="9" t="s">
        <v>46</v>
      </c>
      <c r="F25" s="9"/>
      <c r="G25" s="9"/>
      <c r="H25" s="10">
        <v>46120</v>
      </c>
      <c r="I25" s="10">
        <v>46122</v>
      </c>
      <c r="J25" s="10">
        <v>46122</v>
      </c>
    </row>
    <row r="26" spans="1:10" ht="14.25" customHeight="1">
      <c r="A26" s="9" t="s">
        <v>40</v>
      </c>
      <c r="B26" s="9" t="s">
        <v>180</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222</v>
      </c>
      <c r="C28" s="9" t="s">
        <v>69</v>
      </c>
      <c r="D28" s="9" t="s">
        <v>76</v>
      </c>
      <c r="E28" s="9" t="s">
        <v>60</v>
      </c>
      <c r="F28" s="9"/>
      <c r="G28" s="9"/>
      <c r="H28" s="10"/>
      <c r="I28" s="10">
        <v>46115</v>
      </c>
      <c r="J28" s="10">
        <v>46115</v>
      </c>
    </row>
    <row r="29" spans="1:10" ht="14.25" customHeight="1">
      <c r="A29" s="9" t="s">
        <v>40</v>
      </c>
      <c r="B29" s="9" t="s">
        <v>202</v>
      </c>
      <c r="C29" s="9" t="s">
        <v>69</v>
      </c>
      <c r="D29" s="9" t="s">
        <v>76</v>
      </c>
      <c r="E29" s="9" t="s">
        <v>60</v>
      </c>
      <c r="F29" s="9"/>
      <c r="G29" s="9"/>
      <c r="H29" s="10">
        <v>46115</v>
      </c>
      <c r="I29" s="10">
        <v>46126</v>
      </c>
      <c r="J29" s="10">
        <v>46126</v>
      </c>
    </row>
    <row r="30" spans="1:10" ht="14.25" customHeight="1">
      <c r="A30" s="9" t="s">
        <v>40</v>
      </c>
      <c r="B30" s="9" t="s">
        <v>215</v>
      </c>
      <c r="C30" s="9" t="s">
        <v>69</v>
      </c>
      <c r="D30" s="9" t="s">
        <v>76</v>
      </c>
      <c r="E30" s="9" t="s">
        <v>60</v>
      </c>
      <c r="F30" s="9"/>
      <c r="G30" s="9"/>
      <c r="H30" s="10">
        <v>46126</v>
      </c>
      <c r="I30" s="10">
        <v>46122</v>
      </c>
      <c r="J30" s="10">
        <v>46122</v>
      </c>
    </row>
    <row r="31" spans="1:10" ht="14.25" customHeight="1">
      <c r="A31" s="9" t="s">
        <v>40</v>
      </c>
      <c r="B31" s="9" t="s">
        <v>180</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222</v>
      </c>
      <c r="C33" s="9" t="s">
        <v>70</v>
      </c>
      <c r="D33" s="9" t="s">
        <v>435</v>
      </c>
      <c r="E33" s="9" t="s">
        <v>60</v>
      </c>
      <c r="F33" s="9"/>
      <c r="G33" s="9"/>
      <c r="H33" s="10"/>
      <c r="I33" s="10">
        <v>46122</v>
      </c>
      <c r="J33" s="10">
        <v>46122</v>
      </c>
    </row>
    <row r="34" spans="1:10" ht="14.25" customHeight="1">
      <c r="A34" s="9" t="s">
        <v>40</v>
      </c>
      <c r="B34" s="9" t="s">
        <v>202</v>
      </c>
      <c r="C34" s="9" t="s">
        <v>70</v>
      </c>
      <c r="D34" s="9" t="s">
        <v>435</v>
      </c>
      <c r="E34" s="9" t="s">
        <v>60</v>
      </c>
      <c r="F34" s="9"/>
      <c r="G34" s="9"/>
      <c r="H34" s="10">
        <v>46122</v>
      </c>
      <c r="I34" s="10">
        <v>46126</v>
      </c>
      <c r="J34" s="10">
        <v>46126</v>
      </c>
    </row>
    <row r="35" spans="1:10" ht="14.25" customHeight="1">
      <c r="A35" s="9" t="s">
        <v>40</v>
      </c>
      <c r="B35" s="9" t="s">
        <v>215</v>
      </c>
      <c r="C35" s="9" t="s">
        <v>70</v>
      </c>
      <c r="D35" s="9" t="s">
        <v>435</v>
      </c>
      <c r="E35" s="9" t="s">
        <v>60</v>
      </c>
      <c r="F35" s="9"/>
      <c r="G35" s="9"/>
      <c r="H35" s="10">
        <v>46126</v>
      </c>
      <c r="I35" s="10">
        <v>46122</v>
      </c>
      <c r="J35" s="10">
        <v>46122</v>
      </c>
    </row>
    <row r="36" spans="1:10" ht="14.25" customHeight="1">
      <c r="A36" s="9" t="s">
        <v>40</v>
      </c>
      <c r="B36" s="9" t="s">
        <v>180</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222</v>
      </c>
      <c r="C38" s="9" t="s">
        <v>71</v>
      </c>
      <c r="D38" s="9" t="s">
        <v>84</v>
      </c>
      <c r="E38" s="9" t="s">
        <v>60</v>
      </c>
      <c r="F38" s="9"/>
      <c r="G38" s="9"/>
      <c r="H38" s="9"/>
      <c r="I38" s="10">
        <v>46122</v>
      </c>
      <c r="J38" s="10">
        <v>46122</v>
      </c>
    </row>
    <row r="39" spans="1:10" ht="14.25" customHeight="1">
      <c r="A39" s="9" t="s">
        <v>40</v>
      </c>
      <c r="B39" s="9" t="s">
        <v>202</v>
      </c>
      <c r="C39" s="9" t="s">
        <v>71</v>
      </c>
      <c r="D39" s="9" t="s">
        <v>84</v>
      </c>
      <c r="E39" s="9" t="s">
        <v>60</v>
      </c>
      <c r="F39" s="9"/>
      <c r="G39" s="9"/>
      <c r="H39" s="10">
        <v>46122</v>
      </c>
      <c r="I39" s="10">
        <v>46126</v>
      </c>
      <c r="J39" s="10">
        <v>46126</v>
      </c>
    </row>
    <row r="40" spans="1:10" ht="14.25" customHeight="1">
      <c r="A40" s="9" t="s">
        <v>40</v>
      </c>
      <c r="B40" s="9" t="s">
        <v>215</v>
      </c>
      <c r="C40" s="9" t="s">
        <v>71</v>
      </c>
      <c r="D40" s="9" t="s">
        <v>84</v>
      </c>
      <c r="E40" s="9" t="s">
        <v>60</v>
      </c>
      <c r="F40" s="9"/>
      <c r="G40" s="9"/>
      <c r="H40" s="10">
        <v>46126</v>
      </c>
      <c r="I40" s="10">
        <v>46122</v>
      </c>
      <c r="J40" s="10">
        <v>46122</v>
      </c>
    </row>
    <row r="41" spans="1:10" ht="14.25" customHeight="1">
      <c r="A41" s="9" t="s">
        <v>40</v>
      </c>
      <c r="B41" s="9" t="s">
        <v>180</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222</v>
      </c>
      <c r="C43" s="9" t="s">
        <v>73</v>
      </c>
      <c r="D43" s="9" t="s">
        <v>59</v>
      </c>
      <c r="E43" s="9" t="s">
        <v>60</v>
      </c>
      <c r="F43" s="9"/>
      <c r="G43" s="9"/>
      <c r="H43" s="10"/>
      <c r="I43" s="10">
        <v>46127</v>
      </c>
      <c r="J43" s="10">
        <v>46127</v>
      </c>
    </row>
    <row r="44" spans="1:10" ht="14.25" customHeight="1">
      <c r="A44" s="9" t="s">
        <v>40</v>
      </c>
      <c r="B44" s="9" t="s">
        <v>202</v>
      </c>
      <c r="C44" s="9" t="s">
        <v>73</v>
      </c>
      <c r="D44" s="9" t="s">
        <v>59</v>
      </c>
      <c r="E44" s="9" t="s">
        <v>60</v>
      </c>
      <c r="F44" s="9"/>
      <c r="G44" s="9"/>
      <c r="H44" s="10">
        <v>46127</v>
      </c>
      <c r="I44" s="10">
        <v>46126</v>
      </c>
      <c r="J44" s="10">
        <v>46126</v>
      </c>
    </row>
    <row r="45" spans="1:10" ht="14.25" customHeight="1">
      <c r="A45" s="9" t="s">
        <v>40</v>
      </c>
      <c r="B45" s="9" t="s">
        <v>215</v>
      </c>
      <c r="C45" s="9" t="s">
        <v>73</v>
      </c>
      <c r="D45" s="9" t="s">
        <v>59</v>
      </c>
      <c r="E45" s="9" t="s">
        <v>60</v>
      </c>
      <c r="F45" s="9"/>
      <c r="G45" s="9"/>
      <c r="H45" s="10">
        <v>46126</v>
      </c>
      <c r="I45" s="10">
        <v>46122</v>
      </c>
      <c r="J45" s="10">
        <v>46122</v>
      </c>
    </row>
    <row r="46" spans="1:10" ht="14.25" customHeight="1">
      <c r="A46" s="9" t="s">
        <v>40</v>
      </c>
      <c r="B46" s="9" t="s">
        <v>180</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222</v>
      </c>
      <c r="C48" s="9" t="s">
        <v>97</v>
      </c>
      <c r="D48" s="9" t="s">
        <v>435</v>
      </c>
      <c r="E48" s="9" t="s">
        <v>60</v>
      </c>
      <c r="F48" s="9"/>
      <c r="G48" s="9"/>
      <c r="H48" s="10"/>
      <c r="I48" s="10"/>
      <c r="J48" s="10"/>
    </row>
    <row r="49" spans="1:10" ht="14.25" customHeight="1">
      <c r="A49" s="9" t="s">
        <v>40</v>
      </c>
      <c r="B49" s="9" t="s">
        <v>202</v>
      </c>
      <c r="C49" s="9" t="s">
        <v>97</v>
      </c>
      <c r="D49" s="9" t="s">
        <v>435</v>
      </c>
      <c r="E49" s="9" t="s">
        <v>60</v>
      </c>
      <c r="F49" s="9"/>
      <c r="G49" s="9"/>
      <c r="H49" s="10"/>
      <c r="I49" s="10">
        <v>46139</v>
      </c>
      <c r="J49" s="10">
        <v>46139</v>
      </c>
    </row>
    <row r="50" spans="1:10" ht="14.25" customHeight="1">
      <c r="A50" s="9" t="s">
        <v>40</v>
      </c>
      <c r="B50" s="9" t="s">
        <v>215</v>
      </c>
      <c r="C50" s="9" t="s">
        <v>97</v>
      </c>
      <c r="D50" s="9" t="s">
        <v>435</v>
      </c>
      <c r="E50" s="9" t="s">
        <v>60</v>
      </c>
      <c r="F50" s="9"/>
      <c r="G50" s="9"/>
      <c r="H50" s="10">
        <v>46139</v>
      </c>
      <c r="I50" s="10">
        <v>46139</v>
      </c>
      <c r="J50" s="10">
        <v>46139</v>
      </c>
    </row>
    <row r="51" spans="1:10" ht="14.25" customHeight="1">
      <c r="A51" s="9" t="s">
        <v>40</v>
      </c>
      <c r="B51" s="9" t="s">
        <v>180</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222</v>
      </c>
      <c r="C53" s="9" t="s">
        <v>98</v>
      </c>
      <c r="D53" s="9" t="s">
        <v>435</v>
      </c>
      <c r="E53" s="9" t="s">
        <v>60</v>
      </c>
      <c r="F53" s="9"/>
      <c r="G53" s="9"/>
      <c r="H53" s="10"/>
      <c r="I53" s="10"/>
      <c r="J53" s="10"/>
    </row>
    <row r="54" spans="1:10" ht="14.25" customHeight="1">
      <c r="A54" s="9" t="s">
        <v>40</v>
      </c>
      <c r="B54" s="9" t="s">
        <v>202</v>
      </c>
      <c r="C54" s="9" t="s">
        <v>98</v>
      </c>
      <c r="D54" s="9" t="s">
        <v>435</v>
      </c>
      <c r="E54" s="9" t="s">
        <v>60</v>
      </c>
      <c r="F54" s="9"/>
      <c r="G54" s="9"/>
      <c r="H54" s="9"/>
      <c r="I54" s="10">
        <v>46141</v>
      </c>
      <c r="J54" s="10">
        <v>46141</v>
      </c>
    </row>
    <row r="55" spans="1:10" ht="14.25" customHeight="1">
      <c r="A55" s="9" t="s">
        <v>40</v>
      </c>
      <c r="B55" s="9" t="s">
        <v>215</v>
      </c>
      <c r="C55" s="9" t="s">
        <v>98</v>
      </c>
      <c r="D55" s="9" t="s">
        <v>435</v>
      </c>
      <c r="E55" s="9" t="s">
        <v>60</v>
      </c>
      <c r="F55" s="9"/>
      <c r="G55" s="9"/>
      <c r="H55" s="10">
        <v>46141</v>
      </c>
      <c r="I55" s="10">
        <v>46141</v>
      </c>
      <c r="J55" s="10">
        <v>46141</v>
      </c>
    </row>
    <row r="56" spans="1:10" ht="14.25" customHeight="1">
      <c r="A56" s="9" t="s">
        <v>40</v>
      </c>
      <c r="B56" s="9" t="s">
        <v>180</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222</v>
      </c>
      <c r="C58" s="9" t="s">
        <v>99</v>
      </c>
      <c r="D58" s="9" t="s">
        <v>435</v>
      </c>
      <c r="E58" s="9" t="s">
        <v>46</v>
      </c>
      <c r="F58" s="9"/>
      <c r="G58" s="9"/>
      <c r="H58" s="9"/>
      <c r="I58" s="10"/>
      <c r="J58" s="10"/>
    </row>
    <row r="59" spans="1:10" ht="14.25" customHeight="1">
      <c r="A59" s="9" t="s">
        <v>40</v>
      </c>
      <c r="B59" s="9" t="s">
        <v>202</v>
      </c>
      <c r="C59" s="9" t="s">
        <v>99</v>
      </c>
      <c r="D59" s="9" t="s">
        <v>435</v>
      </c>
      <c r="E59" s="9" t="s">
        <v>46</v>
      </c>
      <c r="F59" s="9"/>
      <c r="G59" s="9"/>
      <c r="H59" s="10"/>
      <c r="I59" s="10">
        <v>46161</v>
      </c>
      <c r="J59" s="10">
        <v>46161</v>
      </c>
    </row>
    <row r="60" spans="1:10" ht="14.25" customHeight="1">
      <c r="A60" s="9" t="s">
        <v>40</v>
      </c>
      <c r="B60" s="9" t="s">
        <v>215</v>
      </c>
      <c r="C60" s="9" t="s">
        <v>99</v>
      </c>
      <c r="D60" s="9" t="s">
        <v>435</v>
      </c>
      <c r="E60" s="9" t="s">
        <v>46</v>
      </c>
      <c r="F60" s="9"/>
      <c r="G60" s="9"/>
      <c r="H60" s="10">
        <v>46161</v>
      </c>
      <c r="I60" s="10">
        <v>46161</v>
      </c>
      <c r="J60" s="10">
        <v>46161</v>
      </c>
    </row>
    <row r="61" spans="1:10" ht="14.25" customHeight="1">
      <c r="A61" s="9" t="s">
        <v>40</v>
      </c>
      <c r="B61" s="9" t="s">
        <v>180</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222</v>
      </c>
      <c r="C63" s="9" t="s">
        <v>100</v>
      </c>
      <c r="D63" s="9" t="s">
        <v>103</v>
      </c>
      <c r="E63" s="9" t="s">
        <v>46</v>
      </c>
      <c r="F63" s="9"/>
      <c r="G63" s="9"/>
      <c r="H63" s="10"/>
      <c r="I63" s="10"/>
      <c r="J63" s="10"/>
    </row>
    <row r="64" spans="1:10" ht="14.25" customHeight="1">
      <c r="A64" s="9" t="s">
        <v>40</v>
      </c>
      <c r="B64" s="9" t="s">
        <v>202</v>
      </c>
      <c r="C64" s="9" t="s">
        <v>100</v>
      </c>
      <c r="D64" s="9" t="s">
        <v>103</v>
      </c>
      <c r="E64" s="9" t="s">
        <v>46</v>
      </c>
      <c r="F64" s="9"/>
      <c r="G64" s="9"/>
      <c r="H64" s="10"/>
      <c r="I64" s="10">
        <v>46175</v>
      </c>
      <c r="J64" s="10">
        <v>46175</v>
      </c>
    </row>
    <row r="65" spans="1:10" ht="14.25" customHeight="1">
      <c r="A65" s="9" t="s">
        <v>40</v>
      </c>
      <c r="B65" s="9" t="s">
        <v>215</v>
      </c>
      <c r="C65" s="9" t="s">
        <v>100</v>
      </c>
      <c r="D65" s="9" t="s">
        <v>103</v>
      </c>
      <c r="E65" s="9" t="s">
        <v>46</v>
      </c>
      <c r="F65" s="9"/>
      <c r="G65" s="9"/>
      <c r="H65" s="10">
        <v>46175</v>
      </c>
      <c r="I65" s="10">
        <v>46175</v>
      </c>
      <c r="J65" s="10">
        <v>46175</v>
      </c>
    </row>
    <row r="66" spans="1:10" ht="14.25" customHeight="1">
      <c r="A66" s="9" t="s">
        <v>40</v>
      </c>
      <c r="B66" s="9" t="s">
        <v>180</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222</v>
      </c>
      <c r="C68" s="9" t="s">
        <v>74</v>
      </c>
      <c r="D68" s="9" t="s">
        <v>76</v>
      </c>
      <c r="E68" s="9" t="s">
        <v>77</v>
      </c>
      <c r="F68" s="9"/>
      <c r="G68" s="9"/>
      <c r="H68" s="10"/>
      <c r="I68" s="10"/>
      <c r="J68" s="9"/>
    </row>
    <row r="69" spans="1:10" ht="14.25" customHeight="1">
      <c r="A69" s="9" t="s">
        <v>40</v>
      </c>
      <c r="B69" s="9" t="s">
        <v>202</v>
      </c>
      <c r="C69" s="9" t="s">
        <v>74</v>
      </c>
      <c r="D69" s="9" t="s">
        <v>76</v>
      </c>
      <c r="E69" s="9" t="s">
        <v>77</v>
      </c>
      <c r="F69" s="9"/>
      <c r="G69" s="9"/>
      <c r="H69" s="9"/>
      <c r="I69" s="10">
        <v>46134</v>
      </c>
      <c r="J69" s="10">
        <v>46134</v>
      </c>
    </row>
    <row r="70" spans="1:10" ht="14.25" customHeight="1">
      <c r="A70" s="9" t="s">
        <v>40</v>
      </c>
      <c r="B70" s="9" t="s">
        <v>215</v>
      </c>
      <c r="C70" s="9" t="s">
        <v>74</v>
      </c>
      <c r="D70" s="9" t="s">
        <v>76</v>
      </c>
      <c r="E70" s="9" t="s">
        <v>77</v>
      </c>
      <c r="F70" s="9"/>
      <c r="G70" s="9"/>
      <c r="H70" s="10">
        <v>46134</v>
      </c>
      <c r="I70" s="10">
        <v>46134</v>
      </c>
      <c r="J70" s="10">
        <v>46134</v>
      </c>
    </row>
    <row r="71" spans="1:10" ht="14.25" customHeight="1">
      <c r="A71" s="9" t="s">
        <v>40</v>
      </c>
      <c r="B71" s="9" t="s">
        <v>180</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222</v>
      </c>
      <c r="C73" s="9" t="s">
        <v>80</v>
      </c>
      <c r="D73" s="9" t="s">
        <v>59</v>
      </c>
      <c r="E73" s="9" t="s">
        <v>77</v>
      </c>
      <c r="F73" s="9"/>
      <c r="G73" s="9"/>
      <c r="H73" s="9"/>
      <c r="I73" s="10"/>
      <c r="J73" s="10"/>
    </row>
    <row r="74" spans="1:10" ht="14.25" customHeight="1">
      <c r="A74" s="9" t="s">
        <v>40</v>
      </c>
      <c r="B74" s="9" t="s">
        <v>202</v>
      </c>
      <c r="C74" s="9" t="s">
        <v>80</v>
      </c>
      <c r="D74" s="9" t="s">
        <v>59</v>
      </c>
      <c r="E74" s="9" t="s">
        <v>77</v>
      </c>
      <c r="F74" s="9"/>
      <c r="G74" s="9"/>
      <c r="H74" s="10"/>
      <c r="I74" s="10">
        <v>46139</v>
      </c>
      <c r="J74" s="10">
        <v>46139</v>
      </c>
    </row>
    <row r="75" spans="1:10" ht="14.25" customHeight="1">
      <c r="A75" s="9" t="s">
        <v>40</v>
      </c>
      <c r="B75" s="9" t="s">
        <v>215</v>
      </c>
      <c r="C75" s="9" t="s">
        <v>80</v>
      </c>
      <c r="D75" s="9" t="s">
        <v>59</v>
      </c>
      <c r="E75" s="9" t="s">
        <v>77</v>
      </c>
      <c r="F75" s="9"/>
      <c r="G75" s="9"/>
      <c r="H75" s="10">
        <v>46139</v>
      </c>
      <c r="I75" s="10">
        <v>46139</v>
      </c>
      <c r="J75" s="10">
        <v>46139</v>
      </c>
    </row>
    <row r="76" spans="1:10" ht="14.25" customHeight="1">
      <c r="A76" s="9" t="s">
        <v>40</v>
      </c>
      <c r="B76" s="9" t="s">
        <v>180</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222</v>
      </c>
      <c r="C78" s="9" t="s">
        <v>83</v>
      </c>
      <c r="D78" s="9" t="s">
        <v>84</v>
      </c>
      <c r="E78" s="9" t="s">
        <v>60</v>
      </c>
      <c r="F78" s="9"/>
      <c r="G78" s="9"/>
      <c r="H78" s="10"/>
      <c r="I78" s="10"/>
      <c r="J78" s="9"/>
    </row>
    <row r="79" spans="1:10" ht="14.25" customHeight="1">
      <c r="A79" s="9" t="s">
        <v>40</v>
      </c>
      <c r="B79" s="9" t="s">
        <v>202</v>
      </c>
      <c r="C79" s="9" t="s">
        <v>83</v>
      </c>
      <c r="D79" s="9" t="s">
        <v>84</v>
      </c>
      <c r="E79" s="9" t="s">
        <v>60</v>
      </c>
      <c r="F79" s="9"/>
      <c r="G79" s="9"/>
      <c r="H79" s="9"/>
      <c r="I79" s="10">
        <v>46147</v>
      </c>
      <c r="J79" s="10">
        <v>46147</v>
      </c>
    </row>
    <row r="80" spans="1:10" ht="14.25" customHeight="1">
      <c r="A80" s="9" t="s">
        <v>40</v>
      </c>
      <c r="B80" s="9" t="s">
        <v>215</v>
      </c>
      <c r="C80" s="9" t="s">
        <v>83</v>
      </c>
      <c r="D80" s="9" t="s">
        <v>84</v>
      </c>
      <c r="E80" s="9" t="s">
        <v>60</v>
      </c>
      <c r="F80" s="9"/>
      <c r="G80" s="9"/>
      <c r="H80" s="10">
        <v>46147</v>
      </c>
      <c r="I80" s="10">
        <v>46147</v>
      </c>
      <c r="J80" s="10">
        <v>46147</v>
      </c>
    </row>
    <row r="81" spans="1:10" ht="14.25" customHeight="1">
      <c r="A81" s="9" t="s">
        <v>40</v>
      </c>
      <c r="B81" s="9" t="s">
        <v>180</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222</v>
      </c>
      <c r="C83" s="9" t="s">
        <v>87</v>
      </c>
      <c r="D83" s="9" t="s">
        <v>84</v>
      </c>
      <c r="E83" s="9" t="s">
        <v>46</v>
      </c>
      <c r="F83" s="9"/>
      <c r="G83" s="9"/>
      <c r="H83" s="9"/>
      <c r="I83" s="10"/>
      <c r="J83" s="10"/>
    </row>
    <row r="84" spans="1:10" ht="14.25" customHeight="1">
      <c r="A84" s="9" t="s">
        <v>40</v>
      </c>
      <c r="B84" s="9" t="s">
        <v>202</v>
      </c>
      <c r="C84" s="9" t="s">
        <v>87</v>
      </c>
      <c r="D84" s="9" t="s">
        <v>84</v>
      </c>
      <c r="E84" s="9" t="s">
        <v>46</v>
      </c>
      <c r="F84" s="9"/>
      <c r="G84" s="9"/>
      <c r="H84" s="10"/>
      <c r="I84" s="10">
        <v>46175</v>
      </c>
      <c r="J84" s="10">
        <v>46175</v>
      </c>
    </row>
    <row r="85" spans="1:10" ht="14.25" customHeight="1">
      <c r="A85" s="9" t="s">
        <v>40</v>
      </c>
      <c r="B85" s="9" t="s">
        <v>215</v>
      </c>
      <c r="C85" s="9" t="s">
        <v>87</v>
      </c>
      <c r="D85" s="9" t="s">
        <v>84</v>
      </c>
      <c r="E85" s="9" t="s">
        <v>46</v>
      </c>
      <c r="F85" s="9"/>
      <c r="G85" s="9"/>
      <c r="H85" s="10">
        <v>46175</v>
      </c>
      <c r="I85" s="10">
        <v>46179</v>
      </c>
      <c r="J85" s="10">
        <v>46179</v>
      </c>
    </row>
    <row r="86" spans="1:10" ht="14.25" customHeight="1">
      <c r="A86" s="9" t="s">
        <v>40</v>
      </c>
      <c r="B86" s="9" t="s">
        <v>180</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222</v>
      </c>
      <c r="C88" s="9" t="s">
        <v>90</v>
      </c>
      <c r="D88" s="9" t="s">
        <v>44</v>
      </c>
      <c r="E88" s="9" t="s">
        <v>60</v>
      </c>
      <c r="F88" s="9"/>
      <c r="G88" s="9"/>
      <c r="H88" s="10"/>
      <c r="I88" s="10"/>
      <c r="J88" s="9"/>
    </row>
    <row r="89" spans="1:10" ht="14.25" customHeight="1">
      <c r="A89" s="9" t="s">
        <v>40</v>
      </c>
      <c r="B89" s="9" t="s">
        <v>202</v>
      </c>
      <c r="C89" s="9" t="s">
        <v>90</v>
      </c>
      <c r="D89" s="9" t="s">
        <v>44</v>
      </c>
      <c r="E89" s="9" t="s">
        <v>60</v>
      </c>
      <c r="F89" s="9"/>
      <c r="G89" s="9"/>
      <c r="H89" s="9"/>
      <c r="I89" s="10">
        <v>46143</v>
      </c>
      <c r="J89" s="10">
        <v>46143</v>
      </c>
    </row>
    <row r="90" spans="1:10" ht="14.25" customHeight="1">
      <c r="A90" s="9" t="s">
        <v>40</v>
      </c>
      <c r="B90" s="9" t="s">
        <v>215</v>
      </c>
      <c r="C90" s="9" t="s">
        <v>90</v>
      </c>
      <c r="D90" s="9" t="s">
        <v>44</v>
      </c>
      <c r="E90" s="9" t="s">
        <v>60</v>
      </c>
      <c r="F90" s="9"/>
      <c r="G90" s="9"/>
      <c r="H90" s="10">
        <v>46143</v>
      </c>
      <c r="I90" s="10">
        <v>46175</v>
      </c>
      <c r="J90" s="10">
        <v>46175</v>
      </c>
    </row>
    <row r="91" spans="1:10" ht="14.25" customHeight="1">
      <c r="A91" s="9" t="s">
        <v>40</v>
      </c>
      <c r="B91" s="9" t="s">
        <v>180</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222</v>
      </c>
      <c r="C93" s="9" t="s">
        <v>93</v>
      </c>
      <c r="D93" s="9" t="s">
        <v>44</v>
      </c>
      <c r="E93" s="9" t="s">
        <v>77</v>
      </c>
      <c r="F93" s="9"/>
      <c r="G93" s="9"/>
      <c r="H93" s="9"/>
      <c r="I93" s="10">
        <v>46175</v>
      </c>
      <c r="J93" s="10">
        <v>46175</v>
      </c>
    </row>
    <row r="94" spans="1:10" ht="14.25" customHeight="1">
      <c r="A94" s="9" t="s">
        <v>40</v>
      </c>
      <c r="B94" s="9" t="s">
        <v>202</v>
      </c>
      <c r="C94" s="9" t="s">
        <v>93</v>
      </c>
      <c r="D94" s="9" t="s">
        <v>44</v>
      </c>
      <c r="E94" s="9" t="s">
        <v>77</v>
      </c>
      <c r="F94" s="9"/>
      <c r="G94" s="9"/>
      <c r="H94" s="10">
        <v>46175</v>
      </c>
      <c r="I94" s="10">
        <v>46178</v>
      </c>
      <c r="J94" s="10">
        <v>46178</v>
      </c>
    </row>
    <row r="95" spans="1:10" ht="14.25" customHeight="1">
      <c r="A95" s="9" t="s">
        <v>40</v>
      </c>
      <c r="B95" s="9" t="s">
        <v>215</v>
      </c>
      <c r="C95" s="9" t="s">
        <v>93</v>
      </c>
      <c r="D95" s="9" t="s">
        <v>44</v>
      </c>
      <c r="E95" s="9" t="s">
        <v>77</v>
      </c>
      <c r="F95" s="9"/>
      <c r="G95" s="9"/>
      <c r="H95" s="10">
        <v>46178</v>
      </c>
      <c r="I95" s="10">
        <v>46175</v>
      </c>
      <c r="J95" s="10">
        <v>46175</v>
      </c>
    </row>
    <row r="96" spans="1:10" ht="14.25" customHeight="1">
      <c r="A96" s="9" t="s">
        <v>40</v>
      </c>
      <c r="B96" s="9" t="s">
        <v>180</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222</v>
      </c>
      <c r="C98" s="9" t="s">
        <v>101</v>
      </c>
      <c r="D98" s="9" t="s">
        <v>103</v>
      </c>
      <c r="E98" s="9" t="s">
        <v>60</v>
      </c>
      <c r="F98" s="9"/>
      <c r="G98" s="9"/>
      <c r="H98" s="10"/>
      <c r="I98" s="10">
        <v>46148</v>
      </c>
      <c r="J98" s="10">
        <v>46148</v>
      </c>
    </row>
    <row r="99" spans="1:10" ht="14.25" customHeight="1">
      <c r="A99" s="9" t="s">
        <v>40</v>
      </c>
      <c r="B99" s="9" t="s">
        <v>202</v>
      </c>
      <c r="C99" s="9" t="s">
        <v>101</v>
      </c>
      <c r="D99" s="9" t="s">
        <v>103</v>
      </c>
      <c r="E99" s="9" t="s">
        <v>60</v>
      </c>
      <c r="F99" s="9"/>
      <c r="G99" s="9"/>
      <c r="H99" s="10">
        <v>46148</v>
      </c>
      <c r="I99" s="10">
        <v>46183</v>
      </c>
      <c r="J99" s="10">
        <v>46183</v>
      </c>
    </row>
    <row r="100" spans="1:10" ht="14.25" customHeight="1">
      <c r="A100" s="9" t="s">
        <v>40</v>
      </c>
      <c r="B100" s="9" t="s">
        <v>215</v>
      </c>
      <c r="C100" s="9" t="s">
        <v>101</v>
      </c>
      <c r="D100" s="9" t="s">
        <v>103</v>
      </c>
      <c r="E100" s="9" t="s">
        <v>60</v>
      </c>
      <c r="F100" s="9"/>
      <c r="G100" s="9"/>
      <c r="H100" s="10">
        <v>46183</v>
      </c>
      <c r="I100" s="10">
        <v>46195</v>
      </c>
      <c r="J100" s="10">
        <v>46195</v>
      </c>
    </row>
    <row r="101" spans="1:10" ht="14.25" customHeight="1">
      <c r="A101" s="9" t="s">
        <v>40</v>
      </c>
      <c r="B101" s="9" t="s">
        <v>180</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222</v>
      </c>
      <c r="C103" s="9" t="s">
        <v>105</v>
      </c>
      <c r="D103" s="9" t="s">
        <v>103</v>
      </c>
      <c r="E103" s="9" t="s">
        <v>77</v>
      </c>
      <c r="F103" s="9"/>
      <c r="G103" s="9"/>
      <c r="H103" s="9"/>
      <c r="I103" s="10">
        <v>46162</v>
      </c>
      <c r="J103" s="10">
        <v>46162</v>
      </c>
    </row>
    <row r="104" spans="1:10" ht="14.25" customHeight="1">
      <c r="A104" s="9" t="s">
        <v>40</v>
      </c>
      <c r="B104" s="9" t="s">
        <v>202</v>
      </c>
      <c r="C104" s="9" t="s">
        <v>105</v>
      </c>
      <c r="D104" s="9" t="s">
        <v>103</v>
      </c>
      <c r="E104" s="9" t="s">
        <v>77</v>
      </c>
      <c r="F104" s="9"/>
      <c r="G104" s="9"/>
      <c r="H104" s="10">
        <v>46162</v>
      </c>
      <c r="I104" s="10">
        <v>46182</v>
      </c>
      <c r="J104" s="10">
        <v>46182</v>
      </c>
    </row>
    <row r="105" spans="1:10" ht="14.25" customHeight="1">
      <c r="A105" s="9" t="s">
        <v>40</v>
      </c>
      <c r="B105" s="9" t="s">
        <v>215</v>
      </c>
      <c r="C105" s="9" t="s">
        <v>105</v>
      </c>
      <c r="D105" s="9" t="s">
        <v>103</v>
      </c>
      <c r="E105" s="9" t="s">
        <v>77</v>
      </c>
      <c r="F105" s="9"/>
      <c r="G105" s="9"/>
      <c r="H105" s="10">
        <v>46182</v>
      </c>
      <c r="I105" s="10">
        <v>46198</v>
      </c>
      <c r="J105" s="10">
        <v>46198</v>
      </c>
    </row>
    <row r="106" spans="1:10" ht="14.25" customHeight="1">
      <c r="A106" s="9" t="s">
        <v>40</v>
      </c>
      <c r="B106" s="9" t="s">
        <v>180</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222</v>
      </c>
      <c r="C108" s="9" t="s">
        <v>108</v>
      </c>
      <c r="D108" s="9" t="s">
        <v>44</v>
      </c>
      <c r="E108" s="9" t="s">
        <v>60</v>
      </c>
      <c r="F108" s="9"/>
      <c r="G108" s="9"/>
      <c r="H108" s="10"/>
      <c r="I108" s="10">
        <v>46168</v>
      </c>
      <c r="J108" s="10">
        <v>46168</v>
      </c>
    </row>
    <row r="109" spans="1:10" ht="14.25" customHeight="1">
      <c r="A109" s="9" t="s">
        <v>40</v>
      </c>
      <c r="B109" s="9" t="s">
        <v>202</v>
      </c>
      <c r="C109" s="9" t="s">
        <v>108</v>
      </c>
      <c r="D109" s="9" t="s">
        <v>44</v>
      </c>
      <c r="E109" s="9" t="s">
        <v>60</v>
      </c>
      <c r="F109" s="9"/>
      <c r="G109" s="9"/>
      <c r="H109" s="10">
        <v>46168</v>
      </c>
      <c r="I109" s="10">
        <v>46183</v>
      </c>
      <c r="J109" s="10">
        <v>46183</v>
      </c>
    </row>
    <row r="110" spans="1:10" ht="14.25" customHeight="1">
      <c r="A110" s="9" t="s">
        <v>40</v>
      </c>
      <c r="B110" s="9" t="s">
        <v>215</v>
      </c>
      <c r="C110" s="9" t="s">
        <v>108</v>
      </c>
      <c r="D110" s="9" t="s">
        <v>44</v>
      </c>
      <c r="E110" s="9" t="s">
        <v>60</v>
      </c>
      <c r="F110" s="9"/>
      <c r="G110" s="9"/>
      <c r="H110" s="10">
        <v>46183</v>
      </c>
      <c r="I110" s="10">
        <v>46198</v>
      </c>
      <c r="J110" s="10">
        <v>46198</v>
      </c>
    </row>
    <row r="111" spans="1:10" ht="14.25" customHeight="1">
      <c r="A111" s="9" t="s">
        <v>40</v>
      </c>
      <c r="B111" s="9" t="s">
        <v>180</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222</v>
      </c>
      <c r="C113" s="9" t="s">
        <v>109</v>
      </c>
      <c r="D113" s="9" t="s">
        <v>44</v>
      </c>
      <c r="E113" s="9" t="s">
        <v>60</v>
      </c>
      <c r="F113" s="9"/>
      <c r="G113" s="9"/>
      <c r="H113" s="9"/>
      <c r="I113" s="10">
        <v>46165</v>
      </c>
      <c r="J113" s="10">
        <v>46165</v>
      </c>
    </row>
    <row r="114" spans="1:10" ht="14.25" customHeight="1">
      <c r="A114" s="9" t="s">
        <v>40</v>
      </c>
      <c r="B114" s="9" t="s">
        <v>202</v>
      </c>
      <c r="C114" s="9" t="s">
        <v>109</v>
      </c>
      <c r="D114" s="9" t="s">
        <v>44</v>
      </c>
      <c r="E114" s="9" t="s">
        <v>60</v>
      </c>
      <c r="F114" s="9"/>
      <c r="G114" s="9"/>
      <c r="H114" s="10">
        <v>46165</v>
      </c>
      <c r="I114" s="10">
        <v>46153</v>
      </c>
      <c r="J114" s="10">
        <v>46153</v>
      </c>
    </row>
    <row r="115" spans="1:10" ht="14.25" customHeight="1">
      <c r="A115" s="9" t="s">
        <v>40</v>
      </c>
      <c r="B115" s="9" t="s">
        <v>215</v>
      </c>
      <c r="C115" s="9" t="s">
        <v>109</v>
      </c>
      <c r="D115" s="9" t="s">
        <v>44</v>
      </c>
      <c r="E115" s="9" t="s">
        <v>60</v>
      </c>
      <c r="F115" s="9"/>
      <c r="G115" s="9"/>
      <c r="H115" s="10">
        <v>46153</v>
      </c>
      <c r="I115" s="10">
        <v>46154</v>
      </c>
      <c r="J115" s="10">
        <v>46154</v>
      </c>
    </row>
    <row r="116" spans="1:10" ht="14.25" customHeight="1">
      <c r="A116" s="9" t="s">
        <v>40</v>
      </c>
      <c r="B116" s="9" t="s">
        <v>180</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222</v>
      </c>
      <c r="C118" s="9" t="s">
        <v>113</v>
      </c>
      <c r="D118" s="9" t="s">
        <v>59</v>
      </c>
      <c r="E118" s="9" t="s">
        <v>46</v>
      </c>
      <c r="F118" s="9"/>
      <c r="G118" s="9"/>
      <c r="H118" s="10"/>
      <c r="I118" s="10">
        <v>46162</v>
      </c>
      <c r="J118" s="10">
        <v>46162</v>
      </c>
    </row>
    <row r="119" spans="1:10" ht="14.25" customHeight="1">
      <c r="A119" s="9" t="s">
        <v>40</v>
      </c>
      <c r="B119" s="9" t="s">
        <v>202</v>
      </c>
      <c r="C119" s="9" t="s">
        <v>113</v>
      </c>
      <c r="D119" s="9" t="s">
        <v>59</v>
      </c>
      <c r="E119" s="9" t="s">
        <v>46</v>
      </c>
      <c r="F119" s="9"/>
      <c r="G119" s="9"/>
      <c r="H119" s="10">
        <v>46162</v>
      </c>
      <c r="I119" s="10">
        <v>46186</v>
      </c>
      <c r="J119" s="10">
        <v>46186</v>
      </c>
    </row>
    <row r="120" spans="1:10" ht="14.25" customHeight="1">
      <c r="A120" s="9" t="s">
        <v>40</v>
      </c>
      <c r="B120" s="9" t="s">
        <v>215</v>
      </c>
      <c r="C120" s="9" t="s">
        <v>113</v>
      </c>
      <c r="D120" s="9" t="s">
        <v>59</v>
      </c>
      <c r="E120" s="9" t="s">
        <v>46</v>
      </c>
      <c r="F120" s="9"/>
      <c r="G120" s="9"/>
      <c r="H120" s="10">
        <v>46186</v>
      </c>
      <c r="I120" s="10">
        <v>46188</v>
      </c>
      <c r="J120" s="10">
        <v>46188</v>
      </c>
    </row>
    <row r="121" spans="1:10" ht="14.25" customHeight="1">
      <c r="A121" s="9" t="s">
        <v>40</v>
      </c>
      <c r="B121" s="9" t="s">
        <v>222</v>
      </c>
      <c r="C121" s="9" t="s">
        <v>116</v>
      </c>
      <c r="D121" s="9" t="s">
        <v>59</v>
      </c>
      <c r="E121" s="9" t="s">
        <v>77</v>
      </c>
      <c r="F121" s="9"/>
      <c r="G121" s="9"/>
      <c r="H121" s="9"/>
      <c r="I121" s="10">
        <v>46162</v>
      </c>
      <c r="J121" s="10">
        <v>46162</v>
      </c>
    </row>
    <row r="122" spans="1:10" ht="14.25" customHeight="1">
      <c r="A122" s="9" t="s">
        <v>40</v>
      </c>
      <c r="B122" s="9" t="s">
        <v>202</v>
      </c>
      <c r="C122" s="9" t="s">
        <v>116</v>
      </c>
      <c r="D122" s="9" t="s">
        <v>59</v>
      </c>
      <c r="E122" s="9" t="s">
        <v>77</v>
      </c>
      <c r="F122" s="9"/>
      <c r="G122" s="9"/>
      <c r="H122" s="10">
        <v>46162</v>
      </c>
      <c r="I122" s="10">
        <v>46164</v>
      </c>
      <c r="J122" s="10">
        <v>46164</v>
      </c>
    </row>
    <row r="123" spans="1:10" ht="14.25" customHeight="1">
      <c r="A123" s="9" t="s">
        <v>40</v>
      </c>
      <c r="B123" s="9" t="s">
        <v>215</v>
      </c>
      <c r="C123" s="9" t="s">
        <v>116</v>
      </c>
      <c r="D123" s="9" t="s">
        <v>59</v>
      </c>
      <c r="E123" s="9" t="s">
        <v>77</v>
      </c>
      <c r="F123" s="9"/>
      <c r="G123" s="9"/>
      <c r="H123" s="10">
        <v>46164</v>
      </c>
      <c r="I123" s="10">
        <v>46204</v>
      </c>
      <c r="J123" s="10">
        <v>46204</v>
      </c>
    </row>
    <row r="124" spans="1:10" ht="14.25" customHeight="1">
      <c r="A124" s="9" t="s">
        <v>40</v>
      </c>
      <c r="B124" s="9" t="s">
        <v>180</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222</v>
      </c>
      <c r="C126" s="9" t="s">
        <v>117</v>
      </c>
      <c r="D126" s="9" t="s">
        <v>65</v>
      </c>
      <c r="E126" s="9" t="s">
        <v>60</v>
      </c>
      <c r="F126" s="9"/>
      <c r="G126" s="9"/>
      <c r="H126" s="10"/>
      <c r="I126" s="10">
        <v>46169</v>
      </c>
      <c r="J126" s="10">
        <v>46169</v>
      </c>
    </row>
    <row r="127" spans="1:10" ht="14.25" customHeight="1">
      <c r="A127" s="9" t="s">
        <v>40</v>
      </c>
      <c r="B127" s="9" t="s">
        <v>202</v>
      </c>
      <c r="C127" s="9" t="s">
        <v>117</v>
      </c>
      <c r="D127" s="9" t="s">
        <v>65</v>
      </c>
      <c r="E127" s="9" t="s">
        <v>60</v>
      </c>
      <c r="F127" s="9"/>
      <c r="G127" s="9"/>
      <c r="H127" s="10">
        <v>46169</v>
      </c>
      <c r="I127" s="10">
        <v>46191</v>
      </c>
      <c r="J127" s="10">
        <v>46191</v>
      </c>
    </row>
    <row r="128" spans="1:10" ht="14.25" customHeight="1">
      <c r="A128" s="9" t="s">
        <v>40</v>
      </c>
      <c r="B128" s="9" t="s">
        <v>215</v>
      </c>
      <c r="C128" s="9" t="s">
        <v>117</v>
      </c>
      <c r="D128" s="9" t="s">
        <v>65</v>
      </c>
      <c r="E128" s="9" t="s">
        <v>60</v>
      </c>
      <c r="F128" s="9"/>
      <c r="G128" s="9"/>
      <c r="H128" s="10">
        <v>46191</v>
      </c>
      <c r="I128" s="10">
        <v>46196</v>
      </c>
      <c r="J128" s="10">
        <v>46196</v>
      </c>
    </row>
    <row r="129" spans="1:10" ht="14.25" customHeight="1">
      <c r="A129" s="9" t="s">
        <v>40</v>
      </c>
      <c r="B129" s="9" t="s">
        <v>180</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222</v>
      </c>
      <c r="C131" s="9" t="s">
        <v>121</v>
      </c>
      <c r="D131" s="9" t="s">
        <v>103</v>
      </c>
      <c r="E131" s="9" t="s">
        <v>77</v>
      </c>
      <c r="F131" s="9"/>
      <c r="G131" s="9"/>
      <c r="H131" s="9"/>
      <c r="I131" s="10">
        <v>46168</v>
      </c>
      <c r="J131" s="10">
        <v>46168</v>
      </c>
    </row>
    <row r="132" spans="1:10" ht="14.25" customHeight="1">
      <c r="A132" s="9" t="s">
        <v>40</v>
      </c>
      <c r="B132" s="9" t="s">
        <v>202</v>
      </c>
      <c r="C132" s="9" t="s">
        <v>121</v>
      </c>
      <c r="D132" s="9" t="s">
        <v>103</v>
      </c>
      <c r="E132" s="9" t="s">
        <v>77</v>
      </c>
      <c r="F132" s="9"/>
      <c r="G132" s="9"/>
      <c r="H132" s="10">
        <v>46168</v>
      </c>
      <c r="I132" s="10">
        <v>46189</v>
      </c>
      <c r="J132" s="10">
        <v>46189</v>
      </c>
    </row>
    <row r="133" spans="1:10" ht="14.25" customHeight="1">
      <c r="A133" s="9" t="s">
        <v>40</v>
      </c>
      <c r="B133" s="9" t="s">
        <v>215</v>
      </c>
      <c r="C133" s="9" t="s">
        <v>121</v>
      </c>
      <c r="D133" s="9" t="s">
        <v>103</v>
      </c>
      <c r="E133" s="9" t="s">
        <v>77</v>
      </c>
      <c r="F133" s="9"/>
      <c r="G133" s="9"/>
      <c r="H133" s="10">
        <v>46189</v>
      </c>
      <c r="I133" s="10">
        <v>46189</v>
      </c>
      <c r="J133" s="10">
        <v>46189</v>
      </c>
    </row>
    <row r="134" spans="1:10" ht="14.25" customHeight="1">
      <c r="A134" s="9" t="s">
        <v>40</v>
      </c>
      <c r="B134" s="9" t="s">
        <v>180</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222</v>
      </c>
      <c r="C136" s="9" t="s">
        <v>123</v>
      </c>
      <c r="D136" s="9" t="s">
        <v>84</v>
      </c>
      <c r="E136" s="9" t="s">
        <v>77</v>
      </c>
      <c r="F136" s="9"/>
      <c r="G136" s="9"/>
      <c r="H136" s="9"/>
      <c r="I136" s="10">
        <v>46169</v>
      </c>
      <c r="J136" s="10">
        <v>46169</v>
      </c>
    </row>
    <row r="137" spans="1:10" ht="14.25" customHeight="1">
      <c r="A137" s="9" t="s">
        <v>40</v>
      </c>
      <c r="B137" s="9" t="s">
        <v>202</v>
      </c>
      <c r="C137" s="9" t="s">
        <v>123</v>
      </c>
      <c r="D137" s="9" t="s">
        <v>84</v>
      </c>
      <c r="E137" s="9" t="s">
        <v>77</v>
      </c>
      <c r="F137" s="9"/>
      <c r="G137" s="9"/>
      <c r="H137" s="10">
        <v>46169</v>
      </c>
      <c r="I137" s="10">
        <v>46195</v>
      </c>
      <c r="J137" s="10">
        <v>46195</v>
      </c>
    </row>
    <row r="138" spans="1:10" ht="14.25" customHeight="1">
      <c r="A138" s="9" t="s">
        <v>40</v>
      </c>
      <c r="B138" s="9" t="s">
        <v>215</v>
      </c>
      <c r="C138" s="9" t="s">
        <v>123</v>
      </c>
      <c r="D138" s="9" t="s">
        <v>84</v>
      </c>
      <c r="E138" s="9" t="s">
        <v>77</v>
      </c>
      <c r="F138" s="9"/>
      <c r="G138" s="9"/>
      <c r="H138" s="10">
        <v>46195</v>
      </c>
      <c r="I138" s="10">
        <v>46197</v>
      </c>
      <c r="J138" s="10">
        <v>46197</v>
      </c>
    </row>
    <row r="139" spans="1:10" ht="14.25" customHeight="1">
      <c r="A139" s="9" t="s">
        <v>40</v>
      </c>
      <c r="B139" s="9" t="s">
        <v>180</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222</v>
      </c>
      <c r="C141" s="9" t="s">
        <v>127</v>
      </c>
      <c r="D141" s="9" t="s">
        <v>76</v>
      </c>
      <c r="E141" s="9" t="s">
        <v>60</v>
      </c>
      <c r="F141" s="9"/>
      <c r="G141" s="9" t="s">
        <v>129</v>
      </c>
      <c r="H141" s="9"/>
      <c r="I141" s="9"/>
      <c r="J141" s="9"/>
    </row>
    <row r="142" spans="1:10" ht="14.25" customHeight="1">
      <c r="A142" s="9" t="s">
        <v>126</v>
      </c>
      <c r="B142" s="9" t="s">
        <v>202</v>
      </c>
      <c r="C142" s="9" t="s">
        <v>127</v>
      </c>
      <c r="D142" s="9" t="s">
        <v>76</v>
      </c>
      <c r="E142" s="9" t="s">
        <v>60</v>
      </c>
      <c r="F142" s="9"/>
      <c r="G142" s="9" t="s">
        <v>129</v>
      </c>
      <c r="H142" s="9"/>
      <c r="I142" s="10">
        <v>46213</v>
      </c>
      <c r="J142" s="10">
        <v>46213</v>
      </c>
    </row>
    <row r="143" spans="1:10" ht="14.25" customHeight="1">
      <c r="A143" s="9" t="s">
        <v>126</v>
      </c>
      <c r="B143" s="9" t="s">
        <v>215</v>
      </c>
      <c r="C143" s="9" t="s">
        <v>127</v>
      </c>
      <c r="D143" s="9" t="s">
        <v>76</v>
      </c>
      <c r="E143" s="9" t="s">
        <v>60</v>
      </c>
      <c r="F143" s="9"/>
      <c r="G143" s="9" t="s">
        <v>129</v>
      </c>
      <c r="H143" s="10">
        <v>46213</v>
      </c>
      <c r="I143" s="10">
        <v>46223</v>
      </c>
      <c r="J143" s="10">
        <v>46223</v>
      </c>
    </row>
    <row r="144" spans="1:10" ht="14.25" customHeight="1">
      <c r="A144" s="9" t="s">
        <v>126</v>
      </c>
      <c r="B144" s="9" t="s">
        <v>222</v>
      </c>
      <c r="C144" s="9" t="s">
        <v>134</v>
      </c>
      <c r="D144" s="9" t="s">
        <v>65</v>
      </c>
      <c r="E144" s="9" t="s">
        <v>77</v>
      </c>
      <c r="F144" s="9"/>
      <c r="G144" s="9" t="s">
        <v>129</v>
      </c>
      <c r="H144" s="9"/>
      <c r="I144" s="9"/>
      <c r="J144" s="9"/>
    </row>
    <row r="145" spans="1:10" ht="14.25" customHeight="1">
      <c r="A145" s="9" t="s">
        <v>126</v>
      </c>
      <c r="B145" s="9" t="s">
        <v>202</v>
      </c>
      <c r="C145" s="9" t="s">
        <v>134</v>
      </c>
      <c r="D145" s="9" t="s">
        <v>65</v>
      </c>
      <c r="E145" s="9" t="s">
        <v>77</v>
      </c>
      <c r="F145" s="9"/>
      <c r="G145" s="9" t="s">
        <v>129</v>
      </c>
      <c r="H145" s="9"/>
      <c r="I145" s="10">
        <v>46218</v>
      </c>
      <c r="J145" s="10">
        <v>46218</v>
      </c>
    </row>
    <row r="146" spans="1:10" ht="14.25" customHeight="1">
      <c r="A146" s="9" t="s">
        <v>126</v>
      </c>
      <c r="B146" s="9" t="s">
        <v>215</v>
      </c>
      <c r="C146" s="9" t="s">
        <v>134</v>
      </c>
      <c r="D146" s="9" t="s">
        <v>65</v>
      </c>
      <c r="E146" s="9" t="s">
        <v>77</v>
      </c>
      <c r="F146" s="9"/>
      <c r="G146" s="9" t="s">
        <v>129</v>
      </c>
      <c r="H146" s="10">
        <v>46218</v>
      </c>
      <c r="I146" s="10">
        <v>46223</v>
      </c>
      <c r="J146" s="10">
        <v>46223</v>
      </c>
    </row>
    <row r="147" spans="1:10" ht="14.25" customHeight="1">
      <c r="A147" s="9" t="s">
        <v>126</v>
      </c>
      <c r="B147" s="9" t="s">
        <v>222</v>
      </c>
      <c r="C147" s="9" t="s">
        <v>136</v>
      </c>
      <c r="D147" s="9" t="s">
        <v>65</v>
      </c>
      <c r="E147" s="9" t="s">
        <v>77</v>
      </c>
      <c r="F147" s="9"/>
      <c r="G147" s="9" t="s">
        <v>129</v>
      </c>
      <c r="H147" s="9"/>
      <c r="I147" s="9"/>
      <c r="J147" s="9"/>
    </row>
    <row r="148" spans="1:10" ht="14.25" customHeight="1">
      <c r="A148" s="9" t="s">
        <v>126</v>
      </c>
      <c r="B148" s="9" t="s">
        <v>202</v>
      </c>
      <c r="C148" s="9" t="s">
        <v>136</v>
      </c>
      <c r="D148" s="9" t="s">
        <v>65</v>
      </c>
      <c r="E148" s="9" t="s">
        <v>77</v>
      </c>
      <c r="F148" s="9"/>
      <c r="G148" s="9" t="s">
        <v>129</v>
      </c>
      <c r="H148" s="9"/>
      <c r="I148" s="10">
        <v>46225</v>
      </c>
      <c r="J148" s="10">
        <v>46225</v>
      </c>
    </row>
    <row r="149" spans="1:10" ht="14.25" customHeight="1">
      <c r="A149" s="9" t="s">
        <v>126</v>
      </c>
      <c r="B149" s="9" t="s">
        <v>215</v>
      </c>
      <c r="C149" s="9" t="s">
        <v>136</v>
      </c>
      <c r="D149" s="9" t="s">
        <v>65</v>
      </c>
      <c r="E149" s="9" t="s">
        <v>77</v>
      </c>
      <c r="F149" s="9"/>
      <c r="G149" s="9" t="s">
        <v>129</v>
      </c>
      <c r="H149" s="10">
        <v>46225</v>
      </c>
      <c r="I149" s="10">
        <v>46223</v>
      </c>
      <c r="J149" s="10">
        <v>46223</v>
      </c>
    </row>
    <row r="150" spans="1:10" ht="14.25" customHeight="1">
      <c r="A150" s="9" t="s">
        <v>126</v>
      </c>
      <c r="B150" s="9" t="s">
        <v>222</v>
      </c>
      <c r="C150" s="9" t="s">
        <v>138</v>
      </c>
      <c r="D150" s="9" t="s">
        <v>59</v>
      </c>
      <c r="E150" s="9" t="s">
        <v>46</v>
      </c>
      <c r="F150" s="9"/>
      <c r="G150" s="9" t="s">
        <v>129</v>
      </c>
      <c r="H150" s="9"/>
      <c r="I150" s="9"/>
      <c r="J150" s="9"/>
    </row>
    <row r="151" spans="1:10" ht="14.25" customHeight="1">
      <c r="A151" s="9" t="s">
        <v>126</v>
      </c>
      <c r="B151" s="9" t="s">
        <v>202</v>
      </c>
      <c r="C151" s="9" t="s">
        <v>138</v>
      </c>
      <c r="D151" s="9" t="s">
        <v>59</v>
      </c>
      <c r="E151" s="9" t="s">
        <v>46</v>
      </c>
      <c r="F151" s="9"/>
      <c r="G151" s="9" t="s">
        <v>129</v>
      </c>
      <c r="H151" s="9"/>
      <c r="I151" s="10">
        <v>46227</v>
      </c>
      <c r="J151" s="10">
        <v>46227</v>
      </c>
    </row>
    <row r="152" spans="1:10" ht="14.25" customHeight="1">
      <c r="A152" s="9" t="s">
        <v>126</v>
      </c>
      <c r="B152" s="9" t="s">
        <v>215</v>
      </c>
      <c r="C152" s="9" t="s">
        <v>138</v>
      </c>
      <c r="D152" s="9" t="s">
        <v>59</v>
      </c>
      <c r="E152" s="9" t="s">
        <v>46</v>
      </c>
      <c r="F152" s="9"/>
      <c r="G152" s="9" t="s">
        <v>129</v>
      </c>
      <c r="H152" s="10">
        <v>46227</v>
      </c>
      <c r="I152" s="10">
        <v>46223</v>
      </c>
      <c r="J152" s="10">
        <v>46223</v>
      </c>
    </row>
    <row r="153" spans="1:10" ht="14.25" customHeight="1">
      <c r="A153" s="9" t="s">
        <v>126</v>
      </c>
      <c r="B153" s="9" t="s">
        <v>222</v>
      </c>
      <c r="C153" s="9" t="s">
        <v>140</v>
      </c>
      <c r="D153" s="9" t="s">
        <v>103</v>
      </c>
      <c r="E153" s="9" t="s">
        <v>77</v>
      </c>
      <c r="F153" s="9"/>
      <c r="G153" s="9" t="s">
        <v>129</v>
      </c>
      <c r="H153" s="9"/>
      <c r="I153" s="9"/>
      <c r="J153" s="9"/>
    </row>
    <row r="154" spans="1:10" ht="14.25" customHeight="1">
      <c r="A154" s="9" t="s">
        <v>126</v>
      </c>
      <c r="B154" s="9" t="s">
        <v>202</v>
      </c>
      <c r="C154" s="9" t="s">
        <v>140</v>
      </c>
      <c r="D154" s="9" t="s">
        <v>103</v>
      </c>
      <c r="E154" s="9" t="s">
        <v>77</v>
      </c>
      <c r="F154" s="9"/>
      <c r="G154" s="9" t="s">
        <v>129</v>
      </c>
      <c r="H154" s="9"/>
      <c r="I154" s="10">
        <v>46216</v>
      </c>
      <c r="J154" s="10">
        <v>46216</v>
      </c>
    </row>
    <row r="155" spans="1:10" ht="14.25" customHeight="1">
      <c r="A155" s="9" t="s">
        <v>126</v>
      </c>
      <c r="B155" s="9" t="s">
        <v>215</v>
      </c>
      <c r="C155" s="9" t="s">
        <v>140</v>
      </c>
      <c r="D155" s="9" t="s">
        <v>103</v>
      </c>
      <c r="E155" s="9" t="s">
        <v>77</v>
      </c>
      <c r="F155" s="9"/>
      <c r="G155" s="9" t="s">
        <v>129</v>
      </c>
      <c r="H155" s="10">
        <v>46216</v>
      </c>
      <c r="I155" s="10">
        <v>46225</v>
      </c>
      <c r="J155" s="10">
        <v>46225</v>
      </c>
    </row>
    <row r="156" spans="1:10" ht="14.25" customHeight="1">
      <c r="A156" s="9" t="s">
        <v>126</v>
      </c>
      <c r="B156" s="9" t="s">
        <v>222</v>
      </c>
      <c r="C156" s="9" t="s">
        <v>142</v>
      </c>
      <c r="D156" s="9" t="s">
        <v>84</v>
      </c>
      <c r="E156" s="9" t="s">
        <v>60</v>
      </c>
      <c r="F156" s="9"/>
      <c r="G156" s="9" t="s">
        <v>143</v>
      </c>
      <c r="H156" s="9"/>
      <c r="I156" s="9"/>
      <c r="J156" s="9"/>
    </row>
    <row r="157" spans="1:10">
      <c r="A157" s="3" t="s">
        <v>126</v>
      </c>
      <c r="B157" s="3" t="s">
        <v>222</v>
      </c>
      <c r="C157" s="3" t="s">
        <v>145</v>
      </c>
      <c r="D157" s="3" t="s">
        <v>65</v>
      </c>
      <c r="E157" s="3" t="s">
        <v>46</v>
      </c>
      <c r="F157" s="3"/>
      <c r="G157" s="3" t="s">
        <v>143</v>
      </c>
      <c r="H157" s="3"/>
      <c r="I157" s="3"/>
      <c r="J157" s="3"/>
    </row>
    <row r="158" spans="1:10">
      <c r="A158" s="3" t="s">
        <v>126</v>
      </c>
      <c r="B158" s="3" t="s">
        <v>222</v>
      </c>
      <c r="C158" s="3" t="s">
        <v>148</v>
      </c>
      <c r="D158" s="3" t="s">
        <v>65</v>
      </c>
      <c r="E158" s="3" t="s">
        <v>46</v>
      </c>
      <c r="F158" s="3"/>
      <c r="G158" s="3" t="s">
        <v>143</v>
      </c>
      <c r="H158" s="3"/>
      <c r="I158" s="3"/>
      <c r="J158" s="3"/>
    </row>
    <row r="159" spans="1:10">
      <c r="A159" s="3" t="s">
        <v>126</v>
      </c>
      <c r="B159" s="3" t="s">
        <v>202</v>
      </c>
      <c r="C159" s="3" t="s">
        <v>148</v>
      </c>
      <c r="D159" s="3" t="s">
        <v>65</v>
      </c>
      <c r="E159" s="3" t="s">
        <v>46</v>
      </c>
      <c r="F159" s="3"/>
      <c r="G159" s="3" t="s">
        <v>143</v>
      </c>
      <c r="H159" s="3"/>
      <c r="I159" s="4">
        <v>46221</v>
      </c>
      <c r="J159" s="4">
        <v>46221</v>
      </c>
    </row>
    <row r="160" spans="1:10">
      <c r="A160" s="3" t="s">
        <v>126</v>
      </c>
      <c r="B160" s="3" t="s">
        <v>215</v>
      </c>
      <c r="C160" s="3" t="s">
        <v>148</v>
      </c>
      <c r="D160" s="3" t="s">
        <v>65</v>
      </c>
      <c r="E160" s="3" t="s">
        <v>46</v>
      </c>
      <c r="F160" s="3"/>
      <c r="G160" s="3" t="s">
        <v>143</v>
      </c>
      <c r="H160" s="4">
        <v>46221</v>
      </c>
      <c r="I160" s="4">
        <v>46223</v>
      </c>
      <c r="J160" s="4">
        <v>46223</v>
      </c>
    </row>
    <row r="161" spans="1:10">
      <c r="A161" s="3" t="s">
        <v>126</v>
      </c>
      <c r="B161" s="3" t="s">
        <v>222</v>
      </c>
      <c r="C161" s="3" t="s">
        <v>149</v>
      </c>
      <c r="D161" s="3" t="s">
        <v>84</v>
      </c>
      <c r="E161" s="3" t="s">
        <v>60</v>
      </c>
      <c r="F161" s="3"/>
      <c r="G161" s="3" t="s">
        <v>143</v>
      </c>
      <c r="H161" s="3"/>
      <c r="I161" s="3"/>
      <c r="J161" s="3"/>
    </row>
    <row r="162" spans="1:10">
      <c r="A162" s="3" t="s">
        <v>126</v>
      </c>
      <c r="B162" s="3" t="s">
        <v>202</v>
      </c>
      <c r="C162" s="3" t="s">
        <v>149</v>
      </c>
      <c r="D162" s="3" t="s">
        <v>84</v>
      </c>
      <c r="E162" s="3" t="s">
        <v>60</v>
      </c>
      <c r="F162" s="3"/>
      <c r="G162" s="3" t="s">
        <v>143</v>
      </c>
      <c r="H162" s="3"/>
      <c r="I162" s="4">
        <v>46220</v>
      </c>
      <c r="J162" s="4">
        <v>46220</v>
      </c>
    </row>
    <row r="163" spans="1:10">
      <c r="A163" s="3" t="s">
        <v>126</v>
      </c>
      <c r="B163" s="3" t="s">
        <v>215</v>
      </c>
      <c r="C163" s="3" t="s">
        <v>149</v>
      </c>
      <c r="D163" s="3" t="s">
        <v>84</v>
      </c>
      <c r="E163" s="3" t="s">
        <v>60</v>
      </c>
      <c r="F163" s="3"/>
      <c r="G163" s="3" t="s">
        <v>143</v>
      </c>
      <c r="H163" s="4">
        <v>46220</v>
      </c>
      <c r="I163" s="4">
        <v>46223</v>
      </c>
      <c r="J163" s="4">
        <v>46223</v>
      </c>
    </row>
    <row r="164" spans="1:10">
      <c r="A164" s="3" t="s">
        <v>126</v>
      </c>
      <c r="B164" s="3" t="s">
        <v>222</v>
      </c>
      <c r="C164" s="3" t="s">
        <v>152</v>
      </c>
      <c r="D164" s="3" t="s">
        <v>154</v>
      </c>
      <c r="E164" s="3" t="s">
        <v>60</v>
      </c>
      <c r="F164" s="3"/>
      <c r="G164" s="3" t="s">
        <v>143</v>
      </c>
      <c r="H164" s="3"/>
      <c r="I164" s="3"/>
      <c r="J164" s="3"/>
    </row>
    <row r="165" spans="1:10">
      <c r="A165" s="3" t="s">
        <v>126</v>
      </c>
      <c r="B165" s="3" t="s">
        <v>202</v>
      </c>
      <c r="C165" s="3" t="s">
        <v>152</v>
      </c>
      <c r="D165" s="3" t="s">
        <v>154</v>
      </c>
      <c r="E165" s="3" t="s">
        <v>60</v>
      </c>
      <c r="F165" s="3"/>
      <c r="G165" s="3" t="s">
        <v>143</v>
      </c>
      <c r="H165" s="3"/>
      <c r="I165" s="4">
        <v>46224</v>
      </c>
      <c r="J165" s="4">
        <v>46224</v>
      </c>
    </row>
    <row r="166" spans="1:10">
      <c r="A166" s="3" t="s">
        <v>126</v>
      </c>
      <c r="B166" s="3" t="s">
        <v>215</v>
      </c>
      <c r="C166" s="3" t="s">
        <v>152</v>
      </c>
      <c r="D166" s="3" t="s">
        <v>154</v>
      </c>
      <c r="E166" s="3" t="s">
        <v>60</v>
      </c>
      <c r="F166" s="3"/>
      <c r="G166" s="3" t="s">
        <v>143</v>
      </c>
      <c r="H166" s="4">
        <v>46224</v>
      </c>
      <c r="I166" s="4">
        <v>46223</v>
      </c>
      <c r="J166" s="4">
        <v>46223</v>
      </c>
    </row>
    <row r="167" spans="1:10">
      <c r="A167" s="3" t="s">
        <v>126</v>
      </c>
      <c r="B167" s="3" t="s">
        <v>222</v>
      </c>
      <c r="C167" s="3" t="s">
        <v>155</v>
      </c>
      <c r="D167" s="3" t="s">
        <v>154</v>
      </c>
      <c r="E167" s="3" t="s">
        <v>77</v>
      </c>
      <c r="F167" s="3"/>
      <c r="G167" s="3" t="s">
        <v>143</v>
      </c>
      <c r="H167" s="3"/>
      <c r="I167" s="3"/>
      <c r="J167" s="3"/>
    </row>
    <row r="168" spans="1:10">
      <c r="A168" s="3" t="s">
        <v>126</v>
      </c>
      <c r="B168" s="3" t="s">
        <v>202</v>
      </c>
      <c r="C168" s="3" t="s">
        <v>155</v>
      </c>
      <c r="D168" s="3" t="s">
        <v>154</v>
      </c>
      <c r="E168" s="3" t="s">
        <v>77</v>
      </c>
      <c r="F168" s="3"/>
      <c r="G168" s="3" t="s">
        <v>143</v>
      </c>
      <c r="H168" s="3"/>
      <c r="I168" s="4">
        <v>46225</v>
      </c>
      <c r="J168" s="4">
        <v>46225</v>
      </c>
    </row>
    <row r="169" spans="1:10">
      <c r="A169" s="3" t="s">
        <v>126</v>
      </c>
      <c r="B169" s="3" t="s">
        <v>215</v>
      </c>
      <c r="C169" s="3" t="s">
        <v>155</v>
      </c>
      <c r="D169" s="3" t="s">
        <v>154</v>
      </c>
      <c r="E169" s="3" t="s">
        <v>77</v>
      </c>
      <c r="F169" s="3"/>
      <c r="G169" s="3" t="s">
        <v>143</v>
      </c>
      <c r="H169" s="4">
        <v>46225</v>
      </c>
      <c r="I169" s="4">
        <v>46223</v>
      </c>
      <c r="J169" s="4">
        <v>46223</v>
      </c>
    </row>
    <row r="170" spans="1:10">
      <c r="A170" s="3" t="s">
        <v>126</v>
      </c>
      <c r="B170" s="3" t="s">
        <v>222</v>
      </c>
      <c r="C170" s="3" t="s">
        <v>156</v>
      </c>
      <c r="D170" s="3" t="s">
        <v>76</v>
      </c>
      <c r="E170" s="3" t="s">
        <v>46</v>
      </c>
      <c r="F170" s="3"/>
      <c r="G170" s="3" t="s">
        <v>129</v>
      </c>
      <c r="H170" s="3"/>
      <c r="I170" s="3"/>
      <c r="J170" s="3"/>
    </row>
    <row r="171" spans="1:10">
      <c r="A171" s="3" t="s">
        <v>126</v>
      </c>
      <c r="B171" s="3" t="s">
        <v>202</v>
      </c>
      <c r="C171" s="3" t="s">
        <v>156</v>
      </c>
      <c r="D171" s="3" t="s">
        <v>76</v>
      </c>
      <c r="E171" s="3" t="s">
        <v>46</v>
      </c>
      <c r="F171" s="3"/>
      <c r="G171" s="3" t="s">
        <v>129</v>
      </c>
      <c r="H171" s="3"/>
      <c r="I171" s="4">
        <v>46226</v>
      </c>
      <c r="J171" s="4">
        <v>46226</v>
      </c>
    </row>
    <row r="172" spans="1:10">
      <c r="A172" s="3" t="s">
        <v>126</v>
      </c>
      <c r="B172" s="3" t="s">
        <v>215</v>
      </c>
      <c r="C172" s="3" t="s">
        <v>156</v>
      </c>
      <c r="D172" s="3" t="s">
        <v>76</v>
      </c>
      <c r="E172" s="3" t="s">
        <v>46</v>
      </c>
      <c r="F172" s="3"/>
      <c r="G172" s="3" t="s">
        <v>129</v>
      </c>
      <c r="H172" s="4">
        <v>46226</v>
      </c>
      <c r="I172" s="4">
        <v>46223</v>
      </c>
      <c r="J172" s="4">
        <v>46223</v>
      </c>
    </row>
    <row r="173" spans="1:10">
      <c r="A173" s="3" t="s">
        <v>126</v>
      </c>
      <c r="B173" s="3" t="s">
        <v>222</v>
      </c>
      <c r="C173" s="3" t="s">
        <v>158</v>
      </c>
      <c r="D173" s="3" t="s">
        <v>59</v>
      </c>
      <c r="E173" s="3" t="s">
        <v>60</v>
      </c>
      <c r="F173" s="3"/>
      <c r="G173" s="3" t="s">
        <v>129</v>
      </c>
      <c r="H173" s="3"/>
      <c r="I173" s="3"/>
      <c r="J173" s="3"/>
    </row>
    <row r="174" spans="1:10">
      <c r="A174" s="3" t="s">
        <v>126</v>
      </c>
      <c r="B174" s="3" t="s">
        <v>202</v>
      </c>
      <c r="C174" s="3" t="s">
        <v>158</v>
      </c>
      <c r="D174" s="3" t="s">
        <v>59</v>
      </c>
      <c r="E174" s="3" t="s">
        <v>60</v>
      </c>
      <c r="F174" s="3"/>
      <c r="G174" s="3" t="s">
        <v>129</v>
      </c>
      <c r="H174" s="3"/>
      <c r="I174" s="4">
        <v>46225</v>
      </c>
      <c r="J174" s="4">
        <v>46225</v>
      </c>
    </row>
    <row r="175" spans="1:10">
      <c r="A175" s="3" t="s">
        <v>126</v>
      </c>
      <c r="B175" s="3" t="s">
        <v>215</v>
      </c>
      <c r="C175" s="3" t="s">
        <v>158</v>
      </c>
      <c r="D175" s="3" t="s">
        <v>59</v>
      </c>
      <c r="E175" s="3" t="s">
        <v>60</v>
      </c>
      <c r="F175" s="3"/>
      <c r="G175" s="3" t="s">
        <v>129</v>
      </c>
      <c r="H175" s="4">
        <v>46225</v>
      </c>
      <c r="I175" s="4">
        <v>46223</v>
      </c>
      <c r="J175" s="4">
        <v>46223</v>
      </c>
    </row>
    <row r="176" spans="1:10">
      <c r="A176" s="3" t="s">
        <v>126</v>
      </c>
      <c r="B176" s="3" t="s">
        <v>222</v>
      </c>
      <c r="C176" s="3" t="s">
        <v>160</v>
      </c>
      <c r="D176" s="3" t="s">
        <v>76</v>
      </c>
      <c r="E176" s="3" t="s">
        <v>77</v>
      </c>
      <c r="F176" s="3"/>
      <c r="G176" s="3" t="s">
        <v>143</v>
      </c>
      <c r="H176" s="3"/>
      <c r="I176" s="3"/>
      <c r="J176" s="3"/>
    </row>
    <row r="177" spans="1:10">
      <c r="A177" s="3" t="s">
        <v>126</v>
      </c>
      <c r="B177" s="3" t="s">
        <v>202</v>
      </c>
      <c r="C177" s="3" t="s">
        <v>160</v>
      </c>
      <c r="D177" s="3" t="s">
        <v>76</v>
      </c>
      <c r="E177" s="3" t="s">
        <v>77</v>
      </c>
      <c r="F177" s="3"/>
      <c r="G177" s="3" t="s">
        <v>143</v>
      </c>
      <c r="H177" s="3"/>
      <c r="I177" s="4">
        <v>46225</v>
      </c>
      <c r="J177" s="4">
        <v>46225</v>
      </c>
    </row>
    <row r="178" spans="1:10">
      <c r="A178" s="3" t="s">
        <v>126</v>
      </c>
      <c r="B178" s="3" t="s">
        <v>215</v>
      </c>
      <c r="C178" s="3" t="s">
        <v>160</v>
      </c>
      <c r="D178" s="3" t="s">
        <v>76</v>
      </c>
      <c r="E178" s="3" t="s">
        <v>77</v>
      </c>
      <c r="F178" s="3"/>
      <c r="G178" s="3" t="s">
        <v>143</v>
      </c>
      <c r="H178" s="4">
        <v>46225</v>
      </c>
      <c r="I178" s="4">
        <v>46230</v>
      </c>
      <c r="J178" s="4">
        <v>46230</v>
      </c>
    </row>
    <row r="179" spans="1:10">
      <c r="A179" s="3" t="s">
        <v>126</v>
      </c>
      <c r="B179" s="3" t="s">
        <v>222</v>
      </c>
      <c r="C179" s="3" t="s">
        <v>163</v>
      </c>
      <c r="D179" s="3" t="s">
        <v>103</v>
      </c>
      <c r="E179" s="3"/>
      <c r="F179" s="3"/>
      <c r="G179" s="3"/>
      <c r="H179" s="3"/>
      <c r="I179" s="3"/>
      <c r="J179" s="3"/>
    </row>
    <row r="180" spans="1:10">
      <c r="A180" s="3" t="s">
        <v>126</v>
      </c>
      <c r="B180" s="3" t="s">
        <v>202</v>
      </c>
      <c r="C180" s="3" t="s">
        <v>163</v>
      </c>
      <c r="D180" s="3" t="s">
        <v>103</v>
      </c>
      <c r="E180" s="3"/>
      <c r="F180" s="3"/>
      <c r="G180" s="3"/>
      <c r="H180" s="3"/>
      <c r="I180" s="3"/>
      <c r="J180" s="3"/>
    </row>
    <row r="181" spans="1:10">
      <c r="A181" s="3" t="s">
        <v>126</v>
      </c>
      <c r="B181" s="3" t="s">
        <v>215</v>
      </c>
      <c r="C181" s="3" t="s">
        <v>163</v>
      </c>
      <c r="D181" s="3" t="s">
        <v>103</v>
      </c>
      <c r="E181" s="3"/>
      <c r="F181" s="3"/>
      <c r="G181" s="3"/>
      <c r="H181" s="3"/>
      <c r="I181" s="3"/>
      <c r="J181" s="3"/>
    </row>
    <row r="182" spans="1:10">
      <c r="A182" s="3" t="s">
        <v>126</v>
      </c>
      <c r="B182" s="3" t="s">
        <v>222</v>
      </c>
      <c r="C182" s="3" t="s">
        <v>173</v>
      </c>
      <c r="D182" s="3" t="s">
        <v>84</v>
      </c>
      <c r="E182" s="3"/>
      <c r="F182" s="3"/>
      <c r="G182" s="3"/>
      <c r="H182" s="3"/>
      <c r="I182" s="3"/>
      <c r="J182" s="3"/>
    </row>
    <row r="183" spans="1:10">
      <c r="A183" s="3" t="s">
        <v>126</v>
      </c>
      <c r="B183" s="3" t="s">
        <v>202</v>
      </c>
      <c r="C183" s="3" t="s">
        <v>173</v>
      </c>
      <c r="D183" s="3" t="s">
        <v>84</v>
      </c>
      <c r="E183" s="3"/>
      <c r="F183" s="3"/>
      <c r="G183" s="3"/>
      <c r="H183" s="3"/>
      <c r="I183" s="3"/>
      <c r="J183" s="3"/>
    </row>
    <row r="184" spans="1:10">
      <c r="A184" s="3" t="s">
        <v>126</v>
      </c>
      <c r="B184" s="3" t="s">
        <v>215</v>
      </c>
      <c r="C184" s="3" t="s">
        <v>173</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335</v>
      </c>
      <c r="G1" s="5" t="s">
        <v>437</v>
      </c>
      <c r="H1" s="5" t="s">
        <v>20</v>
      </c>
      <c r="I1" t="s">
        <v>35</v>
      </c>
      <c r="J1" s="5" t="s">
        <v>438</v>
      </c>
      <c r="K1" s="5" t="s">
        <v>180</v>
      </c>
      <c r="L1" s="5" t="s">
        <v>354</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252</v>
      </c>
      <c r="T2" t="s">
        <v>49</v>
      </c>
    </row>
    <row r="3" spans="1:20" ht="15" customHeight="1">
      <c r="A3" t="s">
        <v>40</v>
      </c>
      <c r="B3" t="s">
        <v>44</v>
      </c>
      <c r="C3" t="s">
        <v>60</v>
      </c>
      <c r="D3" t="s">
        <v>129</v>
      </c>
      <c r="E3" t="s">
        <v>50</v>
      </c>
      <c r="F3" t="s">
        <v>230</v>
      </c>
      <c r="G3" t="s">
        <v>44</v>
      </c>
      <c r="H3" t="s">
        <v>47</v>
      </c>
      <c r="I3" t="s">
        <v>53</v>
      </c>
      <c r="J3" t="s">
        <v>222</v>
      </c>
      <c r="K3" t="s">
        <v>48</v>
      </c>
      <c r="L3" t="s">
        <v>53</v>
      </c>
      <c r="M3" t="s">
        <v>44</v>
      </c>
      <c r="N3" t="s">
        <v>455</v>
      </c>
      <c r="R3" t="s">
        <v>45</v>
      </c>
      <c r="T3" t="s">
        <v>94</v>
      </c>
    </row>
    <row r="4" spans="1:20" ht="15" customHeight="1">
      <c r="A4" t="s">
        <v>126</v>
      </c>
      <c r="B4" t="s">
        <v>59</v>
      </c>
      <c r="C4" t="s">
        <v>46</v>
      </c>
      <c r="D4" t="s">
        <v>143</v>
      </c>
      <c r="E4" t="s">
        <v>53</v>
      </c>
      <c r="F4" t="s">
        <v>222</v>
      </c>
      <c r="G4" t="s">
        <v>59</v>
      </c>
      <c r="H4" t="s">
        <v>88</v>
      </c>
      <c r="I4" t="s">
        <v>203</v>
      </c>
      <c r="J4" t="s">
        <v>202</v>
      </c>
      <c r="L4" t="s">
        <v>50</v>
      </c>
      <c r="M4" t="s">
        <v>103</v>
      </c>
      <c r="N4" t="s">
        <v>456</v>
      </c>
      <c r="R4" t="s">
        <v>457</v>
      </c>
      <c r="T4" t="s">
        <v>72</v>
      </c>
    </row>
    <row r="5" spans="1:20" ht="15" customHeight="1">
      <c r="A5" t="s">
        <v>426</v>
      </c>
      <c r="B5" t="s">
        <v>435</v>
      </c>
      <c r="C5" t="s">
        <v>77</v>
      </c>
      <c r="F5" t="s">
        <v>202</v>
      </c>
      <c r="G5" t="s">
        <v>435</v>
      </c>
      <c r="H5" t="s">
        <v>129</v>
      </c>
      <c r="I5" t="s">
        <v>249</v>
      </c>
      <c r="J5" t="s">
        <v>215</v>
      </c>
      <c r="L5" t="s">
        <v>458</v>
      </c>
      <c r="M5" t="s">
        <v>88</v>
      </c>
      <c r="N5" t="s">
        <v>459</v>
      </c>
    </row>
    <row r="6" spans="1:20" ht="15" customHeight="1">
      <c r="A6" t="s">
        <v>306</v>
      </c>
      <c r="B6" t="s">
        <v>84</v>
      </c>
      <c r="F6" t="s">
        <v>215</v>
      </c>
      <c r="G6" t="s">
        <v>84</v>
      </c>
      <c r="H6" t="s">
        <v>143</v>
      </c>
      <c r="I6" t="s">
        <v>460</v>
      </c>
      <c r="J6" t="s">
        <v>180</v>
      </c>
      <c r="M6" t="s">
        <v>48</v>
      </c>
      <c r="N6" t="s">
        <v>459</v>
      </c>
    </row>
    <row r="7" spans="1:20" ht="15" customHeight="1">
      <c r="A7" t="s">
        <v>297</v>
      </c>
      <c r="B7" t="s">
        <v>65</v>
      </c>
      <c r="F7" t="s">
        <v>180</v>
      </c>
      <c r="G7" t="s">
        <v>65</v>
      </c>
      <c r="H7" t="s">
        <v>197</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435</v>
      </c>
      <c r="N17" t="s">
        <v>475</v>
      </c>
    </row>
    <row r="18" spans="13:14" ht="15">
      <c r="M18" t="s">
        <v>225</v>
      </c>
      <c r="N18" t="s">
        <v>476</v>
      </c>
    </row>
    <row r="19" spans="13:14" ht="15">
      <c r="M19" t="s">
        <v>197</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H7" sqref="H7"/>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478</v>
      </c>
      <c r="C2" s="171"/>
      <c r="D2" s="171"/>
      <c r="E2" s="171"/>
      <c r="F2" s="171"/>
      <c r="G2" s="171"/>
      <c r="H2" s="171"/>
      <c r="I2" s="171"/>
      <c r="J2" s="171"/>
      <c r="K2" s="171"/>
      <c r="L2" s="171"/>
      <c r="M2" s="249" t="str">
        <f ca="1">"As of "&amp;TEXT(TODAY(),"d mmm yyyy")&amp;". Live from Combined Delivery Data."</f>
        <v>As of 2 Oct 2026. Live from Combined Delivery Data.</v>
      </c>
      <c r="N2" s="249"/>
      <c r="O2" s="249"/>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50" t="str">
        <f>IF(C7+E7=0,"No CMS reports are blocked.","reports are blocked. "&amp;C7&amp;" are approved and waiting for a production release, "&amp;E7&amp;" are blocked in build or QA.")</f>
        <v>reports are blocked. 26 are approved and waiting for a production release, 3 are blocked in build or QA.</v>
      </c>
      <c r="D5" s="250"/>
      <c r="E5" s="250"/>
      <c r="F5" s="250"/>
      <c r="G5" s="250"/>
      <c r="H5" s="250"/>
      <c r="I5" s="250"/>
      <c r="J5" s="250"/>
      <c r="K5" s="250"/>
      <c r="L5" s="250"/>
      <c r="M5" s="250"/>
      <c r="N5" s="250"/>
      <c r="O5" s="250"/>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51" cm="1">
        <f t="array" ref="C7">COUNTIFS(cmsDom,"CMS",cmsStatus,"Ready for Release in Prod")</f>
        <v>26</v>
      </c>
      <c r="D7" s="252"/>
      <c r="E7" s="253" cm="1">
        <f t="array" ref="E7">COUNTIFS(cmsDom,"CMS",cmsBlocked,"Yes*",cmsStatus,"&lt;&gt;Ready for Release in Prod",cmsStatus,"&lt;&gt;RELEASED IN PROD")</f>
        <v>3</v>
      </c>
      <c r="F7" s="254"/>
      <c r="G7" s="255" cm="1">
        <f t="array" ref="G7">SUM(COUNTIFS(cmsDom,"CMS",cmsBlocked,"&lt;&gt;Yes*",cmsStatus,{"DB Dev","PBI Dev","QA","DPO Approval"}))</f>
        <v>21</v>
      </c>
      <c r="H7" s="256"/>
      <c r="I7" s="257" cm="1">
        <f t="array" ref="I7">COUNTIFS(cmsDom,"CMS",cmsBlocked,"&lt;&gt;Yes*",cmsStatus,"NOT STARTED")</f>
        <v>22</v>
      </c>
      <c r="J7" s="258"/>
      <c r="K7" s="259" cm="1">
        <f t="array" ref="K7">COUNTIFS(cmsDom,"CMS",cmsStatus,"RELEASED IN PROD")</f>
        <v>0</v>
      </c>
      <c r="L7" s="260"/>
      <c r="M7" s="231" t="s">
        <v>479</v>
      </c>
      <c r="N7" s="232"/>
      <c r="O7" s="233"/>
      <c r="P7" s="171"/>
      <c r="Q7" s="171"/>
      <c r="R7" s="171"/>
      <c r="S7" s="171"/>
      <c r="T7" s="171"/>
      <c r="U7" s="171"/>
      <c r="V7" s="171"/>
      <c r="W7" s="171"/>
      <c r="X7" s="171"/>
      <c r="Y7" s="171"/>
      <c r="Z7" s="171"/>
    </row>
    <row r="8" spans="1:26" ht="30" customHeight="1">
      <c r="A8" s="171"/>
      <c r="B8" s="171"/>
      <c r="C8" s="234" t="s">
        <v>480</v>
      </c>
      <c r="D8" s="235"/>
      <c r="E8" s="234" t="s">
        <v>481</v>
      </c>
      <c r="F8" s="235"/>
      <c r="G8" s="234" t="s">
        <v>482</v>
      </c>
      <c r="H8" s="235"/>
      <c r="I8" s="234" t="s">
        <v>483</v>
      </c>
      <c r="J8" s="235"/>
      <c r="K8" s="234" t="s">
        <v>484</v>
      </c>
      <c r="L8" s="235"/>
      <c r="M8" s="234"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15.</v>
      </c>
      <c r="N8" s="235"/>
      <c r="O8" s="236"/>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485</v>
      </c>
      <c r="C10" s="221" t="s">
        <v>486</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487</v>
      </c>
      <c r="C11" s="185" t="s">
        <v>488</v>
      </c>
      <c r="D11" s="185" t="s">
        <v>489</v>
      </c>
      <c r="E11" s="185" t="s">
        <v>180</v>
      </c>
      <c r="F11" s="185" t="s">
        <v>215</v>
      </c>
      <c r="G11" s="185" t="s">
        <v>202</v>
      </c>
      <c r="H11" s="185" t="s">
        <v>222</v>
      </c>
      <c r="I11" s="185" t="s">
        <v>483</v>
      </c>
      <c r="J11" s="185" t="s">
        <v>490</v>
      </c>
      <c r="K11" s="185" t="s">
        <v>491</v>
      </c>
      <c r="L11" s="185" t="s">
        <v>492</v>
      </c>
      <c r="M11" s="243" t="s">
        <v>493</v>
      </c>
      <c r="N11" s="244"/>
      <c r="O11" s="245"/>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23 days past milestone, 14 of 14 not released</v>
      </c>
      <c r="N12" s="247"/>
      <c r="O12" s="248"/>
      <c r="P12" s="171"/>
      <c r="Q12" s="171"/>
      <c r="R12" s="171"/>
      <c r="S12" s="171"/>
      <c r="T12" s="171"/>
      <c r="U12" s="171"/>
      <c r="V12" s="171"/>
      <c r="W12" s="171"/>
      <c r="X12" s="171"/>
      <c r="Y12" s="171"/>
      <c r="Z12" s="171"/>
    </row>
    <row r="13" spans="1:26" ht="21.75" customHeight="1">
      <c r="A13" s="171"/>
      <c r="B13" s="195" t="s">
        <v>165</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2 days past milestone, 12 of 12 not released</v>
      </c>
      <c r="N13" s="238"/>
      <c r="O13" s="239"/>
      <c r="P13" s="171"/>
      <c r="Q13" s="171"/>
      <c r="R13" s="171"/>
      <c r="S13" s="171"/>
      <c r="T13" s="171"/>
      <c r="U13" s="171"/>
      <c r="V13" s="171"/>
      <c r="W13" s="171"/>
      <c r="X13" s="171"/>
      <c r="Y13" s="171"/>
      <c r="Z13" s="171"/>
    </row>
    <row r="14" spans="1:26" ht="21.75" customHeight="1">
      <c r="A14" s="171"/>
      <c r="B14" s="195" t="s">
        <v>191</v>
      </c>
      <c r="C14" s="196" cm="1">
        <f t="array" ref="C14">COUNTIFS(cmsDom,"CMS",cmsMonth,$B14,cmsStatus,"Ready for Release in Prod")</f>
        <v>2</v>
      </c>
      <c r="D14" s="196" cm="1">
        <f t="array" ref="D14">COUNTIFS(cmsDom,"CMS",cmsMonth,$B14,cmsBlocked,"Yes*",cmsStatus,"&lt;&gt;Ready for Release in Prod",cmsStatus,"&lt;&gt;RELEASED IN PROD")</f>
        <v>2</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1</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28 days to milestone, 2 blocked</v>
      </c>
      <c r="N14" s="238"/>
      <c r="O14" s="239"/>
      <c r="P14" s="171"/>
      <c r="Q14" s="171"/>
      <c r="R14" s="171"/>
      <c r="S14" s="171"/>
      <c r="T14" s="171"/>
      <c r="U14" s="171"/>
      <c r="V14" s="171"/>
      <c r="W14" s="171"/>
      <c r="X14" s="171"/>
      <c r="Y14" s="171"/>
      <c r="Z14" s="171"/>
    </row>
    <row r="15" spans="1:26" ht="21.75" customHeight="1">
      <c r="A15" s="171"/>
      <c r="B15" s="195" t="s">
        <v>239</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1</v>
      </c>
      <c r="G15" s="196" cm="1">
        <f t="array" ref="G15">COUNTIFS(cmsDom,"CMS",cmsMonth,$B15,cmsBlocked,"&lt;&gt;Yes*",cmsStatus,"PBI Dev")</f>
        <v>4</v>
      </c>
      <c r="H15" s="196" cm="1">
        <f t="array" ref="H15">COUNTIFS(cmsDom,"CMS",cmsMonth,$B15,cmsBlocked,"&lt;&gt;Yes*",cmsStatus,"DB Dev")</f>
        <v>1</v>
      </c>
      <c r="I15" s="196" cm="1">
        <f t="array" ref="I15">COUNTIFS(cmsDom,"CMS",cmsMonth,$B15,cmsBlocked,"&lt;&gt;Yes*",cmsStatus,"NOT STARTED")</f>
        <v>6</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59 days to milestone, 1 blocked</v>
      </c>
      <c r="N15" s="238"/>
      <c r="O15" s="239"/>
      <c r="P15" s="171"/>
      <c r="Q15" s="171"/>
      <c r="R15" s="171"/>
      <c r="S15" s="171"/>
      <c r="T15" s="171"/>
      <c r="U15" s="171"/>
      <c r="V15" s="171"/>
      <c r="W15" s="171"/>
      <c r="X15" s="171"/>
      <c r="Y15" s="171"/>
      <c r="Z15" s="171"/>
    </row>
    <row r="16" spans="1:26" ht="21.75" customHeight="1">
      <c r="A16" s="171"/>
      <c r="B16" s="192" t="s">
        <v>266</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90 days to milestone</v>
      </c>
      <c r="N16" s="241"/>
      <c r="O16" s="242"/>
      <c r="P16" s="171"/>
      <c r="Q16" s="171"/>
      <c r="R16" s="171"/>
      <c r="S16" s="171"/>
      <c r="T16" s="171"/>
      <c r="U16" s="171"/>
      <c r="V16" s="171"/>
      <c r="W16" s="171"/>
      <c r="X16" s="171"/>
      <c r="Y16" s="171"/>
      <c r="Z16" s="171"/>
    </row>
    <row r="17" spans="1:26" ht="24" customHeight="1">
      <c r="A17" s="171"/>
      <c r="B17" s="186" t="s">
        <v>494</v>
      </c>
      <c r="C17" s="198">
        <f>SUM(C12:C16)</f>
        <v>26</v>
      </c>
      <c r="D17" s="198">
        <f>SUM(D12:D16)</f>
        <v>3</v>
      </c>
      <c r="E17" s="198">
        <f>SUM(E12:E16)</f>
        <v>9</v>
      </c>
      <c r="F17" s="198">
        <f>SUM(F12:F16)</f>
        <v>3</v>
      </c>
      <c r="G17" s="198">
        <f>SUM(G12:G16)</f>
        <v>7</v>
      </c>
      <c r="H17" s="198">
        <f>SUM(H12:H16)</f>
        <v>2</v>
      </c>
      <c r="I17" s="198">
        <f>SUM(I12:I16)</f>
        <v>22</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495</v>
      </c>
      <c r="C19" s="221" t="s">
        <v>496</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(15)</v>
      </c>
      <c r="C35" s="221" t="s">
        <v>497</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498</v>
      </c>
      <c r="C36" s="199" t="s">
        <v>487</v>
      </c>
      <c r="D36" s="199" t="s">
        <v>499</v>
      </c>
      <c r="E36" s="199" t="s">
        <v>429</v>
      </c>
      <c r="F36" s="199" t="s">
        <v>500</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DB Dev</v>
      </c>
      <c r="E39" s="202" t="str">
        <v>Open rework row - mark Blocked or close it</v>
      </c>
      <c r="F39" s="202" t="str">
        <v>Fetwi</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Interruptions</v>
      </c>
      <c r="C43" s="202" t="str">
        <v>October</v>
      </c>
      <c r="D43" s="202" t="str">
        <v>NOT STARTED</v>
      </c>
      <c r="E43" s="202" t="str">
        <v>Move status to PBI Dev</v>
      </c>
      <c r="F43" s="202" t="str">
        <v>Geetha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RPT_02_Duty to Inspect</v>
      </c>
      <c r="C44" s="202" t="str">
        <v>October</v>
      </c>
      <c r="D44" s="202" t="str">
        <v>NOT STARTED</v>
      </c>
      <c r="E44" s="202" t="str">
        <v>Move status to PBI Dev</v>
      </c>
      <c r="F44" s="202" t="str">
        <v>Geetha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RPT_02_Service Appointment Life Cycle</v>
      </c>
      <c r="C45" s="202" t="str">
        <v>October</v>
      </c>
      <c r="D45" s="202" t="str">
        <v>DB Dev</v>
      </c>
      <c r="E45" s="202" t="str">
        <v>Move status to PBI Dev</v>
      </c>
      <c r="F45" s="202" t="str">
        <v>Nick</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RPT_02_PSC Inactive Account</v>
      </c>
      <c r="C46" s="204" t="str">
        <v>October</v>
      </c>
      <c r="D46" s="204" t="str">
        <v>PBI Dev</v>
      </c>
      <c r="E46" s="204" t="str">
        <v>Move status to QA</v>
      </c>
      <c r="F46" s="204" t="str">
        <v>Shraddha</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491</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487</v>
      </c>
      <c r="D49" s="224"/>
      <c r="E49" s="224" t="s">
        <v>429</v>
      </c>
      <c r="F49" s="224"/>
      <c r="G49" s="224" t="s">
        <v>439</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501</v>
      </c>
      <c r="D50" s="226"/>
      <c r="E50" s="225" t="s">
        <v>501</v>
      </c>
      <c r="F50" s="226"/>
      <c r="G50" s="225" t="s">
        <v>501</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498</v>
      </c>
      <c r="C52" s="208" t="s">
        <v>487</v>
      </c>
      <c r="D52" s="208" t="s">
        <v>499</v>
      </c>
      <c r="E52" s="208" t="s">
        <v>35</v>
      </c>
      <c r="F52" s="208" t="s">
        <v>502</v>
      </c>
      <c r="G52" s="208" t="s">
        <v>503</v>
      </c>
      <c r="H52" s="208" t="s">
        <v>504</v>
      </c>
      <c r="I52" s="208" t="s">
        <v>505</v>
      </c>
      <c r="J52" s="210" t="s">
        <v>506</v>
      </c>
      <c r="K52" s="210" t="s">
        <v>507</v>
      </c>
      <c r="L52" s="210" t="s">
        <v>508</v>
      </c>
      <c r="M52" s="210" t="s">
        <v>509</v>
      </c>
      <c r="N52" s="210" t="s">
        <v>510</v>
      </c>
      <c r="O52" s="208" t="s">
        <v>511</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QA</v>
      </c>
      <c r="E87" s="202" t="str">
        <v>No</v>
      </c>
      <c r="F87" s="202" t="str">
        <v>Siddu</v>
      </c>
      <c r="G87" s="202" t="str">
        <v>Navya</v>
      </c>
      <c r="H87" s="202" t="str">
        <v>Preety</v>
      </c>
      <c r="I87" s="202" t="str">
        <v>Alex Giangolini</v>
      </c>
      <c r="J87" s="213">
        <v>46266</v>
      </c>
      <c r="K87" s="213">
        <v>46294</v>
      </c>
      <c r="L87" s="213" t="str">
        <v/>
      </c>
      <c r="M87" s="213" t="str">
        <v/>
      </c>
      <c r="N87" s="214">
        <v>0</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DB Dev</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Open rework row - mark Blocked or close it</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NOT STARTED</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Move status to PBI Dev</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NOT STARTED</v>
      </c>
      <c r="E105" s="202" t="str">
        <v/>
      </c>
      <c r="F105" s="202" t="str">
        <v>Geetha</v>
      </c>
      <c r="G105" s="202" t="str">
        <v>Navya</v>
      </c>
      <c r="H105" s="202" t="str">
        <v>Preety</v>
      </c>
      <c r="I105" s="202" t="str">
        <v>Bryan Patterson</v>
      </c>
      <c r="J105" s="213">
        <v>46287</v>
      </c>
      <c r="K105" s="213">
        <v>46294</v>
      </c>
      <c r="L105" s="213" t="str">
        <v/>
      </c>
      <c r="M105" s="213" t="str">
        <v/>
      </c>
      <c r="N105" s="214">
        <v>0</v>
      </c>
      <c r="O105" s="202" t="str">
        <v>Move status to PBI Dev</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512</v>
      </c>
      <c r="C1" t="s">
        <v>513</v>
      </c>
      <c r="D1" t="s">
        <v>35</v>
      </c>
      <c r="E1" t="s">
        <v>514</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165</v>
      </c>
      <c r="C16" t="s">
        <v>202</v>
      </c>
      <c r="D16" t="s">
        <v>460</v>
      </c>
      <c r="E16" t="str">
        <f>IF(C16="Ready for Release in Prod","Blocked in Prod",IF(C16="RELEASED IN PROD","Released",IF(LEFT(D16,3)="Yes","Blocked - Build/QA",IF(C16="NOT STARTED","Not Started",C16))))</f>
        <v>Blocked - Build/QA</v>
      </c>
    </row>
    <row r="17" spans="1:5">
      <c r="A17" t="s">
        <v>168</v>
      </c>
      <c r="B17" t="s">
        <v>165</v>
      </c>
      <c r="C17" t="s">
        <v>128</v>
      </c>
      <c r="D17" t="s">
        <v>331</v>
      </c>
      <c r="E17" t="str">
        <f>IF(C17="Ready for Release in Prod","Blocked in Prod",IF(C17="RELEASED IN PROD","Released",IF(LEFT(D17,3)="Yes","Blocked - Build/QA",IF(C17="NOT STARTED","Not Started",C17))))</f>
        <v>Blocked in Prod</v>
      </c>
    </row>
    <row r="18" spans="1:5">
      <c r="A18" t="s">
        <v>171</v>
      </c>
      <c r="B18" t="s">
        <v>165</v>
      </c>
      <c r="C18" t="s">
        <v>128</v>
      </c>
      <c r="D18" t="s">
        <v>331</v>
      </c>
      <c r="E18" t="str">
        <f>IF(C18="Ready for Release in Prod","Blocked in Prod",IF(C18="RELEASED IN PROD","Released",IF(LEFT(D18,3)="Yes","Blocked - Build/QA",IF(C18="NOT STARTED","Not Started",C18))))</f>
        <v>Blocked in Prod</v>
      </c>
    </row>
    <row r="19" spans="1:5">
      <c r="A19" t="s">
        <v>173</v>
      </c>
      <c r="B19" t="s">
        <v>165</v>
      </c>
      <c r="C19" t="s">
        <v>128</v>
      </c>
      <c r="D19" t="s">
        <v>331</v>
      </c>
      <c r="E19" t="str">
        <f>IF(C19="Ready for Release in Prod","Blocked in Prod",IF(C19="RELEASED IN PROD","Released",IF(LEFT(D19,3)="Yes","Blocked - Build/QA",IF(C19="NOT STARTED","Not Started",C19))))</f>
        <v>Blocked in Prod</v>
      </c>
    </row>
    <row r="20" spans="1:5">
      <c r="A20" t="s">
        <v>175</v>
      </c>
      <c r="B20" t="s">
        <v>165</v>
      </c>
      <c r="C20" t="s">
        <v>128</v>
      </c>
      <c r="D20" t="s">
        <v>331</v>
      </c>
      <c r="E20" t="str">
        <f>IF(C20="Ready for Release in Prod","Blocked in Prod",IF(C20="RELEASED IN PROD","Released",IF(LEFT(D20,3)="Yes","Blocked - Build/QA",IF(C20="NOT STARTED","Not Started",C20))))</f>
        <v>Blocked in Prod</v>
      </c>
    </row>
    <row r="21" spans="1:5">
      <c r="A21" t="s">
        <v>177</v>
      </c>
      <c r="B21" t="s">
        <v>165</v>
      </c>
      <c r="C21" t="s">
        <v>128</v>
      </c>
      <c r="D21" t="s">
        <v>331</v>
      </c>
      <c r="E21" t="str">
        <f>IF(C21="Ready for Release in Prod","Blocked in Prod",IF(C21="RELEASED IN PROD","Released",IF(LEFT(D21,3)="Yes","Blocked - Build/QA",IF(C21="NOT STARTED","Not Started",C21))))</f>
        <v>Blocked in Prod</v>
      </c>
    </row>
    <row r="22" spans="1:5">
      <c r="A22" t="s">
        <v>179</v>
      </c>
      <c r="B22" t="s">
        <v>165</v>
      </c>
      <c r="C22" t="s">
        <v>180</v>
      </c>
      <c r="D22" t="s">
        <v>53</v>
      </c>
      <c r="E22" t="str">
        <f>IF(C22="Ready for Release in Prod","Blocked in Prod",IF(C22="RELEASED IN PROD","Released",IF(LEFT(D22,3)="Yes","Blocked - Build/QA",IF(C22="NOT STARTED","Not Started",C22))))</f>
        <v>DPO Approval</v>
      </c>
    </row>
    <row r="23" spans="1:5">
      <c r="A23" t="s">
        <v>181</v>
      </c>
      <c r="B23" t="s">
        <v>165</v>
      </c>
      <c r="C23" t="s">
        <v>128</v>
      </c>
      <c r="D23" t="s">
        <v>331</v>
      </c>
      <c r="E23" t="str">
        <f>IF(C23="Ready for Release in Prod","Blocked in Prod",IF(C23="RELEASED IN PROD","Released",IF(LEFT(D23,3)="Yes","Blocked - Build/QA",IF(C23="NOT STARTED","Not Started",C23))))</f>
        <v>Blocked in Prod</v>
      </c>
    </row>
    <row r="24" spans="1:5">
      <c r="A24" t="s">
        <v>182</v>
      </c>
      <c r="B24" t="s">
        <v>165</v>
      </c>
      <c r="C24" t="s">
        <v>128</v>
      </c>
      <c r="D24" t="s">
        <v>331</v>
      </c>
      <c r="E24" t="str">
        <f>IF(C24="Ready for Release in Prod","Blocked in Prod",IF(C24="RELEASED IN PROD","Released",IF(LEFT(D24,3)="Yes","Blocked - Build/QA",IF(C24="NOT STARTED","Not Started",C24))))</f>
        <v>Blocked in Prod</v>
      </c>
    </row>
    <row r="25" spans="1:5">
      <c r="A25" t="s">
        <v>184</v>
      </c>
      <c r="B25" t="s">
        <v>165</v>
      </c>
      <c r="C25" t="s">
        <v>180</v>
      </c>
      <c r="D25" t="s">
        <v>53</v>
      </c>
      <c r="E25" t="str">
        <f>IF(C25="Ready for Release in Prod","Blocked in Prod",IF(C25="RELEASED IN PROD","Released",IF(LEFT(D25,3)="Yes","Blocked - Build/QA",IF(C25="NOT STARTED","Not Started",C25))))</f>
        <v>DPO Approval</v>
      </c>
    </row>
    <row r="26" spans="1:5">
      <c r="A26" t="s">
        <v>187</v>
      </c>
      <c r="B26" t="s">
        <v>165</v>
      </c>
      <c r="C26" t="s">
        <v>128</v>
      </c>
      <c r="D26" t="s">
        <v>331</v>
      </c>
      <c r="E26" t="str">
        <f>IF(C26="Ready for Release in Prod","Blocked in Prod",IF(C26="RELEASED IN PROD","Released",IF(LEFT(D26,3)="Yes","Blocked - Build/QA",IF(C26="NOT STARTED","Not Started",C26))))</f>
        <v>Blocked in Prod</v>
      </c>
    </row>
    <row r="27" spans="1:5">
      <c r="A27" t="s">
        <v>188</v>
      </c>
      <c r="B27" t="s">
        <v>165</v>
      </c>
      <c r="C27" t="s">
        <v>128</v>
      </c>
      <c r="D27" t="s">
        <v>331</v>
      </c>
      <c r="E27" t="str">
        <f>IF(C27="Ready for Release in Prod","Blocked in Prod",IF(C27="RELEASED IN PROD","Released",IF(LEFT(D27,3)="Yes","Blocked - Build/QA",IF(C27="NOT STARTED","Not Started",C27))))</f>
        <v>Blocked in Prod</v>
      </c>
    </row>
    <row r="28" spans="1:5">
      <c r="A28" t="s">
        <v>190</v>
      </c>
      <c r="B28" t="s">
        <v>191</v>
      </c>
      <c r="C28" t="s">
        <v>180</v>
      </c>
      <c r="D28" t="s">
        <v>53</v>
      </c>
      <c r="E28" t="str">
        <f>IF(C28="Ready for Release in Prod","Blocked in Prod",IF(C28="RELEASED IN PROD","Released",IF(LEFT(D28,3)="Yes","Blocked - Build/QA",IF(C28="NOT STARTED","Not Started",C28))))</f>
        <v>DPO Approval</v>
      </c>
    </row>
    <row r="29" spans="1:5">
      <c r="A29" t="s">
        <v>196</v>
      </c>
      <c r="B29" t="s">
        <v>191</v>
      </c>
      <c r="C29" t="s">
        <v>180</v>
      </c>
      <c r="D29" t="s">
        <v>53</v>
      </c>
      <c r="E29" t="str">
        <f>IF(C29="Ready for Release in Prod","Blocked in Prod",IF(C29="RELEASED IN PROD","Released",IF(LEFT(D29,3)="Yes","Blocked - Build/QA",IF(C29="NOT STARTED","Not Started",C29))))</f>
        <v>DPO Approval</v>
      </c>
    </row>
    <row r="30" spans="1:5">
      <c r="A30" t="s">
        <v>200</v>
      </c>
      <c r="B30" t="s">
        <v>191</v>
      </c>
      <c r="C30" t="s">
        <v>128</v>
      </c>
      <c r="D30" t="s">
        <v>331</v>
      </c>
      <c r="E30" t="str">
        <f>IF(C30="Ready for Release in Prod","Blocked in Prod",IF(C30="RELEASED IN PROD","Released",IF(LEFT(D30,3)="Yes","Blocked - Build/QA",IF(C30="NOT STARTED","Not Started",C30))))</f>
        <v>Blocked in Prod</v>
      </c>
    </row>
    <row r="31" spans="1:5">
      <c r="A31" t="s">
        <v>201</v>
      </c>
      <c r="B31" t="s">
        <v>191</v>
      </c>
      <c r="C31" t="s">
        <v>202</v>
      </c>
      <c r="D31" t="s">
        <v>203</v>
      </c>
      <c r="E31" t="str">
        <f>IF(C31="Ready for Release in Prod","Blocked in Prod",IF(C31="RELEASED IN PROD","Released",IF(LEFT(D31,3)="Yes","Blocked - Build/QA",IF(C31="NOT STARTED","Not Started",C31))))</f>
        <v>Blocked - Build/QA</v>
      </c>
    </row>
    <row r="32" spans="1:5">
      <c r="A32" t="s">
        <v>205</v>
      </c>
      <c r="B32" t="s">
        <v>191</v>
      </c>
      <c r="C32" t="s">
        <v>180</v>
      </c>
      <c r="D32" t="s">
        <v>53</v>
      </c>
      <c r="E32" t="str">
        <f>IF(C32="Ready for Release in Prod","Blocked in Prod",IF(C32="RELEASED IN PROD","Released",IF(LEFT(D32,3)="Yes","Blocked - Build/QA",IF(C32="NOT STARTED","Not Started",C32))))</f>
        <v>DPO Approval</v>
      </c>
    </row>
    <row r="33" spans="1:5">
      <c r="A33" t="s">
        <v>207</v>
      </c>
      <c r="B33" t="s">
        <v>191</v>
      </c>
      <c r="C33" t="s">
        <v>128</v>
      </c>
      <c r="D33" t="s">
        <v>331</v>
      </c>
      <c r="E33" t="str">
        <f>IF(C33="Ready for Release in Prod","Blocked in Prod",IF(C33="RELEASED IN PROD","Released",IF(LEFT(D33,3)="Yes","Blocked - Build/QA",IF(C33="NOT STARTED","Not Started",C33))))</f>
        <v>Blocked in Prod</v>
      </c>
    </row>
    <row r="34" spans="1:5">
      <c r="A34" t="s">
        <v>209</v>
      </c>
      <c r="B34" t="s">
        <v>191</v>
      </c>
      <c r="C34" t="s">
        <v>180</v>
      </c>
      <c r="D34" t="s">
        <v>249</v>
      </c>
      <c r="E34" t="str">
        <f>IF(C34="Ready for Release in Prod","Blocked in Prod",IF(C34="RELEASED IN PROD","Released",IF(LEFT(D34,3)="Yes","Blocked - Build/QA",IF(C34="NOT STARTED","Not Started",C34))))</f>
        <v>Blocked - Build/QA</v>
      </c>
    </row>
    <row r="35" spans="1:5">
      <c r="A35" t="s">
        <v>212</v>
      </c>
      <c r="B35" t="s">
        <v>191</v>
      </c>
      <c r="C35" t="s">
        <v>180</v>
      </c>
      <c r="D35" t="s">
        <v>53</v>
      </c>
      <c r="E35" t="str">
        <f>IF(C35="Ready for Release in Prod","Blocked in Prod",IF(C35="RELEASED IN PROD","Released",IF(LEFT(D35,3)="Yes","Blocked - Build/QA",IF(C35="NOT STARTED","Not Started",C35))))</f>
        <v>DPO Approval</v>
      </c>
    </row>
    <row r="36" spans="1:5">
      <c r="A36" t="s">
        <v>214</v>
      </c>
      <c r="B36" t="s">
        <v>191</v>
      </c>
      <c r="C36" t="s">
        <v>215</v>
      </c>
      <c r="D36" t="s">
        <v>53</v>
      </c>
      <c r="E36" t="str">
        <f>IF(C36="Ready for Release in Prod","Blocked in Prod",IF(C36="RELEASED IN PROD","Released",IF(LEFT(D36,3)="Yes","Blocked - Build/QA",IF(C36="NOT STARTED","Not Started",C36))))</f>
        <v>QA</v>
      </c>
    </row>
    <row r="37" spans="1:5">
      <c r="A37" t="s">
        <v>217</v>
      </c>
      <c r="B37" t="s">
        <v>191</v>
      </c>
      <c r="C37" t="s">
        <v>215</v>
      </c>
      <c r="D37" t="s">
        <v>53</v>
      </c>
      <c r="E37" t="str">
        <f>IF(C37="Ready for Release in Prod","Blocked in Prod",IF(C37="RELEASED IN PROD","Released",IF(LEFT(D37,3)="Yes","Blocked - Build/QA",IF(C37="NOT STARTED","Not Started",C37))))</f>
        <v>QA</v>
      </c>
    </row>
    <row r="38" spans="1:5">
      <c r="A38" t="s">
        <v>219</v>
      </c>
      <c r="B38" t="s">
        <v>191</v>
      </c>
      <c r="C38" t="s">
        <v>180</v>
      </c>
      <c r="D38" t="s">
        <v>53</v>
      </c>
      <c r="E38" t="str">
        <f>IF(C38="Ready for Release in Prod","Blocked in Prod",IF(C38="RELEASED IN PROD","Released",IF(LEFT(D38,3)="Yes","Blocked - Build/QA",IF(C38="NOT STARTED","Not Started",C38))))</f>
        <v>DPO Approval</v>
      </c>
    </row>
    <row r="39" spans="1:5">
      <c r="A39" t="s">
        <v>220</v>
      </c>
      <c r="B39" t="s">
        <v>191</v>
      </c>
      <c r="C39" t="s">
        <v>202</v>
      </c>
      <c r="D39" t="s">
        <v>53</v>
      </c>
      <c r="E39" t="str">
        <f>IF(C39="Ready for Release in Prod","Blocked in Prod",IF(C39="RELEASED IN PROD","Released",IF(LEFT(D39,3)="Yes","Blocked - Build/QA",IF(C39="NOT STARTED","Not Started",C39))))</f>
        <v>PBI Dev</v>
      </c>
    </row>
    <row r="40" spans="1:5">
      <c r="A40" t="s">
        <v>221</v>
      </c>
      <c r="B40" t="s">
        <v>191</v>
      </c>
      <c r="C40" t="s">
        <v>222</v>
      </c>
      <c r="D40" t="s">
        <v>53</v>
      </c>
      <c r="E40" t="str">
        <f>IF(C40="Ready for Release in Prod","Blocked in Prod",IF(C40="RELEASED IN PROD","Released",IF(LEFT(D40,3)="Yes","Blocked - Build/QA",IF(C40="NOT STARTED","Not Started",C40))))</f>
        <v>DB Dev</v>
      </c>
    </row>
    <row r="41" spans="1:5">
      <c r="A41" t="s">
        <v>224</v>
      </c>
      <c r="B41" t="s">
        <v>191</v>
      </c>
      <c r="C41" t="s">
        <v>202</v>
      </c>
      <c r="D41" t="s">
        <v>53</v>
      </c>
      <c r="E41" t="str">
        <f>IF(C41="Ready for Release in Prod","Blocked in Prod",IF(C41="RELEASED IN PROD","Released",IF(LEFT(D41,3)="Yes","Blocked - Build/QA",IF(C41="NOT STARTED","Not Started",C41))))</f>
        <v>PBI Dev</v>
      </c>
    </row>
    <row r="42" spans="1:5">
      <c r="A42" t="s">
        <v>229</v>
      </c>
      <c r="B42" t="s">
        <v>191</v>
      </c>
      <c r="C42" t="s">
        <v>230</v>
      </c>
      <c r="D42" t="s">
        <v>53</v>
      </c>
      <c r="E42" t="str">
        <f>IF(C42="Ready for Release in Prod","Blocked in Prod",IF(C42="RELEASED IN PROD","Released",IF(LEFT(D42,3)="Yes","Blocked - Build/QA",IF(C42="NOT STARTED","Not Started",C42))))</f>
        <v>Not Started</v>
      </c>
    </row>
    <row r="43" spans="1:5">
      <c r="A43" t="s">
        <v>233</v>
      </c>
      <c r="B43" t="s">
        <v>191</v>
      </c>
      <c r="C43" t="s">
        <v>202</v>
      </c>
      <c r="D43" t="s">
        <v>203</v>
      </c>
      <c r="E43" t="str">
        <f>IF(C43="Ready for Release in Prod","Blocked in Prod",IF(C43="RELEASED IN PROD","Released",IF(LEFT(D43,3)="Yes","Blocked - Build/QA",IF(C43="NOT STARTED","Not Started",C43))))</f>
        <v>Blocked - Build/QA</v>
      </c>
    </row>
    <row r="44" spans="1:5">
      <c r="A44" t="s">
        <v>234</v>
      </c>
      <c r="B44" t="s">
        <v>191</v>
      </c>
      <c r="C44" t="s">
        <v>180</v>
      </c>
      <c r="D44" t="s">
        <v>53</v>
      </c>
      <c r="E44" t="str">
        <f>IF(C44="Ready for Release in Prod","Blocked in Prod",IF(C44="RELEASED IN PROD","Released",IF(LEFT(D44,3)="Yes","Blocked - Build/QA",IF(C44="NOT STARTED","Not Started",C44))))</f>
        <v>DPO Approval</v>
      </c>
    </row>
    <row r="45" spans="1:5">
      <c r="A45" t="s">
        <v>237</v>
      </c>
      <c r="B45" t="s">
        <v>191</v>
      </c>
      <c r="C45" t="s">
        <v>202</v>
      </c>
      <c r="D45" t="s">
        <v>53</v>
      </c>
      <c r="E45" t="str">
        <f>IF(C45="Ready for Release in Prod","Blocked in Prod",IF(C45="RELEASED IN PROD","Released",IF(LEFT(D45,3)="Yes","Blocked - Build/QA",IF(C45="NOT STARTED","Not Started",C45))))</f>
        <v>PBI Dev</v>
      </c>
    </row>
    <row r="46" spans="1:5">
      <c r="A46" t="s">
        <v>238</v>
      </c>
      <c r="B46" t="s">
        <v>239</v>
      </c>
      <c r="C46" t="s">
        <v>215</v>
      </c>
      <c r="E46" t="str">
        <f>IF(C46="Ready for Release in Prod","Blocked in Prod",IF(C46="RELEASED IN PROD","Released",IF(LEFT(D46,3)="Yes","Blocked - Build/QA",IF(C46="NOT STARTED","Not Started",C46))))</f>
        <v>QA</v>
      </c>
    </row>
    <row r="47" spans="1:5">
      <c r="A47" t="s">
        <v>242</v>
      </c>
      <c r="B47" t="s">
        <v>239</v>
      </c>
      <c r="C47" t="s">
        <v>202</v>
      </c>
      <c r="E47" t="str">
        <f>IF(C47="Ready for Release in Prod","Blocked in Prod",IF(C47="RELEASED IN PROD","Released",IF(LEFT(D47,3)="Yes","Blocked - Build/QA",IF(C47="NOT STARTED","Not Started",C47))))</f>
        <v>PBI Dev</v>
      </c>
    </row>
    <row r="48" spans="1:5">
      <c r="A48" t="s">
        <v>243</v>
      </c>
      <c r="B48" t="s">
        <v>239</v>
      </c>
      <c r="C48" t="s">
        <v>230</v>
      </c>
      <c r="E48" t="str">
        <f>IF(C48="Ready for Release in Prod","Blocked in Prod",IF(C48="RELEASED IN PROD","Released",IF(LEFT(D48,3)="Yes","Blocked - Build/QA",IF(C48="NOT STARTED","Not Started",C48))))</f>
        <v>Not Started</v>
      </c>
    </row>
    <row r="49" spans="1:5">
      <c r="A49" t="s">
        <v>245</v>
      </c>
      <c r="B49" t="s">
        <v>239</v>
      </c>
      <c r="C49" t="s">
        <v>230</v>
      </c>
      <c r="E49" t="str">
        <f>IF(C49="Ready for Release in Prod","Blocked in Prod",IF(C49="RELEASED IN PROD","Released",IF(LEFT(D49,3)="Yes","Blocked - Build/QA",IF(C49="NOT STARTED","Not Started",C49))))</f>
        <v>Not Started</v>
      </c>
    </row>
    <row r="50" spans="1:5">
      <c r="A50" t="s">
        <v>246</v>
      </c>
      <c r="B50" t="s">
        <v>239</v>
      </c>
      <c r="C50" t="s">
        <v>230</v>
      </c>
      <c r="E50" t="str">
        <f>IF(C50="Ready for Release in Prod","Blocked in Prod",IF(C50="RELEASED IN PROD","Released",IF(LEFT(D50,3)="Yes","Blocked - Build/QA",IF(C50="NOT STARTED","Not Started",C50))))</f>
        <v>Not Started</v>
      </c>
    </row>
    <row r="51" spans="1:5">
      <c r="A51" t="s">
        <v>247</v>
      </c>
      <c r="B51" t="s">
        <v>239</v>
      </c>
      <c r="C51" t="s">
        <v>202</v>
      </c>
      <c r="D51" t="s">
        <v>249</v>
      </c>
      <c r="E51" t="str">
        <f>IF(C51="Ready for Release in Prod","Blocked in Prod",IF(C51="RELEASED IN PROD","Released",IF(LEFT(D51,3)="Yes","Blocked - Build/QA",IF(C51="NOT STARTED","Not Started",C51))))</f>
        <v>Blocked - Build/QA</v>
      </c>
    </row>
    <row r="52" spans="1:5">
      <c r="A52" t="s">
        <v>251</v>
      </c>
      <c r="B52" t="s">
        <v>239</v>
      </c>
      <c r="C52" t="s">
        <v>202</v>
      </c>
      <c r="E52" t="str">
        <f>IF(C52="Ready for Release in Prod","Blocked in Prod",IF(C52="RELEASED IN PROD","Released",IF(LEFT(D52,3)="Yes","Blocked - Build/QA",IF(C52="NOT STARTED","Not Started",C52))))</f>
        <v>PBI Dev</v>
      </c>
    </row>
    <row r="53" spans="1:5">
      <c r="A53" t="s">
        <v>255</v>
      </c>
      <c r="B53" t="s">
        <v>239</v>
      </c>
      <c r="C53" t="s">
        <v>230</v>
      </c>
      <c r="E53" t="str">
        <f>IF(C53="Ready for Release in Prod","Blocked in Prod",IF(C53="RELEASED IN PROD","Released",IF(LEFT(D53,3)="Yes","Blocked - Build/QA",IF(C53="NOT STARTED","Not Started",C53))))</f>
        <v>Not Started</v>
      </c>
    </row>
    <row r="54" spans="1:5">
      <c r="A54" t="s">
        <v>256</v>
      </c>
      <c r="B54" t="s">
        <v>239</v>
      </c>
      <c r="C54" t="s">
        <v>230</v>
      </c>
      <c r="E54" t="str">
        <f>IF(C54="Ready for Release in Prod","Blocked in Prod",IF(C54="RELEASED IN PROD","Released",IF(LEFT(D54,3)="Yes","Blocked - Build/QA",IF(C54="NOT STARTED","Not Started",C54))))</f>
        <v>Not Started</v>
      </c>
    </row>
    <row r="55" spans="1:5">
      <c r="A55" t="s">
        <v>257</v>
      </c>
      <c r="B55" t="s">
        <v>239</v>
      </c>
      <c r="C55" t="s">
        <v>222</v>
      </c>
      <c r="E55" t="str">
        <f>IF(C55="Ready for Release in Prod","Blocked in Prod",IF(C55="RELEASED IN PROD","Released",IF(LEFT(D55,3)="Yes","Blocked - Build/QA",IF(C55="NOT STARTED","Not Started",C55))))</f>
        <v>DB Dev</v>
      </c>
    </row>
    <row r="56" spans="1:5">
      <c r="A56" t="s">
        <v>260</v>
      </c>
      <c r="B56" t="s">
        <v>239</v>
      </c>
      <c r="C56" t="s">
        <v>202</v>
      </c>
      <c r="E56" t="str">
        <f>IF(C56="Ready for Release in Prod","Blocked in Prod",IF(C56="RELEASED IN PROD","Released",IF(LEFT(D56,3)="Yes","Blocked - Build/QA",IF(C56="NOT STARTED","Not Started",C56))))</f>
        <v>PBI Dev</v>
      </c>
    </row>
    <row r="57" spans="1:5">
      <c r="A57" t="s">
        <v>262</v>
      </c>
      <c r="B57" t="s">
        <v>239</v>
      </c>
      <c r="C57" t="s">
        <v>202</v>
      </c>
      <c r="E57" t="str">
        <f>IF(C57="Ready for Release in Prod","Blocked in Prod",IF(C57="RELEASED IN PROD","Released",IF(LEFT(D57,3)="Yes","Blocked - Build/QA",IF(C57="NOT STARTED","Not Started",C57))))</f>
        <v>PBI Dev</v>
      </c>
    </row>
    <row r="58" spans="1:5">
      <c r="A58" t="s">
        <v>263</v>
      </c>
      <c r="B58" t="s">
        <v>239</v>
      </c>
      <c r="C58" t="s">
        <v>230</v>
      </c>
      <c r="E58" t="str">
        <f>IF(C58="Ready for Release in Prod","Blocked in Prod",IF(C58="RELEASED IN PROD","Released",IF(LEFT(D58,3)="Yes","Blocked - Build/QA",IF(C58="NOT STARTED","Not Started",C58))))</f>
        <v>Not Started</v>
      </c>
    </row>
    <row r="59" spans="1:5">
      <c r="A59" t="s">
        <v>265</v>
      </c>
      <c r="B59" t="s">
        <v>266</v>
      </c>
      <c r="C59" t="s">
        <v>230</v>
      </c>
      <c r="E59" t="str">
        <f>IF(C59="Ready for Release in Prod","Blocked in Prod",IF(C59="RELEASED IN PROD","Released",IF(LEFT(D59,3)="Yes","Blocked - Build/QA",IF(C59="NOT STARTED","Not Started",C59))))</f>
        <v>Not Started</v>
      </c>
    </row>
    <row r="60" spans="1:5">
      <c r="A60" t="s">
        <v>269</v>
      </c>
      <c r="B60" t="s">
        <v>266</v>
      </c>
      <c r="C60" t="s">
        <v>230</v>
      </c>
      <c r="E60" t="str">
        <f>IF(C60="Ready for Release in Prod","Blocked in Prod",IF(C60="RELEASED IN PROD","Released",IF(LEFT(D60,3)="Yes","Blocked - Build/QA",IF(C60="NOT STARTED","Not Started",C60))))</f>
        <v>Not Started</v>
      </c>
    </row>
    <row r="61" spans="1:5">
      <c r="A61" t="s">
        <v>270</v>
      </c>
      <c r="B61" t="s">
        <v>266</v>
      </c>
      <c r="C61" t="s">
        <v>230</v>
      </c>
      <c r="E61" t="str">
        <f>IF(C61="Ready for Release in Prod","Blocked in Prod",IF(C61="RELEASED IN PROD","Released",IF(LEFT(D61,3)="Yes","Blocked - Build/QA",IF(C61="NOT STARTED","Not Started",C61))))</f>
        <v>Not Started</v>
      </c>
    </row>
    <row r="62" spans="1:5">
      <c r="A62" t="s">
        <v>272</v>
      </c>
      <c r="B62" t="s">
        <v>266</v>
      </c>
      <c r="C62" t="s">
        <v>230</v>
      </c>
      <c r="E62" t="str">
        <f>IF(C62="Ready for Release in Prod","Blocked in Prod",IF(C62="RELEASED IN PROD","Released",IF(LEFT(D62,3)="Yes","Blocked - Build/QA",IF(C62="NOT STARTED","Not Started",C62))))</f>
        <v>Not Started</v>
      </c>
    </row>
    <row r="63" spans="1:5">
      <c r="A63" t="s">
        <v>273</v>
      </c>
      <c r="B63" t="s">
        <v>266</v>
      </c>
      <c r="C63" t="s">
        <v>230</v>
      </c>
      <c r="E63" t="str">
        <f>IF(C63="Ready for Release in Prod","Blocked in Prod",IF(C63="RELEASED IN PROD","Released",IF(LEFT(D63,3)="Yes","Blocked - Build/QA",IF(C63="NOT STARTED","Not Started",C63))))</f>
        <v>Not Started</v>
      </c>
    </row>
    <row r="64" spans="1:5">
      <c r="A64" t="s">
        <v>275</v>
      </c>
      <c r="B64" t="s">
        <v>266</v>
      </c>
      <c r="C64" t="s">
        <v>230</v>
      </c>
      <c r="E64" t="str">
        <f>IF(C64="Ready for Release in Prod","Blocked in Prod",IF(C64="RELEASED IN PROD","Released",IF(LEFT(D64,3)="Yes","Blocked - Build/QA",IF(C64="NOT STARTED","Not Started",C64))))</f>
        <v>Not Started</v>
      </c>
    </row>
    <row r="65" spans="1:5">
      <c r="A65" t="s">
        <v>278</v>
      </c>
      <c r="B65" t="s">
        <v>266</v>
      </c>
      <c r="C65" t="s">
        <v>230</v>
      </c>
      <c r="E65" t="str">
        <f>IF(C65="Ready for Release in Prod","Blocked in Prod",IF(C65="RELEASED IN PROD","Released",IF(LEFT(D65,3)="Yes","Blocked - Build/QA",IF(C65="NOT STARTED","Not Started",C65))))</f>
        <v>Not Started</v>
      </c>
    </row>
    <row r="66" spans="1:5">
      <c r="A66" t="s">
        <v>280</v>
      </c>
      <c r="B66" t="s">
        <v>266</v>
      </c>
      <c r="C66" t="s">
        <v>230</v>
      </c>
      <c r="E66" t="str">
        <f>IF(C66="Ready for Release in Prod","Blocked in Prod",IF(C66="RELEASED IN PROD","Released",IF(LEFT(D66,3)="Yes","Blocked - Build/QA",IF(C66="NOT STARTED","Not Started",C66))))</f>
        <v>Not Started</v>
      </c>
    </row>
    <row r="67" spans="1:5">
      <c r="A67" t="s">
        <v>282</v>
      </c>
      <c r="B67" t="s">
        <v>266</v>
      </c>
      <c r="C67" t="s">
        <v>230</v>
      </c>
      <c r="E67" t="str">
        <f>IF(C67="Ready for Release in Prod","Blocked in Prod",IF(C67="RELEASED IN PROD","Released",IF(LEFT(D67,3)="Yes","Blocked - Build/QA",IF(C67="NOT STARTED","Not Started",C67))))</f>
        <v>Not Started</v>
      </c>
    </row>
    <row r="68" spans="1:5">
      <c r="A68" t="s">
        <v>283</v>
      </c>
      <c r="B68" t="s">
        <v>266</v>
      </c>
      <c r="C68" t="s">
        <v>230</v>
      </c>
      <c r="E68" t="str">
        <f>IF(C68="Ready for Release in Prod","Blocked in Prod",IF(C68="RELEASED IN PROD","Released",IF(LEFT(D68,3)="Yes","Blocked - Build/QA",IF(C68="NOT STARTED","Not Started",C68))))</f>
        <v>Not Started</v>
      </c>
    </row>
    <row r="69" spans="1:5">
      <c r="A69" t="s">
        <v>286</v>
      </c>
      <c r="B69" t="s">
        <v>266</v>
      </c>
      <c r="C69" t="s">
        <v>230</v>
      </c>
      <c r="E69" t="str">
        <f>IF(C69="Ready for Release in Prod","Blocked in Prod",IF(C69="RELEASED IN PROD","Released",IF(LEFT(D69,3)="Yes","Blocked - Build/QA",IF(C69="NOT STARTED","Not Started",C69))))</f>
        <v>Not Started</v>
      </c>
    </row>
    <row r="70" spans="1:5">
      <c r="A70" t="s">
        <v>288</v>
      </c>
      <c r="B70" t="s">
        <v>266</v>
      </c>
      <c r="C70" t="s">
        <v>230</v>
      </c>
      <c r="E70" t="str">
        <f>IF(C70="Ready for Release in Prod","Blocked in Prod",IF(C70="RELEASED IN PROD","Released",IF(LEFT(D70,3)="Yes","Blocked - Build/QA",IF(C70="NOT STARTED","Not Started",C70))))</f>
        <v>Not Started</v>
      </c>
    </row>
    <row r="71" spans="1:5">
      <c r="A71" t="s">
        <v>291</v>
      </c>
      <c r="B71" t="s">
        <v>266</v>
      </c>
      <c r="C71" t="s">
        <v>230</v>
      </c>
      <c r="E71" t="str">
        <f>IF(C71="Ready for Release in Prod","Blocked in Prod",IF(C71="RELEASED IN PROD","Released",IF(LEFT(D71,3)="Yes","Blocked - Build/QA",IF(C71="NOT STARTED","Not Started",C71))))</f>
        <v>Not Started</v>
      </c>
    </row>
    <row r="72" spans="1:5">
      <c r="A72" t="s">
        <v>292</v>
      </c>
      <c r="B72" t="s">
        <v>266</v>
      </c>
      <c r="C72" t="s">
        <v>230</v>
      </c>
      <c r="E72" t="str">
        <f>IF(C72="Ready for Release in Prod","Blocked in Prod",IF(C72="RELEASED IN PROD","Released",IF(LEFT(D72,3)="Yes","Blocked - Build/QA",IF(C72="NOT STARTED","Not Started",C72))))</f>
        <v>Not Started</v>
      </c>
    </row>
    <row r="73" spans="1:5">
      <c r="A73" t="s">
        <v>295</v>
      </c>
      <c r="B73" t="s">
        <v>266</v>
      </c>
      <c r="C73" t="s">
        <v>230</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515</v>
      </c>
      <c r="B1" t="s">
        <v>516</v>
      </c>
      <c r="C1" t="s">
        <v>517</v>
      </c>
    </row>
    <row r="2" spans="1:3">
      <c r="A2" t="s">
        <v>501</v>
      </c>
      <c r="B2" t="s">
        <v>501</v>
      </c>
      <c r="C2" t="s">
        <v>501</v>
      </c>
    </row>
    <row r="3" spans="1:3">
      <c r="A3" t="str" cm="1">
        <f t="array" ref="A3:A7">_xlfn.LET(_xlpm.u,_xlfn.UNIQUE(_xlfn._xlws.FILTER(cmsMonth,(cmsDom="CMS")*(cmsMonth&lt;&gt;""))),_xlfn.SORTBY(_xlpm.u,MONTH(DATEVALUE("1 "&amp;_xlpm.u&amp;" 2026"))))</f>
        <v>July</v>
      </c>
      <c r="B3" t="s">
        <v>488</v>
      </c>
      <c r="C3" t="str" cm="1">
        <f t="array" ref="C3:C18">_xlfn.LET(_xlpm.v,_xlfn.VSTACK(cmsDBDev,cmsPBIDev,cmsQA),_xlpm.d,_xlfn.VSTACK(cmsDom,cmsDom,cmsDom),_xlfn._xlws.SORT(_xlfn.UNIQUE(_xlfn._xlws.FILTER(_xlpm.v,(_xlpm.d="CMS")*(_xlpm.v&lt;&gt;"")))))</f>
        <v>Bardia</v>
      </c>
    </row>
    <row r="4" spans="1:3">
      <c r="A4" t="str">
        <v>August</v>
      </c>
      <c r="B4" t="s">
        <v>489</v>
      </c>
      <c r="C4" t="str">
        <v>Fetwi</v>
      </c>
    </row>
    <row r="5" spans="1:3">
      <c r="A5" t="str">
        <v>September</v>
      </c>
      <c r="B5" t="s">
        <v>180</v>
      </c>
      <c r="C5" t="str">
        <v>Geetha</v>
      </c>
    </row>
    <row r="6" spans="1:3">
      <c r="A6" t="str">
        <v>October</v>
      </c>
      <c r="B6" t="s">
        <v>215</v>
      </c>
      <c r="C6" t="str">
        <v>Greeta</v>
      </c>
    </row>
    <row r="7" spans="1:3">
      <c r="A7" t="str">
        <v>November</v>
      </c>
      <c r="B7" t="s">
        <v>202</v>
      </c>
      <c r="C7" t="str">
        <v>Kushal</v>
      </c>
    </row>
    <row r="8" spans="1:3">
      <c r="B8" t="s">
        <v>222</v>
      </c>
      <c r="C8" t="str">
        <v>Michael</v>
      </c>
    </row>
    <row r="9" spans="1:3">
      <c r="B9" t="s">
        <v>483</v>
      </c>
      <c r="C9" t="str">
        <v>Navya</v>
      </c>
    </row>
    <row r="10" spans="1:3">
      <c r="B10" t="s">
        <v>490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2026-10-02T13:50:11Z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